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ENTRI\Class\PowerBI\ClassAssignments\Mini Project Sales\"/>
    </mc:Choice>
  </mc:AlternateContent>
  <xr:revisionPtr revIDLastSave="0" documentId="13_ncr:1_{EE457556-6CEE-4DD7-86E6-47FE4EA226F1}" xr6:coauthVersionLast="47" xr6:coauthVersionMax="47" xr10:uidLastSave="{00000000-0000-0000-0000-000000000000}"/>
  <bookViews>
    <workbookView xWindow="-120" yWindow="-120" windowWidth="20730" windowHeight="11760" firstSheet="4" activeTab="9" xr2:uid="{00000000-000D-0000-FFFF-FFFF00000000}"/>
  </bookViews>
  <sheets>
    <sheet name="Data_Dictionary" sheetId="2" r:id="rId1"/>
    <sheet name="Project_Notes" sheetId="3" r:id="rId2"/>
    <sheet name="Raw_Sales" sheetId="1" r:id="rId3"/>
    <sheet name="Cleaned_Sales" sheetId="5" r:id="rId4"/>
    <sheet name="Dim_Product" sheetId="4" r:id="rId5"/>
    <sheet name="Dim_Customer" sheetId="6" r:id="rId6"/>
    <sheet name="Dim_Category" sheetId="7" r:id="rId7"/>
    <sheet name="Dim_Region" sheetId="10" r:id="rId8"/>
    <sheet name="Dim_City" sheetId="11" r:id="rId9"/>
    <sheet name="Fact_Sales" sheetId="12" r:id="rId10"/>
    <sheet name="Dim_Salesperson" sheetId="13" r:id="rId11"/>
    <sheet name="Dim_SalesChannel" sheetId="14" r:id="rId12"/>
  </sheets>
  <definedNames>
    <definedName name="_xlnm._FilterDatabase" localSheetId="0" hidden="1">Data_Dictionary!$A$1:$C$24</definedName>
    <definedName name="_xlnm._FilterDatabase" localSheetId="6" hidden="1">Dim_Category!$M$1:$M$2013</definedName>
    <definedName name="_xlnm._FilterDatabase" localSheetId="8" hidden="1">Dim_City!$M$1:$M$2013</definedName>
    <definedName name="_xlnm._FilterDatabase" localSheetId="5" hidden="1">Dim_Customer!$L$1:$O$2013</definedName>
    <definedName name="_xlnm._FilterDatabase" localSheetId="4" hidden="1">Dim_Product!$F$1:$H$2050</definedName>
    <definedName name="_xlnm._FilterDatabase" localSheetId="7" hidden="1">Dim_Region!$M$1:$M$2013</definedName>
    <definedName name="_xlnm._FilterDatabase" localSheetId="11" hidden="1">Dim_SalesChannel!$M$1:$M$2013</definedName>
    <definedName name="_xlnm._FilterDatabase" localSheetId="10" hidden="1">Dim_Salesperson!#REF!</definedName>
    <definedName name="_xlnm._FilterDatabase" localSheetId="9" hidden="1">Fact_Sales!$A$1:$D$2013</definedName>
    <definedName name="_xlnm._FilterDatabase" localSheetId="1" hidden="1">Project_Notes!$A$1:$A$8</definedName>
    <definedName name="_xlnm._FilterDatabase" localSheetId="2" hidden="1">Raw_Sales!$E:$G</definedName>
    <definedName name="_xlnm.Criteria" localSheetId="6">Dim_Category!$M:$M</definedName>
    <definedName name="_xlnm.Criteria" localSheetId="8">Dim_City!$M:$M</definedName>
    <definedName name="_xlnm.Criteria" localSheetId="5">Dim_Customer!$L:$L</definedName>
    <definedName name="_xlnm.Criteria" localSheetId="4">Dim_Product!$F:$I</definedName>
    <definedName name="_xlnm.Criteria" localSheetId="7">Dim_Region!$M:$M</definedName>
    <definedName name="_xlnm.Criteria" localSheetId="11">Dim_SalesChannel!$M:$M</definedName>
    <definedName name="_xlnm.Criteria" localSheetId="10">Dim_Salesperson!#REF!</definedName>
    <definedName name="_xlnm.Criteria" localSheetId="9">Fact_Sales!$A:$A</definedName>
    <definedName name="ExternalData_1" localSheetId="9" hidden="1">Fact_Sales!$A$1:$N$2013</definedName>
    <definedName name="_xlnm.Extract" localSheetId="6">Dim_Category!$B$1</definedName>
    <definedName name="_xlnm.Extract" localSheetId="8">Dim_City!$B$1</definedName>
    <definedName name="_xlnm.Extract" localSheetId="5">Dim_Customer!$F$1:$I$1</definedName>
    <definedName name="_xlnm.Extract" localSheetId="4">Dim_Product!#REF!</definedName>
    <definedName name="_xlnm.Extract" localSheetId="7">Dim_Region!$B$1</definedName>
    <definedName name="_xlnm.Extract" localSheetId="11">Dim_SalesChannel!$B$1</definedName>
    <definedName name="_xlnm.Extract" localSheetId="10">Dim_Salesperson!#REF!</definedName>
    <definedName name="_xlnm.Extract" localSheetId="9">Fact_Sales!#REF!</definedName>
  </definedNames>
  <calcPr calcId="191029"/>
</workbook>
</file>

<file path=xl/calcChain.xml><?xml version="1.0" encoding="utf-8"?>
<calcChain xmlns="http://schemas.openxmlformats.org/spreadsheetml/2006/main">
  <c r="M1822" i="12" l="1"/>
  <c r="M1793" i="12"/>
  <c r="K1774" i="12"/>
  <c r="K1754" i="12"/>
  <c r="K1573" i="12"/>
  <c r="K1565" i="12"/>
  <c r="J1518" i="12"/>
  <c r="K1497" i="12"/>
  <c r="J1462" i="12"/>
  <c r="J1349" i="12"/>
  <c r="K1328" i="12"/>
  <c r="M1327" i="12"/>
  <c r="J1201" i="12"/>
  <c r="J1186" i="12"/>
  <c r="M1066" i="12"/>
  <c r="J1046" i="12"/>
  <c r="M997" i="12"/>
  <c r="J984" i="12"/>
  <c r="J951" i="12"/>
  <c r="M827" i="12"/>
  <c r="K808" i="12"/>
  <c r="J702" i="12"/>
  <c r="M575" i="12"/>
  <c r="K542" i="12"/>
  <c r="J486" i="12"/>
  <c r="M449" i="12"/>
  <c r="K326" i="12"/>
  <c r="K292" i="12"/>
  <c r="M212" i="12"/>
  <c r="M202" i="12"/>
  <c r="J162" i="12"/>
  <c r="J141" i="12"/>
  <c r="M66" i="12"/>
  <c r="M24" i="12"/>
  <c r="S1822" i="5"/>
  <c r="S1793" i="5"/>
  <c r="S1327" i="5"/>
  <c r="S1066" i="5"/>
  <c r="S997" i="5"/>
  <c r="S827" i="5"/>
  <c r="S575" i="5"/>
  <c r="S449" i="5"/>
  <c r="S212" i="5"/>
  <c r="S202" i="5"/>
  <c r="S66" i="5"/>
  <c r="S24" i="5"/>
  <c r="P1774" i="5"/>
  <c r="P1754" i="5"/>
  <c r="P1573" i="5"/>
  <c r="P1565" i="5"/>
  <c r="P1497" i="5"/>
  <c r="P1328" i="5"/>
  <c r="P808" i="5"/>
  <c r="P542" i="5"/>
  <c r="P326" i="5"/>
  <c r="P292" i="5"/>
  <c r="O1518" i="5"/>
  <c r="O1462" i="5"/>
  <c r="O1349" i="5"/>
  <c r="O1201" i="5"/>
  <c r="O1186" i="5"/>
  <c r="O1046" i="5"/>
  <c r="O984" i="5"/>
  <c r="O951" i="5"/>
  <c r="O702" i="5"/>
  <c r="O486" i="5"/>
  <c r="O162" i="5"/>
  <c r="O141" i="5"/>
  <c r="AB2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13667D-C4AC-4358-A35C-43BE6DAE77EA}" keepAlive="1" name="Query - Sales" description="Connection to the 'Sales' query in the workbook." type="5" refreshedVersion="8" background="1" saveData="1">
    <dbPr connection="Provider=Microsoft.Mashup.OleDb.1;Data Source=$Workbook$;Location=Sales;Extended Properties=&quot;&quot;" command="SELECT * FROM [Sales]"/>
  </connection>
  <connection id="2" xr16:uid="{0501155A-616A-4693-8EBB-15661E96B341}" keepAlive="1" name="Query - Sales (2)" description="Connection to the 'Sales (2)' query in the workbook." type="5" refreshedVersion="8" background="1" saveData="1">
    <dbPr connection="Provider=Microsoft.Mashup.OleDb.1;Data Source=$Workbook$;Location=&quot;Sales (2)&quot;;Extended Properties=&quot;&quot;" command="SELECT * FROM [Sales (2)]"/>
  </connection>
</connections>
</file>

<file path=xl/sharedStrings.xml><?xml version="1.0" encoding="utf-8"?>
<sst xmlns="http://schemas.openxmlformats.org/spreadsheetml/2006/main" count="75923" uniqueCount="2696">
  <si>
    <t>Order_ID</t>
  </si>
  <si>
    <t>Order_Date</t>
  </si>
  <si>
    <t>Customer_ID</t>
  </si>
  <si>
    <t>Customer_Name</t>
  </si>
  <si>
    <t>Manufacturer</t>
  </si>
  <si>
    <t>Region</t>
  </si>
  <si>
    <t>City</t>
  </si>
  <si>
    <t>Salesperson_ID</t>
  </si>
  <si>
    <t>Sales_Channel</t>
  </si>
  <si>
    <t>Payment_Method</t>
  </si>
  <si>
    <t>Quantity</t>
  </si>
  <si>
    <t>Unit_Price</t>
  </si>
  <si>
    <t>Cost_Per_Unit</t>
  </si>
  <si>
    <t>Gross_Sales</t>
  </si>
  <si>
    <t>Discount_Pct</t>
  </si>
  <si>
    <t>Discount_Amount</t>
  </si>
  <si>
    <t>Net_Sales</t>
  </si>
  <si>
    <t>Total_Cost</t>
  </si>
  <si>
    <t>Profit</t>
  </si>
  <si>
    <t>Order_Status</t>
  </si>
  <si>
    <t>ORD101809</t>
  </si>
  <si>
    <t>CUST0316</t>
  </si>
  <si>
    <t>Kavya Agarwal</t>
  </si>
  <si>
    <t>MED010</t>
  </si>
  <si>
    <t>Atorvastatin 10mg</t>
  </si>
  <si>
    <t>CardioMed</t>
  </si>
  <si>
    <t>Cardiovascular</t>
  </si>
  <si>
    <t>North</t>
  </si>
  <si>
    <t>Jaipur</t>
  </si>
  <si>
    <t>SP012</t>
  </si>
  <si>
    <t>Online Pharmacy</t>
  </si>
  <si>
    <t>UPI</t>
  </si>
  <si>
    <t>Cancelled</t>
  </si>
  <si>
    <t>ORD100695</t>
  </si>
  <si>
    <t>CUST0051</t>
  </si>
  <si>
    <t>Kiran Mishra</t>
  </si>
  <si>
    <t>MED017</t>
  </si>
  <si>
    <t>Salbutamol Inhaler</t>
  </si>
  <si>
    <t>PharmaPlus</t>
  </si>
  <si>
    <t>Respiratory</t>
  </si>
  <si>
    <t>Central</t>
  </si>
  <si>
    <t>Nagpur</t>
  </si>
  <si>
    <t>SP019</t>
  </si>
  <si>
    <t>Retail Pharmacy</t>
  </si>
  <si>
    <t>Bank Transfer</t>
  </si>
  <si>
    <t>Completed</t>
  </si>
  <si>
    <t>ORD100907</t>
  </si>
  <si>
    <t>CUST0329</t>
  </si>
  <si>
    <t>Ishita Desai</t>
  </si>
  <si>
    <t>MED014</t>
  </si>
  <si>
    <t>ORS Sachets</t>
  </si>
  <si>
    <t>GenericCare</t>
  </si>
  <si>
    <t>Nutrition &amp; Hydration</t>
  </si>
  <si>
    <t>East</t>
  </si>
  <si>
    <t>Patna</t>
  </si>
  <si>
    <t>ORD100545</t>
  </si>
  <si>
    <t>CUST0106</t>
  </si>
  <si>
    <t>Ananya Mishra</t>
  </si>
  <si>
    <t>West</t>
  </si>
  <si>
    <t>Ahmedabad</t>
  </si>
  <si>
    <t>SP005</t>
  </si>
  <si>
    <t>Hospital</t>
  </si>
  <si>
    <t>DebitCard</t>
  </si>
  <si>
    <t>ORD101848</t>
  </si>
  <si>
    <t>CUST0084</t>
  </si>
  <si>
    <t>Pooja Kapoor</t>
  </si>
  <si>
    <t>MED004</t>
  </si>
  <si>
    <t>Azithromycin 500mg</t>
  </si>
  <si>
    <t>Antibiotics</t>
  </si>
  <si>
    <t>SP007</t>
  </si>
  <si>
    <t>Cash</t>
  </si>
  <si>
    <t>ORD101567</t>
  </si>
  <si>
    <t>CUST0086</t>
  </si>
  <si>
    <t>Surat</t>
  </si>
  <si>
    <t>SP017</t>
  </si>
  <si>
    <t>Credit Card</t>
  </si>
  <si>
    <t>ORD101573</t>
  </si>
  <si>
    <t>CUST0181</t>
  </si>
  <si>
    <t>MED012</t>
  </si>
  <si>
    <t>Vitamin D3 60000 IU</t>
  </si>
  <si>
    <t>NutriHealth</t>
  </si>
  <si>
    <t>Vitamins &amp; Supplements</t>
  </si>
  <si>
    <t>Raipur</t>
  </si>
  <si>
    <t>SP011</t>
  </si>
  <si>
    <t>Debit Card</t>
  </si>
  <si>
    <t>ORD100945</t>
  </si>
  <si>
    <t>CUST0161</t>
  </si>
  <si>
    <t>Priya Agarwal</t>
  </si>
  <si>
    <t>South</t>
  </si>
  <si>
    <t>Bengaluru</t>
  </si>
  <si>
    <t>SP004</t>
  </si>
  <si>
    <t>ORD100819</t>
  </si>
  <si>
    <t>CUST0257</t>
  </si>
  <si>
    <t>MED005</t>
  </si>
  <si>
    <t>Cetirizine 10mg</t>
  </si>
  <si>
    <t>HealWell</t>
  </si>
  <si>
    <t>Antihistamines</t>
  </si>
  <si>
    <t>ORD100830</t>
  </si>
  <si>
    <t>CUST0338</t>
  </si>
  <si>
    <t>MED019</t>
  </si>
  <si>
    <t>Clotrimazole Cream</t>
  </si>
  <si>
    <t>MediLife</t>
  </si>
  <si>
    <t>Dermatology</t>
  </si>
  <si>
    <t>ORD101531</t>
  </si>
  <si>
    <t>CUST0344</t>
  </si>
  <si>
    <t>Meera Kapoor</t>
  </si>
  <si>
    <t>Lucknow</t>
  </si>
  <si>
    <t>ORD100979</t>
  </si>
  <si>
    <t>CUST0173</t>
  </si>
  <si>
    <t>MED013</t>
  </si>
  <si>
    <t>Calcium + Vitamin D</t>
  </si>
  <si>
    <t>SP014</t>
  </si>
  <si>
    <t>ORD101576</t>
  </si>
  <si>
    <t>CUST0264</t>
  </si>
  <si>
    <t>MED002</t>
  </si>
  <si>
    <t>Ibuprofen 400mg</t>
  </si>
  <si>
    <t>Analgesics &amp; Antipyretics</t>
  </si>
  <si>
    <t>Indore</t>
  </si>
  <si>
    <t>SP002</t>
  </si>
  <si>
    <t>ORD100786</t>
  </si>
  <si>
    <t>CUST0187</t>
  </si>
  <si>
    <t>Divya Desai</t>
  </si>
  <si>
    <t>Guwahati</t>
  </si>
  <si>
    <t>ORD100071</t>
  </si>
  <si>
    <t>CUST0099</t>
  </si>
  <si>
    <t>Sanjay Malhotra</t>
  </si>
  <si>
    <t>MED015</t>
  </si>
  <si>
    <t>Cough Syrup 100ml</t>
  </si>
  <si>
    <t>Cold &amp; Cough</t>
  </si>
  <si>
    <t>Returned</t>
  </si>
  <si>
    <t>ORD101007</t>
  </si>
  <si>
    <t>CUST0147</t>
  </si>
  <si>
    <t>MED020</t>
  </si>
  <si>
    <t>Antacid Suspension</t>
  </si>
  <si>
    <t>Gastrointestinal</t>
  </si>
  <si>
    <t>Kochi</t>
  </si>
  <si>
    <t>ORD100189</t>
  </si>
  <si>
    <t>CUST0082</t>
  </si>
  <si>
    <t>on-line</t>
  </si>
  <si>
    <t>ORD101670</t>
  </si>
  <si>
    <t>CUST0134</t>
  </si>
  <si>
    <t>MED011</t>
  </si>
  <si>
    <t>Losartan 50mg</t>
  </si>
  <si>
    <t>Kolkata</t>
  </si>
  <si>
    <t>SP006</t>
  </si>
  <si>
    <t>ORD101270</t>
  </si>
  <si>
    <t>CUST0191</t>
  </si>
  <si>
    <t>ORD101305</t>
  </si>
  <si>
    <t>CUST0021</t>
  </si>
  <si>
    <t>Rahul Joshi</t>
  </si>
  <si>
    <t>MED006</t>
  </si>
  <si>
    <t>Omeprazole 20mg</t>
  </si>
  <si>
    <t>SP020</t>
  </si>
  <si>
    <t>Distributor</t>
  </si>
  <si>
    <t>ORD101321</t>
  </si>
  <si>
    <t>CUST0328</t>
  </si>
  <si>
    <t>Neha Kapoor</t>
  </si>
  <si>
    <t>ORD101112</t>
  </si>
  <si>
    <t>CUST0072</t>
  </si>
  <si>
    <t>Sneha Agarwal</t>
  </si>
  <si>
    <t>ORD101941</t>
  </si>
  <si>
    <t>ORD101236</t>
  </si>
  <si>
    <t>CUST0087</t>
  </si>
  <si>
    <t>Anjali Desai</t>
  </si>
  <si>
    <t>ORD100600</t>
  </si>
  <si>
    <t>MED018</t>
  </si>
  <si>
    <t>Diclofenac 50mg</t>
  </si>
  <si>
    <t>Pain Relief</t>
  </si>
  <si>
    <t>ORD100057</t>
  </si>
  <si>
    <t>CUST0340</t>
  </si>
  <si>
    <t>SP001</t>
  </si>
  <si>
    <t>ORD101074</t>
  </si>
  <si>
    <t>CUST0109</t>
  </si>
  <si>
    <t>Hyderabad</t>
  </si>
  <si>
    <t>ORD101264</t>
  </si>
  <si>
    <t>CUST0273</t>
  </si>
  <si>
    <t>MED016</t>
  </si>
  <si>
    <t>Montelukast 10mg</t>
  </si>
  <si>
    <t>SP013</t>
  </si>
  <si>
    <t>ORD100766</t>
  </si>
  <si>
    <t>CUST0258</t>
  </si>
  <si>
    <t>ORD100745</t>
  </si>
  <si>
    <t>CUST0006</t>
  </si>
  <si>
    <t>Chennai</t>
  </si>
  <si>
    <t>SP016</t>
  </si>
  <si>
    <t>ORD101876</t>
  </si>
  <si>
    <t>CUST0157</t>
  </si>
  <si>
    <t>MED009</t>
  </si>
  <si>
    <t>Amlodipine 5mg</t>
  </si>
  <si>
    <t>Delhi</t>
  </si>
  <si>
    <t xml:space="preserve">UPI </t>
  </si>
  <si>
    <t>ORD100583</t>
  </si>
  <si>
    <t>CUST0282</t>
  </si>
  <si>
    <t>ORD100713</t>
  </si>
  <si>
    <t>CUST0339</t>
  </si>
  <si>
    <t>SP008</t>
  </si>
  <si>
    <t>ORD100315</t>
  </si>
  <si>
    <t>CUST0252</t>
  </si>
  <si>
    <t>ORD100384</t>
  </si>
  <si>
    <t>CUST0056</t>
  </si>
  <si>
    <t>ORD101924</t>
  </si>
  <si>
    <t>CUST0133</t>
  </si>
  <si>
    <t>ORD100213</t>
  </si>
  <si>
    <t>CUST0049</t>
  </si>
  <si>
    <t>ORD100383</t>
  </si>
  <si>
    <t>CUST0064</t>
  </si>
  <si>
    <t>ORD100487</t>
  </si>
  <si>
    <t>ORD101719</t>
  </si>
  <si>
    <t>CUST0033</t>
  </si>
  <si>
    <t>MED001</t>
  </si>
  <si>
    <t>Paracetamol 500mg</t>
  </si>
  <si>
    <t>Chandigarh</t>
  </si>
  <si>
    <t>ORD100535</t>
  </si>
  <si>
    <t>CUST0044</t>
  </si>
  <si>
    <t>ORD101554</t>
  </si>
  <si>
    <t>CUST0128</t>
  </si>
  <si>
    <t>MED007</t>
  </si>
  <si>
    <t>Pantoprazole 40mg</t>
  </si>
  <si>
    <t>SP010</t>
  </si>
  <si>
    <t>ORD100125</t>
  </si>
  <si>
    <t>CUST0031</t>
  </si>
  <si>
    <t>Rohan Joshi</t>
  </si>
  <si>
    <t>MED003</t>
  </si>
  <si>
    <t>Amoxicillin 500mg</t>
  </si>
  <si>
    <t>ORD100875</t>
  </si>
  <si>
    <t>CUST0036</t>
  </si>
  <si>
    <t>ORD100553</t>
  </si>
  <si>
    <t>CUST0234</t>
  </si>
  <si>
    <t>ORD100030</t>
  </si>
  <si>
    <t>CUST0260</t>
  </si>
  <si>
    <t>ORD101735</t>
  </si>
  <si>
    <t>CUST0125</t>
  </si>
  <si>
    <t>Bhubaneswar</t>
  </si>
  <si>
    <t>ORD101316</t>
  </si>
  <si>
    <t>CUST0171</t>
  </si>
  <si>
    <t>ORD101419</t>
  </si>
  <si>
    <t>ORD101405</t>
  </si>
  <si>
    <t>CUST0029</t>
  </si>
  <si>
    <t>ORD100343</t>
  </si>
  <si>
    <t>CUST0048</t>
  </si>
  <si>
    <t>ORD100308</t>
  </si>
  <si>
    <t>CUST0053</t>
  </si>
  <si>
    <t>ORD101288</t>
  </si>
  <si>
    <t>CUST0123</t>
  </si>
  <si>
    <t>ORD100773</t>
  </si>
  <si>
    <t>CUST0228</t>
  </si>
  <si>
    <t>ORD101777</t>
  </si>
  <si>
    <t>CUST0246</t>
  </si>
  <si>
    <t>SP015</t>
  </si>
  <si>
    <t>ORD100112</t>
  </si>
  <si>
    <t>MED008</t>
  </si>
  <si>
    <t>Metformin 500mg</t>
  </si>
  <si>
    <t>Diabetes</t>
  </si>
  <si>
    <t>SP018</t>
  </si>
  <si>
    <t>ORD101918</t>
  </si>
  <si>
    <t>CUST0001</t>
  </si>
  <si>
    <t>Aditya Kumar</t>
  </si>
  <si>
    <t>ORD100716</t>
  </si>
  <si>
    <t>CUST0200</t>
  </si>
  <si>
    <t>Arjun Joshi</t>
  </si>
  <si>
    <t>ORD100986</t>
  </si>
  <si>
    <t>SP009</t>
  </si>
  <si>
    <t>ORD101775</t>
  </si>
  <si>
    <t>CUST0005</t>
  </si>
  <si>
    <t>Vikram Mishra</t>
  </si>
  <si>
    <t>SP003</t>
  </si>
  <si>
    <t>ORD101044</t>
  </si>
  <si>
    <t>CUST0075</t>
  </si>
  <si>
    <t>ORD100101</t>
  </si>
  <si>
    <t>CUST0119</t>
  </si>
  <si>
    <t>CancelLed</t>
  </si>
  <si>
    <t>ORD100591</t>
  </si>
  <si>
    <t>CUST0281</t>
  </si>
  <si>
    <t>ORD101058</t>
  </si>
  <si>
    <t>ORD100290</t>
  </si>
  <si>
    <t>ORD100611</t>
  </si>
  <si>
    <t>CUST0121</t>
  </si>
  <si>
    <t>ORD101129</t>
  </si>
  <si>
    <t>CUST0248</t>
  </si>
  <si>
    <t>ORD100066</t>
  </si>
  <si>
    <t>CUST0231</t>
  </si>
  <si>
    <t>ORD101572</t>
  </si>
  <si>
    <t>CUST0198</t>
  </si>
  <si>
    <t>ORD100975</t>
  </si>
  <si>
    <t>CUST0043</t>
  </si>
  <si>
    <t>Complete</t>
  </si>
  <si>
    <t>ORD100306</t>
  </si>
  <si>
    <t>CUST0138</t>
  </si>
  <si>
    <t>CENTRL</t>
  </si>
  <si>
    <t>Bhopal</t>
  </si>
  <si>
    <t>ORD101111</t>
  </si>
  <si>
    <t>CUST0205</t>
  </si>
  <si>
    <t>ORD101658</t>
  </si>
  <si>
    <t>CUST0192</t>
  </si>
  <si>
    <t>ORD100129</t>
  </si>
  <si>
    <t>CUST0073</t>
  </si>
  <si>
    <t>ORD100708</t>
  </si>
  <si>
    <t>CUST0017</t>
  </si>
  <si>
    <t>ORD101800</t>
  </si>
  <si>
    <t>CUST0054</t>
  </si>
  <si>
    <t>ORD101650</t>
  </si>
  <si>
    <t>CUST0110</t>
  </si>
  <si>
    <t>ORD100421</t>
  </si>
  <si>
    <t>CUST0343</t>
  </si>
  <si>
    <t>ORD101290</t>
  </si>
  <si>
    <t>CUST0170</t>
  </si>
  <si>
    <t>ORD100924</t>
  </si>
  <si>
    <t>CUST0155</t>
  </si>
  <si>
    <t>ORD100415</t>
  </si>
  <si>
    <t>CUST0129</t>
  </si>
  <si>
    <t>ORD100454</t>
  </si>
  <si>
    <t>ORD101533</t>
  </si>
  <si>
    <t>CUST0214</t>
  </si>
  <si>
    <t>ORD101357</t>
  </si>
  <si>
    <t>CUST0078</t>
  </si>
  <si>
    <t>ORD100394</t>
  </si>
  <si>
    <t>CUST0292</t>
  </si>
  <si>
    <t>ORD100238</t>
  </si>
  <si>
    <t>CUST0169</t>
  </si>
  <si>
    <t>ORD100211</t>
  </si>
  <si>
    <t>CUST0140</t>
  </si>
  <si>
    <t>ORD100212</t>
  </si>
  <si>
    <t>CUST0291</t>
  </si>
  <si>
    <t>Pune</t>
  </si>
  <si>
    <t>ORD100702</t>
  </si>
  <si>
    <t>CUST0303</t>
  </si>
  <si>
    <t>ORD101852</t>
  </si>
  <si>
    <t>ORD101682</t>
  </si>
  <si>
    <t>CUST0324</t>
  </si>
  <si>
    <t>ORD100031</t>
  </si>
  <si>
    <t>ORD101608</t>
  </si>
  <si>
    <t>CUST0275</t>
  </si>
  <si>
    <t>ORD101054</t>
  </si>
  <si>
    <t>CUST0124</t>
  </si>
  <si>
    <t>ORD100533</t>
  </si>
  <si>
    <t>CUST0058</t>
  </si>
  <si>
    <t>ORD101542</t>
  </si>
  <si>
    <t>CUST0233</t>
  </si>
  <si>
    <t>ORD100307</t>
  </si>
  <si>
    <t>CUST0040</t>
  </si>
  <si>
    <t>ORD101897</t>
  </si>
  <si>
    <t>CUST0002</t>
  </si>
  <si>
    <t>ORD101515</t>
  </si>
  <si>
    <t>ORD100809</t>
  </si>
  <si>
    <t>CUST0143</t>
  </si>
  <si>
    <t>Mumbai</t>
  </si>
  <si>
    <t>ORD100070</t>
  </si>
  <si>
    <t>CUST0177</t>
  </si>
  <si>
    <t>ORD100221</t>
  </si>
  <si>
    <t>ORD101923</t>
  </si>
  <si>
    <t>CUST0046</t>
  </si>
  <si>
    <t>KAVYA AGARWAL</t>
  </si>
  <si>
    <t>ORD101456</t>
  </si>
  <si>
    <t>ORD100472</t>
  </si>
  <si>
    <t>CUST0294</t>
  </si>
  <si>
    <t>ORD100369</t>
  </si>
  <si>
    <t>CUST0167</t>
  </si>
  <si>
    <t>ORD100240</t>
  </si>
  <si>
    <t>CUST0278</t>
  </si>
  <si>
    <t>Nisha Malhotra</t>
  </si>
  <si>
    <t>ORD100232</t>
  </si>
  <si>
    <t>CUST0105</t>
  </si>
  <si>
    <t>ORD101285</t>
  </si>
  <si>
    <t>CUST0215</t>
  </si>
  <si>
    <t>ORD100197</t>
  </si>
  <si>
    <t>CUST0244</t>
  </si>
  <si>
    <t>ORD100100</t>
  </si>
  <si>
    <t>CUST0290</t>
  </si>
  <si>
    <t>CreditCard</t>
  </si>
  <si>
    <t>ORD101782</t>
  </si>
  <si>
    <t>ORD101674</t>
  </si>
  <si>
    <t>CUST0063</t>
  </si>
  <si>
    <t>ORD100747</t>
  </si>
  <si>
    <t>CUST0311</t>
  </si>
  <si>
    <t>ORD100367</t>
  </si>
  <si>
    <t>CUST0112</t>
  </si>
  <si>
    <t>ORD100742</t>
  </si>
  <si>
    <t>ORD101493</t>
  </si>
  <si>
    <t>CUST0342</t>
  </si>
  <si>
    <t>ORD101630</t>
  </si>
  <si>
    <t>CUST0209</t>
  </si>
  <si>
    <t>ORD100371</t>
  </si>
  <si>
    <t>CUST0019</t>
  </si>
  <si>
    <t>ORD101976</t>
  </si>
  <si>
    <t>CUST0061</t>
  </si>
  <si>
    <t>Whole Sale</t>
  </si>
  <si>
    <t>ORD100252</t>
  </si>
  <si>
    <t>CUST0127</t>
  </si>
  <si>
    <t>ORD100890</t>
  </si>
  <si>
    <t>CUST0203</t>
  </si>
  <si>
    <t>ORD101836</t>
  </si>
  <si>
    <t>ORD100515</t>
  </si>
  <si>
    <t>CUST0199</t>
  </si>
  <si>
    <t>Amit Malhotra</t>
  </si>
  <si>
    <t>ORD101984</t>
  </si>
  <si>
    <t>CUST0202</t>
  </si>
  <si>
    <t>ORD100638</t>
  </si>
  <si>
    <t>CUST0092</t>
  </si>
  <si>
    <t>ORD101104</t>
  </si>
  <si>
    <t>CUST0194</t>
  </si>
  <si>
    <t>ORD101717</t>
  </si>
  <si>
    <t>ORD100926</t>
  </si>
  <si>
    <t>CUST0132</t>
  </si>
  <si>
    <t>ORD101724</t>
  </si>
  <si>
    <t>CUST0071</t>
  </si>
  <si>
    <t>ORD101158</t>
  </si>
  <si>
    <t>ANJALI DESAI</t>
  </si>
  <si>
    <t>ORD101527</t>
  </si>
  <si>
    <t>CUST0156</t>
  </si>
  <si>
    <t>ORD101462</t>
  </si>
  <si>
    <t>CUST0102</t>
  </si>
  <si>
    <t>ORD100539</t>
  </si>
  <si>
    <t>ORD101037</t>
  </si>
  <si>
    <t>ORD100793</t>
  </si>
  <si>
    <t>CUST0172</t>
  </si>
  <si>
    <t>ORD101910</t>
  </si>
  <si>
    <t>CUST0304</t>
  </si>
  <si>
    <t>ORD100837</t>
  </si>
  <si>
    <t>CUST0225</t>
  </si>
  <si>
    <t>ORD101069</t>
  </si>
  <si>
    <t>CUST0229</t>
  </si>
  <si>
    <t>ORD100486</t>
  </si>
  <si>
    <t>CUST0176</t>
  </si>
  <si>
    <t>ORD101992</t>
  </si>
  <si>
    <t>ORD100496</t>
  </si>
  <si>
    <t>ORD101363</t>
  </si>
  <si>
    <t>CUST0142</t>
  </si>
  <si>
    <t>ORD101605</t>
  </si>
  <si>
    <t>CUST0322</t>
  </si>
  <si>
    <t>ORD101433</t>
  </si>
  <si>
    <t>CUST0067</t>
  </si>
  <si>
    <t>south</t>
  </si>
  <si>
    <t>ORD100655</t>
  </si>
  <si>
    <t>CUST0208</t>
  </si>
  <si>
    <t>ORD100860</t>
  </si>
  <si>
    <t>ORD101513</t>
  </si>
  <si>
    <t>CUST0016</t>
  </si>
  <si>
    <t>ORD101491</t>
  </si>
  <si>
    <t>CUST0130</t>
  </si>
  <si>
    <t>ORD101957</t>
  </si>
  <si>
    <t>ORD100434</t>
  </si>
  <si>
    <t>ORD100375</t>
  </si>
  <si>
    <t>CUST0062</t>
  </si>
  <si>
    <t>ORD101055</t>
  </si>
  <si>
    <t>ORD100711</t>
  </si>
  <si>
    <t>ORD100922</t>
  </si>
  <si>
    <t>ORD100775</t>
  </si>
  <si>
    <t>CUST0284</t>
  </si>
  <si>
    <t>ORD101802</t>
  </si>
  <si>
    <t>CUST0066</t>
  </si>
  <si>
    <t>ORD101030</t>
  </si>
  <si>
    <t>CUST0008</t>
  </si>
  <si>
    <t>Noth</t>
  </si>
  <si>
    <t>ORD101828</t>
  </si>
  <si>
    <t>CUST0166</t>
  </si>
  <si>
    <t>ORD101626</t>
  </si>
  <si>
    <t>CUST0280</t>
  </si>
  <si>
    <t>ORD100417</t>
  </si>
  <si>
    <t>CUST0285</t>
  </si>
  <si>
    <t>ORD101595</t>
  </si>
  <si>
    <t>ORD101178</t>
  </si>
  <si>
    <t>CUST0206</t>
  </si>
  <si>
    <t>ORD101553</t>
  </si>
  <si>
    <t>ORD101453</t>
  </si>
  <si>
    <t>CUST0074</t>
  </si>
  <si>
    <t>ORD100116</t>
  </si>
  <si>
    <t>CUST0301</t>
  </si>
  <si>
    <t>ORD100325</t>
  </si>
  <si>
    <t>CUST0219</t>
  </si>
  <si>
    <t>ORD100412</t>
  </si>
  <si>
    <t>ORD100439</t>
  </si>
  <si>
    <t>CUST0297</t>
  </si>
  <si>
    <t>ORD100299</t>
  </si>
  <si>
    <t>CUST0028</t>
  </si>
  <si>
    <t>ORD101710</t>
  </si>
  <si>
    <t>CUST0151</t>
  </si>
  <si>
    <t>ORD101404</t>
  </si>
  <si>
    <t>CUST0013</t>
  </si>
  <si>
    <t>ORD100586</t>
  </si>
  <si>
    <t>ORD100353</t>
  </si>
  <si>
    <t>CUST0217</t>
  </si>
  <si>
    <t>ORD101847</t>
  </si>
  <si>
    <t>ORD100544</t>
  </si>
  <si>
    <t>CUST0117</t>
  </si>
  <si>
    <t>ORD100508</t>
  </si>
  <si>
    <t>CUST0163</t>
  </si>
  <si>
    <t>ORD100555</t>
  </si>
  <si>
    <t>CUST0265</t>
  </si>
  <si>
    <t>ORD101740</t>
  </si>
  <si>
    <t>CUST0038</t>
  </si>
  <si>
    <t>ORD101291</t>
  </si>
  <si>
    <t>CUST0241</t>
  </si>
  <si>
    <t>ORD101327</t>
  </si>
  <si>
    <t>CUST0295</t>
  </si>
  <si>
    <t>ORD101618</t>
  </si>
  <si>
    <t>CUST0189</t>
  </si>
  <si>
    <t>ORD100121</t>
  </si>
  <si>
    <t>CUST0042</t>
  </si>
  <si>
    <t>ORD101382</t>
  </si>
  <si>
    <t>CUST0314</t>
  </si>
  <si>
    <t>ORD100368</t>
  </si>
  <si>
    <t>ORD101005</t>
  </si>
  <si>
    <t>ORD100248</t>
  </si>
  <si>
    <t>CUST0107</t>
  </si>
  <si>
    <t>ORD101494</t>
  </si>
  <si>
    <t>ORD100562</t>
  </si>
  <si>
    <t>CUST0041</t>
  </si>
  <si>
    <t>ORD100136</t>
  </si>
  <si>
    <t>ORD101306</t>
  </si>
  <si>
    <t>CUST0032</t>
  </si>
  <si>
    <t>ORD100983</t>
  </si>
  <si>
    <t>CUST0186</t>
  </si>
  <si>
    <t>ORD101107</t>
  </si>
  <si>
    <t>CUST0149</t>
  </si>
  <si>
    <t>ORD100362</t>
  </si>
  <si>
    <t>CUST0185</t>
  </si>
  <si>
    <t>ORD101311</t>
  </si>
  <si>
    <t>CUST0159</t>
  </si>
  <si>
    <t>ORD100756</t>
  </si>
  <si>
    <t>CUST0079</t>
  </si>
  <si>
    <t xml:space="preserve">EAST </t>
  </si>
  <si>
    <t>ORD101118</t>
  </si>
  <si>
    <t>ORD101870</t>
  </si>
  <si>
    <t>ORD100110</t>
  </si>
  <si>
    <t>CUST0288</t>
  </si>
  <si>
    <t>ORD100382</t>
  </si>
  <si>
    <t>CUST0207</t>
  </si>
  <si>
    <t>ORD101512</t>
  </si>
  <si>
    <t>ORD101274</t>
  </si>
  <si>
    <t>CUST0010</t>
  </si>
  <si>
    <t>ORD101381</t>
  </si>
  <si>
    <t>CUST0113</t>
  </si>
  <si>
    <t>ORD101867</t>
  </si>
  <si>
    <t>CUST0096</t>
  </si>
  <si>
    <t>ORD100680</t>
  </si>
  <si>
    <t>CUST0022</t>
  </si>
  <si>
    <t>ORD101238</t>
  </si>
  <si>
    <t>CUST0089</t>
  </si>
  <si>
    <t>ORD101584</t>
  </si>
  <si>
    <t>ORD101770</t>
  </si>
  <si>
    <t>ORD101165</t>
  </si>
  <si>
    <t>CUST0009</t>
  </si>
  <si>
    <t>ORD100889</t>
  </si>
  <si>
    <t>ORD101544</t>
  </si>
  <si>
    <t>ORD100788</t>
  </si>
  <si>
    <t>CUST0272</t>
  </si>
  <si>
    <t>ORD101191</t>
  </si>
  <si>
    <t>Corporate</t>
  </si>
  <si>
    <t>ORD101367</t>
  </si>
  <si>
    <t>CUST0222</t>
  </si>
  <si>
    <t>Canceled</t>
  </si>
  <si>
    <t>ORD101346</t>
  </si>
  <si>
    <t>CUST0069</t>
  </si>
  <si>
    <t>ORD101079</t>
  </si>
  <si>
    <t>ORD100693</t>
  </si>
  <si>
    <t>ORD100234</t>
  </si>
  <si>
    <t>ORD101092</t>
  </si>
  <si>
    <t>CUST0333</t>
  </si>
  <si>
    <t>ORD101610</t>
  </si>
  <si>
    <t>CUST0103</t>
  </si>
  <si>
    <t>ORD100915</t>
  </si>
  <si>
    <t>ORD101275</t>
  </si>
  <si>
    <t>ORD100481</t>
  </si>
  <si>
    <t>CUST0256</t>
  </si>
  <si>
    <t>ORD100520</t>
  </si>
  <si>
    <t>CUST0259</t>
  </si>
  <si>
    <t>ORD101810</t>
  </si>
  <si>
    <t>CUST0190</t>
  </si>
  <si>
    <t>ORD101304</t>
  </si>
  <si>
    <t>CUST0268</t>
  </si>
  <si>
    <t>ORD101606</t>
  </si>
  <si>
    <t>ORD101209</t>
  </si>
  <si>
    <t>CUST0115</t>
  </si>
  <si>
    <t>ORD100584</t>
  </si>
  <si>
    <t>ORD101754</t>
  </si>
  <si>
    <t>ORD100255</t>
  </si>
  <si>
    <t>ORD100536</t>
  </si>
  <si>
    <t>ORD100451</t>
  </si>
  <si>
    <t>CUST0211</t>
  </si>
  <si>
    <t>ORD100050</t>
  </si>
  <si>
    <t>CUST0238</t>
  </si>
  <si>
    <t>ORD101426</t>
  </si>
  <si>
    <t>ORD101492</t>
  </si>
  <si>
    <t>ORD101369</t>
  </si>
  <si>
    <t>CUST0137</t>
  </si>
  <si>
    <t>ORD100758</t>
  </si>
  <si>
    <t>ORD100737</t>
  </si>
  <si>
    <t>ORD101139</t>
  </si>
  <si>
    <t>ORD101511</t>
  </si>
  <si>
    <t>ORD101878</t>
  </si>
  <si>
    <t>ORD100174</t>
  </si>
  <si>
    <t>ORD100866</t>
  </si>
  <si>
    <t>ORD101170</t>
  </si>
  <si>
    <t>ORD100765</t>
  </si>
  <si>
    <t>CUST0218</t>
  </si>
  <si>
    <t>ORD101765</t>
  </si>
  <si>
    <t>CUST0299</t>
  </si>
  <si>
    <t>Rajesh Bansal</t>
  </si>
  <si>
    <t>ORD101722</t>
  </si>
  <si>
    <t>ORD101371</t>
  </si>
  <si>
    <t>CUST0332</t>
  </si>
  <si>
    <t>ORD100746</t>
  </si>
  <si>
    <t>CUST0306</t>
  </si>
  <si>
    <t>ORD100300</t>
  </si>
  <si>
    <t>ORD100024</t>
  </si>
  <si>
    <t>ORD101646</t>
  </si>
  <si>
    <t>ORD100987</t>
  </si>
  <si>
    <t>ORD100064</t>
  </si>
  <si>
    <t>CUST0055</t>
  </si>
  <si>
    <t>Retail</t>
  </si>
  <si>
    <t>ORD100808</t>
  </si>
  <si>
    <t>CUST0320</t>
  </si>
  <si>
    <t>ORD100731</t>
  </si>
  <si>
    <t>CUST0350</t>
  </si>
  <si>
    <t>ORD100882</t>
  </si>
  <si>
    <t>CUST0014</t>
  </si>
  <si>
    <t>ORD100282</t>
  </si>
  <si>
    <t>CUST0226</t>
  </si>
  <si>
    <t>ORD100257</t>
  </si>
  <si>
    <t>ORD100355</t>
  </si>
  <si>
    <t>ORD100556</t>
  </si>
  <si>
    <t>ORD100276</t>
  </si>
  <si>
    <t>ORD101991</t>
  </si>
  <si>
    <t>CUST0274</t>
  </si>
  <si>
    <t>ORD100352</t>
  </si>
  <si>
    <t>ORD101702</t>
  </si>
  <si>
    <t>CUST0249</t>
  </si>
  <si>
    <t>ORD101868</t>
  </si>
  <si>
    <t>ORD101300</t>
  </si>
  <si>
    <t>ORD100298</t>
  </si>
  <si>
    <t>ORD101733</t>
  </si>
  <si>
    <t>CUST0083</t>
  </si>
  <si>
    <t>ORD101791</t>
  </si>
  <si>
    <t>ORD100870</t>
  </si>
  <si>
    <t>ORD100651</t>
  </si>
  <si>
    <t>ORD100458</t>
  </si>
  <si>
    <t>CUST0080</t>
  </si>
  <si>
    <t>ORD100271</t>
  </si>
  <si>
    <t>CUST0323</t>
  </si>
  <si>
    <t>ORD101694</t>
  </si>
  <si>
    <t>ORD100933</t>
  </si>
  <si>
    <t>ORD101281</t>
  </si>
  <si>
    <t>ORD101224</t>
  </si>
  <si>
    <t>CUST0197</t>
  </si>
  <si>
    <t>ORD100026</t>
  </si>
  <si>
    <t>CUST0300</t>
  </si>
  <si>
    <t>ORD101394</t>
  </si>
  <si>
    <t>CUST0180</t>
  </si>
  <si>
    <t>ORD100079</t>
  </si>
  <si>
    <t>CUST0305</t>
  </si>
  <si>
    <t>ORD100858</t>
  </si>
  <si>
    <t>CUST0254</t>
  </si>
  <si>
    <t>ORD100033</t>
  </si>
  <si>
    <t>CUST0251</t>
  </si>
  <si>
    <t>ORD100395</t>
  </si>
  <si>
    <t>CUST0250</t>
  </si>
  <si>
    <t>ORD101551</t>
  </si>
  <si>
    <t>ORD100495</t>
  </si>
  <si>
    <t>CUST0221</t>
  </si>
  <si>
    <t>ORD100612</t>
  </si>
  <si>
    <t>CUST0212</t>
  </si>
  <si>
    <t>ORD100164</t>
  </si>
  <si>
    <t>CUST0337</t>
  </si>
  <si>
    <t>ORD100204</t>
  </si>
  <si>
    <t>CUST0279</t>
  </si>
  <si>
    <t>ORD101008</t>
  </si>
  <si>
    <t>CUST0076</t>
  </si>
  <si>
    <t>ORD101859</t>
  </si>
  <si>
    <t>ORD101286</t>
  </si>
  <si>
    <t>ORD101803</t>
  </si>
  <si>
    <t>ORD101160</t>
  </si>
  <si>
    <t>ORD100825</t>
  </si>
  <si>
    <t>ORD101310</t>
  </si>
  <si>
    <t>ORD100603</t>
  </si>
  <si>
    <t>CUST0122</t>
  </si>
  <si>
    <t>ORD100483</t>
  </si>
  <si>
    <t>CUST0287</t>
  </si>
  <si>
    <t>ORD100874</t>
  </si>
  <si>
    <t>ORD101408</t>
  </si>
  <si>
    <t>CUST0164</t>
  </si>
  <si>
    <t>ORD100219</t>
  </si>
  <si>
    <t>CUST0227</t>
  </si>
  <si>
    <t>ORD101983</t>
  </si>
  <si>
    <t>ORD101002</t>
  </si>
  <si>
    <t>ORD101641</t>
  </si>
  <si>
    <t>ORD100818</t>
  </si>
  <si>
    <t>ORD101176</t>
  </si>
  <si>
    <t>ORD100060</t>
  </si>
  <si>
    <t>CUST0319</t>
  </si>
  <si>
    <t>ORD100322</t>
  </si>
  <si>
    <t>ORD100317</t>
  </si>
  <si>
    <t>CUST0150</t>
  </si>
  <si>
    <t>ORD100074</t>
  </si>
  <si>
    <t>CUST0007</t>
  </si>
  <si>
    <t>Online</t>
  </si>
  <si>
    <t>ORD100163</t>
  </si>
  <si>
    <t>CUST0326</t>
  </si>
  <si>
    <t>ORD100580</t>
  </si>
  <si>
    <t>ORD100991</t>
  </si>
  <si>
    <t>ORD100577</t>
  </si>
  <si>
    <t>ORD101629</t>
  </si>
  <si>
    <t>CUST0095</t>
  </si>
  <si>
    <t>ORD100618</t>
  </si>
  <si>
    <t>ORD101903</t>
  </si>
  <si>
    <t>CUST0236</t>
  </si>
  <si>
    <t>ORD100046</t>
  </si>
  <si>
    <t>ORD101001</t>
  </si>
  <si>
    <t>CUST0174</t>
  </si>
  <si>
    <t>ORD101524</t>
  </si>
  <si>
    <t>ORD101343</t>
  </si>
  <si>
    <t>ORD100573</t>
  </si>
  <si>
    <t>CUST0070</t>
  </si>
  <si>
    <t xml:space="preserve"> west</t>
  </si>
  <si>
    <t>ORD100077</t>
  </si>
  <si>
    <t>ORD101968</t>
  </si>
  <si>
    <t>CUST0050</t>
  </si>
  <si>
    <t>ORD101451</t>
  </si>
  <si>
    <t>CUST0321</t>
  </si>
  <si>
    <t>ORD100772</t>
  </si>
  <si>
    <t>ORD101425</t>
  </si>
  <si>
    <t>ORD100484</t>
  </si>
  <si>
    <t>CUST0296</t>
  </si>
  <si>
    <t>ORD100949</t>
  </si>
  <si>
    <t>CUST0283</t>
  </si>
  <si>
    <t>ORD100856</t>
  </si>
  <si>
    <t>ORD101785</t>
  </si>
  <si>
    <t>ORD101552</t>
  </si>
  <si>
    <t>CUST0165</t>
  </si>
  <si>
    <t>ORD100820</t>
  </si>
  <si>
    <t>ORD101352</t>
  </si>
  <si>
    <t>ORD100839</t>
  </si>
  <si>
    <t>ORD101503</t>
  </si>
  <si>
    <t>CUST0240</t>
  </si>
  <si>
    <t>ORD101776</t>
  </si>
  <si>
    <t>ORD101607</t>
  </si>
  <si>
    <t>CUST0118</t>
  </si>
  <si>
    <t>ORD101934</t>
  </si>
  <si>
    <t>CUST0091</t>
  </si>
  <si>
    <t>ORD101613</t>
  </si>
  <si>
    <t>CUST0059</t>
  </si>
  <si>
    <t>ORD100345</t>
  </si>
  <si>
    <t>ORD100045</t>
  </si>
  <si>
    <t>ORD101577</t>
  </si>
  <si>
    <t>ORD100169</t>
  </si>
  <si>
    <t>CUST0093</t>
  </si>
  <si>
    <t>ORD100304</t>
  </si>
  <si>
    <t>ORD100351</t>
  </si>
  <si>
    <t>ORD101677</t>
  </si>
  <si>
    <t>ORD101977</t>
  </si>
  <si>
    <t>ORD100893</t>
  </si>
  <si>
    <t>CUST0088</t>
  </si>
  <si>
    <t>ORD101973</t>
  </si>
  <si>
    <t>ORD100694</t>
  </si>
  <si>
    <t>ORD100430</t>
  </si>
  <si>
    <t>MEERA KAPOOR</t>
  </si>
  <si>
    <t>ORD101469</t>
  </si>
  <si>
    <t>ORD101402</t>
  </si>
  <si>
    <t>CUST0267</t>
  </si>
  <si>
    <t>ORD101396</t>
  </si>
  <si>
    <t>CUST0015</t>
  </si>
  <si>
    <t>ORD101594</t>
  </si>
  <si>
    <t>ORD100354</t>
  </si>
  <si>
    <t>ORD101464</t>
  </si>
  <si>
    <t>CUST0245</t>
  </si>
  <si>
    <t>ORD101103</t>
  </si>
  <si>
    <t>ORD100531</t>
  </si>
  <si>
    <t>ORD100186</t>
  </si>
  <si>
    <t>ORD101272</t>
  </si>
  <si>
    <t>ORD101329</t>
  </si>
  <si>
    <t>ORD101998</t>
  </si>
  <si>
    <t>ORD101234</t>
  </si>
  <si>
    <t>ORD100301</t>
  </si>
  <si>
    <t>ORD101987</t>
  </si>
  <si>
    <t>ORD101086</t>
  </si>
  <si>
    <t>ORD101211</t>
  </si>
  <si>
    <t>ORD101640</t>
  </si>
  <si>
    <t>CUST0034</t>
  </si>
  <si>
    <t>ORD101833</t>
  </si>
  <si>
    <t>ORD101985</t>
  </si>
  <si>
    <t>ORD101727</t>
  </si>
  <si>
    <t>ORD101424</t>
  </si>
  <si>
    <t>ORD100176</t>
  </si>
  <si>
    <t>ORD101713</t>
  </si>
  <si>
    <t>ORD101935</t>
  </si>
  <si>
    <t>ORD101651</t>
  </si>
  <si>
    <t>CUST0302</t>
  </si>
  <si>
    <t>ORD100124</t>
  </si>
  <si>
    <t>DIVYA DESAI</t>
  </si>
  <si>
    <t>ORD101908</t>
  </si>
  <si>
    <t>ORD100428</t>
  </si>
  <si>
    <t>ORD100040</t>
  </si>
  <si>
    <t>CUST0348</t>
  </si>
  <si>
    <t>ORD100423</t>
  </si>
  <si>
    <t>ORD101470</t>
  </si>
  <si>
    <t>CUST0237</t>
  </si>
  <si>
    <t>ORD100332</t>
  </si>
  <si>
    <t>ORD100712</t>
  </si>
  <si>
    <t>ORD100195</t>
  </si>
  <si>
    <t>CUST0020</t>
  </si>
  <si>
    <t>ORD101731</t>
  </si>
  <si>
    <t>CUST0023</t>
  </si>
  <si>
    <t>ORD101681</t>
  </si>
  <si>
    <t>CUST0271</t>
  </si>
  <si>
    <t>ORD101757</t>
  </si>
  <si>
    <t>ORD100323</t>
  </si>
  <si>
    <t>ORD101227</t>
  </si>
  <si>
    <t>ORD100267</t>
  </si>
  <si>
    <t>ORD101980</t>
  </si>
  <si>
    <t>ORD101467</t>
  </si>
  <si>
    <t>ORD101360</t>
  </si>
  <si>
    <t>ORD100068</t>
  </si>
  <si>
    <t>CUST0098</t>
  </si>
  <si>
    <t>ORD100994</t>
  </si>
  <si>
    <t>ORD101648</t>
  </si>
  <si>
    <t>CUST0253</t>
  </si>
  <si>
    <t>ORD101062</t>
  </si>
  <si>
    <t>ORD100706</t>
  </si>
  <si>
    <t>CUST0196</t>
  </si>
  <si>
    <t>ORD101525</t>
  </si>
  <si>
    <t>ORD101510</t>
  </si>
  <si>
    <t>ORD101448</t>
  </si>
  <si>
    <t>ORD101858</t>
  </si>
  <si>
    <t>ORD100571</t>
  </si>
  <si>
    <t>CUST0035</t>
  </si>
  <si>
    <t>ORD100927</t>
  </si>
  <si>
    <t>ORD100671</t>
  </si>
  <si>
    <t>ORD101675</t>
  </si>
  <si>
    <t>ORD101230</t>
  </si>
  <si>
    <t>ORD100951</t>
  </si>
  <si>
    <t>ORD100465</t>
  </si>
  <si>
    <t>ORD100433</t>
  </si>
  <si>
    <t>ORD100999</t>
  </si>
  <si>
    <t>CUST0270</t>
  </si>
  <si>
    <t>SNEHA AGARWAL</t>
  </si>
  <si>
    <t>ORD101570</t>
  </si>
  <si>
    <t>ORD101619</t>
  </si>
  <si>
    <t>ORD101805</t>
  </si>
  <si>
    <t>CUST0039</t>
  </si>
  <si>
    <t>ORD101177</t>
  </si>
  <si>
    <t>ORD100760</t>
  </si>
  <si>
    <t>ORD101024</t>
  </si>
  <si>
    <t>ORD101106</t>
  </si>
  <si>
    <t>ORD100681</t>
  </si>
  <si>
    <t>CUST0154</t>
  </si>
  <si>
    <t>ORD100953</t>
  </si>
  <si>
    <t>ORD100262</t>
  </si>
  <si>
    <t>ORD100568</t>
  </si>
  <si>
    <t>ORD101011</t>
  </si>
  <si>
    <t>ORD100241</t>
  </si>
  <si>
    <t>ORD101064</t>
  </si>
  <si>
    <t>ORD100850</t>
  </si>
  <si>
    <t>ORD100722</t>
  </si>
  <si>
    <t>CUST0223</t>
  </si>
  <si>
    <t>ORD101477</t>
  </si>
  <si>
    <t>ORD101114</t>
  </si>
  <si>
    <t>CUST0184</t>
  </si>
  <si>
    <t>ORD101690</t>
  </si>
  <si>
    <t>ORD100366</t>
  </si>
  <si>
    <t>ORD101487</t>
  </si>
  <si>
    <t>CUST0004</t>
  </si>
  <si>
    <t>ORD101271</t>
  </si>
  <si>
    <t>ORD100615</t>
  </si>
  <si>
    <t>ORD101703</t>
  </si>
  <si>
    <t>ORD100528</t>
  </si>
  <si>
    <t>CUST0325</t>
  </si>
  <si>
    <t>ORD101612</t>
  </si>
  <si>
    <t>CUST0148</t>
  </si>
  <si>
    <t>ORD100072</t>
  </si>
  <si>
    <t>ORD101262</t>
  </si>
  <si>
    <t>ORD100260</t>
  </si>
  <si>
    <t>ORD100052</t>
  </si>
  <si>
    <t>ORD100199</t>
  </si>
  <si>
    <t>ORD100479</t>
  </si>
  <si>
    <t>ORD100679</t>
  </si>
  <si>
    <t>CUST0090</t>
  </si>
  <si>
    <t>ORD100333</t>
  </si>
  <si>
    <t>ORD101654</t>
  </si>
  <si>
    <t>ORD100620</t>
  </si>
  <si>
    <t>CUST0057</t>
  </si>
  <si>
    <t>ORD101655</t>
  </si>
  <si>
    <t>ORD100619</t>
  </si>
  <si>
    <t>ORD101948</t>
  </si>
  <si>
    <t>ORD100597</t>
  </si>
  <si>
    <t>New Delhi</t>
  </si>
  <si>
    <t>ORD100939</t>
  </si>
  <si>
    <t>ORD100989</t>
  </si>
  <si>
    <t>ORD101766</t>
  </si>
  <si>
    <t>ORD100427</t>
  </si>
  <si>
    <t>CUST0162</t>
  </si>
  <si>
    <t>ORD100592</t>
  </si>
  <si>
    <t>ORD100480</t>
  </si>
  <si>
    <t>CUST0139</t>
  </si>
  <si>
    <t>ORD101421</t>
  </si>
  <si>
    <t>CUST0266</t>
  </si>
  <si>
    <t>ORD101308</t>
  </si>
  <si>
    <t>ORD101680</t>
  </si>
  <si>
    <t>ORD100096</t>
  </si>
  <si>
    <t>CUST0336</t>
  </si>
  <si>
    <t>ORD100549</t>
  </si>
  <si>
    <t>ORD100753</t>
  </si>
  <si>
    <t>CUST0235</t>
  </si>
  <si>
    <t>ORD100399</t>
  </si>
  <si>
    <t>CUST0330</t>
  </si>
  <si>
    <t>ORD100998</t>
  </si>
  <si>
    <t>CUST0312</t>
  </si>
  <si>
    <t>ORD100463</t>
  </si>
  <si>
    <t>ORD100437</t>
  </si>
  <si>
    <t>ORD100193</t>
  </si>
  <si>
    <t>ORD101472</t>
  </si>
  <si>
    <t>ORD101354</t>
  </si>
  <si>
    <t>ORD100293</t>
  </si>
  <si>
    <t>CUST0068</t>
  </si>
  <si>
    <t>ORD101972</t>
  </si>
  <si>
    <t>ORD101539</t>
  </si>
  <si>
    <t>ORD100940</t>
  </si>
  <si>
    <t>CUST0335</t>
  </si>
  <si>
    <t>ORD101138</t>
  </si>
  <si>
    <t>CUST0052</t>
  </si>
  <si>
    <t>ORD100633</t>
  </si>
  <si>
    <t>ORD100142</t>
  </si>
  <si>
    <t>ORD101252</t>
  </si>
  <si>
    <t>ORD100003</t>
  </si>
  <si>
    <t>ORD100782</t>
  </si>
  <si>
    <t>ORD100582</t>
  </si>
  <si>
    <t>CUST0077</t>
  </si>
  <si>
    <t>ORD101920</t>
  </si>
  <si>
    <t>CUST0037</t>
  </si>
  <si>
    <t>ORD101334</t>
  </si>
  <si>
    <t>ORD100340</t>
  </si>
  <si>
    <t>ORD100813</t>
  </si>
  <si>
    <t>ORD100409</t>
  </si>
  <si>
    <t>CUST0263</t>
  </si>
  <si>
    <t>ORD101221</t>
  </si>
  <si>
    <t>CUST0081</t>
  </si>
  <si>
    <t>ORD100266</t>
  </si>
  <si>
    <t>ORD100377</t>
  </si>
  <si>
    <t>CUST0232</t>
  </si>
  <si>
    <t>ORD101379</t>
  </si>
  <si>
    <t>CUST0175</t>
  </si>
  <si>
    <t>ORD101038</t>
  </si>
  <si>
    <t>ORD100440</t>
  </si>
  <si>
    <t>CUST0201</t>
  </si>
  <si>
    <t>ORD100272</t>
  </si>
  <si>
    <t>ORD100185</t>
  </si>
  <si>
    <t>ORD100980</t>
  </si>
  <si>
    <t>CUST0144</t>
  </si>
  <si>
    <t>bank transfer</t>
  </si>
  <si>
    <t>ORD100245</t>
  </si>
  <si>
    <t>CUST0116</t>
  </si>
  <si>
    <t>ORD100966</t>
  </si>
  <si>
    <t>ORD100608</t>
  </si>
  <si>
    <t>ORD100530</t>
  </si>
  <si>
    <t>ORD100446</t>
  </si>
  <si>
    <t>CUST0310</t>
  </si>
  <si>
    <t>ORD100846</t>
  </si>
  <si>
    <t>ORD101303</t>
  </si>
  <si>
    <t>ORD101182</t>
  </si>
  <si>
    <t>ORD101132</t>
  </si>
  <si>
    <t>ORD100416</t>
  </si>
  <si>
    <t>ORD100274</t>
  </si>
  <si>
    <t>ORD101147</t>
  </si>
  <si>
    <t>CUST0224</t>
  </si>
  <si>
    <t>ORD100251</t>
  </si>
  <si>
    <t>completed</t>
  </si>
  <si>
    <t>ORD100414</t>
  </si>
  <si>
    <t>ORD101340</t>
  </si>
  <si>
    <t>ORD100311</t>
  </si>
  <si>
    <t>CUST0024</t>
  </si>
  <si>
    <t>ORD100432</t>
  </si>
  <si>
    <t>ORD100585</t>
  </si>
  <si>
    <t>CUST0045</t>
  </si>
  <si>
    <t>ORD100426</t>
  </si>
  <si>
    <t>ORD101925</t>
  </si>
  <si>
    <t>ORD101921</t>
  </si>
  <si>
    <t>ORD100783</t>
  </si>
  <si>
    <t>CUST0182</t>
  </si>
  <si>
    <t>ORD101671</t>
  </si>
  <si>
    <t>ORD101134</t>
  </si>
  <si>
    <t>ORD101056</t>
  </si>
  <si>
    <t>ORD101517</t>
  </si>
  <si>
    <t>ORD100527</t>
  </si>
  <si>
    <t>ORD100589</t>
  </si>
  <si>
    <t>ORD100675</t>
  </si>
  <si>
    <t>CUST0262</t>
  </si>
  <si>
    <t>ORD100183</t>
  </si>
  <si>
    <t>CUST0298</t>
  </si>
  <si>
    <t>ORD100171</t>
  </si>
  <si>
    <t>ORD101993</t>
  </si>
  <si>
    <t>ORD100614</t>
  </si>
  <si>
    <t>CUST0135</t>
  </si>
  <si>
    <t>ORD101927</t>
  </si>
  <si>
    <t>ORD101693</t>
  </si>
  <si>
    <t>CUST0146</t>
  </si>
  <si>
    <t>ORD100888</t>
  </si>
  <si>
    <t>ORD100778</t>
  </si>
  <si>
    <t>ORD100273</t>
  </si>
  <si>
    <t>ORD101589</t>
  </si>
  <si>
    <t>ORD100721</t>
  </si>
  <si>
    <t>ORD100942</t>
  </si>
  <si>
    <t>ORD100372</t>
  </si>
  <si>
    <t>ORD100223</t>
  </si>
  <si>
    <t>ORD101351</t>
  </si>
  <si>
    <t>CUST0018</t>
  </si>
  <si>
    <t>ORD101689</t>
  </si>
  <si>
    <t>ORD100810</t>
  </si>
  <si>
    <t>ORD100519</t>
  </si>
  <si>
    <t>ORD100335</t>
  </si>
  <si>
    <t>ORD101656</t>
  </si>
  <si>
    <t>ORD101197</t>
  </si>
  <si>
    <t>ORD101562</t>
  </si>
  <si>
    <t>ORD100631</t>
  </si>
  <si>
    <t>ORD100016</t>
  </si>
  <si>
    <t>ORD100707</t>
  </si>
  <si>
    <t>CUST0239</t>
  </si>
  <si>
    <t>ORD100977</t>
  </si>
  <si>
    <t>ORD101579</t>
  </si>
  <si>
    <t>ORD101729</t>
  </si>
  <si>
    <t>ORD101816</t>
  </si>
  <si>
    <t>ORD100943</t>
  </si>
  <si>
    <t>ORD100466</t>
  </si>
  <si>
    <t>ORD101669</t>
  </si>
  <si>
    <t>ORD100200</t>
  </si>
  <si>
    <t>ORD101289</t>
  </si>
  <si>
    <t>ORD101084</t>
  </si>
  <si>
    <t>ORD101162</t>
  </si>
  <si>
    <t>CUST0210</t>
  </si>
  <si>
    <t>ORD100235</t>
  </si>
  <si>
    <t>ORD101532</t>
  </si>
  <si>
    <t>CUST0331</t>
  </si>
  <si>
    <t>ORD100757</t>
  </si>
  <si>
    <t>VIKRAM MISHRA</t>
  </si>
  <si>
    <t>ORD101436</t>
  </si>
  <si>
    <t>ORD101450</t>
  </si>
  <si>
    <t>CUST0047</t>
  </si>
  <si>
    <t>ORD101390</t>
  </si>
  <si>
    <t>ORD101266</t>
  </si>
  <si>
    <t>CUST0307</t>
  </si>
  <si>
    <t>ORD100594</t>
  </si>
  <si>
    <t>ORD100044</t>
  </si>
  <si>
    <t>ORD100275</t>
  </si>
  <si>
    <t>ORD101537</t>
  </si>
  <si>
    <t>ORD100102</t>
  </si>
  <si>
    <t>Return</t>
  </si>
  <si>
    <t>ORD100908</t>
  </si>
  <si>
    <t>CUST0179</t>
  </si>
  <si>
    <t>ORD101832</t>
  </si>
  <si>
    <t>ORD101478</t>
  </si>
  <si>
    <t>CUST0193</t>
  </si>
  <si>
    <t>ORD100108</t>
  </si>
  <si>
    <t>ORD101205</t>
  </si>
  <si>
    <t>ORD100498</t>
  </si>
  <si>
    <t>ORD101169</t>
  </si>
  <si>
    <t>ORD101865</t>
  </si>
  <si>
    <t>ORD100787</t>
  </si>
  <si>
    <t>ORD100880</t>
  </si>
  <si>
    <t>ORD101786</t>
  </si>
  <si>
    <t>ORD101330</t>
  </si>
  <si>
    <t>ORD101460</t>
  </si>
  <si>
    <t>ORD100621</t>
  </si>
  <si>
    <t>ORD100073</t>
  </si>
  <si>
    <t>ORD101808</t>
  </si>
  <si>
    <t>ORD101245</t>
  </si>
  <si>
    <t>ORD101342</t>
  </si>
  <si>
    <t>ORD100863</t>
  </si>
  <si>
    <t>ORD100482</t>
  </si>
  <si>
    <t>ORD101122</t>
  </si>
  <si>
    <t>retial</t>
  </si>
  <si>
    <t>ORD100507</t>
  </si>
  <si>
    <t>CUST0317</t>
  </si>
  <si>
    <t>ORD100705</t>
  </si>
  <si>
    <t>ORD101774</t>
  </si>
  <si>
    <t>CUST0065</t>
  </si>
  <si>
    <t>ORD101193</t>
  </si>
  <si>
    <t>ORD101361</t>
  </si>
  <si>
    <t>ORD101504</t>
  </si>
  <si>
    <t>CUST0309</t>
  </si>
  <si>
    <t>ORD100312</t>
  </si>
  <si>
    <t>ORD101730</t>
  </si>
  <si>
    <t>CUST0158</t>
  </si>
  <si>
    <t>ORD100406</t>
  </si>
  <si>
    <t>ORD100728</t>
  </si>
  <si>
    <t>ORD101174</t>
  </si>
  <si>
    <t>ORD100310</t>
  </si>
  <si>
    <t>ORD100227</t>
  </si>
  <si>
    <t>ORD101742</t>
  </si>
  <si>
    <t>ORD101260</t>
  </si>
  <si>
    <t>ORD101568</t>
  </si>
  <si>
    <t>ORD100862</t>
  </si>
  <si>
    <t>ORD100149</t>
  </si>
  <si>
    <t>ORD101413</t>
  </si>
  <si>
    <t>ORD100744</t>
  </si>
  <si>
    <t>ORD101014</t>
  </si>
  <si>
    <t>ORD101447</t>
  </si>
  <si>
    <t>ORD101919</t>
  </si>
  <si>
    <t>ORD100576</t>
  </si>
  <si>
    <t>ORD100558</t>
  </si>
  <si>
    <t>ORD101430</t>
  </si>
  <si>
    <t>ORD101186</t>
  </si>
  <si>
    <t>CUST0277</t>
  </si>
  <si>
    <t>ORD101380</t>
  </si>
  <si>
    <t>ORD101341</t>
  </si>
  <si>
    <t>ORD100652</t>
  </si>
  <si>
    <t>ORD101000</t>
  </si>
  <si>
    <t>ORD100287</t>
  </si>
  <si>
    <t>ORD101645</t>
  </si>
  <si>
    <t>ORD101243</t>
  </si>
  <si>
    <t>ORD100629</t>
  </si>
  <si>
    <t>ORD100599</t>
  </si>
  <si>
    <t>ORD101273</t>
  </si>
  <si>
    <t>ORD100833</t>
  </si>
  <si>
    <t>ORD101678</t>
  </si>
  <si>
    <t>ORD101627</t>
  </si>
  <si>
    <t>CUST0027</t>
  </si>
  <si>
    <t>ORD101068</t>
  </si>
  <si>
    <t>ORD101581</t>
  </si>
  <si>
    <t>ORD101990</t>
  </si>
  <si>
    <t>ORD100944</t>
  </si>
  <si>
    <t>ORD100910</t>
  </si>
  <si>
    <t>ORD101235</t>
  </si>
  <si>
    <t>ORD101449</t>
  </si>
  <si>
    <t>ORD100610</t>
  </si>
  <si>
    <t>ORD101891</t>
  </si>
  <si>
    <t>CUST0108</t>
  </si>
  <si>
    <t>ORD101113</t>
  </si>
  <si>
    <t>ORD101489</t>
  </si>
  <si>
    <t>ORD101042</t>
  </si>
  <si>
    <t>ORD100494</t>
  </si>
  <si>
    <t>ORD101353</t>
  </si>
  <si>
    <t>ORD100278</t>
  </si>
  <si>
    <t>CUST0318</t>
  </si>
  <si>
    <t>ORD101964</t>
  </si>
  <si>
    <t>CUST0101</t>
  </si>
  <si>
    <t>ORD100359</t>
  </si>
  <si>
    <t>ORD101299</t>
  </si>
  <si>
    <t>CUST0261</t>
  </si>
  <si>
    <t>ORD100237</t>
  </si>
  <si>
    <t>ORD100552</t>
  </si>
  <si>
    <t>CUST0195</t>
  </si>
  <si>
    <t>ORD101917</t>
  </si>
  <si>
    <t>ORD100937</t>
  </si>
  <si>
    <t>ORD100209</t>
  </si>
  <si>
    <t>ORD101422</t>
  </si>
  <si>
    <t>CUST0120</t>
  </si>
  <si>
    <t>ORD101600</t>
  </si>
  <si>
    <t>ORD100059</t>
  </si>
  <si>
    <t>ORD100632</t>
  </si>
  <si>
    <t>ORD101624</t>
  </si>
  <si>
    <t>ORD101909</t>
  </si>
  <si>
    <t>ORD101617</t>
  </si>
  <si>
    <t>ORD100364</t>
  </si>
  <si>
    <t>ORD100506</t>
  </si>
  <si>
    <t>ORD101954</t>
  </si>
  <si>
    <t>ORD101152</t>
  </si>
  <si>
    <t>ORD101831</t>
  </si>
  <si>
    <t>ORD101359</t>
  </si>
  <si>
    <t>CUST0152</t>
  </si>
  <si>
    <t>ORD100133</t>
  </si>
  <si>
    <t>ORD101091</t>
  </si>
  <si>
    <t>ORD101783</t>
  </si>
  <si>
    <t>CUST0126</t>
  </si>
  <si>
    <t>ORD100119</t>
  </si>
  <si>
    <t>ORD101602</t>
  </si>
  <si>
    <t>ORD101687</t>
  </si>
  <si>
    <t>ORD100523</t>
  </si>
  <si>
    <t>ORD100514</t>
  </si>
  <si>
    <t>ORD100082</t>
  </si>
  <si>
    <t>ORD101315</t>
  </si>
  <si>
    <t>ORD101217</t>
  </si>
  <si>
    <t>ORD100381</t>
  </si>
  <si>
    <t>ORD101659</t>
  </si>
  <si>
    <t>ORD101732</t>
  </si>
  <si>
    <t>CUST0204</t>
  </si>
  <si>
    <t>ORD100085</t>
  </si>
  <si>
    <t>ORD101721</t>
  </si>
  <si>
    <t>ORD101010</t>
  </si>
  <si>
    <t>CUST0247</t>
  </si>
  <si>
    <t>ORD100330</t>
  </si>
  <si>
    <t>ORD100007</t>
  </si>
  <si>
    <t>ORD101771</t>
  </si>
  <si>
    <t>ORD100789</t>
  </si>
  <si>
    <t>ORD101712</t>
  </si>
  <si>
    <t>ORD101345</t>
  </si>
  <si>
    <t>ORD100452</t>
  </si>
  <si>
    <t>ORD100491</t>
  </si>
  <si>
    <t>CUST0183</t>
  </si>
  <si>
    <t>ORD101520</t>
  </si>
  <si>
    <t>ORD100288</t>
  </si>
  <si>
    <t>ORD100950</t>
  </si>
  <si>
    <t>ORD100906</t>
  </si>
  <si>
    <t>ORD101403</t>
  </si>
  <si>
    <t>ORD101229</t>
  </si>
  <si>
    <t>ORD101561</t>
  </si>
  <si>
    <t>ORD100835</t>
  </si>
  <si>
    <t>ORD101745</t>
  </si>
  <si>
    <t>ORD100965</t>
  </si>
  <si>
    <t>ORD100967</t>
  </si>
  <si>
    <t>ORD101638</t>
  </si>
  <si>
    <t>ORD101117</t>
  </si>
  <si>
    <t>ORD101692</t>
  </si>
  <si>
    <t>ORD100328</t>
  </si>
  <si>
    <t>ORD100443</t>
  </si>
  <si>
    <t>ORD100807</t>
  </si>
  <si>
    <t>ORD101108</t>
  </si>
  <si>
    <t>ORD100964</t>
  </si>
  <si>
    <t>ORD100917</t>
  </si>
  <si>
    <t>ORD100178</t>
  </si>
  <si>
    <t>ORD100768</t>
  </si>
  <si>
    <t>ORD100734</t>
  </si>
  <si>
    <t>ORD100087</t>
  </si>
  <si>
    <t>ORD101445</t>
  </si>
  <si>
    <t>CUST0345</t>
  </si>
  <si>
    <t>ORD101950</t>
  </si>
  <si>
    <t>ORD101877</t>
  </si>
  <si>
    <t>Hydrabad</t>
  </si>
  <si>
    <t>ORD100055</t>
  </si>
  <si>
    <t>CUST0276</t>
  </si>
  <si>
    <t>ORD101541</t>
  </si>
  <si>
    <t>ORD100644</t>
  </si>
  <si>
    <t>ORD100678</t>
  </si>
  <si>
    <t>CUST0269</t>
  </si>
  <si>
    <t>ORD100222</t>
  </si>
  <si>
    <t>ORD100114</t>
  </si>
  <si>
    <t>ORD101962</t>
  </si>
  <si>
    <t>ORD101259</t>
  </si>
  <si>
    <t>ORD101035</t>
  </si>
  <si>
    <t>ORD100175</t>
  </si>
  <si>
    <t>ORD101053</t>
  </si>
  <si>
    <t>ORD100590</t>
  </si>
  <si>
    <t>ORD101861</t>
  </si>
  <si>
    <t>ORD100019</t>
  </si>
  <si>
    <t>ORD100424</t>
  </si>
  <si>
    <t>ORD101376</t>
  </si>
  <si>
    <t>ORD100286</t>
  </si>
  <si>
    <t>ORD101623</t>
  </si>
  <si>
    <t>ORD100429</t>
  </si>
  <si>
    <t>ORD101549</t>
  </si>
  <si>
    <t>CUST0085</t>
  </si>
  <si>
    <t>ORD100781</t>
  </si>
  <si>
    <t>ORD100670</t>
  </si>
  <si>
    <t>ORD100032</t>
  </si>
  <si>
    <t>ORD101936</t>
  </si>
  <si>
    <t>ORD100723</t>
  </si>
  <si>
    <t>ORD101171</t>
  </si>
  <si>
    <t>ORD100215</t>
  </si>
  <si>
    <t>ORD101429</t>
  </si>
  <si>
    <t>ORD101344</t>
  </si>
  <si>
    <t>ORD100327</t>
  </si>
  <si>
    <t>ORD100561</t>
  </si>
  <si>
    <t>ORD101827</t>
  </si>
  <si>
    <t>ORD100701</t>
  </si>
  <si>
    <t>ORD101894</t>
  </si>
  <si>
    <t>ORD101420</t>
  </si>
  <si>
    <t>ORD100342</t>
  </si>
  <si>
    <t>CUST0011</t>
  </si>
  <si>
    <t>ORD100630</t>
  </si>
  <si>
    <t>ORD100148</t>
  </si>
  <si>
    <t>ORD101476</t>
  </si>
  <si>
    <t>ORD100361</t>
  </si>
  <si>
    <t>ORD100084</t>
  </si>
  <si>
    <t>ORD100049</t>
  </si>
  <si>
    <t>ORD100469</t>
  </si>
  <si>
    <t>CUST0289</t>
  </si>
  <si>
    <t>ORD100156</t>
  </si>
  <si>
    <t>ORD101911</t>
  </si>
  <si>
    <t>ORD101059</t>
  </si>
  <si>
    <t>CUST0293</t>
  </si>
  <si>
    <t>ORD101231</t>
  </si>
  <si>
    <t>CUST0003</t>
  </si>
  <si>
    <t>ORD101441</t>
  </si>
  <si>
    <t>ORD101233</t>
  </si>
  <si>
    <t>CUST0242</t>
  </si>
  <si>
    <t>ORD100501</t>
  </si>
  <si>
    <t>ORD100180</t>
  </si>
  <si>
    <t>ORD101135</t>
  </si>
  <si>
    <t>ORD101801</t>
  </si>
  <si>
    <t>ORD101695</t>
  </si>
  <si>
    <t>ORD100916</t>
  </si>
  <si>
    <t>ORD101356</t>
  </si>
  <si>
    <t>CUST0094</t>
  </si>
  <si>
    <t>ORD101660</t>
  </si>
  <si>
    <t>ORD100529</t>
  </si>
  <si>
    <t>CUST0114</t>
  </si>
  <si>
    <t>ORD100347</t>
  </si>
  <si>
    <t>ORD101423</t>
  </si>
  <si>
    <t>ORD101034</t>
  </si>
  <si>
    <t>ORD101387</t>
  </si>
  <si>
    <t>ORD100602</t>
  </si>
  <si>
    <t>ORD101798</t>
  </si>
  <si>
    <t>ORD100244</t>
  </si>
  <si>
    <t>ORD101814</t>
  </si>
  <si>
    <t>ORD100803</t>
  </si>
  <si>
    <t>ORD101199</t>
  </si>
  <si>
    <t>ORD101902</t>
  </si>
  <si>
    <t>CUST0104</t>
  </si>
  <si>
    <t>ORD100313</t>
  </si>
  <si>
    <t>ORD100436</t>
  </si>
  <si>
    <t>ORD101949</t>
  </si>
  <si>
    <t>ORD100974</t>
  </si>
  <si>
    <t>ORD100309</t>
  </si>
  <si>
    <t>ORD100431</t>
  </si>
  <si>
    <t>ORD100661</t>
  </si>
  <si>
    <t>ORD100567</t>
  </si>
  <si>
    <t>CUST0030</t>
  </si>
  <si>
    <t>ORD101023</t>
  </si>
  <si>
    <t>ORD100182</t>
  </si>
  <si>
    <t>ORD100622</t>
  </si>
  <si>
    <t>ORD101558</t>
  </si>
  <si>
    <t>ORD101223</t>
  </si>
  <si>
    <t>ORD100995</t>
  </si>
  <si>
    <t>ORD100814</t>
  </si>
  <si>
    <t>CUST0131</t>
  </si>
  <si>
    <t>ORD101458</t>
  </si>
  <si>
    <t>ORD101889</t>
  </si>
  <si>
    <t>ORD101999</t>
  </si>
  <si>
    <t>ORD101226</t>
  </si>
  <si>
    <t>ORD100297</t>
  </si>
  <si>
    <t>ORD100941</t>
  </si>
  <si>
    <t>CUST0060</t>
  </si>
  <si>
    <t>ORD100462</t>
  </si>
  <si>
    <t>ORD101335</t>
  </si>
  <si>
    <t>ORD101207</t>
  </si>
  <si>
    <t>ORD100378</t>
  </si>
  <si>
    <t>ORD100799</t>
  </si>
  <si>
    <t>ORD101133</t>
  </si>
  <si>
    <t>ORD100106</t>
  </si>
  <si>
    <t>ORD100127</t>
  </si>
  <si>
    <t>ORD102000</t>
  </si>
  <si>
    <t>ORD101161</t>
  </si>
  <si>
    <t>ORD101324</t>
  </si>
  <si>
    <t>ORD100356</t>
  </si>
  <si>
    <t>ORD101657</t>
  </si>
  <si>
    <t>ORD100683</t>
  </si>
  <si>
    <t>ORD101974</t>
  </si>
  <si>
    <t>ORD101269</t>
  </si>
  <si>
    <t>CUST0141</t>
  </si>
  <si>
    <t>ORD101188</t>
  </si>
  <si>
    <t>ORD100210</t>
  </si>
  <si>
    <t>ORD100923</t>
  </si>
  <si>
    <t>ORD100141</t>
  </si>
  <si>
    <t>ORD101474</t>
  </si>
  <si>
    <t>ORD101824</t>
  </si>
  <si>
    <t>ORD101088</t>
  </si>
  <si>
    <t>ORD101614</t>
  </si>
  <si>
    <t>ORD101126</t>
  </si>
  <si>
    <t>ORD100887</t>
  </si>
  <si>
    <t>ORD100931</t>
  </si>
  <si>
    <t>ORD101988</t>
  </si>
  <si>
    <t>ORD100904</t>
  </si>
  <si>
    <t>ORD101895</t>
  </si>
  <si>
    <t>ORD101051</t>
  </si>
  <si>
    <t>ORD100011</t>
  </si>
  <si>
    <t>ORD101738</t>
  </si>
  <si>
    <t>ORD101813</t>
  </si>
  <si>
    <t>ORD100283</t>
  </si>
  <si>
    <t>ORD100811</t>
  </si>
  <si>
    <t>ORD101121</t>
  </si>
  <si>
    <t>ORD100292</t>
  </si>
  <si>
    <t>ORD100755</t>
  </si>
  <si>
    <t>ORD100627</t>
  </si>
  <si>
    <t>ORD100985</t>
  </si>
  <si>
    <t>ORD100901</t>
  </si>
  <si>
    <t>ORD100130</t>
  </si>
  <si>
    <t>CUST0160</t>
  </si>
  <si>
    <t>ORD101323</t>
  </si>
  <si>
    <t>ORD100844</t>
  </si>
  <si>
    <t>ORD100324</t>
  </si>
  <si>
    <t>ORD101119</t>
  </si>
  <si>
    <t>ORD101085</t>
  </si>
  <si>
    <t>CUST0136</t>
  </si>
  <si>
    <t>ORD101006</t>
  </si>
  <si>
    <t>ORD101914</t>
  </si>
  <si>
    <t>ORD100905</t>
  </si>
  <si>
    <t>ORD101475</t>
  </si>
  <si>
    <t>ORD100696</t>
  </si>
  <si>
    <t>ORD100216</t>
  </si>
  <si>
    <t>ORD101966</t>
  </si>
  <si>
    <t>ORD101125</t>
  </si>
  <si>
    <t>ORD101293</t>
  </si>
  <si>
    <t>ORD100159</t>
  </si>
  <si>
    <t>ORD101912</t>
  </si>
  <si>
    <t>CUST0178</t>
  </si>
  <si>
    <t>ORD101454</t>
  </si>
  <si>
    <t>ORD100932</t>
  </si>
  <si>
    <t>ORD100842</t>
  </si>
  <si>
    <t>ORD100635</t>
  </si>
  <si>
    <t>ORD100517</t>
  </si>
  <si>
    <t>ORD101465</t>
  </si>
  <si>
    <t>ORD101560</t>
  </si>
  <si>
    <t>ORD100598</t>
  </si>
  <si>
    <t>ORD100196</t>
  </si>
  <si>
    <t>ORD101684</t>
  </si>
  <si>
    <t>ORD101250</t>
  </si>
  <si>
    <t>ORD100411</t>
  </si>
  <si>
    <t>ORD100097</t>
  </si>
  <si>
    <t>CUST0346</t>
  </si>
  <si>
    <t>ORD100441</t>
  </si>
  <si>
    <t>ORD100988</t>
  </si>
  <si>
    <t>ORD100157</t>
  </si>
  <si>
    <t>ORD100420</t>
  </si>
  <si>
    <t>ORD101851</t>
  </si>
  <si>
    <t>ORD100478</t>
  </si>
  <si>
    <t>ORD101905</t>
  </si>
  <si>
    <t>ORD100669</t>
  </si>
  <si>
    <t>ORD101720</t>
  </si>
  <si>
    <t>ORD101922</t>
  </si>
  <si>
    <t>ORD101332</t>
  </si>
  <si>
    <t>ORD100448</t>
  </si>
  <si>
    <t>ORD100554</t>
  </si>
  <si>
    <t>KIRAN MISHRA</t>
  </si>
  <si>
    <t>ORD100179</t>
  </si>
  <si>
    <t>ORD100391</t>
  </si>
  <si>
    <t>ORD100579</t>
  </si>
  <si>
    <t>CUST0347</t>
  </si>
  <si>
    <t>ORD101041</t>
  </si>
  <si>
    <t>ORD101750</t>
  </si>
  <si>
    <t>ORD101319</t>
  </si>
  <si>
    <t>ORD101685</t>
  </si>
  <si>
    <t>ORD100938</t>
  </si>
  <si>
    <t>ORD100821</t>
  </si>
  <si>
    <t>ORD101873</t>
  </si>
  <si>
    <t>ORD101028</t>
  </si>
  <si>
    <t>ORD101076</t>
  </si>
  <si>
    <t>ORD100665</t>
  </si>
  <si>
    <t>ORD100143</t>
  </si>
  <si>
    <t>ORD101556</t>
  </si>
  <si>
    <t>ORD101466</t>
  </si>
  <si>
    <t>CUST0145</t>
  </si>
  <si>
    <t>ORD100865</t>
  </si>
  <si>
    <t>ORD100422</t>
  </si>
  <si>
    <t>ORD100637</t>
  </si>
  <si>
    <t>ORD101443</t>
  </si>
  <si>
    <t>CUST0230</t>
  </si>
  <si>
    <t>ORD100800</t>
  </si>
  <si>
    <t>ORD101095</t>
  </si>
  <si>
    <t>ORD100616</t>
  </si>
  <si>
    <t>ORD100295</t>
  </si>
  <si>
    <t>ORD100963</t>
  </si>
  <si>
    <t>ORD100969</t>
  </si>
  <si>
    <t>ORD101953</t>
  </si>
  <si>
    <t>ORD100089</t>
  </si>
  <si>
    <t>ORD100042</t>
  </si>
  <si>
    <t>ORD101850</t>
  </si>
  <si>
    <t>ORD101986</t>
  </si>
  <si>
    <t>ORD100132</t>
  </si>
  <si>
    <t>ORD101468</t>
  </si>
  <si>
    <t>ORD100410</t>
  </si>
  <si>
    <t>ORD101348</t>
  </si>
  <si>
    <t>ORD101904</t>
  </si>
  <si>
    <t>ORD101377</t>
  </si>
  <si>
    <t>ORD101538</t>
  </si>
  <si>
    <t>ORD100165</t>
  </si>
  <si>
    <t>ORD100725</t>
  </si>
  <si>
    <t>ORD100291</t>
  </si>
  <si>
    <t>ORD101442</t>
  </si>
  <si>
    <t>ORD101575</t>
  </si>
  <si>
    <t>ORD101947</t>
  </si>
  <si>
    <t>ORD101048</t>
  </si>
  <si>
    <t>ORD101395</t>
  </si>
  <si>
    <t>ORD100779</t>
  </si>
  <si>
    <t>ORD100840</t>
  </si>
  <si>
    <t>ORD100349</t>
  </si>
  <si>
    <t>ORD101997</t>
  </si>
  <si>
    <t>ORD100572</t>
  </si>
  <si>
    <t>ORD100918</t>
  </si>
  <si>
    <t>ORD101166</t>
  </si>
  <si>
    <t>ORD101937</t>
  </si>
  <si>
    <t>ORD101507</t>
  </si>
  <si>
    <t>ORD101631</t>
  </si>
  <si>
    <t>ORD101741</t>
  </si>
  <si>
    <t>CUST0286</t>
  </si>
  <si>
    <t>ORD101893</t>
  </si>
  <si>
    <t>ORD100137</t>
  </si>
  <si>
    <t>ORD100459</t>
  </si>
  <si>
    <t>ORD100376</t>
  </si>
  <si>
    <t>ORD101375</t>
  </si>
  <si>
    <t>ORD100334</t>
  </si>
  <si>
    <t>CUST0012</t>
  </si>
  <si>
    <t>ORD101339</t>
  </si>
  <si>
    <t>ORD101190</t>
  </si>
  <si>
    <t>ORD101975</t>
  </si>
  <si>
    <t>ORD101806</t>
  </si>
  <si>
    <t>ORD101495</t>
  </si>
  <si>
    <t>ORD100817</t>
  </si>
  <si>
    <t>ORD101145</t>
  </si>
  <si>
    <t>ORD100606</t>
  </si>
  <si>
    <t>ORD101906</t>
  </si>
  <si>
    <t>ORD101019</t>
  </si>
  <si>
    <t>ORD101653</t>
  </si>
  <si>
    <t>CUST0111</t>
  </si>
  <si>
    <t>ORD100911</t>
  </si>
  <si>
    <t>ORD101279</t>
  </si>
  <si>
    <t>ORD101982</t>
  </si>
  <si>
    <t>ORD101767</t>
  </si>
  <si>
    <t>CUST0315</t>
  </si>
  <si>
    <t>ORD100329</t>
  </si>
  <si>
    <t>ORD101081</t>
  </si>
  <si>
    <t>ORD100319</t>
  </si>
  <si>
    <t>ORD101569</t>
  </si>
  <si>
    <t>ORD101392</t>
  </si>
  <si>
    <t>ORD101778</t>
  </si>
  <si>
    <t>ORD100168</t>
  </si>
  <si>
    <t>ORD100013</t>
  </si>
  <si>
    <t>ORD101979</t>
  </si>
  <si>
    <t>ORD100172</t>
  </si>
  <si>
    <t>ORD100650</t>
  </si>
  <si>
    <t>PRIYA AGARWAL</t>
  </si>
  <si>
    <t>ORD101090</t>
  </si>
  <si>
    <t>ORD100261</t>
  </si>
  <si>
    <t>ORD101314</t>
  </si>
  <si>
    <t>ORD100475</t>
  </si>
  <si>
    <t>ORD100902</t>
  </si>
  <si>
    <t>ORD100673</t>
  </si>
  <si>
    <t>ORD100259</t>
  </si>
  <si>
    <t>ORD101545</t>
  </si>
  <si>
    <t>ORD100845</t>
  </si>
  <si>
    <t>ORD100868</t>
  </si>
  <si>
    <t>ORD101256</t>
  </si>
  <si>
    <t>ORD100139</t>
  </si>
  <si>
    <t>ORD100894</t>
  </si>
  <si>
    <t>ORD101886</t>
  </si>
  <si>
    <t>ORD100550</t>
  </si>
  <si>
    <t>ORD100320</t>
  </si>
  <si>
    <t>ORD101566</t>
  </si>
  <si>
    <t>ORD101842</t>
  </si>
  <si>
    <t>ORD101854</t>
  </si>
  <si>
    <t>ORD100559</t>
  </si>
  <si>
    <t>ORD100140</t>
  </si>
  <si>
    <t>ORD101780</t>
  </si>
  <si>
    <t>ORD100532</t>
  </si>
  <si>
    <t>ORD100225</t>
  </si>
  <si>
    <t>ORD100724</t>
  </si>
  <si>
    <t>CUST0308</t>
  </si>
  <si>
    <t>ORD101761</t>
  </si>
  <si>
    <t>ORD100326</t>
  </si>
  <si>
    <t>ORD101294</t>
  </si>
  <si>
    <t>ORD100715</t>
  </si>
  <si>
    <t>ORD100847</t>
  </si>
  <si>
    <t>ORD100194</t>
  </si>
  <si>
    <t>ORD100574</t>
  </si>
  <si>
    <t>ORD100947</t>
  </si>
  <si>
    <t>ORD100504</t>
  </si>
  <si>
    <t>ORD101203</t>
  </si>
  <si>
    <t>ORD101194</t>
  </si>
  <si>
    <t>ORD101834</t>
  </si>
  <si>
    <t>ORD100004</t>
  </si>
  <si>
    <t>ORD101180</t>
  </si>
  <si>
    <t>ORD100468</t>
  </si>
  <si>
    <t>ORD100006</t>
  </si>
  <si>
    <t>ORD101819</t>
  </si>
  <si>
    <t>ORD100548</t>
  </si>
  <si>
    <t>ORD100229</t>
  </si>
  <si>
    <t>ORD100543</t>
  </si>
  <si>
    <t>ORD100243</t>
  </si>
  <si>
    <t>ORD100899</t>
  </si>
  <si>
    <t>ORD101164</t>
  </si>
  <si>
    <t>ORD101222</t>
  </si>
  <si>
    <t>ORD101115</t>
  </si>
  <si>
    <t>CUST0216</t>
  </si>
  <si>
    <t>ORD100843</t>
  </si>
  <si>
    <t>ORD101455</t>
  </si>
  <si>
    <t>ORD101603</t>
  </si>
  <si>
    <t>ORD101639</t>
  </si>
  <si>
    <t>ORD100662</t>
  </si>
  <si>
    <t>ORD101241</t>
  </si>
  <si>
    <t>ORD100692</t>
  </si>
  <si>
    <t>ORD101543</t>
  </si>
  <si>
    <t>ORD100425</t>
  </si>
  <si>
    <t>ORD100595</t>
  </si>
  <si>
    <t>ORD101588</t>
  </si>
  <si>
    <t>ORD100623</t>
  </si>
  <si>
    <t>ORD101201</t>
  </si>
  <si>
    <t>ORD101482</t>
  </si>
  <si>
    <t>ORD100228</t>
  </si>
  <si>
    <t>ORD101743</t>
  </si>
  <si>
    <t>ORD101829</t>
  </si>
  <si>
    <t>CUST0313</t>
  </si>
  <si>
    <t>ORD101965</t>
  </si>
  <si>
    <t>ORD100067</t>
  </si>
  <si>
    <t>ORD100025</t>
  </si>
  <si>
    <t>ORD100145</t>
  </si>
  <si>
    <t>ORD100537</t>
  </si>
  <si>
    <t>ORD100812</t>
  </si>
  <si>
    <t>ORD101318</t>
  </si>
  <si>
    <t>ORD100086</t>
  </si>
  <si>
    <t>ORD101365</t>
  </si>
  <si>
    <t>ORD101818</t>
  </si>
  <si>
    <t>CUST0220</t>
  </si>
  <si>
    <t>ORD101418</t>
  </si>
  <si>
    <t>ORD101853</t>
  </si>
  <si>
    <t>ORD101866</t>
  </si>
  <si>
    <t>ORD101407</t>
  </si>
  <si>
    <t>ORD101916</t>
  </si>
  <si>
    <t>ORD100363</t>
  </si>
  <si>
    <t>ORD101652</t>
  </si>
  <si>
    <t>ORD101183</t>
  </si>
  <si>
    <t>ORD101027</t>
  </si>
  <si>
    <t>ORD101031</t>
  </si>
  <si>
    <t>ORD101248</t>
  </si>
  <si>
    <t>ORD101388</t>
  </si>
  <si>
    <t>ORD101101</t>
  </si>
  <si>
    <t>ORD100666</t>
  </si>
  <si>
    <t>ORD100365</t>
  </si>
  <si>
    <t>ORD100078</t>
  </si>
  <si>
    <t>ORD100028</t>
  </si>
  <si>
    <t>ORD101473</t>
  </si>
  <si>
    <t>ORD100526</t>
  </si>
  <si>
    <t>ORD101883</t>
  </si>
  <si>
    <t>ORD100056</t>
  </si>
  <si>
    <t>ORD100639</t>
  </si>
  <si>
    <t>ORD100303</t>
  </si>
  <si>
    <t>ORD100719</t>
  </si>
  <si>
    <t>ORD100625</t>
  </si>
  <si>
    <t>ORD100008</t>
  </si>
  <si>
    <t>ORD100804</t>
  </si>
  <si>
    <t>ORD101050</t>
  </si>
  <si>
    <t>ORD100337</t>
  </si>
  <si>
    <t>ORD100048</t>
  </si>
  <si>
    <t>CUST0213</t>
  </si>
  <si>
    <t>ORD101519</t>
  </si>
  <si>
    <t>ORD100107</t>
  </si>
  <si>
    <t>CUST0188</t>
  </si>
  <si>
    <t>ORD100350</t>
  </si>
  <si>
    <t>ORD101080</t>
  </si>
  <si>
    <t>ORD100239</t>
  </si>
  <si>
    <t>ORD100214</t>
  </si>
  <si>
    <t>ORD101284</t>
  </si>
  <si>
    <t>ORD101212</t>
  </si>
  <si>
    <t>ORD100794</t>
  </si>
  <si>
    <t>ORD101097</t>
  </si>
  <si>
    <t>ORD101362</t>
  </si>
  <si>
    <t>ORD101915</t>
  </si>
  <si>
    <t>ORD101622</t>
  </si>
  <si>
    <t>ORD101862</t>
  </si>
  <si>
    <t>ORD100524</t>
  </si>
  <si>
    <t>ORD100233</t>
  </si>
  <si>
    <t>ORD100645</t>
  </si>
  <si>
    <t>ORD101547</t>
  </si>
  <si>
    <t>ORD100534</t>
  </si>
  <si>
    <t>ORD101548</t>
  </si>
  <si>
    <t>ORD100604</t>
  </si>
  <si>
    <t>ORD101240</t>
  </si>
  <si>
    <t>ORD101075</t>
  </si>
  <si>
    <t>ORD101337</t>
  </si>
  <si>
    <t>ORD100061</t>
  </si>
  <si>
    <t>ORD101944</t>
  </si>
  <si>
    <t>ORD100093</t>
  </si>
  <si>
    <t>ORD100667</t>
  </si>
  <si>
    <t>ORD100281</t>
  </si>
  <si>
    <t>ORD101691</t>
  </si>
  <si>
    <t>ORD100360</t>
  </si>
  <si>
    <t>ORD101663</t>
  </si>
  <si>
    <t>ORD101583</t>
  </si>
  <si>
    <t>ORD100848</t>
  </si>
  <si>
    <t>ORD101963</t>
  </si>
  <si>
    <t>ORD100111</t>
  </si>
  <si>
    <t>ORD100043</t>
  </si>
  <si>
    <t>ORD100126</t>
  </si>
  <si>
    <t>ORD100205</t>
  </si>
  <si>
    <t>ORD100053</t>
  </si>
  <si>
    <t>ORD100546</t>
  </si>
  <si>
    <t>ORD100069</t>
  </si>
  <si>
    <t>ORD101282</t>
  </si>
  <si>
    <t>ORD101587</t>
  </si>
  <si>
    <t>ORD100184</t>
  </si>
  <si>
    <t>ORD100138</t>
  </si>
  <si>
    <t>ORD100900</t>
  </si>
  <si>
    <t>ORD100797</t>
  </si>
  <si>
    <t>ORD100081</t>
  </si>
  <si>
    <t>ORD101522</t>
  </si>
  <si>
    <t>ORD101830</t>
  </si>
  <si>
    <t>ORD100542</t>
  </si>
  <si>
    <t>ORD101718</t>
  </si>
  <si>
    <t>ORD100984</t>
  </si>
  <si>
    <t>ORD100166</t>
  </si>
  <si>
    <t>ORD100249</t>
  </si>
  <si>
    <t>ORD100447</t>
  </si>
  <si>
    <t>ORD101179</t>
  </si>
  <si>
    <t>ORD100859</t>
  </si>
  <si>
    <t>ORD101874</t>
  </si>
  <si>
    <t>ORD100098</t>
  </si>
  <si>
    <t>ORD100935</t>
  </si>
  <si>
    <t>ORD100738</t>
  </si>
  <si>
    <t>ORD101287</t>
  </si>
  <si>
    <t>ORD100103</t>
  </si>
  <si>
    <t>ORD100435</t>
  </si>
  <si>
    <t>ORD100075</t>
  </si>
  <si>
    <t>ORD101839</t>
  </si>
  <si>
    <t>ORD101232</t>
  </si>
  <si>
    <t>ORD100919</t>
  </si>
  <si>
    <t>ORD101755</t>
  </si>
  <si>
    <t>ORD101714</t>
  </si>
  <si>
    <t>ORD101661</t>
  </si>
  <si>
    <t>ORD100763</t>
  </si>
  <si>
    <t>ORD100990</t>
  </si>
  <si>
    <t>ORD100389</t>
  </si>
  <si>
    <t>ORD100236</t>
  </si>
  <si>
    <t>ORD101546</t>
  </si>
  <si>
    <t>ORD100268</t>
  </si>
  <si>
    <t>ORD101336</t>
  </si>
  <si>
    <t>ORD100118</t>
  </si>
  <si>
    <t>ORD101647</t>
  </si>
  <si>
    <t>ORD100674</t>
  </si>
  <si>
    <t>ORD100250</t>
  </si>
  <si>
    <t>ORD101490</t>
  </si>
  <si>
    <t>ORD100095</t>
  </si>
  <si>
    <t>ORD100034</t>
  </si>
  <si>
    <t>CUST0327</t>
  </si>
  <si>
    <t>ORD101502</t>
  </si>
  <si>
    <t>ORD101711</t>
  </si>
  <si>
    <t>CUST0243</t>
  </si>
  <si>
    <t>ORD100449</t>
  </si>
  <si>
    <t>ORD100717</t>
  </si>
  <si>
    <t>ORD101499</t>
  </si>
  <si>
    <t>ORD101557</t>
  </si>
  <si>
    <t>ORD100001</t>
  </si>
  <si>
    <t>ORD101102</t>
  </si>
  <si>
    <t>ORD101109</t>
  </si>
  <si>
    <t>ORD101812</t>
  </si>
  <si>
    <t>ORD100083</t>
  </si>
  <si>
    <t>ORD101320</t>
  </si>
  <si>
    <t>ORD100677</t>
  </si>
  <si>
    <t>ORD101488</t>
  </si>
  <si>
    <t>ORD101047</t>
  </si>
  <si>
    <t>ORD100771</t>
  </si>
  <si>
    <t>CUST0097</t>
  </si>
  <si>
    <t>ORD101246</t>
  </si>
  <si>
    <t>ORD101593</t>
  </si>
  <si>
    <t>ORD101620</t>
  </si>
  <si>
    <t>ORD101665</t>
  </si>
  <si>
    <t>ORD100405</t>
  </si>
  <si>
    <t>ORD101772</t>
  </si>
  <si>
    <t>ORD101331</t>
  </si>
  <si>
    <t>ORD101616</t>
  </si>
  <si>
    <t>ORD100105</t>
  </si>
  <si>
    <t>ORD100689</t>
  </si>
  <si>
    <t>ORD100827</t>
  </si>
  <si>
    <t>ORD100063</t>
  </si>
  <si>
    <t>ORD100853</t>
  </si>
  <si>
    <t>ORD101386</t>
  </si>
  <si>
    <t>ORD100224</t>
  </si>
  <si>
    <t>ORD100146</t>
  </si>
  <si>
    <t>ORD101089</t>
  </si>
  <si>
    <t>ORD100374</t>
  </si>
  <si>
    <t>ORD101457</t>
  </si>
  <si>
    <t>CUST0349</t>
  </si>
  <si>
    <t>ORD101143</t>
  </si>
  <si>
    <t>ORD101875</t>
  </si>
  <si>
    <t>ORD101789</t>
  </si>
  <si>
    <t>ORD101642</t>
  </si>
  <si>
    <t>ORD101302</t>
  </si>
  <si>
    <t>ORD100010</t>
  </si>
  <si>
    <t>ORD100450</t>
  </si>
  <si>
    <t>ORD100709</t>
  </si>
  <si>
    <t>ORD100256</t>
  </si>
  <si>
    <t>ORD100883</t>
  </si>
  <si>
    <t>ORD100390</t>
  </si>
  <si>
    <t>ORD100909</t>
  </si>
  <si>
    <t>ORD100925</t>
  </si>
  <si>
    <t>ORD101747</t>
  </si>
  <si>
    <t>ORD101263</t>
  </si>
  <si>
    <t>ORD100461</t>
  </si>
  <si>
    <t>ORD101960</t>
  </si>
  <si>
    <t>ORD101744</t>
  </si>
  <si>
    <t>ORD100959</t>
  </si>
  <si>
    <t>ORD100502</t>
  </si>
  <si>
    <t>ORD100740</t>
  </si>
  <si>
    <t>ORD101899</t>
  </si>
  <si>
    <t>ORD100869</t>
  </si>
  <si>
    <t>ORD100732</t>
  </si>
  <si>
    <t>ORD100540</t>
  </si>
  <si>
    <t>ORD101202</t>
  </si>
  <si>
    <t>ORD100698</t>
  </si>
  <si>
    <t>ORD101428</t>
  </si>
  <si>
    <t>ORD101787</t>
  </si>
  <si>
    <t>ORD101146</t>
  </si>
  <si>
    <t>ORD101032</t>
  </si>
  <si>
    <t>ORD100373</t>
  </si>
  <si>
    <t>ORD100668</t>
  </si>
  <si>
    <t>ORD101565</t>
  </si>
  <si>
    <t>ORD100358</t>
  </si>
  <si>
    <t>ORD100968</t>
  </si>
  <si>
    <t>ORD100784</t>
  </si>
  <si>
    <t>ORD100736</t>
  </si>
  <si>
    <t>CUST0168</t>
  </si>
  <si>
    <t>ORD101036</t>
  </si>
  <si>
    <t>ORD100971</t>
  </si>
  <si>
    <t>ORD101564</t>
  </si>
  <si>
    <t>ORD101526</t>
  </si>
  <si>
    <t>ORD101563</t>
  </si>
  <si>
    <t>ORD101811</t>
  </si>
  <si>
    <t>ORD101574</t>
  </si>
  <si>
    <t>ORD101698</t>
  </si>
  <si>
    <t>ORD101253</t>
  </si>
  <si>
    <t>ORD101737</t>
  </si>
  <si>
    <t>ORD101759</t>
  </si>
  <si>
    <t>ORD101237</t>
  </si>
  <si>
    <t>ORD100886</t>
  </si>
  <si>
    <t>ORD100080</t>
  </si>
  <si>
    <t>ORD101173</t>
  </si>
  <si>
    <t>ORD100815</t>
  </si>
  <si>
    <t>ORD101317</t>
  </si>
  <si>
    <t>ORD100672</t>
  </si>
  <si>
    <t>ORD101882</t>
  </si>
  <si>
    <t>ORD100058</t>
  </si>
  <si>
    <t>ORD100134</t>
  </si>
  <si>
    <t>CUST0255</t>
  </si>
  <si>
    <t>ORD101141</t>
  </si>
  <si>
    <t>ORD100934</t>
  </si>
  <si>
    <t>ORD101728</t>
  </si>
  <si>
    <t>ORD100824</t>
  </si>
  <si>
    <t>ORD101215</t>
  </si>
  <si>
    <t>ORD100505</t>
  </si>
  <si>
    <t>ORD101821</t>
  </si>
  <si>
    <t>ORD100348</t>
  </si>
  <si>
    <t>ORD100387</t>
  </si>
  <si>
    <t>ORD101025</t>
  </si>
  <si>
    <t>ORD100895</t>
  </si>
  <si>
    <t>ORD100829</t>
  </si>
  <si>
    <t>ORD101943</t>
  </si>
  <si>
    <t>ORD100476</t>
  </si>
  <si>
    <t>ORD101994</t>
  </si>
  <si>
    <t>ORD101484</t>
  </si>
  <si>
    <t>ORD101432</t>
  </si>
  <si>
    <t>ORD100653</t>
  </si>
  <si>
    <t>ORD100173</t>
  </si>
  <si>
    <t>ORD101150</t>
  </si>
  <si>
    <t>ORD100039</t>
  </si>
  <si>
    <t>ORD100714</t>
  </si>
  <si>
    <t>ORD100091</t>
  </si>
  <si>
    <t>ORD101989</t>
  </si>
  <si>
    <t>ORD101206</t>
  </si>
  <si>
    <t>CUST0100</t>
  </si>
  <si>
    <t>ORD100876</t>
  </si>
  <si>
    <t>ORD101384</t>
  </si>
  <si>
    <t>ORD101940</t>
  </si>
  <si>
    <t>ORD101094</t>
  </si>
  <si>
    <t>ORD101156</t>
  </si>
  <si>
    <t>ORD101325</t>
  </si>
  <si>
    <t>ORD101621</t>
  </si>
  <si>
    <t>ORD100500</t>
  </si>
  <si>
    <t>ORD100339</t>
  </si>
  <si>
    <t>ORD101189</t>
  </si>
  <si>
    <t>ORD100029</t>
  </si>
  <si>
    <t>ORD101218</t>
  </si>
  <si>
    <t>ORD101358</t>
  </si>
  <si>
    <t>ORD101869</t>
  </si>
  <si>
    <t>ORD100946</t>
  </si>
  <si>
    <t>ORD100170</t>
  </si>
  <si>
    <t>ORD101880</t>
  </si>
  <si>
    <t>ORD101198</t>
  </si>
  <si>
    <t>ORD101254</t>
  </si>
  <si>
    <t>ORD101434</t>
  </si>
  <si>
    <t>ORD100913</t>
  </si>
  <si>
    <t>ORD100492</t>
  </si>
  <si>
    <t>ORD100954</t>
  </si>
  <si>
    <t>ORD101098</t>
  </si>
  <si>
    <t>ORD101033</t>
  </si>
  <si>
    <t>ORD100588</t>
  </si>
  <si>
    <t>CUST0341</t>
  </si>
  <si>
    <t>ORD100751</t>
  </si>
  <si>
    <t>ORD100658</t>
  </si>
  <si>
    <t>ORD100733</t>
  </si>
  <si>
    <t>ORD101673</t>
  </si>
  <si>
    <t>ORD101157</t>
  </si>
  <si>
    <t>ORD101508</t>
  </si>
  <si>
    <t>ORD101461</t>
  </si>
  <si>
    <t>ORD101668</t>
  </si>
  <si>
    <t>ORD101210</t>
  </si>
  <si>
    <t>ORD101066</t>
  </si>
  <si>
    <t>ORD100109</t>
  </si>
  <si>
    <t>ORD101582</t>
  </si>
  <si>
    <t>ORD100569</t>
  </si>
  <si>
    <t>ORD101168</t>
  </si>
  <si>
    <t>ORD101175</t>
  </si>
  <si>
    <t>ORD100891</t>
  </si>
  <si>
    <t>ORD100948</t>
  </si>
  <si>
    <t>ORD101049</t>
  </si>
  <si>
    <t>ORD101385</t>
  </si>
  <si>
    <t>ORD101406</t>
  </si>
  <si>
    <t>CUST0025</t>
  </si>
  <si>
    <t>ORD100023</t>
  </si>
  <si>
    <t>CUST0026</t>
  </si>
  <si>
    <t>ORD100885</t>
  </si>
  <si>
    <t>ORD101795</t>
  </si>
  <si>
    <t>ORD100851</t>
  </si>
  <si>
    <t>ORD100735</t>
  </si>
  <si>
    <t>ORD100718</t>
  </si>
  <si>
    <t>CUST0153</t>
  </si>
  <si>
    <t>ORD100455</t>
  </si>
  <si>
    <t>ORD100265</t>
  </si>
  <si>
    <t>ORD100076</t>
  </si>
  <si>
    <t>ORD101700</t>
  </si>
  <si>
    <t>ORD100445</t>
  </si>
  <si>
    <t>ORD100396</t>
  </si>
  <si>
    <t>ORD100177</t>
  </si>
  <si>
    <t>ORD101043</t>
  </si>
  <si>
    <t>ORD101781</t>
  </si>
  <si>
    <t>ORD101437</t>
  </si>
  <si>
    <t>ORD101550</t>
  </si>
  <si>
    <t>ORD101415</t>
  </si>
  <si>
    <t>ORD100596</t>
  </si>
  <si>
    <t>ORD100062</t>
  </si>
  <si>
    <t>ORD101297</t>
  </si>
  <si>
    <t>ORD100873</t>
  </si>
  <si>
    <t>ORD101996</t>
  </si>
  <si>
    <t>ORD101929</t>
  </si>
  <si>
    <t>ORD100279</t>
  </si>
  <si>
    <t>ORD101393</t>
  </si>
  <si>
    <t>ORD100037</t>
  </si>
  <si>
    <t>ORD101555</t>
  </si>
  <si>
    <t>ORD100663</t>
  </si>
  <si>
    <t>ORD101855</t>
  </si>
  <si>
    <t>ORD101481</t>
  </si>
  <si>
    <t>ORD100978</t>
  </si>
  <si>
    <t>ORD101611</t>
  </si>
  <si>
    <t>ORD100739</t>
  </si>
  <si>
    <t>ORD100192</t>
  </si>
  <si>
    <t>ORD100920</t>
  </si>
  <si>
    <t>ORD100457</t>
  </si>
  <si>
    <t>ORD100676</t>
  </si>
  <si>
    <t>ORD100761</t>
  </si>
  <si>
    <t>ORD101856</t>
  </si>
  <si>
    <t>ORD101643</t>
  </si>
  <si>
    <t>ORD100729</t>
  </si>
  <si>
    <t>ORD101400</t>
  </si>
  <si>
    <t>ORD100413</t>
  </si>
  <si>
    <t>ORD101099</t>
  </si>
  <si>
    <t>ORD100826</t>
  </si>
  <si>
    <t>ORD101628</t>
  </si>
  <si>
    <t>ORD100617</t>
  </si>
  <si>
    <t>ORD100115</t>
  </si>
  <si>
    <t>ORD100418</t>
  </si>
  <si>
    <t>ORD101961</t>
  </si>
  <si>
    <t>ORD100970</t>
  </si>
  <si>
    <t>ORD100605</t>
  </si>
  <si>
    <t>ORD101971</t>
  </si>
  <si>
    <t>ORD100090</t>
  </si>
  <si>
    <t>ORD100849</t>
  </si>
  <si>
    <t>ORD101559</t>
  </si>
  <si>
    <t>ORD101969</t>
  </si>
  <si>
    <t>ORD100754</t>
  </si>
  <si>
    <t>ORD100499</t>
  </si>
  <si>
    <t>ORD101277</t>
  </si>
  <si>
    <t>ORD101326</t>
  </si>
  <si>
    <t>ORD100012</t>
  </si>
  <si>
    <t>ORD100397</t>
  </si>
  <si>
    <t>ORD100285</t>
  </si>
  <si>
    <t>ORD101067</t>
  </si>
  <si>
    <t>ORD101192</t>
  </si>
  <si>
    <t>ORD101790</t>
  </si>
  <si>
    <t>ORD100691</t>
  </si>
  <si>
    <t>ORD101672</t>
  </si>
  <si>
    <t>ORD101926</t>
  </si>
  <si>
    <t>ORD100690</t>
  </si>
  <si>
    <t>ORD100852</t>
  </si>
  <si>
    <t>ORD100160</t>
  </si>
  <si>
    <t>ORD100896</t>
  </si>
  <si>
    <t>ORD101615</t>
  </si>
  <si>
    <t>ORD100258</t>
  </si>
  <si>
    <t>ORD100336</t>
  </si>
  <si>
    <t>ORD101930</t>
  </si>
  <si>
    <t>ORD101040</t>
  </si>
  <si>
    <t>ORD100516</t>
  </si>
  <si>
    <t>ORD101349</t>
  </si>
  <si>
    <t>ORD101016</t>
  </si>
  <si>
    <t>ORD100769</t>
  </si>
  <si>
    <t>ORD101792</t>
  </si>
  <si>
    <t>ORD100762</t>
  </si>
  <si>
    <t>ORD101247</t>
  </si>
  <si>
    <t>ORD101204</t>
  </si>
  <si>
    <t>ORD101506</t>
  </si>
  <si>
    <t>ORD100522</t>
  </si>
  <si>
    <t>ORD100357</t>
  </si>
  <si>
    <t>ORD101278</t>
  </si>
  <si>
    <t>ORD101313</t>
  </si>
  <si>
    <t>ORD101938</t>
  </si>
  <si>
    <t>ORD100341</t>
  </si>
  <si>
    <t>ORD100474</t>
  </si>
  <si>
    <t>ORD100218</t>
  </si>
  <si>
    <t>ORD100912</t>
  </si>
  <si>
    <t>ORD101228</t>
  </si>
  <si>
    <t>ORD101636</t>
  </si>
  <si>
    <t>ORD101012</t>
  </si>
  <si>
    <t>ORD100094</t>
  </si>
  <si>
    <t>ORD101009</t>
  </si>
  <si>
    <t>ORD101071</t>
  </si>
  <si>
    <t>ORD101093</t>
  </si>
  <si>
    <t>ORD101625</t>
  </si>
  <si>
    <t>ORD101309</t>
  </si>
  <si>
    <t>ORD100697</t>
  </si>
  <si>
    <t>ORD101841</t>
  </si>
  <si>
    <t>ORD100997</t>
  </si>
  <si>
    <t>ORD101459</t>
  </si>
  <si>
    <t>ORD100154</t>
  </si>
  <si>
    <t>ORD101100</t>
  </si>
  <si>
    <t>ORD101762</t>
  </si>
  <si>
    <t>ORD100790</t>
  </si>
  <si>
    <t>ORD100581</t>
  </si>
  <si>
    <t>ORD101471</t>
  </si>
  <si>
    <t>ORD100704</t>
  </si>
  <si>
    <t>ORD101213</t>
  </si>
  <si>
    <t>ORD101296</t>
  </si>
  <si>
    <t>ORD101709</t>
  </si>
  <si>
    <t>ORD101261</t>
  </si>
  <si>
    <t>ORD100488</t>
  </si>
  <si>
    <t>ORD100560</t>
  </si>
  <si>
    <t>ORD101142</t>
  </si>
  <si>
    <t>ORD101120</t>
  </si>
  <si>
    <t>ORD100802</t>
  </si>
  <si>
    <t>ORD100513</t>
  </si>
  <si>
    <t>ORD100634</t>
  </si>
  <si>
    <t>ORD101518</t>
  </si>
  <si>
    <t>ORD101835</t>
  </si>
  <si>
    <t>ORD101151</t>
  </si>
  <si>
    <t>ORD100791</t>
  </si>
  <si>
    <t>ORD100117</t>
  </si>
  <si>
    <t>ORD101498</t>
  </si>
  <si>
    <t>ORD100741</t>
  </si>
  <si>
    <t>ORD101764</t>
  </si>
  <si>
    <t>ORD101082</t>
  </si>
  <si>
    <t>ORD100831</t>
  </si>
  <si>
    <t>ORD100120</t>
  </si>
  <si>
    <t>ORD100657</t>
  </si>
  <si>
    <t>ORD101958</t>
  </si>
  <si>
    <t>ORD100636</t>
  </si>
  <si>
    <t>ORD100370</t>
  </si>
  <si>
    <t>ORD100269</t>
  </si>
  <si>
    <t>ORD100656</t>
  </si>
  <si>
    <t>ORD100936</t>
  </si>
  <si>
    <t>ORD100823</t>
  </si>
  <si>
    <t>ORD100867</t>
  </si>
  <si>
    <t>ORD100047</t>
  </si>
  <si>
    <t>ORD101374</t>
  </si>
  <si>
    <t>ORD101946</t>
  </si>
  <si>
    <t>ORD100992</t>
  </si>
  <si>
    <t>ORD100877</t>
  </si>
  <si>
    <t>ORD100774</t>
  </si>
  <si>
    <t>ORD101220</t>
  </si>
  <si>
    <t>ORD101127</t>
  </si>
  <si>
    <t>ORD100005</t>
  </si>
  <si>
    <t>ORD101004</t>
  </si>
  <si>
    <t>ORD101768</t>
  </si>
  <si>
    <t>ORD100264</t>
  </si>
  <si>
    <t>ORD101609</t>
  </si>
  <si>
    <t>ORD101879</t>
  </si>
  <si>
    <t>ORD100444</t>
  </si>
  <si>
    <t>ORD101003</t>
  </si>
  <si>
    <t>ORD101078</t>
  </si>
  <si>
    <t>ORD100838</t>
  </si>
  <si>
    <t>ORD101838</t>
  </si>
  <si>
    <t>ORD100305</t>
  </si>
  <si>
    <t>ORD101366</t>
  </si>
  <si>
    <t>ORD101597</t>
  </si>
  <si>
    <t>ORD100314</t>
  </si>
  <si>
    <t>ORD100150</t>
  </si>
  <si>
    <t>ORD101149</t>
  </si>
  <si>
    <t>ORD101214</t>
  </si>
  <si>
    <t>ORD100575</t>
  </si>
  <si>
    <t>ORD100051</t>
  </si>
  <si>
    <t>ORD101592</t>
  </si>
  <si>
    <t>ORD100727</t>
  </si>
  <si>
    <t>ORD100834</t>
  </si>
  <si>
    <t>ORD101378</t>
  </si>
  <si>
    <t>ORD101116</t>
  </si>
  <si>
    <t>ORD101167</t>
  </si>
  <si>
    <t>ORD100471</t>
  </si>
  <si>
    <t>ORD100972</t>
  </si>
  <si>
    <t>ORD100654</t>
  </si>
  <si>
    <t>ORD100400</t>
  </si>
  <si>
    <t>ORD100512</t>
  </si>
  <si>
    <t>ORD100321</t>
  </si>
  <si>
    <t>ORD100020</t>
  </si>
  <si>
    <t>ORD100685</t>
  </si>
  <si>
    <t>ORD100036</t>
  </si>
  <si>
    <t>ORD100903</t>
  </si>
  <si>
    <t>ORD101825</t>
  </si>
  <si>
    <t>ORD100828</t>
  </si>
  <si>
    <t>ORD101845</t>
  </si>
  <si>
    <t>ORD100408</t>
  </si>
  <si>
    <t>ORD100921</t>
  </si>
  <si>
    <t>ORD100538</t>
  </si>
  <si>
    <t>ORD100759</t>
  </si>
  <si>
    <t>ORD101955</t>
  </si>
  <si>
    <t>ORD101063</t>
  </si>
  <si>
    <t>ORD101200</t>
  </si>
  <si>
    <t>ORD100246</t>
  </si>
  <si>
    <t>ORD101417</t>
  </si>
  <si>
    <t>ORD101128</t>
  </si>
  <si>
    <t>ORD100785</t>
  </si>
  <si>
    <t>ORD101788</t>
  </si>
  <si>
    <t>ORD100490</t>
  </si>
  <si>
    <t>ORD100155</t>
  </si>
  <si>
    <t>ORD100962</t>
  </si>
  <si>
    <t>ORD100854</t>
  </si>
  <si>
    <t>ORD101312</t>
  </si>
  <si>
    <t>ORD100626</t>
  </si>
  <si>
    <t>ORD100686</t>
  </si>
  <si>
    <t>ORD101601</t>
  </si>
  <si>
    <t>ORD100570</t>
  </si>
  <si>
    <t>ORD101959</t>
  </si>
  <si>
    <t>ORD100018</t>
  </si>
  <si>
    <t>ORD100128</t>
  </si>
  <si>
    <t>ORD101347</t>
  </si>
  <si>
    <t>ORD101280</t>
  </si>
  <si>
    <t>ORD100928</t>
  </si>
  <si>
    <t>ORD100981</t>
  </si>
  <si>
    <t>ORD100191</t>
  </si>
  <si>
    <t>ORD101140</t>
  </si>
  <si>
    <t>ORD100993</t>
  </si>
  <si>
    <t>ORD101907</t>
  </si>
  <si>
    <t>ORD100607</t>
  </si>
  <si>
    <t>ORD100181</t>
  </si>
  <si>
    <t>Bangalore</t>
  </si>
  <si>
    <t>ORD100302</t>
  </si>
  <si>
    <t>ORD100497</t>
  </si>
  <si>
    <t>ORD101739</t>
  </si>
  <si>
    <t>ORD101753</t>
  </si>
  <si>
    <t>ORD101704</t>
  </si>
  <si>
    <t>ORD101849</t>
  </si>
  <si>
    <t>ORD100518</t>
  </si>
  <si>
    <t>ORD101070</t>
  </si>
  <si>
    <t>ORD100477</t>
  </si>
  <si>
    <t>ORD100158</t>
  </si>
  <si>
    <t>ORD101244</t>
  </si>
  <si>
    <t>ORD101196</t>
  </si>
  <si>
    <t>ORD100017</t>
  </si>
  <si>
    <t>ORD101536</t>
  </si>
  <si>
    <t>ORD101073</t>
  </si>
  <si>
    <t>ORD100547</t>
  </si>
  <si>
    <t>ORD101540</t>
  </si>
  <si>
    <t>ORD100659</t>
  </si>
  <si>
    <t>ORD101666</t>
  </si>
  <si>
    <t>ORD101020</t>
  </si>
  <si>
    <t>ORD101705</t>
  </si>
  <si>
    <t>ORD101505</t>
  </si>
  <si>
    <t>ORD100960</t>
  </si>
  <si>
    <t>ORD101932</t>
  </si>
  <si>
    <t>ORD100284</t>
  </si>
  <si>
    <t>ORD101633</t>
  </si>
  <si>
    <t>ORD100798</t>
  </si>
  <si>
    <t>ORD101667</t>
  </si>
  <si>
    <t>ORD100226</t>
  </si>
  <si>
    <t>ORD100027</t>
  </si>
  <si>
    <t>ORD101817</t>
  </si>
  <si>
    <t>ORD100438</t>
  </si>
  <si>
    <t>ORD101389</t>
  </si>
  <si>
    <t>ORD100230</t>
  </si>
  <si>
    <t>ORD100038</t>
  </si>
  <si>
    <t>ORD100750</t>
  </si>
  <si>
    <t>ORD101046</t>
  </si>
  <si>
    <t>ORD101399</t>
  </si>
  <si>
    <t>ORD100470</t>
  </si>
  <si>
    <t>ORD101736</t>
  </si>
  <si>
    <t>ORD100688</t>
  </si>
  <si>
    <t>ORD101892</t>
  </si>
  <si>
    <t>ORD100640</t>
  </si>
  <si>
    <t>ORD101756</t>
  </si>
  <si>
    <t>ORD101219</t>
  </si>
  <si>
    <t>ORD101159</t>
  </si>
  <si>
    <t>ORD101416</t>
  </si>
  <si>
    <t>ORD101528</t>
  </si>
  <si>
    <t>ORD101697</t>
  </si>
  <si>
    <t>ORD101301</t>
  </si>
  <si>
    <t>ORD101871</t>
  </si>
  <si>
    <t>ORD100801</t>
  </si>
  <si>
    <t>ORD101604</t>
  </si>
  <si>
    <t>ORD100161</t>
  </si>
  <si>
    <t>ORD100957</t>
  </si>
  <si>
    <t>ORD101187</t>
  </si>
  <si>
    <t>ORD100822</t>
  </si>
  <si>
    <t>ORD100878</t>
  </si>
  <si>
    <t>ORD100914</t>
  </si>
  <si>
    <t>ORD100153</t>
  </si>
  <si>
    <t>ORD101885</t>
  </si>
  <si>
    <t>ORD101823</t>
  </si>
  <si>
    <t>ORD100510</t>
  </si>
  <si>
    <t>ORD101136</t>
  </si>
  <si>
    <t>ORD101251</t>
  </si>
  <si>
    <t>ORD101707</t>
  </si>
  <si>
    <t>ORD100104</t>
  </si>
  <si>
    <t>ORD101446</t>
  </si>
  <si>
    <t>ORD101444</t>
  </si>
  <si>
    <t>ORD101784</t>
  </si>
  <si>
    <t>ORD100587</t>
  </si>
  <si>
    <t>ORD101815</t>
  </si>
  <si>
    <t>ORD101144</t>
  </si>
  <si>
    <t>ORD100054</t>
  </si>
  <si>
    <t>ORD100152</t>
  </si>
  <si>
    <t>ORD100404</t>
  </si>
  <si>
    <t>ORD101995</t>
  </si>
  <si>
    <t>ORD100208</t>
  </si>
  <si>
    <t>CUST0334</t>
  </si>
  <si>
    <t>ORD101945</t>
  </si>
  <si>
    <t>ORD101683</t>
  </si>
  <si>
    <t>ORD101123</t>
  </si>
  <si>
    <t>ORD100009</t>
  </si>
  <si>
    <t>ORD101015</t>
  </si>
  <si>
    <t>ORD101844</t>
  </si>
  <si>
    <t>ORD101061</t>
  </si>
  <si>
    <t>ORD100453</t>
  </si>
  <si>
    <t>ORD101676</t>
  </si>
  <si>
    <t>ORD100254</t>
  </si>
  <si>
    <t>ORD101328</t>
  </si>
  <si>
    <t>ORD100897</t>
  </si>
  <si>
    <t>ORD101779</t>
  </si>
  <si>
    <t>ORD100881</t>
  </si>
  <si>
    <t>ORD101596</t>
  </si>
  <si>
    <t>ORD101939</t>
  </si>
  <si>
    <t>ORD100624</t>
  </si>
  <si>
    <t>ORD100346</t>
  </si>
  <si>
    <t>ORD101746</t>
  </si>
  <si>
    <t>ORD100263</t>
  </si>
  <si>
    <t>ORD101635</t>
  </si>
  <si>
    <t>ORD101322</t>
  </si>
  <si>
    <t>ORD101439</t>
  </si>
  <si>
    <t>ORD100151</t>
  </si>
  <si>
    <t>ORD100473</t>
  </si>
  <si>
    <t>ORD100641</t>
  </si>
  <si>
    <t>ORD101933</t>
  </si>
  <si>
    <t>ORD100551</t>
  </si>
  <si>
    <t>ORD101826</t>
  </si>
  <si>
    <t>ORD100929</t>
  </si>
  <si>
    <t>ORD100489</t>
  </si>
  <si>
    <t>ORD101860</t>
  </si>
  <si>
    <t>ORD101172</t>
  </si>
  <si>
    <t>ORD100147</t>
  </si>
  <si>
    <t>ORD101748</t>
  </si>
  <si>
    <t>ORD101981</t>
  </si>
  <si>
    <t>ORD100403</t>
  </si>
  <si>
    <t>ORD100955</t>
  </si>
  <si>
    <t>ORD101928</t>
  </si>
  <si>
    <t>ORD100660</t>
  </si>
  <si>
    <t>ORD101373</t>
  </si>
  <si>
    <t>ORD100464</t>
  </si>
  <si>
    <t>ORD101350</t>
  </si>
  <si>
    <t>ORD100187</t>
  </si>
  <si>
    <t>ORD101148</t>
  </si>
  <si>
    <t>ORD101225</t>
  </si>
  <si>
    <t>ORD100609</t>
  </si>
  <si>
    <t>ORD100144</t>
  </si>
  <si>
    <t>ORD100752</t>
  </si>
  <si>
    <t>ORD101535</t>
  </si>
  <si>
    <t>ORD100982</t>
  </si>
  <si>
    <t>ORD100198</t>
  </si>
  <si>
    <t>ORD101634</t>
  </si>
  <si>
    <t>ORD100884</t>
  </si>
  <si>
    <t>ORD100280</t>
  </si>
  <si>
    <t>ORD100294</t>
  </si>
  <si>
    <t>ORD101872</t>
  </si>
  <si>
    <t>ORD100401</t>
  </si>
  <si>
    <t>ORD100123</t>
  </si>
  <si>
    <t>ORD101208</t>
  </si>
  <si>
    <t>ORD100203</t>
  </si>
  <si>
    <t>ORD101463</t>
  </si>
  <si>
    <t>ORD100836</t>
  </si>
  <si>
    <t>ORD100247</t>
  </si>
  <si>
    <t>ORD101440</t>
  </si>
  <si>
    <t>ORD101734</t>
  </si>
  <si>
    <t>ORD101799</t>
  </si>
  <si>
    <t>ORD101952</t>
  </si>
  <si>
    <t>ORD101708</t>
  </si>
  <si>
    <t>ORD101931</t>
  </si>
  <si>
    <t>ORD101154</t>
  </si>
  <si>
    <t>ORD101662</t>
  </si>
  <si>
    <t>ORD101427</t>
  </si>
  <si>
    <t>ORD100385</t>
  </si>
  <si>
    <t>ORD101804</t>
  </si>
  <si>
    <t>ORD101760</t>
  </si>
  <si>
    <t>ORD100855</t>
  </si>
  <si>
    <t>ORD101590</t>
  </si>
  <si>
    <t>ORD100220</t>
  </si>
  <si>
    <t>ORD100642</t>
  </si>
  <si>
    <t>ORD100002</t>
  </si>
  <si>
    <t>ORD100113</t>
  </si>
  <si>
    <t>ORD100699</t>
  </si>
  <si>
    <t>ORD101970</t>
  </si>
  <si>
    <t>ORD100952</t>
  </si>
  <si>
    <t>ORD101649</t>
  </si>
  <si>
    <t>ORD101637</t>
  </si>
  <si>
    <t>ORD101794</t>
  </si>
  <si>
    <t>ORD101411</t>
  </si>
  <si>
    <t>ORD101410</t>
  </si>
  <si>
    <t>ORD101534</t>
  </si>
  <si>
    <t>ORD101292</t>
  </si>
  <si>
    <t>ORD101857</t>
  </si>
  <si>
    <t>ORD100442</t>
  </si>
  <si>
    <t>ORD101521</t>
  </si>
  <si>
    <t>ORD101137</t>
  </si>
  <si>
    <t>ORD101716</t>
  </si>
  <si>
    <t>ORD101257</t>
  </si>
  <si>
    <t>ORD101913</t>
  </si>
  <si>
    <t>ORD101632</t>
  </si>
  <si>
    <t>ORD101696</t>
  </si>
  <si>
    <t>ORD101398</t>
  </si>
  <si>
    <t>ORD100664</t>
  </si>
  <si>
    <t>ORD101884</t>
  </si>
  <si>
    <t>ORD101258</t>
  </si>
  <si>
    <t>ORD101840</t>
  </si>
  <si>
    <t>ORD101701</t>
  </si>
  <si>
    <t>ORD100318</t>
  </si>
  <si>
    <t>ORD100649</t>
  </si>
  <si>
    <t>ORD101435</t>
  </si>
  <si>
    <t>ORD101480</t>
  </si>
  <si>
    <t>ORD100710</t>
  </si>
  <si>
    <t>ORD101383</t>
  </si>
  <si>
    <t>ORD101283</t>
  </si>
  <si>
    <t>ORD101769</t>
  </si>
  <si>
    <t>ORD100973</t>
  </si>
  <si>
    <t>ORD100628</t>
  </si>
  <si>
    <t>ORD101307</t>
  </si>
  <si>
    <t>ORD101401</t>
  </si>
  <si>
    <t>ORD101409</t>
  </si>
  <si>
    <t>ORD101249</t>
  </si>
  <si>
    <t>ORD101255</t>
  </si>
  <si>
    <t>ORD101497</t>
  </si>
  <si>
    <t>ORD101372</t>
  </si>
  <si>
    <t>ORD101530</t>
  </si>
  <si>
    <t>ORD101664</t>
  </si>
  <si>
    <t>ORD101355</t>
  </si>
  <si>
    <t>ORD101822</t>
  </si>
  <si>
    <t>ORD101978</t>
  </si>
  <si>
    <t>ORD101951</t>
  </si>
  <si>
    <t>ORD101644</t>
  </si>
  <si>
    <t>ORD101898</t>
  </si>
  <si>
    <t>ORD100796</t>
  </si>
  <si>
    <t>ORD100646</t>
  </si>
  <si>
    <t>ORD101013</t>
  </si>
  <si>
    <t>ORD101888</t>
  </si>
  <si>
    <t>ORD100557</t>
  </si>
  <si>
    <t>ORD100682</t>
  </si>
  <si>
    <t>ORD100578</t>
  </si>
  <si>
    <t>ORD101820</t>
  </si>
  <si>
    <t>ORD101110</t>
  </si>
  <si>
    <t>ORD101267</t>
  </si>
  <si>
    <t>ORD101723</t>
  </si>
  <si>
    <t>ORD101184</t>
  </si>
  <si>
    <t>ORD100525</t>
  </si>
  <si>
    <t>ORD101060</t>
  </si>
  <si>
    <t>ORD100541</t>
  </si>
  <si>
    <t>ORD101195</t>
  </si>
  <si>
    <t>ORD101679</t>
  </si>
  <si>
    <t>ORD100749</t>
  </si>
  <si>
    <t>ORD101901</t>
  </si>
  <si>
    <t>ORD101431</t>
  </si>
  <si>
    <t>ORD100485</t>
  </si>
  <si>
    <t>ORD101758</t>
  </si>
  <si>
    <t>ORD101021</t>
  </si>
  <si>
    <t>ORD100564</t>
  </si>
  <si>
    <t>ORD101265</t>
  </si>
  <si>
    <t>ORD100743</t>
  </si>
  <si>
    <t>ORD100864</t>
  </si>
  <si>
    <t>ORD101599</t>
  </si>
  <si>
    <t>ORD101715</t>
  </si>
  <si>
    <t>ORD101485</t>
  </si>
  <si>
    <t>ORD100892</t>
  </si>
  <si>
    <t>ORD101578</t>
  </si>
  <si>
    <t>ORD101039</t>
  </si>
  <si>
    <t>ORD100207</t>
  </si>
  <si>
    <t>ORD100393</t>
  </si>
  <si>
    <t>ORD100795</t>
  </si>
  <si>
    <t>ORD100871</t>
  </si>
  <si>
    <t>ORD100398</t>
  </si>
  <si>
    <t>ORD100767</t>
  </si>
  <si>
    <t>ORD101890</t>
  </si>
  <si>
    <t>ORD101242</t>
  </si>
  <si>
    <t>ORD101029</t>
  </si>
  <si>
    <t>ORD101793</t>
  </si>
  <si>
    <t>ORD100643</t>
  </si>
  <si>
    <t>ORD101942</t>
  </si>
  <si>
    <t>ORD100613</t>
  </si>
  <si>
    <t>ORD101763</t>
  </si>
  <si>
    <t>ORD100961</t>
  </si>
  <si>
    <t>ORD101571</t>
  </si>
  <si>
    <t>ORD100726</t>
  </si>
  <si>
    <t>ORD100684</t>
  </si>
  <si>
    <t>ORD100099</t>
  </si>
  <si>
    <t>ORD100805</t>
  </si>
  <si>
    <t>ORD101752</t>
  </si>
  <si>
    <t>ORD101598</t>
  </si>
  <si>
    <t>ORD100407</t>
  </si>
  <si>
    <t>ORD100503</t>
  </si>
  <si>
    <t>ORD101072</t>
  </si>
  <si>
    <t>ORD101057</t>
  </si>
  <si>
    <t>ORD100930</t>
  </si>
  <si>
    <t>ORD100780</t>
  </si>
  <si>
    <t>ORD101864</t>
  </si>
  <si>
    <t>ORD100201</t>
  </si>
  <si>
    <t>ORD100135</t>
  </si>
  <si>
    <t>ORD101052</t>
  </si>
  <si>
    <t>ORD100041</t>
  </si>
  <si>
    <t>ORD101018</t>
  </si>
  <si>
    <t>ORD100231</t>
  </si>
  <si>
    <t>ORD101514</t>
  </si>
  <si>
    <t>ORD101797</t>
  </si>
  <si>
    <t>ORD100379</t>
  </si>
  <si>
    <t>ORD100289</t>
  </si>
  <si>
    <t>ORD100419</t>
  </si>
  <si>
    <t>ORD101699</t>
  </si>
  <si>
    <t>ORD100392</t>
  </si>
  <si>
    <t>ORD100593</t>
  </si>
  <si>
    <t>ORD101523</t>
  </si>
  <si>
    <t>ORD101163</t>
  </si>
  <si>
    <t>ORD101087</t>
  </si>
  <si>
    <t>ORD101496</t>
  </si>
  <si>
    <t>ORD100648</t>
  </si>
  <si>
    <t>ORD101153</t>
  </si>
  <si>
    <t>ORD101368</t>
  </si>
  <si>
    <t>ORD100521</t>
  </si>
  <si>
    <t>ORD101863</t>
  </si>
  <si>
    <t>ORD101881</t>
  </si>
  <si>
    <t>ORD100065</t>
  </si>
  <si>
    <t>ORD101837</t>
  </si>
  <si>
    <t>ORD100015</t>
  </si>
  <si>
    <t>ORD101181</t>
  </si>
  <si>
    <t>ORD101065</t>
  </si>
  <si>
    <t>ORD100493</t>
  </si>
  <si>
    <t>ORD100380</t>
  </si>
  <si>
    <t>ORD100188</t>
  </si>
  <si>
    <t>ORD100764</t>
  </si>
  <si>
    <t>ORD100217</t>
  </si>
  <si>
    <t>ORD100792</t>
  </si>
  <si>
    <t>ORD101077</t>
  </si>
  <si>
    <t>ORD100879</t>
  </si>
  <si>
    <t>ORD100338</t>
  </si>
  <si>
    <t>ORD101773</t>
  </si>
  <si>
    <t>ORD100720</t>
  </si>
  <si>
    <t>ORD101749</t>
  </si>
  <si>
    <t>ORD100296</t>
  </si>
  <si>
    <t>ORD101726</t>
  </si>
  <si>
    <t>ORD101017</t>
  </si>
  <si>
    <t>ORD101276</t>
  </si>
  <si>
    <t>ORD101751</t>
  </si>
  <si>
    <t>ORD101486</t>
  </si>
  <si>
    <t>ORD100456</t>
  </si>
  <si>
    <t>ORD100816</t>
  </si>
  <si>
    <t>ORD101887</t>
  </si>
  <si>
    <t>ORD100270</t>
  </si>
  <si>
    <t>ORD100996</t>
  </si>
  <si>
    <t>ORD100202</t>
  </si>
  <si>
    <t>ORD100162</t>
  </si>
  <si>
    <t>ORD101580</t>
  </si>
  <si>
    <t>ORD100730</t>
  </si>
  <si>
    <t>ORD100402</t>
  </si>
  <si>
    <t>ORD100703</t>
  </si>
  <si>
    <t>ORD101501</t>
  </si>
  <si>
    <t>ORD101846</t>
  </si>
  <si>
    <t>ORD101796</t>
  </si>
  <si>
    <t>ORD101130</t>
  </si>
  <si>
    <t>ORD100566</t>
  </si>
  <si>
    <t>ORD101414</t>
  </si>
  <si>
    <t>ORD101022</t>
  </si>
  <si>
    <t>ORD101026</t>
  </si>
  <si>
    <t>ORD101412</t>
  </si>
  <si>
    <t>ORD101896</t>
  </si>
  <si>
    <t>ORD101586</t>
  </si>
  <si>
    <t>ORD101956</t>
  </si>
  <si>
    <t>ORD101105</t>
  </si>
  <si>
    <t>ORD100206</t>
  </si>
  <si>
    <t>ORD100035</t>
  </si>
  <si>
    <t>ORD101967</t>
  </si>
  <si>
    <t>ORD100776</t>
  </si>
  <si>
    <t>ORD100509</t>
  </si>
  <si>
    <t>ORD101452</t>
  </si>
  <si>
    <t>ORD101479</t>
  </si>
  <si>
    <t>ORD101391</t>
  </si>
  <si>
    <t>ORD100092</t>
  </si>
  <si>
    <t>ORD101364</t>
  </si>
  <si>
    <t>ORD100898</t>
  </si>
  <si>
    <t>ORD100565</t>
  </si>
  <si>
    <t>ORD101370</t>
  </si>
  <si>
    <t>ORD100777</t>
  </si>
  <si>
    <t>ORD100242</t>
  </si>
  <si>
    <t>ORD100014</t>
  </si>
  <si>
    <t>ORD100316</t>
  </si>
  <si>
    <t>ORD100601</t>
  </si>
  <si>
    <t>ORD100388</t>
  </si>
  <si>
    <t>ORD101298</t>
  </si>
  <si>
    <t>ORD100167</t>
  </si>
  <si>
    <t>ORD100841</t>
  </si>
  <si>
    <t>ORD100021</t>
  </si>
  <si>
    <t>ORD100647</t>
  </si>
  <si>
    <t>ORD101843</t>
  </si>
  <si>
    <t>ORD101509</t>
  </si>
  <si>
    <t>ORD101155</t>
  </si>
  <si>
    <t>ORD101529</t>
  </si>
  <si>
    <t>ORD100832</t>
  </si>
  <si>
    <t>ORD101268</t>
  </si>
  <si>
    <t>ORD101591</t>
  </si>
  <si>
    <t>ORD101900</t>
  </si>
  <si>
    <t>ORD100563</t>
  </si>
  <si>
    <t>ORD100687</t>
  </si>
  <si>
    <t>ORD100958</t>
  </si>
  <si>
    <t>ORD100190</t>
  </si>
  <si>
    <t>ORD101807</t>
  </si>
  <si>
    <t>ORD100976</t>
  </si>
  <si>
    <t>ORD100700</t>
  </si>
  <si>
    <t>ORD101500</t>
  </si>
  <si>
    <t>ORD101706</t>
  </si>
  <si>
    <t>ORD100511</t>
  </si>
  <si>
    <t>ORD101083</t>
  </si>
  <si>
    <t>ORD101585</t>
  </si>
  <si>
    <t>ORD100857</t>
  </si>
  <si>
    <t>ORD100748</t>
  </si>
  <si>
    <t>ORD100253</t>
  </si>
  <si>
    <t>ORD100022</t>
  </si>
  <si>
    <t>ORD101338</t>
  </si>
  <si>
    <t>ORD100460</t>
  </si>
  <si>
    <t>ORD101185</t>
  </si>
  <si>
    <t>ORD100277</t>
  </si>
  <si>
    <t>ORD100956</t>
  </si>
  <si>
    <t>ORD101216</t>
  </si>
  <si>
    <t>ORD100386</t>
  </si>
  <si>
    <t>ORD100806</t>
  </si>
  <si>
    <t>ORD101438</t>
  </si>
  <si>
    <t>ORD101516</t>
  </si>
  <si>
    <t>ORD100344</t>
  </si>
  <si>
    <t>ORD100770</t>
  </si>
  <si>
    <t>ORD101333</t>
  </si>
  <si>
    <t>ORD101686</t>
  </si>
  <si>
    <t>ORD100131</t>
  </si>
  <si>
    <t>ORD101688</t>
  </si>
  <si>
    <t>ORD100872</t>
  </si>
  <si>
    <t>ORD101124</t>
  </si>
  <si>
    <t>ORD101397</t>
  </si>
  <si>
    <t>ORD100088</t>
  </si>
  <si>
    <t>ORD101483</t>
  </si>
  <si>
    <t>ORD100331</t>
  </si>
  <si>
    <t>ORD101239</t>
  </si>
  <si>
    <t>ORD100467</t>
  </si>
  <si>
    <t>ORD100122</t>
  </si>
  <si>
    <t>ORD101045</t>
  </si>
  <si>
    <t>ORD101725</t>
  </si>
  <si>
    <t>ORD101096</t>
  </si>
  <si>
    <t>ORD101131</t>
  </si>
  <si>
    <t>ORD101295</t>
  </si>
  <si>
    <t>ORD100861</t>
  </si>
  <si>
    <t>Column_Name</t>
  </si>
  <si>
    <t>Business_Description</t>
  </si>
  <si>
    <t>Data_Type</t>
  </si>
  <si>
    <t>Transaction identifier</t>
  </si>
  <si>
    <t>Text</t>
  </si>
  <si>
    <t>Date of medicine sale</t>
  </si>
  <si>
    <t>Date</t>
  </si>
  <si>
    <t>Customer/customer account identifier</t>
  </si>
  <si>
    <t>Manufacturer/company</t>
  </si>
  <si>
    <t>Sales region</t>
  </si>
  <si>
    <t>Customer/sale city</t>
  </si>
  <si>
    <t>Sales representative identifier</t>
  </si>
  <si>
    <t>Channel through which sale occurred</t>
  </si>
  <si>
    <t>Payment mode</t>
  </si>
  <si>
    <t>Units/packs sold</t>
  </si>
  <si>
    <t>Numeric</t>
  </si>
  <si>
    <t>Selling price per unit</t>
  </si>
  <si>
    <t>Cost per unit</t>
  </si>
  <si>
    <t>Quantity × Unit_Price</t>
  </si>
  <si>
    <t>Discount percentage</t>
  </si>
  <si>
    <t>Gross_Sales × Discount_Pct</t>
  </si>
  <si>
    <t>Gross_Sales − Discount_Amount</t>
  </si>
  <si>
    <t>Quantity × Cost_Per_Unit</t>
  </si>
  <si>
    <t>Net_Sales − Total_Cost</t>
  </si>
  <si>
    <t>Completed/Cancelled/Returned etc.</t>
  </si>
  <si>
    <t>Customer/person or account name</t>
  </si>
  <si>
    <t>Project_Notes</t>
  </si>
  <si>
    <t>Purpose: Practice Excel, Power Query, SQL, Power BI, data cleaning and data modelling.</t>
  </si>
  <si>
    <t>Raw transaction rows: 2050 (approximately 2,000).</t>
  </si>
  <si>
    <t>Intentional quality issues: duplicates, missing values, inconsistent labels/casing, invalid numeric values, mixed date formats and inconsistent calculated values.</t>
  </si>
  <si>
    <t>Suggested analysis: sales, profit, quantity, discount, category, medicine, region/city, channel, salesperson, payment method and order status.</t>
  </si>
  <si>
    <t>Important: This is synthetic data for analytics practice; it is not clinical or prescribing data.</t>
  </si>
  <si>
    <t>Customer_Name column added to support customer-level sales, revenue, profit and repeat-customer analysis.</t>
  </si>
  <si>
    <t>Product_ID</t>
  </si>
  <si>
    <t>Product_Name</t>
  </si>
  <si>
    <t>Category</t>
  </si>
  <si>
    <t>product name</t>
  </si>
  <si>
    <t>Product master identifier</t>
  </si>
  <si>
    <t>product category</t>
  </si>
  <si>
    <t>Domain: Sales Performance Analysis</t>
  </si>
  <si>
    <t>Atorvastatin 10Mg</t>
  </si>
  <si>
    <t>Cardiomed</t>
  </si>
  <si>
    <t>Upi</t>
  </si>
  <si>
    <t>Pharmaplus</t>
  </si>
  <si>
    <t>Ors Sachets</t>
  </si>
  <si>
    <t>Genericcare</t>
  </si>
  <si>
    <t>Azithromycin 500Mg</t>
  </si>
  <si>
    <t>Vitamin D3 60000 Iu</t>
  </si>
  <si>
    <t>Nutrihealth</t>
  </si>
  <si>
    <t>Cetirizine 10Mg</t>
  </si>
  <si>
    <t>Healwell</t>
  </si>
  <si>
    <t>Medilife</t>
  </si>
  <si>
    <t>Ibuprofen 400Mg</t>
  </si>
  <si>
    <t>Cough Syrup 100Ml</t>
  </si>
  <si>
    <t>Losartan 50Mg</t>
  </si>
  <si>
    <t>Omeprazole 20Mg</t>
  </si>
  <si>
    <t>Diclofenac 50Mg</t>
  </si>
  <si>
    <t>Montelukast 10Mg</t>
  </si>
  <si>
    <t>Amlodipine 5Mg</t>
  </si>
  <si>
    <t>Paracetamol 500Mg</t>
  </si>
  <si>
    <t>Pantoprazole 40Mg</t>
  </si>
  <si>
    <t>Amoxicillin 500Mg</t>
  </si>
  <si>
    <t>Metformin 500Mg</t>
  </si>
  <si>
    <t>Category_ID</t>
  </si>
  <si>
    <t>Category_Name</t>
  </si>
  <si>
    <t>CAT001</t>
  </si>
  <si>
    <t>CAT002</t>
  </si>
  <si>
    <t>CAT003</t>
  </si>
  <si>
    <t>CAT004</t>
  </si>
  <si>
    <t>CAT005</t>
  </si>
  <si>
    <t>CAT006</t>
  </si>
  <si>
    <t>CAT007</t>
  </si>
  <si>
    <t>CAT008</t>
  </si>
  <si>
    <t>CAT009</t>
  </si>
  <si>
    <t>CAT010</t>
  </si>
  <si>
    <t>CAT011</t>
  </si>
  <si>
    <t>CAT012</t>
  </si>
  <si>
    <t>Region_ID</t>
  </si>
  <si>
    <t>REG001</t>
  </si>
  <si>
    <t>REG002</t>
  </si>
  <si>
    <t>REG003</t>
  </si>
  <si>
    <t>REG004</t>
  </si>
  <si>
    <t>REG005</t>
  </si>
  <si>
    <t>Unknown</t>
  </si>
  <si>
    <t>City_ID</t>
  </si>
  <si>
    <t>City_Name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</si>
  <si>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</si>
  <si>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</si>
  <si>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</si>
  <si>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</si>
  <si>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</si>
  <si>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</si>
  <si>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</si>
  <si>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</si>
  <si>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</si>
  <si>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</si>
  <si>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</si>
  <si>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</si>
  <si>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</si>
  <si>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</si>
  <si>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</si>
  <si>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</si>
  <si>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</si>
  <si>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</si>
  <si>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</si>
  <si>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</si>
  <si>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C021</t>
  </si>
  <si>
    <t>C022</t>
  </si>
  <si>
    <t>Sales_Channel_ID</t>
  </si>
  <si>
    <t>SC001</t>
  </si>
  <si>
    <t>SC002</t>
  </si>
  <si>
    <t>SC003</t>
  </si>
  <si>
    <t>SC004</t>
  </si>
  <si>
    <t>SC005</t>
  </si>
  <si>
    <t>SC006</t>
  </si>
  <si>
    <t>INDEX(Category[Category_ID],MATCH([@Category],Category[Category_Name],0))</t>
  </si>
  <si>
    <t>INDEX(Region[Region_ID],MATCH([Region],Region[Region],0))</t>
  </si>
  <si>
    <t>product categoryId</t>
  </si>
  <si>
    <t>factsales region id</t>
  </si>
  <si>
    <t>INDEX(Table6[City_ID],MATCH([City],Table6[City_Name],0))</t>
  </si>
  <si>
    <t>factsales city id</t>
  </si>
  <si>
    <t>INDEX(SalesChannel[Sales_Channel_ID],MATCH([Sales_Channel],SalesChannel[Sales_Channel],0))</t>
  </si>
  <si>
    <t>factsales sales channel id</t>
  </si>
  <si>
    <t>Salesperson_Name</t>
  </si>
  <si>
    <t>Neha Joshi</t>
  </si>
  <si>
    <t>Varun Malhotra</t>
  </si>
  <si>
    <t>Ishaan Reddy</t>
  </si>
  <si>
    <t>Rahul Verma</t>
  </si>
  <si>
    <t>Sanjay Rao</t>
  </si>
  <si>
    <t>Rohan Gupta</t>
  </si>
  <si>
    <t>Diya Nair</t>
  </si>
  <si>
    <t>Pooja Shah</t>
  </si>
  <si>
    <t>Ananya Rao</t>
  </si>
  <si>
    <t>Kavya Iyer</t>
  </si>
  <si>
    <t>Anjali Singh</t>
  </si>
  <si>
    <t>Aarav Sharma</t>
  </si>
  <si>
    <t>Meera Das</t>
  </si>
  <si>
    <t>Sneha Kapoor</t>
  </si>
  <si>
    <t>Priya Menon</t>
  </si>
  <si>
    <t>Karan Patel</t>
  </si>
  <si>
    <t>Nisha Reddy</t>
  </si>
  <si>
    <t>Vikram Singh</t>
  </si>
  <si>
    <t>Arjun Mehta</t>
  </si>
  <si>
    <t>Divya Menon</t>
  </si>
  <si>
    <t>Nitin Agarwal</t>
  </si>
  <si>
    <t>Karthik Kumar</t>
  </si>
  <si>
    <t>Manish Das</t>
  </si>
  <si>
    <t>Rohit Gupta</t>
  </si>
  <si>
    <t>Sneha Rao</t>
  </si>
  <si>
    <t>Meera Joshi</t>
  </si>
  <si>
    <t>Priya Reddy</t>
  </si>
  <si>
    <t>Ananya Patel</t>
  </si>
  <si>
    <t>Riya Sinha</t>
  </si>
  <si>
    <t>Sanjay Shah</t>
  </si>
  <si>
    <t>Kavya Reddy</t>
  </si>
  <si>
    <t>Neha Mehta</t>
  </si>
  <si>
    <t>Pooja Iyer</t>
  </si>
  <si>
    <t>Aditya Kapoor</t>
  </si>
  <si>
    <t>Shreya Nair</t>
  </si>
  <si>
    <t>Arjun Nair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</si>
</sst>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9" tint="0.39997558519241921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/>
    </xf>
    <xf numFmtId="14" fontId="0" fillId="0" borderId="0" xfId="0" applyNumberFormat="1"/>
    <xf numFmtId="2" fontId="0" fillId="0" borderId="0" xfId="0" applyNumberFormat="1"/>
    <xf numFmtId="0" fontId="3" fillId="0" borderId="0" xfId="0" applyFont="1" applyAlignment="1">
      <alignment vertical="center"/>
    </xf>
    <xf numFmtId="0" fontId="0" fillId="3" borderId="2" xfId="0" applyFill="1" applyBorder="1"/>
    <xf numFmtId="0" fontId="0" fillId="4" borderId="3" xfId="0" applyFill="1" applyBorder="1"/>
    <xf numFmtId="0" fontId="0" fillId="3" borderId="3" xfId="0" applyFill="1" applyBorder="1"/>
    <xf numFmtId="0" fontId="1" fillId="2" borderId="4" xfId="0" applyFont="1" applyFill="1" applyBorder="1" applyAlignment="1">
      <alignment horizontal="center"/>
    </xf>
    <xf numFmtId="0" fontId="4" fillId="2" borderId="5" xfId="0" applyFont="1" applyFill="1" applyBorder="1"/>
    <xf numFmtId="0" fontId="1" fillId="2" borderId="5" xfId="0" applyFont="1" applyFill="1" applyBorder="1" applyAlignment="1">
      <alignment horizontal="center" vertical="top"/>
    </xf>
    <xf numFmtId="0" fontId="1" fillId="2" borderId="6" xfId="0" applyFont="1" applyFill="1" applyBorder="1" applyAlignment="1">
      <alignment horizontal="center"/>
    </xf>
    <xf numFmtId="0" fontId="0" fillId="3" borderId="7" xfId="0" applyFill="1" applyBorder="1"/>
    <xf numFmtId="164" fontId="0" fillId="3" borderId="8" xfId="0" applyNumberFormat="1" applyFill="1" applyBorder="1"/>
    <xf numFmtId="0" fontId="0" fillId="3" borderId="8" xfId="0" applyFill="1" applyBorder="1"/>
    <xf numFmtId="0" fontId="0" fillId="3" borderId="9" xfId="0" applyFill="1" applyBorder="1"/>
    <xf numFmtId="0" fontId="0" fillId="4" borderId="2" xfId="0" applyFill="1" applyBorder="1"/>
    <xf numFmtId="164" fontId="0" fillId="4" borderId="3" xfId="0" applyNumberFormat="1" applyFill="1" applyBorder="1"/>
    <xf numFmtId="164" fontId="0" fillId="3" borderId="3" xfId="0" applyNumberFormat="1" applyFill="1" applyBorder="1"/>
    <xf numFmtId="14" fontId="0" fillId="6" borderId="10" xfId="0" applyNumberFormat="1" applyFill="1" applyBorder="1"/>
    <xf numFmtId="0" fontId="0" fillId="6" borderId="10" xfId="0" applyFill="1" applyBorder="1"/>
    <xf numFmtId="0" fontId="0" fillId="6" borderId="7" xfId="0" applyFill="1" applyBorder="1"/>
    <xf numFmtId="14" fontId="0" fillId="0" borderId="10" xfId="0" applyNumberFormat="1" applyBorder="1"/>
    <xf numFmtId="0" fontId="0" fillId="0" borderId="10" xfId="0" applyBorder="1"/>
    <xf numFmtId="2" fontId="0" fillId="6" borderId="10" xfId="0" applyNumberFormat="1" applyFill="1" applyBorder="1"/>
    <xf numFmtId="2" fontId="0" fillId="0" borderId="10" xfId="0" applyNumberFormat="1" applyBorder="1"/>
    <xf numFmtId="0" fontId="4" fillId="5" borderId="0" xfId="0" applyFont="1" applyFill="1"/>
    <xf numFmtId="0" fontId="4" fillId="5" borderId="5" xfId="0" applyFont="1" applyFill="1" applyBorder="1" applyAlignment="1">
      <alignment horizontal="center" vertical="top"/>
    </xf>
    <xf numFmtId="0" fontId="4" fillId="5" borderId="5" xfId="0" applyFont="1" applyFill="1" applyBorder="1"/>
  </cellXfs>
  <cellStyles count="1">
    <cellStyle name="Normal" xfId="0" builtinId="0"/>
  </cellStyles>
  <dxfs count="6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yyyy\-mm\-dd\ hh:mm:ss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0"/>
        </top>
        <bottom/>
        <vertical/>
        <horizontal/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649EA23-8B36-4E84-84F8-C6AE4943E706}" autoFormatId="16" applyNumberFormats="0" applyBorderFormats="0" applyFontFormats="0" applyPatternFormats="0" applyAlignmentFormats="0" applyWidthHeightFormats="0">
  <queryTableRefresh nextId="28">
    <queryTableFields count="14">
      <queryTableField id="1" name="Order_ID" tableColumnId="1"/>
      <queryTableField id="2" name="Order_Date" tableColumnId="2"/>
      <queryTableField id="3" name="Customer_ID" tableColumnId="3"/>
      <queryTableField id="5" name="Product_ID" tableColumnId="5"/>
      <queryTableField id="25" dataBound="0" tableColumnId="6"/>
      <queryTableField id="26" dataBound="0" tableColumnId="7"/>
      <queryTableField id="11" name="Salesperson_ID" tableColumnId="11"/>
      <queryTableField id="27" dataBound="0" tableColumnId="8"/>
      <queryTableField id="13" name="Payment_Method" tableColumnId="13"/>
      <queryTableField id="14" name="Quantity" tableColumnId="14"/>
      <queryTableField id="15" name="Unit_Price" tableColumnId="15"/>
      <queryTableField id="16" name="Cost_Per_Unit" tableColumnId="16"/>
      <queryTableField id="18" name="Discount_Pct" tableColumnId="18"/>
      <queryTableField id="23" name="Order_Status" tableColumnId="23"/>
    </queryTableFields>
    <queryTableDeletedFields count="12">
      <deletedField name="Customer_Name"/>
      <deletedField name="Product_Name"/>
      <deletedField name="Manufacturer"/>
      <deletedField name="Gross_Sales"/>
      <deletedField name="Discount_Amount"/>
      <deletedField name="Net_Sales"/>
      <deletedField name="Total_Cost"/>
      <deletedField name="Profit"/>
      <deletedField name="Category"/>
      <deletedField name="Region"/>
      <deletedField name="City"/>
      <deletedField name="Sales_Channel"/>
    </queryTableDeleted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9F52C-AF48-4987-868F-B22497C8877A}" name="Table1" displayName="Table1" ref="A1:X2051" totalsRowShown="0" headerRowDxfId="68" dataDxfId="67" tableBorderDxfId="66">
  <autoFilter ref="A1:X2051" xr:uid="{4689F52C-AF48-4987-868F-B22497C8877A}"/>
  <tableColumns count="24">
    <tableColumn id="1" xr3:uid="{5DD76614-F5BC-4532-BB88-C5B5A0E322E6}" name="Order_ID" dataDxfId="65"/>
    <tableColumn id="2" xr3:uid="{7DCEACCC-75B8-43D3-B115-450663BA615A}" name="Order_Date" dataDxfId="64"/>
    <tableColumn id="3" xr3:uid="{E021E93A-9230-4A9B-8EA0-7E5E725836CC}" name="Customer_ID" dataDxfId="63"/>
    <tableColumn id="4" xr3:uid="{257A1764-6B95-452D-B35D-C0FCDE2CC0CB}" name="Customer_Name" dataDxfId="62"/>
    <tableColumn id="5" xr3:uid="{32968042-C79B-469F-85AD-DE76980927C3}" name="Product_ID" dataDxfId="61"/>
    <tableColumn id="6" xr3:uid="{EAFAC6BC-F83B-4C99-BB61-23DC4C536203}" name="Product_Name" dataDxfId="60"/>
    <tableColumn id="7" xr3:uid="{E78A4B14-18D9-4762-91B9-80A3C3191282}" name="Manufacturer" dataDxfId="59"/>
    <tableColumn id="8" xr3:uid="{7B507705-F590-4BC5-BE49-596A1FC7D497}" name="Category" dataDxfId="58"/>
    <tableColumn id="9" xr3:uid="{5FDA8BD0-2AEF-4A4C-9075-F04606869667}" name="Region" dataDxfId="57"/>
    <tableColumn id="10" xr3:uid="{15E3AF18-57F1-45B6-A266-67186B36F8E8}" name="City" dataDxfId="56"/>
    <tableColumn id="11" xr3:uid="{608FC98E-9952-4AF7-B4D4-DFBBD798BDBD}" name="Salesperson_ID" dataDxfId="55"/>
    <tableColumn id="12" xr3:uid="{477520C8-806B-4974-9DCF-6DB64F0848A4}" name="Salesperson_Name" dataDxfId="54"/>
    <tableColumn id="13" xr3:uid="{BFD93B08-F27B-4215-9F5F-E5B06D2B3A02}" name="Sales_Channel" dataDxfId="53"/>
    <tableColumn id="14" xr3:uid="{EC4470F0-0FDB-458F-B8D2-7C44BAC27B44}" name="Payment_Method" dataDxfId="52"/>
    <tableColumn id="15" xr3:uid="{DBE5B314-611D-4ADD-9CA0-EC80E47824E6}" name="Quantity" dataDxfId="51"/>
    <tableColumn id="16" xr3:uid="{979668CC-1E1B-4673-9274-69360D56E6ED}" name="Unit_Price" dataDxfId="50"/>
    <tableColumn id="17" xr3:uid="{A661A9CF-D860-408E-9C0A-9AF322061B3D}" name="Cost_Per_Unit" dataDxfId="49"/>
    <tableColumn id="18" xr3:uid="{F853C695-CA46-48E0-9D0C-85236687BFE0}" name="Gross_Sales" dataDxfId="48"/>
    <tableColumn id="19" xr3:uid="{F4008198-3879-486A-B27F-2ED2773BC903}" name="Discount_Pct" dataDxfId="47"/>
    <tableColumn id="20" xr3:uid="{A27D6FCB-57D7-4A99-8DB5-9B55EA9CA556}" name="Discount_Amount" dataDxfId="46"/>
    <tableColumn id="21" xr3:uid="{0957F9EE-C851-4D64-BE5B-7E91C73A36F9}" name="Net_Sales" dataDxfId="45"/>
    <tableColumn id="22" xr3:uid="{571FE78F-3BD7-4F87-9056-3B1AC3B17F77}" name="Total_Cost" dataDxfId="44"/>
    <tableColumn id="23" xr3:uid="{C1E31AD3-5FC4-4288-92E8-09F70B782DFB}" name="Profit" dataDxfId="43"/>
    <tableColumn id="24" xr3:uid="{A3A0B012-F976-44DB-B336-93F3CF8883D3}" name="Order_Status" dataDxfId="4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C5DEF2-59BE-43CB-9AB6-524CDAE79973}" name="Table2" displayName="Table2" ref="A1:X2013" totalsRowShown="0" headerRowDxfId="41" dataDxfId="40" tableBorderDxfId="39">
  <autoFilter ref="A1:X2013" xr:uid="{4EC5DEF2-59BE-43CB-9AB6-524CDAE79973}"/>
  <tableColumns count="24">
    <tableColumn id="1" xr3:uid="{F0F87D1A-9579-41A8-8153-A3E574048961}" name="Order_ID" dataDxfId="38"/>
    <tableColumn id="2" xr3:uid="{FE035146-3037-4B1C-8811-17D6ED13B30F}" name="Order_Date" dataDxfId="37"/>
    <tableColumn id="3" xr3:uid="{C1B1F9E7-8985-4DFD-A8E0-077D61F9E3E9}" name="Customer_ID" dataDxfId="36"/>
    <tableColumn id="4" xr3:uid="{2F8A86C2-67A0-4CD9-8EB3-04CAD2AD8D10}" name="Customer_Name" dataDxfId="35"/>
    <tableColumn id="5" xr3:uid="{DC0951C7-55DB-42D0-A273-F5F75D86DA86}" name="Product_ID" dataDxfId="34"/>
    <tableColumn id="6" xr3:uid="{5117ACF1-379C-432A-98D4-43C224807E7A}" name="Product_Name" dataDxfId="33"/>
    <tableColumn id="7" xr3:uid="{07509A18-A54B-4F1D-BB98-18A4EF5E664A}" name="Manufacturer" dataDxfId="32"/>
    <tableColumn id="8" xr3:uid="{DB59226C-9438-4274-8245-641F9E1435FA}" name="Category" dataDxfId="31"/>
    <tableColumn id="9" xr3:uid="{59EEF0C6-550F-420B-8843-F7837A508D03}" name="Region" dataDxfId="30"/>
    <tableColumn id="10" xr3:uid="{19407C97-362F-4044-A13D-23FEEA19A361}" name="City" dataDxfId="29"/>
    <tableColumn id="11" xr3:uid="{28449EAE-A180-4F8F-9CB4-F85E4ACEC797}" name="Salesperson_ID" dataDxfId="28"/>
    <tableColumn id="12" xr3:uid="{B69BB966-CC70-4067-AC75-6CAC1559A25B}" name="Salesperson_Name" dataDxfId="27"/>
    <tableColumn id="13" xr3:uid="{9A2AA64F-E75B-4041-865E-CEBBB710F0F0}" name="Sales_Channel" dataDxfId="26"/>
    <tableColumn id="14" xr3:uid="{968D65D9-5036-4288-8105-4B9CE9F13ACE}" name="Payment_Method" dataDxfId="25"/>
    <tableColumn id="15" xr3:uid="{0C1020F0-B589-4675-A6F1-7C3A2D360947}" name="Quantity" dataDxfId="24"/>
    <tableColumn id="16" xr3:uid="{DBEBF157-272F-4F5C-B36C-F17860E49175}" name="Unit_Price" dataDxfId="23"/>
    <tableColumn id="17" xr3:uid="{9FB3C79E-73A5-4EE9-A05F-056D17F7FA09}" name="Cost_Per_Unit" dataDxfId="22"/>
    <tableColumn id="18" xr3:uid="{B6D592C7-DCE0-4AF5-A0F3-80CBFDF80F22}" name="Gross_Sales" dataDxfId="21"/>
    <tableColumn id="19" xr3:uid="{D7366DC2-7289-4CAD-B86F-177EBE3C3257}" name="Discount_Pct" dataDxfId="20"/>
    <tableColumn id="20" xr3:uid="{50D8F028-24BA-4FEA-ABE2-327DFC29E58B}" name="Discount_Amount" dataDxfId="19"/>
    <tableColumn id="21" xr3:uid="{B5D9358C-4DA7-4683-8A9F-4EBD314C7E7C}" name="Net_Sales" dataDxfId="18"/>
    <tableColumn id="22" xr3:uid="{408B8AFF-05EB-4C0A-9B3C-9F9FDABFAB4D}" name="Total_Cost" dataDxfId="17"/>
    <tableColumn id="23" xr3:uid="{DAE23713-2F00-4077-A84E-5F203694278C}" name="Profit" dataDxfId="16"/>
    <tableColumn id="24" xr3:uid="{F18C3BD7-1A00-40EF-BC3D-3E6EA99E53E3}" name="Order_Status" dataDxfId="15"/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503CBE0-BD4E-4CAF-96C7-521F009B0710}" name="Product" displayName="Product" ref="A1:D21" totalsRowShown="0">
  <autoFilter ref="A1:D21" xr:uid="{5503CBE0-BD4E-4CAF-96C7-521F009B0710}"/>
  <tableColumns count="4">
    <tableColumn id="1" xr3:uid="{87893E86-19E4-407E-A1E4-61DCF110A1CA}" name="Product_ID"/>
    <tableColumn id="2" xr3:uid="{A3FEAE80-8CD8-4765-8B28-15AB8699B183}" name="Product_Name"/>
    <tableColumn id="3" xr3:uid="{6F820FCA-D181-49D5-BB15-EB3BF81ED4BE}" name="Manufacturer"/>
    <tableColumn id="5" xr3:uid="{DF4D33A1-9F86-4DEF-80C2-ECCA95332BCD}" name="Category_ID" dataDxfId="14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E6B7721-A4FA-4372-9426-4CC5559B9FA1}" name="Customer" displayName="Customer" ref="A1:B352" totalsRowShown="0">
  <autoFilter ref="A1:B352" xr:uid="{6E6B7721-A4FA-4372-9426-4CC5559B9FA1}"/>
  <tableColumns count="2">
    <tableColumn id="1" xr3:uid="{C0098991-E4A0-4573-9539-D2C8E2CC8837}" name="Customer_ID"/>
    <tableColumn id="2" xr3:uid="{D605751F-846B-498C-BE40-C664189A6699}" name="Customer_Nam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4C8292-0792-4B00-902E-284EE3D565F4}" name="Category" displayName="Category" ref="A1:B13" totalsRowShown="0">
  <autoFilter ref="A1:B13" xr:uid="{CB4C8292-0792-4B00-902E-284EE3D565F4}"/>
  <tableColumns count="2">
    <tableColumn id="1" xr3:uid="{B468087B-6098-48A1-B522-FF1813B5173B}" name="Category_ID"/>
    <tableColumn id="2" xr3:uid="{5A1719F2-C4E7-4B66-AFA5-47E6AB27C25C}" name="Category_Name" dataDxfId="13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161FE-6BCA-47F2-990A-D221FB5EB7D2}" name="Region" displayName="Region" ref="A1:B6" totalsRowShown="0">
  <autoFilter ref="A1:B6" xr:uid="{2D6161FE-6BCA-47F2-990A-D221FB5EB7D2}"/>
  <tableColumns count="2">
    <tableColumn id="1" xr3:uid="{BD8EADFA-2C0F-44FB-95EA-4E8DD710CD51}" name="Region_ID"/>
    <tableColumn id="2" xr3:uid="{BAA6D0C1-EC44-4100-A2AE-25645C99B080}" name="Region" dataDxfId="12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3864905-9B33-4F26-8CA7-4C4F0E919CDB}" name="Table6" displayName="Table6" ref="A1:B23" totalsRowShown="0">
  <autoFilter ref="A1:B23" xr:uid="{03864905-9B33-4F26-8CA7-4C4F0E919CDB}"/>
  <tableColumns count="2">
    <tableColumn id="1" xr3:uid="{027BEF22-041B-42C7-9D38-B8F9BF4F96E7}" name="City_ID"/>
    <tableColumn id="2" xr3:uid="{6DEB0497-31BE-4411-9320-CA51161B4F11}" name="City_Name" dataDxfId="11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BDBCC7D-EEFD-413A-AE05-6FEF7BA49DD5}" name="Sales12" displayName="Sales12" ref="A1:N2013" tableType="queryTable" totalsRowShown="0">
  <autoFilter ref="A1:N2013" xr:uid="{7BDBCC7D-EEFD-413A-AE05-6FEF7BA49DD5}"/>
  <tableColumns count="14">
    <tableColumn id="1" xr3:uid="{FE5BAC80-4D40-45BC-8B84-B1D8EBFE9323}" uniqueName="1" name="Order_ID" queryTableFieldId="1" dataDxfId="10"/>
    <tableColumn id="2" xr3:uid="{A1E27D70-C949-4BC4-AF6E-9FA34DC8D759}" uniqueName="2" name="Order_Date" queryTableFieldId="2" dataDxfId="9"/>
    <tableColumn id="3" xr3:uid="{930DCE99-A975-4FEE-8C10-4B1A2E4FE43D}" uniqueName="3" name="Customer_ID" queryTableFieldId="3" dataDxfId="8"/>
    <tableColumn id="5" xr3:uid="{A0531DC9-9454-498F-9CCF-9A3BCBD067BC}" uniqueName="5" name="Product_ID" queryTableFieldId="5" dataDxfId="7"/>
    <tableColumn id="6" xr3:uid="{2007EA08-F730-41E7-9BC4-B89ADBB6461E}" uniqueName="6" name="Region_ID" queryTableFieldId="25" dataDxfId="6"/>
    <tableColumn id="7" xr3:uid="{EB2F254A-46AE-4298-BD12-5A90EA5C188B}" uniqueName="7" name="City_ID" queryTableFieldId="26" dataDxfId="5"/>
    <tableColumn id="11" xr3:uid="{9CB033F5-B275-49A6-AD30-1648AA1809C1}" uniqueName="11" name="Salesperson_ID" queryTableFieldId="11" dataDxfId="4"/>
    <tableColumn id="8" xr3:uid="{74A7698F-9A1C-4E3F-A720-9D903DAB3E71}" uniqueName="8" name="Sales_Channel_ID" queryTableFieldId="27" dataDxfId="3"/>
    <tableColumn id="13" xr3:uid="{69BF0EDC-E0D9-4DE8-BF73-8149579E5BF3}" uniqueName="13" name="Payment_Method" queryTableFieldId="13" dataDxfId="2"/>
    <tableColumn id="14" xr3:uid="{97938075-5820-4F37-89A9-7C0CD9BBA12C}" uniqueName="14" name="Quantity" queryTableFieldId="14"/>
    <tableColumn id="15" xr3:uid="{AA9CABF9-D56E-457A-8CB4-490E4B754F9A}" uniqueName="15" name="Unit_Price" queryTableFieldId="15" dataDxfId="1"/>
    <tableColumn id="16" xr3:uid="{6A14B46E-C90F-4A26-B277-15B6FE545971}" uniqueName="16" name="Cost_Per_Unit" queryTableFieldId="16"/>
    <tableColumn id="18" xr3:uid="{B2435ED5-BA91-48C8-862D-F040A9F965CA}" uniqueName="18" name="Discount_Pct" queryTableFieldId="18"/>
    <tableColumn id="23" xr3:uid="{9434D07F-CCF6-4519-A12C-0F7A1D9098E7}" uniqueName="23" name="Order_Status" queryTableFieldId="23" dataDxfId="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1A2C6F1-245B-46B9-9D8E-981B59499B2A}" name="Salesperson" displayName="Salesperson" ref="A1:B22" totalsRowShown="0">
  <autoFilter ref="A1:B22" xr:uid="{91A2C6F1-245B-46B9-9D8E-981B59499B2A}"/>
  <tableColumns count="2">
    <tableColumn id="1" xr3:uid="{45BFAFB0-D6FF-4741-BC54-2756F6EA4CBF}" name="Salesperson_ID"/>
    <tableColumn id="2" xr3:uid="{FF8B80AF-409A-4DD4-8E79-4F2FA3DA8EF0}" name="Salesperson_Name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267985C-BCDB-4B1E-B3DB-6122FB4EE795}" name="SalesChannel" displayName="SalesChannel" ref="A1:B7" totalsRowShown="0">
  <autoFilter ref="A1:B7" xr:uid="{A267985C-BCDB-4B1E-B3DB-6122FB4EE795}"/>
  <tableColumns count="2">
    <tableColumn id="1" xr3:uid="{D11423B8-A085-4BEC-B942-815B7AA4F2DE}" name="Sales_Channel_ID"/>
    <tableColumn id="2" xr3:uid="{1C961A8A-879A-41C3-878B-E27882535048}" name="Sales_Channe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4"/>
  <sheetViews>
    <sheetView workbookViewId="0">
      <pane ySplit="1" topLeftCell="A2" activePane="bottomLeft" state="frozen"/>
      <selection pane="bottomLeft" activeCell="B10" sqref="B10"/>
    </sheetView>
  </sheetViews>
  <sheetFormatPr defaultRowHeight="15" x14ac:dyDescent="0.25"/>
  <cols>
    <col min="1" max="1" width="19" customWidth="1"/>
    <col min="2" max="2" width="35" customWidth="1"/>
    <col min="3" max="3" width="11" customWidth="1"/>
  </cols>
  <sheetData>
    <row r="1" spans="1:3" x14ac:dyDescent="0.25">
      <c r="A1" s="1" t="s">
        <v>2536</v>
      </c>
      <c r="B1" s="1" t="s">
        <v>2537</v>
      </c>
      <c r="C1" s="1" t="s">
        <v>2538</v>
      </c>
    </row>
    <row r="2" spans="1:3" x14ac:dyDescent="0.25">
      <c r="A2" t="s">
        <v>0</v>
      </c>
      <c r="B2" t="s">
        <v>2539</v>
      </c>
      <c r="C2" t="s">
        <v>2540</v>
      </c>
    </row>
    <row r="3" spans="1:3" x14ac:dyDescent="0.25">
      <c r="A3" t="s">
        <v>1</v>
      </c>
      <c r="B3" t="s">
        <v>2541</v>
      </c>
      <c r="C3" t="s">
        <v>2542</v>
      </c>
    </row>
    <row r="4" spans="1:3" x14ac:dyDescent="0.25">
      <c r="A4" t="s">
        <v>2</v>
      </c>
      <c r="B4" t="s">
        <v>2543</v>
      </c>
      <c r="C4" t="s">
        <v>2540</v>
      </c>
    </row>
    <row r="5" spans="1:3" x14ac:dyDescent="0.25">
      <c r="A5" t="s">
        <v>2569</v>
      </c>
      <c r="B5" t="s">
        <v>2573</v>
      </c>
      <c r="C5" t="s">
        <v>2540</v>
      </c>
    </row>
    <row r="6" spans="1:3" x14ac:dyDescent="0.25">
      <c r="A6" t="s">
        <v>2570</v>
      </c>
      <c r="B6" t="s">
        <v>2572</v>
      </c>
      <c r="C6" t="s">
        <v>2540</v>
      </c>
    </row>
    <row r="7" spans="1:3" x14ac:dyDescent="0.25">
      <c r="A7" t="s">
        <v>4</v>
      </c>
      <c r="B7" t="s">
        <v>2544</v>
      </c>
      <c r="C7" t="s">
        <v>2540</v>
      </c>
    </row>
    <row r="8" spans="1:3" x14ac:dyDescent="0.25">
      <c r="A8" t="s">
        <v>2571</v>
      </c>
      <c r="B8" t="s">
        <v>2574</v>
      </c>
      <c r="C8" t="s">
        <v>2540</v>
      </c>
    </row>
    <row r="9" spans="1:3" x14ac:dyDescent="0.25">
      <c r="A9" t="s">
        <v>5</v>
      </c>
      <c r="B9" t="s">
        <v>2545</v>
      </c>
      <c r="C9" t="s">
        <v>2540</v>
      </c>
    </row>
    <row r="10" spans="1:3" x14ac:dyDescent="0.25">
      <c r="A10" t="s">
        <v>6</v>
      </c>
      <c r="B10" t="s">
        <v>2546</v>
      </c>
      <c r="C10" t="s">
        <v>2540</v>
      </c>
    </row>
    <row r="11" spans="1:3" x14ac:dyDescent="0.25">
      <c r="A11" t="s">
        <v>7</v>
      </c>
      <c r="B11" t="s">
        <v>2547</v>
      </c>
      <c r="C11" t="s">
        <v>2540</v>
      </c>
    </row>
    <row r="12" spans="1:3" x14ac:dyDescent="0.25">
      <c r="A12" t="s">
        <v>8</v>
      </c>
      <c r="B12" t="s">
        <v>2548</v>
      </c>
      <c r="C12" t="s">
        <v>2540</v>
      </c>
    </row>
    <row r="13" spans="1:3" x14ac:dyDescent="0.25">
      <c r="A13" t="s">
        <v>9</v>
      </c>
      <c r="B13" t="s">
        <v>2549</v>
      </c>
      <c r="C13" t="s">
        <v>2540</v>
      </c>
    </row>
    <row r="14" spans="1:3" x14ac:dyDescent="0.25">
      <c r="A14" t="s">
        <v>10</v>
      </c>
      <c r="B14" t="s">
        <v>2550</v>
      </c>
      <c r="C14" t="s">
        <v>2551</v>
      </c>
    </row>
    <row r="15" spans="1:3" x14ac:dyDescent="0.25">
      <c r="A15" t="s">
        <v>11</v>
      </c>
      <c r="B15" t="s">
        <v>2552</v>
      </c>
      <c r="C15" t="s">
        <v>2551</v>
      </c>
    </row>
    <row r="16" spans="1:3" x14ac:dyDescent="0.25">
      <c r="A16" t="s">
        <v>12</v>
      </c>
      <c r="B16" t="s">
        <v>2553</v>
      </c>
      <c r="C16" t="s">
        <v>2551</v>
      </c>
    </row>
    <row r="17" spans="1:3" x14ac:dyDescent="0.25">
      <c r="A17" t="s">
        <v>13</v>
      </c>
      <c r="B17" t="s">
        <v>2554</v>
      </c>
      <c r="C17" t="s">
        <v>2551</v>
      </c>
    </row>
    <row r="18" spans="1:3" x14ac:dyDescent="0.25">
      <c r="A18" t="s">
        <v>14</v>
      </c>
      <c r="B18" t="s">
        <v>2555</v>
      </c>
      <c r="C18" t="s">
        <v>2551</v>
      </c>
    </row>
    <row r="19" spans="1:3" x14ac:dyDescent="0.25">
      <c r="A19" t="s">
        <v>15</v>
      </c>
      <c r="B19" t="s">
        <v>2556</v>
      </c>
      <c r="C19" t="s">
        <v>2551</v>
      </c>
    </row>
    <row r="20" spans="1:3" x14ac:dyDescent="0.25">
      <c r="A20" t="s">
        <v>16</v>
      </c>
      <c r="B20" t="s">
        <v>2557</v>
      </c>
      <c r="C20" t="s">
        <v>2551</v>
      </c>
    </row>
    <row r="21" spans="1:3" x14ac:dyDescent="0.25">
      <c r="A21" t="s">
        <v>17</v>
      </c>
      <c r="B21" t="s">
        <v>2558</v>
      </c>
      <c r="C21" t="s">
        <v>2551</v>
      </c>
    </row>
    <row r="22" spans="1:3" x14ac:dyDescent="0.25">
      <c r="A22" t="s">
        <v>18</v>
      </c>
      <c r="B22" t="s">
        <v>2559</v>
      </c>
      <c r="C22" t="s">
        <v>2551</v>
      </c>
    </row>
    <row r="23" spans="1:3" x14ac:dyDescent="0.25">
      <c r="A23" t="s">
        <v>19</v>
      </c>
      <c r="B23" t="s">
        <v>2560</v>
      </c>
      <c r="C23" t="s">
        <v>2540</v>
      </c>
    </row>
    <row r="24" spans="1:3" x14ac:dyDescent="0.25">
      <c r="A24" t="s">
        <v>3</v>
      </c>
      <c r="B24" t="s">
        <v>2561</v>
      </c>
      <c r="C24" t="s">
        <v>2540</v>
      </c>
    </row>
  </sheetData>
  <autoFilter ref="A1:C24" xr:uid="{00000000-0009-0000-0000-000001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5"/>
  <sheetViews>
    <sheetView workbookViewId="0">
      <pane ySplit="1" topLeftCell="A4" activePane="bottomLeft" state="frozen"/>
      <selection pane="bottomLeft" activeCell="G21" sqref="G21:H25"/>
    </sheetView>
  </sheetViews>
  <sheetFormatPr defaultRowHeight="15" x14ac:dyDescent="0.25"/>
  <cols>
    <col min="1" max="1" width="35" customWidth="1"/>
    <col min="7" max="7" width="17.85546875" bestFit="1" customWidth="1"/>
  </cols>
  <sheetData>
    <row r="1" spans="1:8" x14ac:dyDescent="0.25">
      <c r="A1" s="1" t="s">
        <v>2562</v>
      </c>
    </row>
    <row r="2" spans="1:8" x14ac:dyDescent="0.25">
      <c r="A2" t="s">
        <v>2575</v>
      </c>
    </row>
    <row r="3" spans="1:8" x14ac:dyDescent="0.25">
      <c r="A3" t="s">
        <v>2563</v>
      </c>
    </row>
    <row r="4" spans="1:8" x14ac:dyDescent="0.25">
      <c r="A4" t="s">
        <v>2564</v>
      </c>
    </row>
    <row r="5" spans="1:8" x14ac:dyDescent="0.25">
      <c r="A5" t="s">
        <v>2565</v>
      </c>
    </row>
    <row r="6" spans="1:8" x14ac:dyDescent="0.25">
      <c r="A6" t="s">
        <v>2566</v>
      </c>
    </row>
    <row r="7" spans="1:8" x14ac:dyDescent="0.25">
      <c r="A7" t="s">
        <v>2567</v>
      </c>
    </row>
    <row r="8" spans="1:8" x14ac:dyDescent="0.25">
      <c r="A8" t="s">
        <v>2568</v>
      </c>
    </row>
    <row r="16" spans="1:8" x14ac:dyDescent="0.25">
      <c r="G16" t="s">
        <v>2653</v>
      </c>
      <c r="H16" t="s">
        <v>2651</v>
      </c>
    </row>
    <row r="17" spans="7:8" x14ac:dyDescent="0.25">
      <c r="G17" t="s">
        <v>2654</v>
      </c>
      <c r="H17" t="s">
        <v>2652</v>
      </c>
    </row>
    <row r="18" spans="7:8" x14ac:dyDescent="0.25">
      <c r="G18" t="s">
        <v>2656</v>
      </c>
      <c r="H18" t="s">
        <v>2655</v>
      </c>
    </row>
    <row r="19" spans="7:8" x14ac:dyDescent="0.25">
      <c r="G19" t="s">
        <v>2658</v>
      </c>
      <c r="H19" t="s">
        <v>2657</v>
      </c>
    </row>
    <row r="21" spans="7:8" x14ac:dyDescent="0.25">
      <c r="G21" s="4"/>
    </row>
    <row r="22" spans="7:8" x14ac:dyDescent="0.25">
      <c r="G22" s="4"/>
    </row>
    <row r="23" spans="7:8" x14ac:dyDescent="0.25">
      <c r="G23" s="4"/>
    </row>
    <row r="24" spans="7:8" x14ac:dyDescent="0.25">
      <c r="G24" s="4"/>
    </row>
    <row r="25" spans="7:8" x14ac:dyDescent="0.25">
      <c r="G25" s="4"/>
    </row>
  </sheetData>
  <autoFilter ref="A1:A8" xr:uid="{00000000-0009-0000-0000-000002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051"/>
  <sheetViews>
    <sheetView workbookViewId="0">
      <pane ySplit="1" topLeftCell="A2041" activePane="bottomLeft" state="frozen"/>
      <selection pane="bottomLeft" activeCell="F2043" sqref="F2043"/>
    </sheetView>
  </sheetViews>
  <sheetFormatPr defaultRowHeight="15" x14ac:dyDescent="0.25"/>
  <cols>
    <col min="1" max="1" width="11.140625" customWidth="1"/>
    <col min="2" max="2" width="21" customWidth="1"/>
    <col min="3" max="3" width="14.5703125" customWidth="1"/>
    <col min="4" max="4" width="18" customWidth="1"/>
    <col min="5" max="5" width="13" customWidth="1"/>
    <col min="6" max="6" width="21" customWidth="1"/>
    <col min="7" max="7" width="15.28515625" customWidth="1"/>
    <col min="8" max="8" width="27" customWidth="1"/>
    <col min="9" max="9" width="9.28515625" customWidth="1"/>
    <col min="10" max="10" width="13" customWidth="1"/>
    <col min="11" max="11" width="16.7109375" customWidth="1"/>
    <col min="12" max="12" width="20.85546875" bestFit="1" customWidth="1"/>
    <col min="13" max="13" width="17" customWidth="1"/>
    <col min="14" max="14" width="19.140625" customWidth="1"/>
    <col min="15" max="15" width="10.85546875" customWidth="1"/>
    <col min="16" max="16" width="12.42578125" customWidth="1"/>
    <col min="17" max="17" width="15.85546875" customWidth="1"/>
    <col min="18" max="18" width="13.7109375" customWidth="1"/>
    <col min="19" max="19" width="14.5703125" customWidth="1"/>
    <col min="20" max="20" width="19" customWidth="1"/>
    <col min="21" max="21" width="12" customWidth="1"/>
    <col min="22" max="22" width="12.42578125" customWidth="1"/>
    <col min="23" max="23" width="9" customWidth="1"/>
    <col min="24" max="24" width="14.7109375" customWidth="1"/>
  </cols>
  <sheetData>
    <row r="1" spans="1:24" ht="15.75" thickBot="1" x14ac:dyDescent="0.3">
      <c r="A1" s="8" t="s">
        <v>0</v>
      </c>
      <c r="B1" s="8" t="s">
        <v>1</v>
      </c>
      <c r="C1" s="8" t="s">
        <v>2</v>
      </c>
      <c r="D1" s="9" t="s">
        <v>3</v>
      </c>
      <c r="E1" s="8" t="s">
        <v>2569</v>
      </c>
      <c r="F1" s="8" t="s">
        <v>2570</v>
      </c>
      <c r="G1" s="8" t="s">
        <v>4</v>
      </c>
      <c r="H1" s="8" t="s">
        <v>2571</v>
      </c>
      <c r="I1" s="8" t="s">
        <v>5</v>
      </c>
      <c r="J1" s="8" t="s">
        <v>6</v>
      </c>
      <c r="K1" s="8" t="s">
        <v>7</v>
      </c>
      <c r="L1" s="10" t="s">
        <v>2659</v>
      </c>
      <c r="M1" s="8" t="s">
        <v>8</v>
      </c>
      <c r="N1" s="8" t="s">
        <v>9</v>
      </c>
      <c r="O1" s="8" t="s">
        <v>10</v>
      </c>
      <c r="P1" s="8" t="s">
        <v>11</v>
      </c>
      <c r="Q1" s="8" t="s">
        <v>12</v>
      </c>
      <c r="R1" s="8" t="s">
        <v>13</v>
      </c>
      <c r="S1" s="8" t="s">
        <v>14</v>
      </c>
      <c r="T1" s="8" t="s">
        <v>15</v>
      </c>
      <c r="U1" s="8" t="s">
        <v>16</v>
      </c>
      <c r="V1" s="8" t="s">
        <v>17</v>
      </c>
      <c r="W1" s="8" t="s">
        <v>18</v>
      </c>
      <c r="X1" s="11" t="s">
        <v>19</v>
      </c>
    </row>
    <row r="2" spans="1:24" ht="15.75" thickTop="1" x14ac:dyDescent="0.25">
      <c r="A2" s="12" t="s">
        <v>20</v>
      </c>
      <c r="B2" s="13">
        <v>45322</v>
      </c>
      <c r="C2" s="14" t="s">
        <v>21</v>
      </c>
      <c r="D2" s="15" t="s">
        <v>22</v>
      </c>
      <c r="E2" s="14" t="s">
        <v>23</v>
      </c>
      <c r="F2" s="14" t="s">
        <v>24</v>
      </c>
      <c r="G2" s="14" t="s">
        <v>25</v>
      </c>
      <c r="H2" s="14" t="s">
        <v>26</v>
      </c>
      <c r="I2" s="14" t="s">
        <v>27</v>
      </c>
      <c r="J2" s="14" t="s">
        <v>28</v>
      </c>
      <c r="K2" s="14" t="s">
        <v>29</v>
      </c>
      <c r="L2" s="14" t="s">
        <v>2660</v>
      </c>
      <c r="M2" s="14" t="s">
        <v>30</v>
      </c>
      <c r="N2" s="14" t="s">
        <v>31</v>
      </c>
      <c r="O2" s="14">
        <v>16</v>
      </c>
      <c r="P2" s="14">
        <v>75.680000000000007</v>
      </c>
      <c r="Q2" s="14">
        <v>46.43</v>
      </c>
      <c r="R2" s="14">
        <v>1210.9000000000001</v>
      </c>
      <c r="S2" s="14">
        <v>0</v>
      </c>
      <c r="T2" s="14">
        <v>0</v>
      </c>
      <c r="U2" s="14">
        <v>1210.9000000000001</v>
      </c>
      <c r="V2" s="14">
        <v>742.87</v>
      </c>
      <c r="W2" s="14">
        <v>468.03</v>
      </c>
      <c r="X2" s="14" t="s">
        <v>32</v>
      </c>
    </row>
    <row r="3" spans="1:24" x14ac:dyDescent="0.25">
      <c r="A3" s="16" t="s">
        <v>33</v>
      </c>
      <c r="B3" s="17">
        <v>45550</v>
      </c>
      <c r="C3" s="6" t="s">
        <v>34</v>
      </c>
      <c r="D3" s="6" t="s">
        <v>35</v>
      </c>
      <c r="E3" s="6" t="s">
        <v>36</v>
      </c>
      <c r="F3" s="6" t="s">
        <v>37</v>
      </c>
      <c r="G3" s="6" t="s">
        <v>38</v>
      </c>
      <c r="H3" s="6" t="s">
        <v>39</v>
      </c>
      <c r="I3" s="6" t="s">
        <v>40</v>
      </c>
      <c r="J3" s="6" t="s">
        <v>41</v>
      </c>
      <c r="K3" s="6" t="s">
        <v>42</v>
      </c>
      <c r="L3" s="6" t="s">
        <v>2661</v>
      </c>
      <c r="M3" s="6" t="s">
        <v>43</v>
      </c>
      <c r="N3" s="6" t="s">
        <v>44</v>
      </c>
      <c r="O3" s="6">
        <v>73</v>
      </c>
      <c r="P3" s="6">
        <v>177.4</v>
      </c>
      <c r="Q3" s="6">
        <v>98.27</v>
      </c>
      <c r="R3" s="6">
        <v>12950.44</v>
      </c>
      <c r="S3" s="6">
        <v>0</v>
      </c>
      <c r="T3" s="6">
        <v>0</v>
      </c>
      <c r="U3" s="6">
        <v>12950.44</v>
      </c>
      <c r="V3" s="6">
        <v>7173.57</v>
      </c>
      <c r="W3" s="6">
        <v>5776.87</v>
      </c>
      <c r="X3" s="6" t="s">
        <v>45</v>
      </c>
    </row>
    <row r="4" spans="1:24" x14ac:dyDescent="0.25">
      <c r="A4" s="5" t="s">
        <v>46</v>
      </c>
      <c r="B4" s="18">
        <v>45488</v>
      </c>
      <c r="C4" s="7" t="s">
        <v>47</v>
      </c>
      <c r="D4" s="7" t="s">
        <v>48</v>
      </c>
      <c r="E4" s="7" t="s">
        <v>49</v>
      </c>
      <c r="F4" s="7" t="s">
        <v>50</v>
      </c>
      <c r="G4" s="7" t="s">
        <v>51</v>
      </c>
      <c r="H4" s="7" t="s">
        <v>52</v>
      </c>
      <c r="I4" s="7" t="s">
        <v>53</v>
      </c>
      <c r="J4" s="7" t="s">
        <v>54</v>
      </c>
      <c r="K4" s="7" t="s">
        <v>42</v>
      </c>
      <c r="L4" s="7" t="s">
        <v>2661</v>
      </c>
      <c r="M4" s="7" t="s">
        <v>43</v>
      </c>
      <c r="N4" s="7" t="s">
        <v>31</v>
      </c>
      <c r="O4" s="7">
        <v>63</v>
      </c>
      <c r="P4" s="7">
        <v>24.06</v>
      </c>
      <c r="Q4" s="7">
        <v>12</v>
      </c>
      <c r="R4" s="7">
        <v>1515.79</v>
      </c>
      <c r="S4" s="7">
        <v>0.05</v>
      </c>
      <c r="T4" s="7">
        <v>75.790000000000006</v>
      </c>
      <c r="U4" s="7">
        <v>1440</v>
      </c>
      <c r="V4" s="7">
        <v>756.22</v>
      </c>
      <c r="W4" s="7">
        <v>683.78</v>
      </c>
      <c r="X4" s="7" t="s">
        <v>45</v>
      </c>
    </row>
    <row r="5" spans="1:24" x14ac:dyDescent="0.25">
      <c r="A5" s="16" t="s">
        <v>55</v>
      </c>
      <c r="B5" s="17">
        <v>45521</v>
      </c>
      <c r="C5" s="6" t="s">
        <v>56</v>
      </c>
      <c r="D5" s="6" t="s">
        <v>57</v>
      </c>
      <c r="E5" s="6" t="s">
        <v>49</v>
      </c>
      <c r="F5" s="6" t="s">
        <v>50</v>
      </c>
      <c r="G5" s="6" t="s">
        <v>51</v>
      </c>
      <c r="H5" s="6" t="s">
        <v>52</v>
      </c>
      <c r="I5" s="6" t="s">
        <v>58</v>
      </c>
      <c r="J5" s="6" t="s">
        <v>59</v>
      </c>
      <c r="K5" s="6" t="s">
        <v>60</v>
      </c>
      <c r="L5" s="6" t="s">
        <v>2662</v>
      </c>
      <c r="M5" s="6" t="s">
        <v>61</v>
      </c>
      <c r="N5" s="6" t="s">
        <v>62</v>
      </c>
      <c r="O5" s="6">
        <v>70</v>
      </c>
      <c r="P5" s="6">
        <v>26.96</v>
      </c>
      <c r="Q5" s="6">
        <v>12.44</v>
      </c>
      <c r="R5" s="6">
        <v>1887.53</v>
      </c>
      <c r="S5" s="6">
        <v>0.02</v>
      </c>
      <c r="T5" s="6">
        <v>37.75</v>
      </c>
      <c r="U5" s="6">
        <v>1849.78</v>
      </c>
      <c r="V5" s="6">
        <v>870.93</v>
      </c>
      <c r="W5" s="6">
        <v>978.85</v>
      </c>
      <c r="X5" s="6" t="s">
        <v>45</v>
      </c>
    </row>
    <row r="6" spans="1:24" x14ac:dyDescent="0.25">
      <c r="A6" s="5" t="s">
        <v>63</v>
      </c>
      <c r="B6" s="18">
        <v>45475</v>
      </c>
      <c r="C6" s="7" t="s">
        <v>64</v>
      </c>
      <c r="D6" s="7" t="s">
        <v>65</v>
      </c>
      <c r="E6" s="7" t="s">
        <v>66</v>
      </c>
      <c r="F6" s="7" t="s">
        <v>67</v>
      </c>
      <c r="G6" s="7" t="s">
        <v>38</v>
      </c>
      <c r="H6" s="7" t="s">
        <v>68</v>
      </c>
      <c r="I6" s="7" t="s">
        <v>40</v>
      </c>
      <c r="J6" s="7" t="s">
        <v>41</v>
      </c>
      <c r="K6" s="7" t="s">
        <v>69</v>
      </c>
      <c r="L6" s="7" t="s">
        <v>2663</v>
      </c>
      <c r="M6" s="7" t="s">
        <v>30</v>
      </c>
      <c r="N6" s="7" t="s">
        <v>70</v>
      </c>
      <c r="O6" s="7">
        <v>77</v>
      </c>
      <c r="P6" s="7">
        <v>156.03</v>
      </c>
      <c r="Q6" s="7">
        <v>96.18</v>
      </c>
      <c r="R6" s="7">
        <v>12014.63</v>
      </c>
      <c r="S6" s="7">
        <v>0.2</v>
      </c>
      <c r="T6" s="7">
        <v>2402.9299999999998</v>
      </c>
      <c r="U6" s="7">
        <v>9611.7000000000007</v>
      </c>
      <c r="V6" s="7">
        <v>7405.93</v>
      </c>
      <c r="W6" s="7">
        <v>2205.77</v>
      </c>
      <c r="X6" s="7" t="s">
        <v>45</v>
      </c>
    </row>
    <row r="7" spans="1:24" x14ac:dyDescent="0.25">
      <c r="A7" s="16" t="s">
        <v>71</v>
      </c>
      <c r="B7" s="17">
        <v>45420</v>
      </c>
      <c r="C7" s="6" t="s">
        <v>72</v>
      </c>
      <c r="D7" s="6" t="s">
        <v>48</v>
      </c>
      <c r="E7" s="6" t="s">
        <v>36</v>
      </c>
      <c r="F7" s="6" t="s">
        <v>37</v>
      </c>
      <c r="G7" s="6" t="s">
        <v>38</v>
      </c>
      <c r="H7" s="6" t="s">
        <v>39</v>
      </c>
      <c r="I7" s="6" t="s">
        <v>58</v>
      </c>
      <c r="J7" s="6" t="s">
        <v>73</v>
      </c>
      <c r="K7" s="6" t="s">
        <v>74</v>
      </c>
      <c r="L7" s="6" t="s">
        <v>2664</v>
      </c>
      <c r="M7" s="6" t="s">
        <v>30</v>
      </c>
      <c r="N7" s="6" t="s">
        <v>75</v>
      </c>
      <c r="O7" s="6">
        <v>68</v>
      </c>
      <c r="P7" s="6">
        <v>176.42</v>
      </c>
      <c r="Q7" s="6">
        <v>99.7</v>
      </c>
      <c r="R7" s="6">
        <v>11996.8</v>
      </c>
      <c r="S7" s="6">
        <v>0.1</v>
      </c>
      <c r="T7" s="6">
        <v>1199.68</v>
      </c>
      <c r="U7" s="6">
        <v>10797.12</v>
      </c>
      <c r="V7" s="6">
        <v>6779.67</v>
      </c>
      <c r="W7" s="6">
        <v>4017.45</v>
      </c>
      <c r="X7" s="6" t="s">
        <v>45</v>
      </c>
    </row>
    <row r="8" spans="1:24" x14ac:dyDescent="0.25">
      <c r="A8" s="5" t="s">
        <v>76</v>
      </c>
      <c r="B8" s="18">
        <v>45312</v>
      </c>
      <c r="C8" s="7" t="s">
        <v>77</v>
      </c>
      <c r="D8" s="7" t="s">
        <v>22</v>
      </c>
      <c r="E8" s="7" t="s">
        <v>78</v>
      </c>
      <c r="F8" s="7" t="s">
        <v>79</v>
      </c>
      <c r="G8" s="7" t="s">
        <v>80</v>
      </c>
      <c r="H8" s="7" t="s">
        <v>81</v>
      </c>
      <c r="I8" s="7" t="s">
        <v>40</v>
      </c>
      <c r="J8" s="7" t="s">
        <v>82</v>
      </c>
      <c r="K8" s="7" t="s">
        <v>83</v>
      </c>
      <c r="L8" s="7" t="s">
        <v>2665</v>
      </c>
      <c r="M8" s="7" t="s">
        <v>61</v>
      </c>
      <c r="N8" s="7" t="s">
        <v>84</v>
      </c>
      <c r="O8" s="7">
        <v>62</v>
      </c>
      <c r="P8" s="7">
        <v>-25</v>
      </c>
      <c r="Q8" s="7">
        <v>80.27</v>
      </c>
      <c r="R8" s="7">
        <v>8358.98</v>
      </c>
      <c r="S8" s="7">
        <v>0</v>
      </c>
      <c r="T8" s="7">
        <v>0</v>
      </c>
      <c r="U8" s="7">
        <v>8358.98</v>
      </c>
      <c r="V8" s="7">
        <v>4976.99</v>
      </c>
      <c r="W8" s="7">
        <v>3381.99</v>
      </c>
      <c r="X8" s="7" t="s">
        <v>32</v>
      </c>
    </row>
    <row r="9" spans="1:24" x14ac:dyDescent="0.25">
      <c r="A9" s="16" t="s">
        <v>85</v>
      </c>
      <c r="B9" s="17">
        <v>45294</v>
      </c>
      <c r="C9" s="6" t="s">
        <v>86</v>
      </c>
      <c r="D9" s="6" t="s">
        <v>87</v>
      </c>
      <c r="E9" s="6" t="s">
        <v>66</v>
      </c>
      <c r="F9" s="6" t="s">
        <v>67</v>
      </c>
      <c r="G9" s="6" t="s">
        <v>38</v>
      </c>
      <c r="H9" s="6" t="s">
        <v>68</v>
      </c>
      <c r="I9" s="6" t="s">
        <v>88</v>
      </c>
      <c r="J9" s="6" t="s">
        <v>89</v>
      </c>
      <c r="K9" s="6" t="s">
        <v>90</v>
      </c>
      <c r="L9" s="6" t="s">
        <v>2666</v>
      </c>
      <c r="M9" s="6" t="s">
        <v>43</v>
      </c>
      <c r="N9" s="6" t="s">
        <v>75</v>
      </c>
      <c r="O9" s="6">
        <v>72</v>
      </c>
      <c r="P9" s="6">
        <v>165.8</v>
      </c>
      <c r="Q9" s="6">
        <v>112.18</v>
      </c>
      <c r="R9" s="6">
        <v>11937.41</v>
      </c>
      <c r="S9" s="6">
        <v>0.1</v>
      </c>
      <c r="T9" s="6">
        <v>1193.74</v>
      </c>
      <c r="U9" s="6">
        <v>10743.67</v>
      </c>
      <c r="V9" s="6">
        <v>8077.23</v>
      </c>
      <c r="W9" s="6">
        <v>2666.45</v>
      </c>
      <c r="X9" s="6" t="s">
        <v>32</v>
      </c>
    </row>
    <row r="10" spans="1:24" x14ac:dyDescent="0.25">
      <c r="A10" s="5" t="s">
        <v>91</v>
      </c>
      <c r="B10" s="18">
        <v>45520</v>
      </c>
      <c r="C10" s="7" t="s">
        <v>92</v>
      </c>
      <c r="D10" s="7" t="s">
        <v>48</v>
      </c>
      <c r="E10" s="7" t="s">
        <v>93</v>
      </c>
      <c r="F10" s="7" t="s">
        <v>94</v>
      </c>
      <c r="G10" s="7" t="s">
        <v>95</v>
      </c>
      <c r="H10" s="7" t="s">
        <v>96</v>
      </c>
      <c r="I10" s="7" t="s">
        <v>58</v>
      </c>
      <c r="J10" s="7" t="s">
        <v>73</v>
      </c>
      <c r="K10" s="7" t="s">
        <v>69</v>
      </c>
      <c r="L10" s="7" t="s">
        <v>2663</v>
      </c>
      <c r="M10" s="7" t="s">
        <v>61</v>
      </c>
      <c r="N10" s="7" t="s">
        <v>84</v>
      </c>
      <c r="O10" s="7">
        <v>11</v>
      </c>
      <c r="P10" s="7">
        <v>54.11</v>
      </c>
      <c r="Q10" s="7">
        <v>30.22</v>
      </c>
      <c r="R10" s="7">
        <v>595.25</v>
      </c>
      <c r="S10" s="7">
        <v>0.2</v>
      </c>
      <c r="T10" s="7">
        <v>119.05</v>
      </c>
      <c r="U10" s="7">
        <v>476.2</v>
      </c>
      <c r="V10" s="7">
        <v>332.42</v>
      </c>
      <c r="W10" s="7">
        <v>143.78</v>
      </c>
      <c r="X10" s="7" t="s">
        <v>32</v>
      </c>
    </row>
    <row r="11" spans="1:24" x14ac:dyDescent="0.25">
      <c r="A11" s="16" t="s">
        <v>97</v>
      </c>
      <c r="B11" s="17">
        <v>45379</v>
      </c>
      <c r="C11" s="6" t="s">
        <v>98</v>
      </c>
      <c r="D11" s="6" t="s">
        <v>48</v>
      </c>
      <c r="E11" s="6" t="s">
        <v>99</v>
      </c>
      <c r="F11" s="6" t="s">
        <v>100</v>
      </c>
      <c r="G11" s="6" t="s">
        <v>101</v>
      </c>
      <c r="H11" s="6" t="s">
        <v>102</v>
      </c>
      <c r="I11" s="6" t="s">
        <v>40</v>
      </c>
      <c r="J11" s="6" t="s">
        <v>82</v>
      </c>
      <c r="K11" s="6" t="s">
        <v>42</v>
      </c>
      <c r="L11" s="6" t="s">
        <v>2661</v>
      </c>
      <c r="M11" s="6" t="s">
        <v>61</v>
      </c>
      <c r="N11" s="6" t="s">
        <v>70</v>
      </c>
      <c r="O11" s="6">
        <v>71</v>
      </c>
      <c r="P11" s="6">
        <v>68.849999999999994</v>
      </c>
      <c r="Q11" s="6">
        <v>40.65</v>
      </c>
      <c r="R11" s="6">
        <v>4888.08</v>
      </c>
      <c r="S11" s="6">
        <v>0.02</v>
      </c>
      <c r="T11" s="6">
        <v>97.76</v>
      </c>
      <c r="U11" s="6">
        <v>4790.32</v>
      </c>
      <c r="V11" s="6">
        <v>2886.41</v>
      </c>
      <c r="W11" s="6">
        <v>1903.91</v>
      </c>
      <c r="X11" s="6" t="s">
        <v>32</v>
      </c>
    </row>
    <row r="12" spans="1:24" x14ac:dyDescent="0.25">
      <c r="A12" s="5" t="s">
        <v>103</v>
      </c>
      <c r="B12" s="18">
        <v>45494</v>
      </c>
      <c r="C12" s="7" t="s">
        <v>104</v>
      </c>
      <c r="D12" s="7" t="s">
        <v>105</v>
      </c>
      <c r="E12" s="7" t="s">
        <v>49</v>
      </c>
      <c r="F12" s="7" t="s">
        <v>50</v>
      </c>
      <c r="G12" s="7" t="s">
        <v>51</v>
      </c>
      <c r="H12" s="7" t="s">
        <v>52</v>
      </c>
      <c r="I12" s="7" t="s">
        <v>27</v>
      </c>
      <c r="J12" s="7" t="s">
        <v>106</v>
      </c>
      <c r="K12" s="7" t="s">
        <v>29</v>
      </c>
      <c r="L12" s="7" t="s">
        <v>2660</v>
      </c>
      <c r="M12" s="7" t="s">
        <v>30</v>
      </c>
      <c r="N12" s="7" t="s">
        <v>31</v>
      </c>
      <c r="O12" s="7">
        <v>4</v>
      </c>
      <c r="P12" s="7">
        <v>24.19</v>
      </c>
      <c r="Q12" s="7">
        <v>12.15</v>
      </c>
      <c r="R12" s="7">
        <v>96.76</v>
      </c>
      <c r="S12" s="7">
        <v>0.02</v>
      </c>
      <c r="T12" s="7">
        <v>1.94</v>
      </c>
      <c r="U12" s="7">
        <v>94.82</v>
      </c>
      <c r="V12" s="7">
        <v>48.61</v>
      </c>
      <c r="W12" s="7">
        <v>46.22</v>
      </c>
      <c r="X12" s="7" t="s">
        <v>32</v>
      </c>
    </row>
    <row r="13" spans="1:24" x14ac:dyDescent="0.25">
      <c r="A13" s="16" t="s">
        <v>107</v>
      </c>
      <c r="B13" s="17">
        <v>45650</v>
      </c>
      <c r="C13" s="6" t="s">
        <v>108</v>
      </c>
      <c r="D13" s="6" t="s">
        <v>105</v>
      </c>
      <c r="E13" s="6" t="s">
        <v>109</v>
      </c>
      <c r="F13" s="6" t="s">
        <v>110</v>
      </c>
      <c r="G13" s="6" t="s">
        <v>80</v>
      </c>
      <c r="H13" s="6" t="s">
        <v>81</v>
      </c>
      <c r="I13" s="6" t="s">
        <v>53</v>
      </c>
      <c r="J13" s="6" t="s">
        <v>54</v>
      </c>
      <c r="K13" s="6" t="s">
        <v>111</v>
      </c>
      <c r="L13" s="6" t="s">
        <v>2667</v>
      </c>
      <c r="M13" s="6" t="s">
        <v>30</v>
      </c>
      <c r="N13" s="6" t="s">
        <v>70</v>
      </c>
      <c r="O13" s="6">
        <v>30</v>
      </c>
      <c r="P13" s="6">
        <v>127.85</v>
      </c>
      <c r="Q13" s="6">
        <v>73.069999999999993</v>
      </c>
      <c r="R13" s="6">
        <v>3835.54</v>
      </c>
      <c r="S13" s="6">
        <v>0.02</v>
      </c>
      <c r="T13" s="6">
        <v>76.709999999999994</v>
      </c>
      <c r="U13" s="6">
        <v>3758.83</v>
      </c>
      <c r="V13" s="6">
        <v>2192.0300000000002</v>
      </c>
      <c r="W13" s="6">
        <v>1566.8</v>
      </c>
      <c r="X13" s="6" t="s">
        <v>32</v>
      </c>
    </row>
    <row r="14" spans="1:24" x14ac:dyDescent="0.25">
      <c r="A14" s="5" t="s">
        <v>112</v>
      </c>
      <c r="B14" s="18">
        <v>45516</v>
      </c>
      <c r="C14" s="7" t="s">
        <v>113</v>
      </c>
      <c r="D14" s="7" t="s">
        <v>65</v>
      </c>
      <c r="E14" s="7" t="s">
        <v>114</v>
      </c>
      <c r="F14" s="7" t="s">
        <v>115</v>
      </c>
      <c r="G14" s="7" t="s">
        <v>95</v>
      </c>
      <c r="H14" s="7" t="s">
        <v>116</v>
      </c>
      <c r="I14" s="7" t="s">
        <v>40</v>
      </c>
      <c r="J14" s="7" t="s">
        <v>117</v>
      </c>
      <c r="K14" s="7" t="s">
        <v>118</v>
      </c>
      <c r="L14" s="7" t="s">
        <v>2668</v>
      </c>
      <c r="M14" s="7" t="s">
        <v>43</v>
      </c>
      <c r="N14" s="7" t="s">
        <v>75</v>
      </c>
      <c r="O14" s="7">
        <v>63</v>
      </c>
      <c r="P14" s="7">
        <v>35.729999999999997</v>
      </c>
      <c r="Q14" s="7">
        <v>20.149999999999999</v>
      </c>
      <c r="R14" s="7">
        <v>2250.9499999999998</v>
      </c>
      <c r="S14" s="7">
        <v>0.1</v>
      </c>
      <c r="T14" s="7">
        <v>225.1</v>
      </c>
      <c r="U14" s="7">
        <v>2025.86</v>
      </c>
      <c r="V14" s="7">
        <v>1269.74</v>
      </c>
      <c r="W14" s="7">
        <v>756.12</v>
      </c>
      <c r="X14" s="7" t="s">
        <v>45</v>
      </c>
    </row>
    <row r="15" spans="1:24" x14ac:dyDescent="0.25">
      <c r="A15" s="16" t="s">
        <v>119</v>
      </c>
      <c r="B15" s="17">
        <v>45342</v>
      </c>
      <c r="C15" s="6" t="s">
        <v>120</v>
      </c>
      <c r="D15" s="6" t="s">
        <v>121</v>
      </c>
      <c r="E15" s="6" t="s">
        <v>23</v>
      </c>
      <c r="F15" s="6" t="s">
        <v>24</v>
      </c>
      <c r="G15" s="6" t="s">
        <v>25</v>
      </c>
      <c r="H15" s="6" t="s">
        <v>26</v>
      </c>
      <c r="I15" s="6" t="s">
        <v>53</v>
      </c>
      <c r="J15" s="6" t="s">
        <v>122</v>
      </c>
      <c r="K15" s="6" t="s">
        <v>83</v>
      </c>
      <c r="L15" s="6" t="s">
        <v>2665</v>
      </c>
      <c r="M15" s="6" t="s">
        <v>61</v>
      </c>
      <c r="N15" s="6" t="s">
        <v>70</v>
      </c>
      <c r="O15" s="6">
        <v>20</v>
      </c>
      <c r="P15" s="6">
        <v>76.040000000000006</v>
      </c>
      <c r="Q15" s="6">
        <v>41.66</v>
      </c>
      <c r="R15" s="6">
        <v>1520.79</v>
      </c>
      <c r="S15" s="6">
        <v>0.2</v>
      </c>
      <c r="T15" s="6">
        <v>304.16000000000003</v>
      </c>
      <c r="U15" s="6">
        <v>1216.6300000000001</v>
      </c>
      <c r="V15" s="6">
        <v>833.26</v>
      </c>
      <c r="W15" s="6">
        <v>383.37</v>
      </c>
      <c r="X15" s="6" t="s">
        <v>45</v>
      </c>
    </row>
    <row r="16" spans="1:24" x14ac:dyDescent="0.25">
      <c r="A16" s="5" t="s">
        <v>123</v>
      </c>
      <c r="B16" s="18">
        <v>45420</v>
      </c>
      <c r="C16" s="7" t="s">
        <v>124</v>
      </c>
      <c r="D16" s="7" t="s">
        <v>125</v>
      </c>
      <c r="E16" s="7" t="s">
        <v>126</v>
      </c>
      <c r="F16" s="7" t="s">
        <v>127</v>
      </c>
      <c r="G16" s="7" t="s">
        <v>95</v>
      </c>
      <c r="H16" s="7" t="s">
        <v>128</v>
      </c>
      <c r="I16" s="7" t="s">
        <v>58</v>
      </c>
      <c r="J16" s="7" t="s">
        <v>59</v>
      </c>
      <c r="K16" s="7" t="s">
        <v>83</v>
      </c>
      <c r="L16" s="7" t="s">
        <v>2665</v>
      </c>
      <c r="M16" s="7" t="s">
        <v>43</v>
      </c>
      <c r="N16" s="7" t="s">
        <v>44</v>
      </c>
      <c r="O16" s="7">
        <v>30</v>
      </c>
      <c r="P16" s="7">
        <v>96.66</v>
      </c>
      <c r="Q16" s="7">
        <v>50.9</v>
      </c>
      <c r="R16" s="7">
        <v>2899.78</v>
      </c>
      <c r="S16" s="7">
        <v>0</v>
      </c>
      <c r="T16" s="7">
        <v>0</v>
      </c>
      <c r="U16" s="7">
        <v>2899.78</v>
      </c>
      <c r="V16" s="7">
        <v>1526.85</v>
      </c>
      <c r="W16" s="7">
        <v>1372.92</v>
      </c>
      <c r="X16" s="7" t="s">
        <v>129</v>
      </c>
    </row>
    <row r="17" spans="1:24" x14ac:dyDescent="0.25">
      <c r="A17" s="16" t="s">
        <v>130</v>
      </c>
      <c r="B17" s="17">
        <v>45368</v>
      </c>
      <c r="C17" s="6" t="s">
        <v>131</v>
      </c>
      <c r="D17" s="6" t="s">
        <v>65</v>
      </c>
      <c r="E17" s="6" t="s">
        <v>132</v>
      </c>
      <c r="F17" s="6" t="s">
        <v>133</v>
      </c>
      <c r="G17" s="6" t="s">
        <v>51</v>
      </c>
      <c r="H17" s="6" t="s">
        <v>134</v>
      </c>
      <c r="I17" s="6" t="s">
        <v>88</v>
      </c>
      <c r="J17" s="6" t="s">
        <v>135</v>
      </c>
      <c r="K17" s="6" t="s">
        <v>29</v>
      </c>
      <c r="L17" s="6" t="s">
        <v>2660</v>
      </c>
      <c r="M17" s="6" t="s">
        <v>43</v>
      </c>
      <c r="N17" s="6" t="s">
        <v>84</v>
      </c>
      <c r="O17" s="6">
        <v>39</v>
      </c>
      <c r="P17" s="6">
        <v>63.9</v>
      </c>
      <c r="Q17" s="6">
        <v>32.04</v>
      </c>
      <c r="R17" s="6">
        <v>2492.17</v>
      </c>
      <c r="S17" s="6">
        <v>0.15</v>
      </c>
      <c r="T17" s="6">
        <v>373.83</v>
      </c>
      <c r="U17" s="6">
        <v>2118.34</v>
      </c>
      <c r="V17" s="6">
        <v>1249.46</v>
      </c>
      <c r="W17" s="6">
        <v>868.88</v>
      </c>
      <c r="X17" s="6" t="s">
        <v>45</v>
      </c>
    </row>
    <row r="18" spans="1:24" x14ac:dyDescent="0.25">
      <c r="A18" s="5" t="s">
        <v>136</v>
      </c>
      <c r="B18" s="18">
        <v>45607</v>
      </c>
      <c r="C18" s="7" t="s">
        <v>137</v>
      </c>
      <c r="D18" s="7" t="s">
        <v>22</v>
      </c>
      <c r="E18" s="7" t="s">
        <v>114</v>
      </c>
      <c r="F18" s="7" t="s">
        <v>115</v>
      </c>
      <c r="G18" s="7" t="s">
        <v>95</v>
      </c>
      <c r="H18" s="7" t="s">
        <v>116</v>
      </c>
      <c r="I18" s="7" t="s">
        <v>58</v>
      </c>
      <c r="J18" s="7" t="s">
        <v>73</v>
      </c>
      <c r="K18" s="7" t="s">
        <v>83</v>
      </c>
      <c r="L18" s="7" t="s">
        <v>2665</v>
      </c>
      <c r="M18" s="7" t="s">
        <v>138</v>
      </c>
      <c r="N18" s="7" t="s">
        <v>75</v>
      </c>
      <c r="O18" s="7">
        <v>54</v>
      </c>
      <c r="P18" s="7">
        <v>36.93</v>
      </c>
      <c r="Q18" s="7">
        <v>19.399999999999999</v>
      </c>
      <c r="R18" s="7">
        <v>1994.29</v>
      </c>
      <c r="S18" s="7">
        <v>0.02</v>
      </c>
      <c r="T18" s="7">
        <v>39.89</v>
      </c>
      <c r="U18" s="7">
        <v>1954.4</v>
      </c>
      <c r="V18" s="7">
        <v>1047.5</v>
      </c>
      <c r="W18" s="7">
        <v>906.9</v>
      </c>
      <c r="X18" s="7" t="s">
        <v>45</v>
      </c>
    </row>
    <row r="19" spans="1:24" x14ac:dyDescent="0.25">
      <c r="A19" s="16" t="s">
        <v>139</v>
      </c>
      <c r="B19" s="17">
        <v>45550</v>
      </c>
      <c r="C19" s="6" t="s">
        <v>140</v>
      </c>
      <c r="D19" s="6" t="s">
        <v>87</v>
      </c>
      <c r="E19" s="6" t="s">
        <v>141</v>
      </c>
      <c r="F19" s="6" t="s">
        <v>142</v>
      </c>
      <c r="G19" s="6" t="s">
        <v>25</v>
      </c>
      <c r="H19" s="6" t="s">
        <v>26</v>
      </c>
      <c r="I19" s="6" t="s">
        <v>53</v>
      </c>
      <c r="J19" s="6" t="s">
        <v>143</v>
      </c>
      <c r="K19" s="6" t="s">
        <v>144</v>
      </c>
      <c r="L19" s="6" t="s">
        <v>2669</v>
      </c>
      <c r="M19" s="6" t="s">
        <v>43</v>
      </c>
      <c r="N19" s="6" t="s">
        <v>44</v>
      </c>
      <c r="O19" s="6">
        <v>38</v>
      </c>
      <c r="P19" s="6">
        <v>96.48</v>
      </c>
      <c r="Q19" s="6">
        <v>59.43</v>
      </c>
      <c r="R19" s="6">
        <v>3666.12</v>
      </c>
      <c r="S19" s="6">
        <v>0.05</v>
      </c>
      <c r="T19" s="6">
        <v>183.31</v>
      </c>
      <c r="U19" s="6">
        <v>3482.81</v>
      </c>
      <c r="V19" s="6">
        <v>2258.35</v>
      </c>
      <c r="W19" s="6">
        <v>1224.46</v>
      </c>
      <c r="X19" s="6" t="s">
        <v>45</v>
      </c>
    </row>
    <row r="20" spans="1:24" x14ac:dyDescent="0.25">
      <c r="A20" s="5" t="s">
        <v>145</v>
      </c>
      <c r="B20" s="18">
        <v>45312</v>
      </c>
      <c r="C20" s="7" t="s">
        <v>146</v>
      </c>
      <c r="D20" s="7" t="s">
        <v>105</v>
      </c>
      <c r="E20" s="7" t="s">
        <v>36</v>
      </c>
      <c r="F20" s="7" t="s">
        <v>37</v>
      </c>
      <c r="G20" s="7" t="s">
        <v>38</v>
      </c>
      <c r="H20" s="7" t="s">
        <v>39</v>
      </c>
      <c r="I20" s="7" t="s">
        <v>40</v>
      </c>
      <c r="J20" s="7" t="s">
        <v>82</v>
      </c>
      <c r="K20" s="7" t="s">
        <v>118</v>
      </c>
      <c r="L20" s="7" t="s">
        <v>2668</v>
      </c>
      <c r="M20" s="7" t="s">
        <v>61</v>
      </c>
      <c r="N20" s="7" t="s">
        <v>44</v>
      </c>
      <c r="O20" s="7">
        <v>10</v>
      </c>
      <c r="P20" s="7">
        <v>171.69</v>
      </c>
      <c r="Q20" s="7">
        <v>103.26</v>
      </c>
      <c r="R20" s="7">
        <v>1716.9</v>
      </c>
      <c r="S20" s="7">
        <v>0.05</v>
      </c>
      <c r="T20" s="7">
        <v>85.85</v>
      </c>
      <c r="U20" s="7">
        <v>1631.06</v>
      </c>
      <c r="V20" s="7">
        <v>1032.5999999999999</v>
      </c>
      <c r="W20" s="7">
        <v>598.46</v>
      </c>
      <c r="X20" s="7" t="s">
        <v>129</v>
      </c>
    </row>
    <row r="21" spans="1:24" x14ac:dyDescent="0.25">
      <c r="A21" s="16" t="s">
        <v>147</v>
      </c>
      <c r="B21" s="17">
        <v>45645</v>
      </c>
      <c r="C21" s="6" t="s">
        <v>148</v>
      </c>
      <c r="D21" s="6" t="s">
        <v>149</v>
      </c>
      <c r="E21" s="6" t="s">
        <v>150</v>
      </c>
      <c r="F21" s="6" t="s">
        <v>151</v>
      </c>
      <c r="G21" s="6" t="s">
        <v>101</v>
      </c>
      <c r="H21" s="6" t="s">
        <v>134</v>
      </c>
      <c r="I21" s="6" t="s">
        <v>88</v>
      </c>
      <c r="J21" s="6" t="s">
        <v>89</v>
      </c>
      <c r="K21" s="6" t="s">
        <v>152</v>
      </c>
      <c r="L21" s="6" t="s">
        <v>2670</v>
      </c>
      <c r="M21" s="6" t="s">
        <v>153</v>
      </c>
      <c r="N21" s="6" t="s">
        <v>44</v>
      </c>
      <c r="O21" s="6">
        <v>59</v>
      </c>
      <c r="P21" s="6">
        <v>87.81</v>
      </c>
      <c r="Q21" s="6">
        <v>47.43</v>
      </c>
      <c r="R21" s="6">
        <v>5181.08</v>
      </c>
      <c r="S21" s="6">
        <v>0.02</v>
      </c>
      <c r="T21" s="6">
        <v>103.62</v>
      </c>
      <c r="U21" s="6">
        <v>5077.46</v>
      </c>
      <c r="V21" s="6">
        <v>2798.46</v>
      </c>
      <c r="W21" s="6">
        <v>2279</v>
      </c>
      <c r="X21" s="6" t="s">
        <v>45</v>
      </c>
    </row>
    <row r="22" spans="1:24" x14ac:dyDescent="0.25">
      <c r="A22" s="5" t="s">
        <v>154</v>
      </c>
      <c r="B22" s="18">
        <v>45322</v>
      </c>
      <c r="C22" s="7" t="s">
        <v>155</v>
      </c>
      <c r="D22" s="7" t="s">
        <v>156</v>
      </c>
      <c r="E22" s="7" t="s">
        <v>132</v>
      </c>
      <c r="F22" s="7" t="s">
        <v>133</v>
      </c>
      <c r="G22" s="7" t="s">
        <v>51</v>
      </c>
      <c r="H22" s="7" t="s">
        <v>134</v>
      </c>
      <c r="I22" s="7" t="s">
        <v>40</v>
      </c>
      <c r="J22" s="7" t="s">
        <v>82</v>
      </c>
      <c r="K22" s="7" t="s">
        <v>83</v>
      </c>
      <c r="L22" s="7" t="s">
        <v>2665</v>
      </c>
      <c r="M22" s="7" t="s">
        <v>153</v>
      </c>
      <c r="N22" s="7" t="s">
        <v>44</v>
      </c>
      <c r="O22" s="7">
        <v>13</v>
      </c>
      <c r="P22" s="7">
        <v>58.06</v>
      </c>
      <c r="Q22" s="7">
        <v>31.85</v>
      </c>
      <c r="R22" s="7">
        <v>754.8</v>
      </c>
      <c r="S22" s="7">
        <v>0</v>
      </c>
      <c r="T22" s="7">
        <v>0</v>
      </c>
      <c r="U22" s="7">
        <v>754.8</v>
      </c>
      <c r="V22" s="7">
        <v>414.09</v>
      </c>
      <c r="W22" s="7">
        <v>340.71</v>
      </c>
      <c r="X22" s="7" t="s">
        <v>45</v>
      </c>
    </row>
    <row r="23" spans="1:24" x14ac:dyDescent="0.25">
      <c r="A23" s="16" t="s">
        <v>157</v>
      </c>
      <c r="B23" s="17">
        <v>45639</v>
      </c>
      <c r="C23" s="6" t="s">
        <v>158</v>
      </c>
      <c r="D23" s="6" t="s">
        <v>159</v>
      </c>
      <c r="E23" s="6" t="s">
        <v>23</v>
      </c>
      <c r="F23" s="6" t="s">
        <v>24</v>
      </c>
      <c r="G23" s="6" t="s">
        <v>25</v>
      </c>
      <c r="H23" s="6" t="s">
        <v>26</v>
      </c>
      <c r="I23" s="6" t="s">
        <v>88</v>
      </c>
      <c r="J23" s="6" t="s">
        <v>135</v>
      </c>
      <c r="K23" s="6" t="s">
        <v>69</v>
      </c>
      <c r="L23" s="6" t="s">
        <v>2663</v>
      </c>
      <c r="M23" s="6" t="s">
        <v>153</v>
      </c>
      <c r="N23" s="6" t="s">
        <v>75</v>
      </c>
      <c r="O23" s="6">
        <v>42</v>
      </c>
      <c r="P23" s="6">
        <v>70.16</v>
      </c>
      <c r="Q23" s="6">
        <v>42.18</v>
      </c>
      <c r="R23" s="6">
        <v>2946.65</v>
      </c>
      <c r="S23" s="6">
        <v>0.15</v>
      </c>
      <c r="T23" s="6">
        <v>442</v>
      </c>
      <c r="U23" s="6">
        <v>2504.66</v>
      </c>
      <c r="V23" s="6">
        <v>1771.68</v>
      </c>
      <c r="W23" s="6">
        <v>732.97</v>
      </c>
      <c r="X23" s="6" t="s">
        <v>45</v>
      </c>
    </row>
    <row r="24" spans="1:24" x14ac:dyDescent="0.25">
      <c r="A24" s="5" t="s">
        <v>160</v>
      </c>
      <c r="B24" s="18">
        <v>45405</v>
      </c>
      <c r="C24" s="7" t="s">
        <v>21</v>
      </c>
      <c r="D24" s="7" t="s">
        <v>22</v>
      </c>
      <c r="E24" s="7" t="s">
        <v>23</v>
      </c>
      <c r="F24" s="7" t="s">
        <v>24</v>
      </c>
      <c r="G24" s="7" t="s">
        <v>25</v>
      </c>
      <c r="H24" s="7" t="s">
        <v>26</v>
      </c>
      <c r="I24" s="7" t="s">
        <v>40</v>
      </c>
      <c r="J24" s="7" t="s">
        <v>117</v>
      </c>
      <c r="K24" s="7" t="s">
        <v>144</v>
      </c>
      <c r="L24" s="7" t="s">
        <v>2669</v>
      </c>
      <c r="M24" s="7" t="s">
        <v>153</v>
      </c>
      <c r="N24" s="7" t="s">
        <v>84</v>
      </c>
      <c r="O24" s="7">
        <v>0</v>
      </c>
      <c r="P24" s="7">
        <v>75.03</v>
      </c>
      <c r="Q24" s="7">
        <v>45.63</v>
      </c>
      <c r="R24" s="7">
        <v>3301.28</v>
      </c>
      <c r="S24" s="7"/>
      <c r="T24" s="7">
        <v>495.19</v>
      </c>
      <c r="U24" s="7">
        <v>2806.09</v>
      </c>
      <c r="V24" s="7">
        <v>2007.71</v>
      </c>
      <c r="W24" s="7">
        <v>798.38</v>
      </c>
      <c r="X24" s="7" t="s">
        <v>45</v>
      </c>
    </row>
    <row r="25" spans="1:24" x14ac:dyDescent="0.25">
      <c r="A25" s="16" t="s">
        <v>161</v>
      </c>
      <c r="B25" s="17">
        <v>45636</v>
      </c>
      <c r="C25" s="6" t="s">
        <v>162</v>
      </c>
      <c r="D25" s="6" t="s">
        <v>163</v>
      </c>
      <c r="E25" s="6" t="s">
        <v>132</v>
      </c>
      <c r="F25" s="6" t="s">
        <v>133</v>
      </c>
      <c r="G25" s="6" t="s">
        <v>51</v>
      </c>
      <c r="H25" s="6" t="s">
        <v>134</v>
      </c>
      <c r="I25" s="6" t="s">
        <v>27</v>
      </c>
      <c r="J25" s="6" t="s">
        <v>106</v>
      </c>
      <c r="K25" s="6" t="s">
        <v>42</v>
      </c>
      <c r="L25" s="6" t="s">
        <v>2661</v>
      </c>
      <c r="M25" s="6" t="s">
        <v>153</v>
      </c>
      <c r="N25" s="6" t="s">
        <v>44</v>
      </c>
      <c r="O25" s="6">
        <v>41</v>
      </c>
      <c r="P25" s="6">
        <v>57.39</v>
      </c>
      <c r="Q25" s="6">
        <v>36.520000000000003</v>
      </c>
      <c r="R25" s="6">
        <v>2352.84</v>
      </c>
      <c r="S25" s="6">
        <v>0.2</v>
      </c>
      <c r="T25" s="6">
        <v>470.57</v>
      </c>
      <c r="U25" s="6">
        <v>1882.27</v>
      </c>
      <c r="V25" s="6">
        <v>1497.5</v>
      </c>
      <c r="W25" s="6">
        <v>384.78</v>
      </c>
      <c r="X25" s="6" t="s">
        <v>45</v>
      </c>
    </row>
    <row r="26" spans="1:24" x14ac:dyDescent="0.25">
      <c r="A26" s="5" t="s">
        <v>164</v>
      </c>
      <c r="B26" s="18">
        <v>45505</v>
      </c>
      <c r="C26" s="7" t="s">
        <v>104</v>
      </c>
      <c r="D26" s="7" t="s">
        <v>105</v>
      </c>
      <c r="E26" s="7" t="s">
        <v>165</v>
      </c>
      <c r="F26" s="7" t="s">
        <v>166</v>
      </c>
      <c r="G26" s="7" t="s">
        <v>95</v>
      </c>
      <c r="H26" s="7" t="s">
        <v>167</v>
      </c>
      <c r="I26" s="7" t="s">
        <v>53</v>
      </c>
      <c r="J26" s="7" t="s">
        <v>54</v>
      </c>
      <c r="K26" s="7" t="s">
        <v>60</v>
      </c>
      <c r="L26" s="7" t="s">
        <v>2662</v>
      </c>
      <c r="M26" s="7" t="s">
        <v>61</v>
      </c>
      <c r="N26" s="7" t="s">
        <v>70</v>
      </c>
      <c r="O26" s="7">
        <v>20</v>
      </c>
      <c r="P26" s="7">
        <v>43.68</v>
      </c>
      <c r="Q26" s="7">
        <v>23.52</v>
      </c>
      <c r="R26" s="7">
        <v>873.55</v>
      </c>
      <c r="S26" s="7">
        <v>0.05</v>
      </c>
      <c r="T26" s="7">
        <v>43.68</v>
      </c>
      <c r="U26" s="7">
        <v>829.88</v>
      </c>
      <c r="V26" s="7">
        <v>470.41</v>
      </c>
      <c r="W26" s="7">
        <v>359.47</v>
      </c>
      <c r="X26" s="7" t="s">
        <v>45</v>
      </c>
    </row>
    <row r="27" spans="1:24" x14ac:dyDescent="0.25">
      <c r="A27" s="16" t="s">
        <v>168</v>
      </c>
      <c r="B27" s="17">
        <v>45493</v>
      </c>
      <c r="C27" s="6" t="s">
        <v>169</v>
      </c>
      <c r="D27" s="6" t="s">
        <v>57</v>
      </c>
      <c r="E27" s="6" t="s">
        <v>132</v>
      </c>
      <c r="F27" s="6" t="s">
        <v>133</v>
      </c>
      <c r="G27" s="6" t="s">
        <v>51</v>
      </c>
      <c r="H27" s="6" t="s">
        <v>134</v>
      </c>
      <c r="I27" s="6" t="s">
        <v>40</v>
      </c>
      <c r="J27" s="6" t="s">
        <v>117</v>
      </c>
      <c r="K27" s="6" t="s">
        <v>170</v>
      </c>
      <c r="L27" s="6" t="s">
        <v>2671</v>
      </c>
      <c r="M27" s="6" t="s">
        <v>43</v>
      </c>
      <c r="N27" s="6" t="s">
        <v>31</v>
      </c>
      <c r="O27" s="6">
        <v>76</v>
      </c>
      <c r="P27" s="6">
        <v>64.13</v>
      </c>
      <c r="Q27" s="6">
        <v>35.68</v>
      </c>
      <c r="R27" s="6">
        <v>4873.51</v>
      </c>
      <c r="S27" s="6">
        <v>0.15</v>
      </c>
      <c r="T27" s="6">
        <v>731.03</v>
      </c>
      <c r="U27" s="6">
        <v>4142.4799999999996</v>
      </c>
      <c r="V27" s="6">
        <v>2711.39</v>
      </c>
      <c r="W27" s="6">
        <v>1431.09</v>
      </c>
      <c r="X27" s="6" t="s">
        <v>45</v>
      </c>
    </row>
    <row r="28" spans="1:24" x14ac:dyDescent="0.25">
      <c r="A28" s="5" t="s">
        <v>171</v>
      </c>
      <c r="B28" s="18">
        <v>45489</v>
      </c>
      <c r="C28" s="7" t="s">
        <v>172</v>
      </c>
      <c r="D28" s="7"/>
      <c r="E28" s="7" t="s">
        <v>141</v>
      </c>
      <c r="F28" s="7" t="s">
        <v>142</v>
      </c>
      <c r="G28" s="7" t="s">
        <v>25</v>
      </c>
      <c r="H28" s="7" t="s">
        <v>26</v>
      </c>
      <c r="I28" s="7" t="s">
        <v>88</v>
      </c>
      <c r="J28" s="7" t="s">
        <v>173</v>
      </c>
      <c r="K28" s="7" t="s">
        <v>74</v>
      </c>
      <c r="L28" s="7" t="s">
        <v>2664</v>
      </c>
      <c r="M28" s="7" t="s">
        <v>61</v>
      </c>
      <c r="N28" s="7" t="s">
        <v>70</v>
      </c>
      <c r="O28" s="7">
        <v>37</v>
      </c>
      <c r="P28" s="7">
        <v>94.38</v>
      </c>
      <c r="Q28" s="7">
        <v>56.68</v>
      </c>
      <c r="R28" s="7">
        <v>3492.09</v>
      </c>
      <c r="S28" s="7">
        <v>0.15</v>
      </c>
      <c r="T28" s="7">
        <v>523.80999999999995</v>
      </c>
      <c r="U28" s="7">
        <v>2968.28</v>
      </c>
      <c r="V28" s="7">
        <v>2097.17</v>
      </c>
      <c r="W28" s="7">
        <v>871.1</v>
      </c>
      <c r="X28" s="7" t="s">
        <v>32</v>
      </c>
    </row>
    <row r="29" spans="1:24" x14ac:dyDescent="0.25">
      <c r="A29" s="16" t="s">
        <v>174</v>
      </c>
      <c r="B29" s="17">
        <v>45349</v>
      </c>
      <c r="C29" s="6" t="s">
        <v>175</v>
      </c>
      <c r="D29" s="6" t="s">
        <v>65</v>
      </c>
      <c r="E29" s="6" t="s">
        <v>176</v>
      </c>
      <c r="F29" s="6" t="s">
        <v>177</v>
      </c>
      <c r="G29" s="6" t="s">
        <v>101</v>
      </c>
      <c r="H29" s="6" t="s">
        <v>39</v>
      </c>
      <c r="I29" s="6" t="s">
        <v>58</v>
      </c>
      <c r="J29" s="6" t="s">
        <v>59</v>
      </c>
      <c r="K29" s="6" t="s">
        <v>178</v>
      </c>
      <c r="L29" s="6" t="s">
        <v>256</v>
      </c>
      <c r="M29" s="6" t="s">
        <v>43</v>
      </c>
      <c r="N29" s="6" t="s">
        <v>75</v>
      </c>
      <c r="O29" s="6">
        <v>23</v>
      </c>
      <c r="P29" s="6">
        <v>100.14</v>
      </c>
      <c r="Q29" s="6">
        <v>67.61</v>
      </c>
      <c r="R29" s="6">
        <v>2303.2199999999998</v>
      </c>
      <c r="S29" s="6">
        <v>0.1</v>
      </c>
      <c r="T29" s="6">
        <v>230.32</v>
      </c>
      <c r="U29" s="6">
        <v>2072.89</v>
      </c>
      <c r="V29" s="6">
        <v>1555.05</v>
      </c>
      <c r="W29" s="6">
        <v>517.84</v>
      </c>
      <c r="X29" s="6" t="s">
        <v>45</v>
      </c>
    </row>
    <row r="30" spans="1:24" x14ac:dyDescent="0.25">
      <c r="A30" s="5" t="s">
        <v>179</v>
      </c>
      <c r="B30" s="18">
        <v>45422</v>
      </c>
      <c r="C30" s="7" t="s">
        <v>180</v>
      </c>
      <c r="D30" s="7" t="s">
        <v>163</v>
      </c>
      <c r="E30" s="7" t="s">
        <v>99</v>
      </c>
      <c r="F30" s="7" t="s">
        <v>100</v>
      </c>
      <c r="G30" s="7" t="s">
        <v>101</v>
      </c>
      <c r="H30" s="7" t="s">
        <v>102</v>
      </c>
      <c r="I30" s="7" t="s">
        <v>58</v>
      </c>
      <c r="J30" s="7" t="s">
        <v>59</v>
      </c>
      <c r="K30" s="7" t="s">
        <v>170</v>
      </c>
      <c r="L30" s="7" t="s">
        <v>2671</v>
      </c>
      <c r="M30" s="7" t="s">
        <v>43</v>
      </c>
      <c r="N30" s="7" t="s">
        <v>31</v>
      </c>
      <c r="O30" s="7">
        <v>75</v>
      </c>
      <c r="P30" s="7">
        <v>67.89</v>
      </c>
      <c r="Q30" s="7">
        <v>41.72</v>
      </c>
      <c r="R30" s="7">
        <v>5091.5</v>
      </c>
      <c r="S30" s="7">
        <v>0</v>
      </c>
      <c r="T30" s="7">
        <v>0</v>
      </c>
      <c r="U30" s="7">
        <v>5091.5</v>
      </c>
      <c r="V30" s="7">
        <v>3129.28</v>
      </c>
      <c r="W30" s="7">
        <v>1962.21</v>
      </c>
      <c r="X30" s="7" t="s">
        <v>45</v>
      </c>
    </row>
    <row r="31" spans="1:24" x14ac:dyDescent="0.25">
      <c r="A31" s="16" t="s">
        <v>181</v>
      </c>
      <c r="B31" s="17">
        <v>45590</v>
      </c>
      <c r="C31" s="6" t="s">
        <v>182</v>
      </c>
      <c r="D31" s="6" t="s">
        <v>35</v>
      </c>
      <c r="E31" s="6" t="s">
        <v>126</v>
      </c>
      <c r="F31" s="6" t="s">
        <v>127</v>
      </c>
      <c r="G31" s="6" t="s">
        <v>95</v>
      </c>
      <c r="H31" s="6" t="s">
        <v>128</v>
      </c>
      <c r="I31" s="6" t="s">
        <v>88</v>
      </c>
      <c r="J31" s="6" t="s">
        <v>183</v>
      </c>
      <c r="K31" s="6" t="s">
        <v>184</v>
      </c>
      <c r="L31" s="6" t="s">
        <v>2672</v>
      </c>
      <c r="M31" s="6" t="s">
        <v>61</v>
      </c>
      <c r="N31" s="6" t="s">
        <v>84</v>
      </c>
      <c r="O31" s="6">
        <v>59</v>
      </c>
      <c r="P31" s="6">
        <v>88.4</v>
      </c>
      <c r="Q31" s="6">
        <v>52.56</v>
      </c>
      <c r="R31" s="6">
        <v>5215.32</v>
      </c>
      <c r="S31" s="6">
        <v>0</v>
      </c>
      <c r="T31" s="6">
        <v>0</v>
      </c>
      <c r="U31" s="6">
        <v>5215.32</v>
      </c>
      <c r="V31" s="6">
        <v>3101.33</v>
      </c>
      <c r="W31" s="6">
        <v>2113.9899999999998</v>
      </c>
      <c r="X31" s="6" t="s">
        <v>129</v>
      </c>
    </row>
    <row r="32" spans="1:24" x14ac:dyDescent="0.25">
      <c r="A32" s="5" t="s">
        <v>185</v>
      </c>
      <c r="B32" s="18">
        <v>45638</v>
      </c>
      <c r="C32" s="7" t="s">
        <v>186</v>
      </c>
      <c r="D32" s="7" t="s">
        <v>156</v>
      </c>
      <c r="E32" s="7" t="s">
        <v>187</v>
      </c>
      <c r="F32" s="7" t="s">
        <v>188</v>
      </c>
      <c r="G32" s="7" t="s">
        <v>25</v>
      </c>
      <c r="H32" s="7" t="s">
        <v>26</v>
      </c>
      <c r="I32" s="7" t="s">
        <v>27</v>
      </c>
      <c r="J32" s="7" t="s">
        <v>189</v>
      </c>
      <c r="K32" s="7" t="s">
        <v>29</v>
      </c>
      <c r="L32" s="7" t="s">
        <v>2660</v>
      </c>
      <c r="M32" s="7" t="s">
        <v>153</v>
      </c>
      <c r="N32" s="7" t="s">
        <v>190</v>
      </c>
      <c r="O32" s="7">
        <v>55</v>
      </c>
      <c r="P32" s="7">
        <v>51.04</v>
      </c>
      <c r="Q32" s="7">
        <v>0</v>
      </c>
      <c r="R32" s="7">
        <v>2807.09</v>
      </c>
      <c r="S32" s="7">
        <v>0.05</v>
      </c>
      <c r="T32" s="7">
        <v>140.35</v>
      </c>
      <c r="U32" s="7">
        <v>2666.73</v>
      </c>
      <c r="V32" s="7">
        <v>1699.42</v>
      </c>
      <c r="W32" s="7">
        <v>967.31</v>
      </c>
      <c r="X32" s="7" t="s">
        <v>45</v>
      </c>
    </row>
    <row r="33" spans="1:24" x14ac:dyDescent="0.25">
      <c r="A33" s="16" t="s">
        <v>191</v>
      </c>
      <c r="B33" s="17">
        <v>45397</v>
      </c>
      <c r="C33" s="6" t="s">
        <v>192</v>
      </c>
      <c r="D33" s="6" t="s">
        <v>65</v>
      </c>
      <c r="E33" s="6" t="s">
        <v>132</v>
      </c>
      <c r="F33" s="6" t="s">
        <v>133</v>
      </c>
      <c r="G33" s="6" t="s">
        <v>51</v>
      </c>
      <c r="H33" s="6" t="s">
        <v>134</v>
      </c>
      <c r="I33" s="6" t="s">
        <v>40</v>
      </c>
      <c r="J33" s="6" t="s">
        <v>117</v>
      </c>
      <c r="K33" s="6" t="s">
        <v>83</v>
      </c>
      <c r="L33" s="6" t="s">
        <v>2665</v>
      </c>
      <c r="M33" s="6" t="s">
        <v>153</v>
      </c>
      <c r="N33" s="6" t="s">
        <v>75</v>
      </c>
      <c r="O33" s="6">
        <v>70</v>
      </c>
      <c r="P33" s="6">
        <v>56.74</v>
      </c>
      <c r="Q33" s="6">
        <v>35.729999999999997</v>
      </c>
      <c r="R33" s="6">
        <v>3972.03</v>
      </c>
      <c r="S33" s="6">
        <v>0.05</v>
      </c>
      <c r="T33" s="6">
        <v>198.6</v>
      </c>
      <c r="U33" s="6">
        <v>3773.43</v>
      </c>
      <c r="V33" s="6">
        <v>2501.08</v>
      </c>
      <c r="W33" s="6">
        <v>1272.3499999999999</v>
      </c>
      <c r="X33" s="6" t="s">
        <v>129</v>
      </c>
    </row>
    <row r="34" spans="1:24" x14ac:dyDescent="0.25">
      <c r="A34" s="5" t="s">
        <v>193</v>
      </c>
      <c r="B34" s="18">
        <v>45502</v>
      </c>
      <c r="C34" s="7" t="s">
        <v>194</v>
      </c>
      <c r="D34" s="7" t="s">
        <v>163</v>
      </c>
      <c r="E34" s="7" t="s">
        <v>49</v>
      </c>
      <c r="F34" s="7" t="s">
        <v>50</v>
      </c>
      <c r="G34" s="7" t="s">
        <v>51</v>
      </c>
      <c r="H34" s="7" t="s">
        <v>52</v>
      </c>
      <c r="I34" s="7" t="s">
        <v>58</v>
      </c>
      <c r="J34" s="7" t="s">
        <v>59</v>
      </c>
      <c r="K34" s="7" t="s">
        <v>195</v>
      </c>
      <c r="L34" s="7" t="s">
        <v>2673</v>
      </c>
      <c r="M34" s="7" t="s">
        <v>61</v>
      </c>
      <c r="N34" s="7" t="s">
        <v>75</v>
      </c>
      <c r="O34" s="7">
        <v>45</v>
      </c>
      <c r="P34" s="7">
        <v>26.95</v>
      </c>
      <c r="Q34" s="7">
        <v>13.97</v>
      </c>
      <c r="R34" s="7">
        <v>1212.5899999999999</v>
      </c>
      <c r="S34" s="7">
        <v>0</v>
      </c>
      <c r="T34" s="7">
        <v>0</v>
      </c>
      <c r="U34" s="7">
        <v>1212.5899999999999</v>
      </c>
      <c r="V34" s="7">
        <v>628.54</v>
      </c>
      <c r="W34" s="7">
        <v>584.05999999999995</v>
      </c>
      <c r="X34" s="7" t="s">
        <v>129</v>
      </c>
    </row>
    <row r="35" spans="1:24" x14ac:dyDescent="0.25">
      <c r="A35" s="16" t="s">
        <v>196</v>
      </c>
      <c r="B35" s="17">
        <v>45563</v>
      </c>
      <c r="C35" s="6" t="s">
        <v>197</v>
      </c>
      <c r="D35" s="6" t="s">
        <v>159</v>
      </c>
      <c r="E35" s="6" t="s">
        <v>23</v>
      </c>
      <c r="F35" s="6" t="s">
        <v>24</v>
      </c>
      <c r="G35" s="6" t="s">
        <v>25</v>
      </c>
      <c r="H35" s="6" t="s">
        <v>26</v>
      </c>
      <c r="I35" s="6" t="s">
        <v>27</v>
      </c>
      <c r="J35" s="6" t="s">
        <v>28</v>
      </c>
      <c r="K35" s="6" t="s">
        <v>118</v>
      </c>
      <c r="L35" s="6" t="s">
        <v>2668</v>
      </c>
      <c r="M35" s="6" t="s">
        <v>61</v>
      </c>
      <c r="N35" s="6" t="s">
        <v>84</v>
      </c>
      <c r="O35" s="6">
        <v>31</v>
      </c>
      <c r="P35" s="6">
        <v>69.44</v>
      </c>
      <c r="Q35" s="6">
        <v>42.26</v>
      </c>
      <c r="R35" s="6">
        <v>2152.65</v>
      </c>
      <c r="S35" s="6">
        <v>0.1</v>
      </c>
      <c r="T35" s="6">
        <v>215.26</v>
      </c>
      <c r="U35" s="6">
        <v>1937.38</v>
      </c>
      <c r="V35" s="6">
        <v>1309.97</v>
      </c>
      <c r="W35" s="6">
        <v>627.41</v>
      </c>
      <c r="X35" s="6" t="s">
        <v>45</v>
      </c>
    </row>
    <row r="36" spans="1:24" x14ac:dyDescent="0.25">
      <c r="A36" s="5" t="s">
        <v>198</v>
      </c>
      <c r="B36" s="18">
        <v>45596</v>
      </c>
      <c r="C36" s="7" t="s">
        <v>199</v>
      </c>
      <c r="D36" s="7" t="s">
        <v>105</v>
      </c>
      <c r="E36" s="7" t="s">
        <v>187</v>
      </c>
      <c r="F36" s="7" t="s">
        <v>188</v>
      </c>
      <c r="G36" s="7" t="s">
        <v>25</v>
      </c>
      <c r="H36" s="7" t="s">
        <v>26</v>
      </c>
      <c r="I36" s="7" t="s">
        <v>40</v>
      </c>
      <c r="J36" s="7" t="s">
        <v>117</v>
      </c>
      <c r="K36" s="7" t="s">
        <v>170</v>
      </c>
      <c r="L36" s="7" t="s">
        <v>2671</v>
      </c>
      <c r="M36" s="7" t="s">
        <v>43</v>
      </c>
      <c r="N36" s="7" t="s">
        <v>70</v>
      </c>
      <c r="O36" s="7">
        <v>7</v>
      </c>
      <c r="P36" s="7">
        <v>50.02</v>
      </c>
      <c r="Q36" s="7">
        <v>30.75</v>
      </c>
      <c r="R36" s="7">
        <v>350.11</v>
      </c>
      <c r="S36" s="7">
        <v>0.2</v>
      </c>
      <c r="T36" s="7">
        <v>70.02</v>
      </c>
      <c r="U36" s="7">
        <v>280.08999999999997</v>
      </c>
      <c r="V36" s="7">
        <v>215.24</v>
      </c>
      <c r="W36" s="7">
        <v>64.849999999999994</v>
      </c>
      <c r="X36" s="7" t="s">
        <v>45</v>
      </c>
    </row>
    <row r="37" spans="1:24" x14ac:dyDescent="0.25">
      <c r="A37" s="16" t="s">
        <v>200</v>
      </c>
      <c r="B37" s="17">
        <v>45401</v>
      </c>
      <c r="C37" s="6" t="s">
        <v>201</v>
      </c>
      <c r="D37" s="6" t="s">
        <v>57</v>
      </c>
      <c r="E37" s="6" t="s">
        <v>23</v>
      </c>
      <c r="F37" s="6" t="s">
        <v>24</v>
      </c>
      <c r="G37" s="6" t="s">
        <v>25</v>
      </c>
      <c r="H37" s="6" t="s">
        <v>26</v>
      </c>
      <c r="I37" s="6" t="s">
        <v>40</v>
      </c>
      <c r="J37" s="6" t="s">
        <v>117</v>
      </c>
      <c r="K37" s="6" t="s">
        <v>83</v>
      </c>
      <c r="L37" s="6" t="s">
        <v>2665</v>
      </c>
      <c r="M37" s="6" t="s">
        <v>43</v>
      </c>
      <c r="N37" s="6" t="s">
        <v>75</v>
      </c>
      <c r="O37" s="6">
        <v>10</v>
      </c>
      <c r="P37" s="6">
        <v>80.650000000000006</v>
      </c>
      <c r="Q37" s="6">
        <v>44.44</v>
      </c>
      <c r="R37" s="6">
        <v>806.54</v>
      </c>
      <c r="S37" s="6">
        <v>0</v>
      </c>
      <c r="T37" s="6">
        <v>0</v>
      </c>
      <c r="U37" s="6">
        <v>806.54</v>
      </c>
      <c r="V37" s="6">
        <v>444.38</v>
      </c>
      <c r="W37" s="6">
        <v>362.16</v>
      </c>
      <c r="X37" s="6" t="s">
        <v>45</v>
      </c>
    </row>
    <row r="38" spans="1:24" x14ac:dyDescent="0.25">
      <c r="A38" s="5" t="s">
        <v>202</v>
      </c>
      <c r="B38" s="18">
        <v>45336</v>
      </c>
      <c r="C38" s="7" t="s">
        <v>203</v>
      </c>
      <c r="D38" s="7" t="s">
        <v>156</v>
      </c>
      <c r="E38" s="7" t="s">
        <v>109</v>
      </c>
      <c r="F38" s="7" t="s">
        <v>110</v>
      </c>
      <c r="G38" s="7" t="s">
        <v>80</v>
      </c>
      <c r="H38" s="7" t="s">
        <v>81</v>
      </c>
      <c r="I38" s="7" t="s">
        <v>53</v>
      </c>
      <c r="J38" s="7" t="s">
        <v>54</v>
      </c>
      <c r="K38" s="7" t="s">
        <v>144</v>
      </c>
      <c r="L38" s="7" t="s">
        <v>2669</v>
      </c>
      <c r="M38" s="7" t="s">
        <v>61</v>
      </c>
      <c r="N38" s="7" t="s">
        <v>31</v>
      </c>
      <c r="O38" s="7">
        <v>52</v>
      </c>
      <c r="P38" s="7">
        <v>116.15</v>
      </c>
      <c r="Q38" s="7">
        <v>74.59</v>
      </c>
      <c r="R38" s="7">
        <v>6039.86</v>
      </c>
      <c r="S38" s="7">
        <v>0.2</v>
      </c>
      <c r="T38" s="7">
        <v>1207.97</v>
      </c>
      <c r="U38" s="7">
        <v>4831.8900000000003</v>
      </c>
      <c r="V38" s="7">
        <v>3878.49</v>
      </c>
      <c r="W38" s="7">
        <v>953.39</v>
      </c>
      <c r="X38" s="7" t="s">
        <v>45</v>
      </c>
    </row>
    <row r="39" spans="1:24" x14ac:dyDescent="0.25">
      <c r="A39" s="16" t="s">
        <v>204</v>
      </c>
      <c r="B39" s="17">
        <v>45593</v>
      </c>
      <c r="C39" s="6" t="s">
        <v>205</v>
      </c>
      <c r="D39" s="6" t="s">
        <v>22</v>
      </c>
      <c r="E39" s="6" t="s">
        <v>93</v>
      </c>
      <c r="F39" s="6" t="s">
        <v>94</v>
      </c>
      <c r="G39" s="6" t="s">
        <v>95</v>
      </c>
      <c r="H39" s="6" t="s">
        <v>96</v>
      </c>
      <c r="I39" s="6" t="s">
        <v>88</v>
      </c>
      <c r="J39" s="6" t="s">
        <v>173</v>
      </c>
      <c r="K39" s="6" t="s">
        <v>29</v>
      </c>
      <c r="L39" s="6" t="s">
        <v>2660</v>
      </c>
      <c r="M39" s="6" t="s">
        <v>43</v>
      </c>
      <c r="N39" s="6" t="s">
        <v>31</v>
      </c>
      <c r="O39" s="6">
        <v>65</v>
      </c>
      <c r="P39" s="6">
        <v>50.9</v>
      </c>
      <c r="Q39" s="6">
        <v>32.36</v>
      </c>
      <c r="R39" s="6">
        <v>3308.18</v>
      </c>
      <c r="S39" s="6">
        <v>0.02</v>
      </c>
      <c r="T39" s="6">
        <v>66.16</v>
      </c>
      <c r="U39" s="6">
        <v>3242.02</v>
      </c>
      <c r="V39" s="6">
        <v>2103.2600000000002</v>
      </c>
      <c r="W39" s="6">
        <v>1138.76</v>
      </c>
      <c r="X39" s="6" t="s">
        <v>129</v>
      </c>
    </row>
    <row r="40" spans="1:24" x14ac:dyDescent="0.25">
      <c r="A40" s="5" t="s">
        <v>206</v>
      </c>
      <c r="B40" s="18">
        <v>45430</v>
      </c>
      <c r="C40" s="7"/>
      <c r="D40" s="7"/>
      <c r="E40" s="7" t="s">
        <v>23</v>
      </c>
      <c r="F40" s="7" t="s">
        <v>24</v>
      </c>
      <c r="G40" s="7" t="s">
        <v>25</v>
      </c>
      <c r="H40" s="7" t="s">
        <v>26</v>
      </c>
      <c r="I40" s="7" t="s">
        <v>58</v>
      </c>
      <c r="J40" s="7" t="s">
        <v>73</v>
      </c>
      <c r="K40" s="7" t="s">
        <v>74</v>
      </c>
      <c r="L40" s="7" t="s">
        <v>2664</v>
      </c>
      <c r="M40" s="7" t="s">
        <v>30</v>
      </c>
      <c r="N40" s="7" t="s">
        <v>31</v>
      </c>
      <c r="O40" s="7">
        <v>57</v>
      </c>
      <c r="P40" s="7">
        <v>77.790000000000006</v>
      </c>
      <c r="Q40" s="7">
        <v>41.99</v>
      </c>
      <c r="R40" s="7">
        <v>4434.08</v>
      </c>
      <c r="S40" s="7">
        <v>0.05</v>
      </c>
      <c r="T40" s="7">
        <v>221.7</v>
      </c>
      <c r="U40" s="7">
        <v>4212.38</v>
      </c>
      <c r="V40" s="7">
        <v>2393.61</v>
      </c>
      <c r="W40" s="7">
        <v>1818.76</v>
      </c>
      <c r="X40" s="7" t="s">
        <v>45</v>
      </c>
    </row>
    <row r="41" spans="1:24" x14ac:dyDescent="0.25">
      <c r="A41" s="16" t="s">
        <v>207</v>
      </c>
      <c r="B41" s="17">
        <v>45599</v>
      </c>
      <c r="C41" s="6" t="s">
        <v>208</v>
      </c>
      <c r="D41" s="6" t="s">
        <v>35</v>
      </c>
      <c r="E41" s="6" t="s">
        <v>209</v>
      </c>
      <c r="F41" s="6" t="s">
        <v>210</v>
      </c>
      <c r="G41" s="6" t="s">
        <v>51</v>
      </c>
      <c r="H41" s="6" t="s">
        <v>116</v>
      </c>
      <c r="I41" s="6" t="s">
        <v>27</v>
      </c>
      <c r="J41" s="6" t="s">
        <v>211</v>
      </c>
      <c r="K41" s="6" t="s">
        <v>118</v>
      </c>
      <c r="L41" s="6" t="s">
        <v>2668</v>
      </c>
      <c r="M41" s="6" t="s">
        <v>43</v>
      </c>
      <c r="N41" s="6" t="s">
        <v>31</v>
      </c>
      <c r="O41" s="6">
        <v>51</v>
      </c>
      <c r="P41" s="6">
        <v>17.22</v>
      </c>
      <c r="Q41" s="6">
        <v>10.15</v>
      </c>
      <c r="R41" s="6">
        <v>878.18</v>
      </c>
      <c r="S41" s="6">
        <v>0.1</v>
      </c>
      <c r="T41" s="6">
        <v>87.82</v>
      </c>
      <c r="U41" s="6">
        <v>790.36</v>
      </c>
      <c r="V41" s="6">
        <v>517.9</v>
      </c>
      <c r="W41" s="6">
        <v>272.45999999999998</v>
      </c>
      <c r="X41" s="6" t="s">
        <v>32</v>
      </c>
    </row>
    <row r="42" spans="1:24" x14ac:dyDescent="0.25">
      <c r="A42" s="5" t="s">
        <v>212</v>
      </c>
      <c r="B42" s="18">
        <v>45394</v>
      </c>
      <c r="C42" s="7" t="s">
        <v>213</v>
      </c>
      <c r="D42" s="7" t="s">
        <v>87</v>
      </c>
      <c r="E42" s="7" t="s">
        <v>126</v>
      </c>
      <c r="F42" s="7" t="s">
        <v>127</v>
      </c>
      <c r="G42" s="7" t="s">
        <v>95</v>
      </c>
      <c r="H42" s="7" t="s">
        <v>128</v>
      </c>
      <c r="I42" s="7" t="s">
        <v>27</v>
      </c>
      <c r="J42" s="7" t="s">
        <v>28</v>
      </c>
      <c r="K42" s="7" t="s">
        <v>90</v>
      </c>
      <c r="L42" s="7" t="s">
        <v>2666</v>
      </c>
      <c r="M42" s="7" t="s">
        <v>43</v>
      </c>
      <c r="N42" s="7" t="s">
        <v>75</v>
      </c>
      <c r="O42" s="7">
        <v>48</v>
      </c>
      <c r="P42" s="7">
        <v>87.91</v>
      </c>
      <c r="Q42" s="7">
        <v>51.2</v>
      </c>
      <c r="R42" s="7">
        <v>4219.51</v>
      </c>
      <c r="S42" s="7">
        <v>0.02</v>
      </c>
      <c r="T42" s="7">
        <v>84.39</v>
      </c>
      <c r="U42" s="7">
        <v>4135.12</v>
      </c>
      <c r="V42" s="7">
        <v>2457.4</v>
      </c>
      <c r="W42" s="7">
        <v>1677.73</v>
      </c>
      <c r="X42" s="7" t="s">
        <v>32</v>
      </c>
    </row>
    <row r="43" spans="1:24" x14ac:dyDescent="0.25">
      <c r="A43" s="16" t="s">
        <v>214</v>
      </c>
      <c r="B43" s="17">
        <v>45472</v>
      </c>
      <c r="C43" s="6" t="s">
        <v>215</v>
      </c>
      <c r="D43" s="6" t="s">
        <v>105</v>
      </c>
      <c r="E43" s="6" t="s">
        <v>216</v>
      </c>
      <c r="F43" s="6" t="s">
        <v>217</v>
      </c>
      <c r="G43" s="6" t="s">
        <v>38</v>
      </c>
      <c r="H43" s="6" t="s">
        <v>134</v>
      </c>
      <c r="I43" s="6" t="s">
        <v>88</v>
      </c>
      <c r="J43" s="6" t="s">
        <v>183</v>
      </c>
      <c r="K43" s="6" t="s">
        <v>218</v>
      </c>
      <c r="L43" s="6" t="s">
        <v>2674</v>
      </c>
      <c r="M43" s="6" t="s">
        <v>61</v>
      </c>
      <c r="N43" s="6" t="s">
        <v>31</v>
      </c>
      <c r="O43" s="6">
        <v>52</v>
      </c>
      <c r="P43" s="6">
        <v>113.93</v>
      </c>
      <c r="Q43" s="6">
        <v>61.74</v>
      </c>
      <c r="R43" s="6">
        <v>5924.5</v>
      </c>
      <c r="S43" s="6">
        <v>0.05</v>
      </c>
      <c r="T43" s="6">
        <v>296.22000000000003</v>
      </c>
      <c r="U43" s="6">
        <v>5628.27</v>
      </c>
      <c r="V43" s="6">
        <v>3210.33</v>
      </c>
      <c r="W43" s="6">
        <v>2417.9499999999998</v>
      </c>
      <c r="X43" s="6" t="s">
        <v>32</v>
      </c>
    </row>
    <row r="44" spans="1:24" x14ac:dyDescent="0.25">
      <c r="A44" s="5" t="s">
        <v>219</v>
      </c>
      <c r="B44" s="18">
        <v>45482</v>
      </c>
      <c r="C44" s="7" t="s">
        <v>220</v>
      </c>
      <c r="D44" s="7" t="s">
        <v>221</v>
      </c>
      <c r="E44" s="7" t="s">
        <v>222</v>
      </c>
      <c r="F44" s="7" t="s">
        <v>223</v>
      </c>
      <c r="G44" s="7" t="s">
        <v>101</v>
      </c>
      <c r="H44" s="7" t="s">
        <v>68</v>
      </c>
      <c r="I44" s="7" t="s">
        <v>53</v>
      </c>
      <c r="J44" s="7" t="s">
        <v>143</v>
      </c>
      <c r="K44" s="7" t="s">
        <v>42</v>
      </c>
      <c r="L44" s="7" t="s">
        <v>2661</v>
      </c>
      <c r="M44" s="7" t="s">
        <v>153</v>
      </c>
      <c r="N44" s="7" t="s">
        <v>70</v>
      </c>
      <c r="O44" s="7">
        <v>17</v>
      </c>
      <c r="P44" s="7">
        <v>128.9</v>
      </c>
      <c r="Q44" s="7">
        <v>82.41</v>
      </c>
      <c r="R44" s="7">
        <v>2191.33</v>
      </c>
      <c r="S44" s="7">
        <v>0.15</v>
      </c>
      <c r="T44" s="7">
        <v>328.7</v>
      </c>
      <c r="U44" s="7">
        <v>1862.63</v>
      </c>
      <c r="V44" s="7">
        <v>1400.89</v>
      </c>
      <c r="W44" s="7">
        <v>461.73</v>
      </c>
      <c r="X44" s="7" t="s">
        <v>45</v>
      </c>
    </row>
    <row r="45" spans="1:24" x14ac:dyDescent="0.25">
      <c r="A45" s="16" t="s">
        <v>224</v>
      </c>
      <c r="B45" s="17">
        <v>45566</v>
      </c>
      <c r="C45" s="6" t="s">
        <v>225</v>
      </c>
      <c r="D45" s="6" t="s">
        <v>159</v>
      </c>
      <c r="E45" s="6" t="s">
        <v>150</v>
      </c>
      <c r="F45" s="6" t="s">
        <v>151</v>
      </c>
      <c r="G45" s="6" t="s">
        <v>101</v>
      </c>
      <c r="H45" s="6" t="s">
        <v>134</v>
      </c>
      <c r="I45" s="6" t="s">
        <v>27</v>
      </c>
      <c r="J45" s="6" t="s">
        <v>28</v>
      </c>
      <c r="K45" s="6" t="s">
        <v>178</v>
      </c>
      <c r="L45" s="6" t="s">
        <v>256</v>
      </c>
      <c r="M45" s="6" t="s">
        <v>61</v>
      </c>
      <c r="N45" s="6" t="s">
        <v>75</v>
      </c>
      <c r="O45" s="6">
        <v>54</v>
      </c>
      <c r="P45" s="6">
        <v>88.54</v>
      </c>
      <c r="Q45" s="6">
        <v>48.04</v>
      </c>
      <c r="R45" s="6">
        <v>4781.16</v>
      </c>
      <c r="S45" s="6">
        <v>0.1</v>
      </c>
      <c r="T45" s="6">
        <v>478.12</v>
      </c>
      <c r="U45" s="6">
        <v>4303.04</v>
      </c>
      <c r="V45" s="6">
        <v>2594.1</v>
      </c>
      <c r="W45" s="6">
        <v>1708.95</v>
      </c>
      <c r="X45" s="6" t="s">
        <v>45</v>
      </c>
    </row>
    <row r="46" spans="1:24" x14ac:dyDescent="0.25">
      <c r="A46" s="5" t="s">
        <v>226</v>
      </c>
      <c r="B46" s="18">
        <v>45558</v>
      </c>
      <c r="C46" s="7" t="s">
        <v>227</v>
      </c>
      <c r="D46" s="7" t="s">
        <v>159</v>
      </c>
      <c r="E46" s="7" t="s">
        <v>99</v>
      </c>
      <c r="F46" s="7" t="s">
        <v>100</v>
      </c>
      <c r="G46" s="7" t="s">
        <v>101</v>
      </c>
      <c r="H46" s="7" t="s">
        <v>102</v>
      </c>
      <c r="I46" s="7" t="s">
        <v>40</v>
      </c>
      <c r="J46" s="7" t="s">
        <v>117</v>
      </c>
      <c r="K46" s="7" t="s">
        <v>118</v>
      </c>
      <c r="L46" s="7" t="s">
        <v>2668</v>
      </c>
      <c r="M46" s="7" t="s">
        <v>61</v>
      </c>
      <c r="N46" s="7" t="s">
        <v>44</v>
      </c>
      <c r="O46" s="7">
        <v>14</v>
      </c>
      <c r="P46" s="7">
        <v>75.540000000000006</v>
      </c>
      <c r="Q46" s="7">
        <v>38.86</v>
      </c>
      <c r="R46" s="7">
        <v>1057.5999999999999</v>
      </c>
      <c r="S46" s="7">
        <v>0.1</v>
      </c>
      <c r="T46" s="7">
        <v>105.76</v>
      </c>
      <c r="U46" s="7">
        <v>951.84</v>
      </c>
      <c r="V46" s="7">
        <v>544.04999999999995</v>
      </c>
      <c r="W46" s="7">
        <v>407.79</v>
      </c>
      <c r="X46" s="7" t="s">
        <v>32</v>
      </c>
    </row>
    <row r="47" spans="1:24" x14ac:dyDescent="0.25">
      <c r="A47" s="16" t="s">
        <v>228</v>
      </c>
      <c r="B47" s="17">
        <v>45329</v>
      </c>
      <c r="C47" s="6" t="s">
        <v>229</v>
      </c>
      <c r="D47" s="6" t="s">
        <v>87</v>
      </c>
      <c r="E47" s="6" t="s">
        <v>209</v>
      </c>
      <c r="F47" s="6" t="s">
        <v>210</v>
      </c>
      <c r="G47" s="6" t="s">
        <v>51</v>
      </c>
      <c r="H47" s="6" t="s">
        <v>116</v>
      </c>
      <c r="I47" s="6" t="s">
        <v>53</v>
      </c>
      <c r="J47" s="6" t="s">
        <v>143</v>
      </c>
      <c r="K47" s="6"/>
      <c r="L47" s="6"/>
      <c r="M47" s="6" t="s">
        <v>61</v>
      </c>
      <c r="N47" s="6" t="s">
        <v>84</v>
      </c>
      <c r="O47" s="6">
        <v>69</v>
      </c>
      <c r="P47" s="6">
        <v>16.690000000000001</v>
      </c>
      <c r="Q47" s="6">
        <v>9.7200000000000006</v>
      </c>
      <c r="R47" s="6">
        <v>1151.6300000000001</v>
      </c>
      <c r="S47" s="6">
        <v>0.02</v>
      </c>
      <c r="T47" s="6">
        <v>23.03</v>
      </c>
      <c r="U47" s="6">
        <v>1128.5999999999999</v>
      </c>
      <c r="V47" s="6">
        <v>670.72</v>
      </c>
      <c r="W47" s="6">
        <v>457.88</v>
      </c>
      <c r="X47" s="6" t="s">
        <v>45</v>
      </c>
    </row>
    <row r="48" spans="1:24" x14ac:dyDescent="0.25">
      <c r="A48" s="5" t="s">
        <v>230</v>
      </c>
      <c r="B48" s="18">
        <v>45510</v>
      </c>
      <c r="C48" s="7" t="s">
        <v>231</v>
      </c>
      <c r="D48" s="7" t="s">
        <v>87</v>
      </c>
      <c r="E48" s="7" t="s">
        <v>132</v>
      </c>
      <c r="F48" s="7" t="s">
        <v>133</v>
      </c>
      <c r="G48" s="7" t="s">
        <v>51</v>
      </c>
      <c r="H48" s="7" t="s">
        <v>134</v>
      </c>
      <c r="I48" s="7" t="s">
        <v>53</v>
      </c>
      <c r="J48" s="7" t="s">
        <v>232</v>
      </c>
      <c r="K48" s="7" t="s">
        <v>90</v>
      </c>
      <c r="L48" s="7" t="s">
        <v>2666</v>
      </c>
      <c r="M48" s="7" t="s">
        <v>61</v>
      </c>
      <c r="N48" s="7" t="s">
        <v>44</v>
      </c>
      <c r="O48" s="7">
        <v>30</v>
      </c>
      <c r="P48" s="7">
        <v>63.24</v>
      </c>
      <c r="Q48" s="7">
        <v>32.200000000000003</v>
      </c>
      <c r="R48" s="7">
        <v>1897.16</v>
      </c>
      <c r="S48" s="7">
        <v>0.15</v>
      </c>
      <c r="T48" s="7">
        <v>284.57</v>
      </c>
      <c r="U48" s="7">
        <v>1612.59</v>
      </c>
      <c r="V48" s="7">
        <v>966.1</v>
      </c>
      <c r="W48" s="7">
        <v>646.49</v>
      </c>
      <c r="X48" s="7" t="s">
        <v>129</v>
      </c>
    </row>
    <row r="49" spans="1:24" x14ac:dyDescent="0.25">
      <c r="A49" s="16" t="s">
        <v>233</v>
      </c>
      <c r="B49" s="17">
        <v>45481</v>
      </c>
      <c r="C49" s="6" t="s">
        <v>234</v>
      </c>
      <c r="D49" s="6" t="s">
        <v>159</v>
      </c>
      <c r="E49" s="6" t="s">
        <v>187</v>
      </c>
      <c r="F49" s="6" t="s">
        <v>188</v>
      </c>
      <c r="G49" s="6" t="s">
        <v>25</v>
      </c>
      <c r="H49" s="6" t="s">
        <v>26</v>
      </c>
      <c r="I49" s="6" t="s">
        <v>53</v>
      </c>
      <c r="J49" s="6" t="s">
        <v>54</v>
      </c>
      <c r="K49" s="6" t="s">
        <v>29</v>
      </c>
      <c r="L49" s="6" t="s">
        <v>2660</v>
      </c>
      <c r="M49" s="6" t="s">
        <v>153</v>
      </c>
      <c r="N49" s="6" t="s">
        <v>31</v>
      </c>
      <c r="O49" s="6">
        <v>19</v>
      </c>
      <c r="P49" s="6">
        <v>49.02</v>
      </c>
      <c r="Q49" s="6">
        <v>29.95</v>
      </c>
      <c r="R49" s="6">
        <v>931.37</v>
      </c>
      <c r="S49" s="6">
        <v>0.05</v>
      </c>
      <c r="T49" s="6">
        <v>46.57</v>
      </c>
      <c r="U49" s="6">
        <v>884.8</v>
      </c>
      <c r="V49" s="6">
        <v>568.97</v>
      </c>
      <c r="W49" s="6">
        <v>315.83</v>
      </c>
      <c r="X49" s="6" t="s">
        <v>45</v>
      </c>
    </row>
    <row r="50" spans="1:24" x14ac:dyDescent="0.25">
      <c r="A50" s="5" t="s">
        <v>235</v>
      </c>
      <c r="B50" s="18">
        <v>45370</v>
      </c>
      <c r="C50" s="7" t="s">
        <v>208</v>
      </c>
      <c r="D50" s="7" t="s">
        <v>35</v>
      </c>
      <c r="E50" s="7" t="s">
        <v>114</v>
      </c>
      <c r="F50" s="7" t="s">
        <v>115</v>
      </c>
      <c r="G50" s="7" t="s">
        <v>95</v>
      </c>
      <c r="H50" s="7" t="s">
        <v>116</v>
      </c>
      <c r="I50" s="7" t="s">
        <v>53</v>
      </c>
      <c r="J50" s="7" t="s">
        <v>122</v>
      </c>
      <c r="K50" s="7" t="s">
        <v>195</v>
      </c>
      <c r="L50" s="7" t="s">
        <v>2673</v>
      </c>
      <c r="M50" s="7" t="s">
        <v>138</v>
      </c>
      <c r="N50" s="7" t="s">
        <v>75</v>
      </c>
      <c r="O50" s="7">
        <v>38</v>
      </c>
      <c r="P50" s="7">
        <v>37.76</v>
      </c>
      <c r="Q50" s="7">
        <v>19.47</v>
      </c>
      <c r="R50" s="7">
        <v>1434.96</v>
      </c>
      <c r="S50" s="7">
        <v>0.15</v>
      </c>
      <c r="T50" s="7">
        <v>215.24</v>
      </c>
      <c r="U50" s="7">
        <v>1219.72</v>
      </c>
      <c r="V50" s="7">
        <v>739.89</v>
      </c>
      <c r="W50" s="7">
        <v>479.83</v>
      </c>
      <c r="X50" s="7" t="s">
        <v>45</v>
      </c>
    </row>
    <row r="51" spans="1:24" x14ac:dyDescent="0.25">
      <c r="A51" s="16" t="s">
        <v>236</v>
      </c>
      <c r="B51" s="17">
        <v>45448</v>
      </c>
      <c r="C51" s="6" t="s">
        <v>237</v>
      </c>
      <c r="D51" s="6" t="s">
        <v>105</v>
      </c>
      <c r="E51" s="6" t="s">
        <v>176</v>
      </c>
      <c r="F51" s="6" t="s">
        <v>177</v>
      </c>
      <c r="G51" s="6" t="s">
        <v>101</v>
      </c>
      <c r="H51" s="6" t="s">
        <v>39</v>
      </c>
      <c r="I51" s="6" t="s">
        <v>40</v>
      </c>
      <c r="J51" s="6" t="s">
        <v>82</v>
      </c>
      <c r="K51" s="6" t="s">
        <v>74</v>
      </c>
      <c r="L51" s="6" t="s">
        <v>2664</v>
      </c>
      <c r="M51" s="6" t="s">
        <v>43</v>
      </c>
      <c r="N51" s="6" t="s">
        <v>75</v>
      </c>
      <c r="O51" s="6">
        <v>64</v>
      </c>
      <c r="P51" s="6">
        <v>104.61</v>
      </c>
      <c r="Q51" s="6">
        <v>65.2</v>
      </c>
      <c r="R51" s="6">
        <v>6695.16</v>
      </c>
      <c r="S51" s="6">
        <v>0.05</v>
      </c>
      <c r="T51" s="6">
        <v>334.76</v>
      </c>
      <c r="U51" s="6">
        <v>6360.4</v>
      </c>
      <c r="V51" s="6">
        <v>4172.8500000000004</v>
      </c>
      <c r="W51" s="6">
        <v>2187.56</v>
      </c>
      <c r="X51" s="6" t="s">
        <v>45</v>
      </c>
    </row>
    <row r="52" spans="1:24" x14ac:dyDescent="0.25">
      <c r="A52" s="5" t="s">
        <v>238</v>
      </c>
      <c r="B52" s="18">
        <v>45374</v>
      </c>
      <c r="C52" s="7" t="s">
        <v>239</v>
      </c>
      <c r="D52" s="7" t="s">
        <v>65</v>
      </c>
      <c r="E52" s="7" t="s">
        <v>141</v>
      </c>
      <c r="F52" s="7" t="s">
        <v>142</v>
      </c>
      <c r="G52" s="7" t="s">
        <v>25</v>
      </c>
      <c r="H52" s="7" t="s">
        <v>26</v>
      </c>
      <c r="I52" s="7" t="s">
        <v>88</v>
      </c>
      <c r="J52" s="7" t="s">
        <v>135</v>
      </c>
      <c r="K52" s="7" t="s">
        <v>83</v>
      </c>
      <c r="L52" s="7" t="s">
        <v>2665</v>
      </c>
      <c r="M52" s="7" t="s">
        <v>30</v>
      </c>
      <c r="N52" s="7" t="s">
        <v>70</v>
      </c>
      <c r="O52" s="7">
        <v>10</v>
      </c>
      <c r="P52" s="7">
        <v>101.53</v>
      </c>
      <c r="Q52" s="7">
        <v>58.53</v>
      </c>
      <c r="R52" s="7">
        <v>1015.27</v>
      </c>
      <c r="S52" s="7">
        <v>0.15</v>
      </c>
      <c r="T52" s="7">
        <v>152.29</v>
      </c>
      <c r="U52" s="7">
        <v>862.98</v>
      </c>
      <c r="V52" s="7">
        <v>585.27</v>
      </c>
      <c r="W52" s="7">
        <v>277.70999999999998</v>
      </c>
      <c r="X52" s="7" t="s">
        <v>45</v>
      </c>
    </row>
    <row r="53" spans="1:24" x14ac:dyDescent="0.25">
      <c r="A53" s="16" t="s">
        <v>240</v>
      </c>
      <c r="B53" s="17">
        <v>45480</v>
      </c>
      <c r="C53" s="6" t="s">
        <v>241</v>
      </c>
      <c r="D53" s="6" t="s">
        <v>87</v>
      </c>
      <c r="E53" s="6" t="s">
        <v>114</v>
      </c>
      <c r="F53" s="6" t="s">
        <v>115</v>
      </c>
      <c r="G53" s="6" t="s">
        <v>95</v>
      </c>
      <c r="H53" s="6" t="s">
        <v>116</v>
      </c>
      <c r="I53" s="6" t="s">
        <v>53</v>
      </c>
      <c r="J53" s="6" t="s">
        <v>232</v>
      </c>
      <c r="K53" s="6" t="s">
        <v>42</v>
      </c>
      <c r="L53" s="6" t="s">
        <v>2661</v>
      </c>
      <c r="M53" s="6" t="s">
        <v>43</v>
      </c>
      <c r="N53" s="6" t="s">
        <v>75</v>
      </c>
      <c r="O53" s="6">
        <v>21</v>
      </c>
      <c r="P53" s="6">
        <v>37.090000000000003</v>
      </c>
      <c r="Q53" s="6">
        <v>22.41</v>
      </c>
      <c r="R53" s="6">
        <v>778.93</v>
      </c>
      <c r="S53" s="6">
        <v>0.05</v>
      </c>
      <c r="T53" s="6">
        <v>38.950000000000003</v>
      </c>
      <c r="U53" s="6">
        <v>739.99</v>
      </c>
      <c r="V53" s="6">
        <v>470.7</v>
      </c>
      <c r="W53" s="6">
        <v>269.29000000000002</v>
      </c>
      <c r="X53" s="6" t="s">
        <v>129</v>
      </c>
    </row>
    <row r="54" spans="1:24" x14ac:dyDescent="0.25">
      <c r="A54" s="5" t="s">
        <v>242</v>
      </c>
      <c r="B54" s="18">
        <v>45374</v>
      </c>
      <c r="C54" s="7" t="s">
        <v>243</v>
      </c>
      <c r="D54" s="7" t="s">
        <v>35</v>
      </c>
      <c r="E54" s="7" t="s">
        <v>109</v>
      </c>
      <c r="F54" s="7" t="s">
        <v>110</v>
      </c>
      <c r="G54" s="7" t="s">
        <v>80</v>
      </c>
      <c r="H54" s="7" t="s">
        <v>81</v>
      </c>
      <c r="I54" s="7" t="s">
        <v>40</v>
      </c>
      <c r="J54" s="7" t="s">
        <v>41</v>
      </c>
      <c r="K54" s="7" t="s">
        <v>144</v>
      </c>
      <c r="L54" s="7" t="s">
        <v>2669</v>
      </c>
      <c r="M54" s="7" t="s">
        <v>30</v>
      </c>
      <c r="N54" s="7" t="s">
        <v>75</v>
      </c>
      <c r="O54" s="7">
        <v>59</v>
      </c>
      <c r="P54" s="7">
        <v>119.52</v>
      </c>
      <c r="Q54" s="7">
        <v>75.66</v>
      </c>
      <c r="R54" s="7">
        <v>7051.71</v>
      </c>
      <c r="S54" s="7">
        <v>0.05</v>
      </c>
      <c r="T54" s="7">
        <v>352.59</v>
      </c>
      <c r="U54" s="7">
        <v>6699.13</v>
      </c>
      <c r="V54" s="7">
        <v>4464.13</v>
      </c>
      <c r="W54" s="7">
        <v>2235</v>
      </c>
      <c r="X54" s="7" t="s">
        <v>45</v>
      </c>
    </row>
    <row r="55" spans="1:24" x14ac:dyDescent="0.25">
      <c r="A55" s="16" t="s">
        <v>244</v>
      </c>
      <c r="B55" s="17">
        <v>45377</v>
      </c>
      <c r="C55" s="6" t="s">
        <v>245</v>
      </c>
      <c r="D55" s="6" t="s">
        <v>65</v>
      </c>
      <c r="E55" s="6" t="s">
        <v>49</v>
      </c>
      <c r="F55" s="6" t="s">
        <v>50</v>
      </c>
      <c r="G55" s="6" t="s">
        <v>51</v>
      </c>
      <c r="H55" s="6" t="s">
        <v>52</v>
      </c>
      <c r="I55" s="6" t="s">
        <v>27</v>
      </c>
      <c r="J55" s="6" t="s">
        <v>189</v>
      </c>
      <c r="K55" s="6" t="s">
        <v>184</v>
      </c>
      <c r="L55" s="6" t="s">
        <v>2672</v>
      </c>
      <c r="M55" s="6" t="s">
        <v>30</v>
      </c>
      <c r="N55" s="6" t="s">
        <v>70</v>
      </c>
      <c r="O55" s="6">
        <v>20</v>
      </c>
      <c r="P55" s="6">
        <v>26.85</v>
      </c>
      <c r="Q55" s="6">
        <v>12.97</v>
      </c>
      <c r="R55" s="6">
        <v>537.03</v>
      </c>
      <c r="S55" s="6">
        <v>0.2</v>
      </c>
      <c r="T55" s="6">
        <v>107.41</v>
      </c>
      <c r="U55" s="6">
        <v>429.63</v>
      </c>
      <c r="V55" s="6">
        <v>259.32</v>
      </c>
      <c r="W55" s="6">
        <v>170.31</v>
      </c>
      <c r="X55" s="6" t="s">
        <v>45</v>
      </c>
    </row>
    <row r="56" spans="1:24" x14ac:dyDescent="0.25">
      <c r="A56" s="5" t="s">
        <v>246</v>
      </c>
      <c r="B56" s="18">
        <v>45382</v>
      </c>
      <c r="C56" s="7" t="s">
        <v>247</v>
      </c>
      <c r="D56" s="7" t="s">
        <v>65</v>
      </c>
      <c r="E56" s="7" t="s">
        <v>36</v>
      </c>
      <c r="F56" s="7" t="s">
        <v>37</v>
      </c>
      <c r="G56" s="7" t="s">
        <v>38</v>
      </c>
      <c r="H56" s="7" t="s">
        <v>39</v>
      </c>
      <c r="I56" s="7" t="s">
        <v>27</v>
      </c>
      <c r="J56" s="7" t="s">
        <v>211</v>
      </c>
      <c r="K56" s="7" t="s">
        <v>248</v>
      </c>
      <c r="L56" s="7" t="s">
        <v>2675</v>
      </c>
      <c r="M56" s="7" t="s">
        <v>153</v>
      </c>
      <c r="N56" s="7" t="s">
        <v>84</v>
      </c>
      <c r="O56" s="7">
        <v>24</v>
      </c>
      <c r="P56" s="7">
        <v>167.13</v>
      </c>
      <c r="Q56" s="7">
        <v>99.09</v>
      </c>
      <c r="R56" s="7">
        <v>4011.13</v>
      </c>
      <c r="S56" s="7">
        <v>0.05</v>
      </c>
      <c r="T56" s="7">
        <v>200.56</v>
      </c>
      <c r="U56" s="7">
        <v>3810.57</v>
      </c>
      <c r="V56" s="7">
        <v>2378.09</v>
      </c>
      <c r="W56" s="7">
        <v>1432.48</v>
      </c>
      <c r="X56" s="7" t="s">
        <v>129</v>
      </c>
    </row>
    <row r="57" spans="1:24" x14ac:dyDescent="0.25">
      <c r="A57" s="16" t="s">
        <v>249</v>
      </c>
      <c r="B57" s="17">
        <v>45490</v>
      </c>
      <c r="C57" s="6" t="s">
        <v>104</v>
      </c>
      <c r="D57" s="6" t="s">
        <v>105</v>
      </c>
      <c r="E57" s="6" t="s">
        <v>250</v>
      </c>
      <c r="F57" s="6" t="s">
        <v>251</v>
      </c>
      <c r="G57" s="6" t="s">
        <v>51</v>
      </c>
      <c r="H57" s="6" t="s">
        <v>252</v>
      </c>
      <c r="I57" s="6" t="s">
        <v>40</v>
      </c>
      <c r="J57" s="6" t="s">
        <v>41</v>
      </c>
      <c r="K57" s="6" t="s">
        <v>253</v>
      </c>
      <c r="L57" s="6" t="s">
        <v>2676</v>
      </c>
      <c r="M57" s="6" t="s">
        <v>30</v>
      </c>
      <c r="N57" s="6" t="s">
        <v>44</v>
      </c>
      <c r="O57" s="6">
        <v>-5</v>
      </c>
      <c r="P57" s="6">
        <v>60.77</v>
      </c>
      <c r="Q57" s="6">
        <v>37.200000000000003</v>
      </c>
      <c r="R57" s="6">
        <v>3585.68</v>
      </c>
      <c r="S57" s="6">
        <v>0.05</v>
      </c>
      <c r="T57" s="6">
        <v>179.28</v>
      </c>
      <c r="U57" s="6">
        <v>3406.39</v>
      </c>
      <c r="V57" s="6">
        <v>2194.5500000000002</v>
      </c>
      <c r="W57" s="6">
        <v>1211.8499999999999</v>
      </c>
      <c r="X57" s="6" t="s">
        <v>129</v>
      </c>
    </row>
    <row r="58" spans="1:24" x14ac:dyDescent="0.25">
      <c r="A58" s="5" t="s">
        <v>254</v>
      </c>
      <c r="B58" s="18">
        <v>45351</v>
      </c>
      <c r="C58" s="7" t="s">
        <v>255</v>
      </c>
      <c r="D58" s="7" t="s">
        <v>256</v>
      </c>
      <c r="E58" s="7" t="s">
        <v>165</v>
      </c>
      <c r="F58" s="7" t="s">
        <v>166</v>
      </c>
      <c r="G58" s="7" t="s">
        <v>95</v>
      </c>
      <c r="H58" s="7" t="s">
        <v>167</v>
      </c>
      <c r="I58" s="7" t="s">
        <v>27</v>
      </c>
      <c r="J58" s="7" t="s">
        <v>189</v>
      </c>
      <c r="K58" s="7" t="s">
        <v>152</v>
      </c>
      <c r="L58" s="7" t="s">
        <v>2670</v>
      </c>
      <c r="M58" s="7" t="s">
        <v>61</v>
      </c>
      <c r="N58" s="7" t="s">
        <v>31</v>
      </c>
      <c r="O58" s="7">
        <v>74</v>
      </c>
      <c r="P58" s="7">
        <v>41.73</v>
      </c>
      <c r="Q58" s="7">
        <v>24.21</v>
      </c>
      <c r="R58" s="7">
        <v>3087.67</v>
      </c>
      <c r="S58" s="7">
        <v>0.05</v>
      </c>
      <c r="T58" s="7">
        <v>154.38</v>
      </c>
      <c r="U58" s="7">
        <v>2933.29</v>
      </c>
      <c r="V58" s="7">
        <v>1791.77</v>
      </c>
      <c r="W58" s="7">
        <v>1141.52</v>
      </c>
      <c r="X58" s="7" t="s">
        <v>45</v>
      </c>
    </row>
    <row r="59" spans="1:24" x14ac:dyDescent="0.25">
      <c r="A59" s="16" t="s">
        <v>257</v>
      </c>
      <c r="B59" s="17">
        <v>45454</v>
      </c>
      <c r="C59" s="6" t="s">
        <v>258</v>
      </c>
      <c r="D59" s="6" t="s">
        <v>259</v>
      </c>
      <c r="E59" s="6" t="s">
        <v>176</v>
      </c>
      <c r="F59" s="6" t="s">
        <v>177</v>
      </c>
      <c r="G59" s="6" t="s">
        <v>101</v>
      </c>
      <c r="H59" s="6" t="s">
        <v>39</v>
      </c>
      <c r="I59" s="6" t="s">
        <v>40</v>
      </c>
      <c r="J59" s="6" t="s">
        <v>117</v>
      </c>
      <c r="K59" s="6" t="s">
        <v>83</v>
      </c>
      <c r="L59" s="6" t="s">
        <v>2665</v>
      </c>
      <c r="M59" s="6" t="s">
        <v>43</v>
      </c>
      <c r="N59" s="6" t="s">
        <v>31</v>
      </c>
      <c r="O59" s="6">
        <v>49</v>
      </c>
      <c r="P59" s="6">
        <v>104.24</v>
      </c>
      <c r="Q59" s="6">
        <v>63.16</v>
      </c>
      <c r="R59" s="6">
        <v>5107.74</v>
      </c>
      <c r="S59" s="6">
        <v>0.15</v>
      </c>
      <c r="T59" s="6">
        <v>766.16</v>
      </c>
      <c r="U59" s="6">
        <v>4341.58</v>
      </c>
      <c r="V59" s="6">
        <v>3094.7</v>
      </c>
      <c r="W59" s="6">
        <v>1246.8800000000001</v>
      </c>
      <c r="X59" s="6" t="s">
        <v>45</v>
      </c>
    </row>
    <row r="60" spans="1:24" x14ac:dyDescent="0.25">
      <c r="A60" s="5" t="s">
        <v>260</v>
      </c>
      <c r="B60" s="18">
        <v>45357</v>
      </c>
      <c r="C60" s="7" t="s">
        <v>192</v>
      </c>
      <c r="D60" s="7" t="s">
        <v>65</v>
      </c>
      <c r="E60" s="7" t="s">
        <v>165</v>
      </c>
      <c r="F60" s="7" t="s">
        <v>166</v>
      </c>
      <c r="G60" s="7" t="s">
        <v>95</v>
      </c>
      <c r="H60" s="7" t="s">
        <v>167</v>
      </c>
      <c r="I60" s="7" t="s">
        <v>88</v>
      </c>
      <c r="J60" s="7" t="s">
        <v>173</v>
      </c>
      <c r="K60" s="7" t="s">
        <v>261</v>
      </c>
      <c r="L60" s="7" t="s">
        <v>2677</v>
      </c>
      <c r="M60" s="7" t="s">
        <v>153</v>
      </c>
      <c r="N60" s="7" t="s">
        <v>84</v>
      </c>
      <c r="O60" s="7">
        <v>25</v>
      </c>
      <c r="P60" s="7">
        <v>38.799999999999997</v>
      </c>
      <c r="Q60" s="7">
        <v>26.33</v>
      </c>
      <c r="R60" s="7">
        <v>970.06</v>
      </c>
      <c r="S60" s="7">
        <v>0.1</v>
      </c>
      <c r="T60" s="7">
        <v>97.01</v>
      </c>
      <c r="U60" s="7">
        <v>873.06</v>
      </c>
      <c r="V60" s="7">
        <v>658.17</v>
      </c>
      <c r="W60" s="7">
        <v>214.89</v>
      </c>
      <c r="X60" s="7" t="s">
        <v>45</v>
      </c>
    </row>
    <row r="61" spans="1:24" x14ac:dyDescent="0.25">
      <c r="A61" s="16" t="s">
        <v>262</v>
      </c>
      <c r="B61" s="17">
        <v>45322</v>
      </c>
      <c r="C61" s="6" t="s">
        <v>263</v>
      </c>
      <c r="D61" s="6" t="s">
        <v>264</v>
      </c>
      <c r="E61" s="6" t="s">
        <v>23</v>
      </c>
      <c r="F61" s="6" t="s">
        <v>24</v>
      </c>
      <c r="G61" s="6" t="s">
        <v>25</v>
      </c>
      <c r="H61" s="6" t="s">
        <v>26</v>
      </c>
      <c r="I61" s="6" t="s">
        <v>40</v>
      </c>
      <c r="J61" s="6" t="s">
        <v>117</v>
      </c>
      <c r="K61" s="6" t="s">
        <v>265</v>
      </c>
      <c r="L61" s="6" t="s">
        <v>2678</v>
      </c>
      <c r="M61" s="6" t="s">
        <v>61</v>
      </c>
      <c r="N61" s="6" t="s">
        <v>31</v>
      </c>
      <c r="O61" s="6">
        <v>49</v>
      </c>
      <c r="P61" s="6">
        <v>72.63</v>
      </c>
      <c r="Q61" s="6">
        <v>44.45</v>
      </c>
      <c r="R61" s="6">
        <v>3558.82</v>
      </c>
      <c r="S61" s="6">
        <v>0.2</v>
      </c>
      <c r="T61" s="6">
        <v>711.76</v>
      </c>
      <c r="U61" s="6">
        <v>2847.06</v>
      </c>
      <c r="V61" s="6">
        <v>2177.87</v>
      </c>
      <c r="W61" s="6">
        <v>669.18</v>
      </c>
      <c r="X61" s="6" t="s">
        <v>45</v>
      </c>
    </row>
    <row r="62" spans="1:24" x14ac:dyDescent="0.25">
      <c r="A62" s="5" t="s">
        <v>266</v>
      </c>
      <c r="B62" s="18">
        <v>45633</v>
      </c>
      <c r="C62" s="7" t="s">
        <v>267</v>
      </c>
      <c r="D62" s="7" t="s">
        <v>65</v>
      </c>
      <c r="E62" s="7" t="s">
        <v>132</v>
      </c>
      <c r="F62" s="7" t="s">
        <v>133</v>
      </c>
      <c r="G62" s="7" t="s">
        <v>51</v>
      </c>
      <c r="H62" s="7" t="s">
        <v>134</v>
      </c>
      <c r="I62" s="7" t="s">
        <v>88</v>
      </c>
      <c r="J62" s="7" t="s">
        <v>173</v>
      </c>
      <c r="K62" s="7" t="s">
        <v>83</v>
      </c>
      <c r="L62" s="7" t="s">
        <v>2665</v>
      </c>
      <c r="M62" s="7" t="s">
        <v>153</v>
      </c>
      <c r="N62" s="7" t="s">
        <v>70</v>
      </c>
      <c r="O62" s="7">
        <v>75</v>
      </c>
      <c r="P62" s="7">
        <v>56.21</v>
      </c>
      <c r="Q62" s="7">
        <v>34.85</v>
      </c>
      <c r="R62" s="7">
        <v>4215.9399999999996</v>
      </c>
      <c r="S62" s="7">
        <v>0.15</v>
      </c>
      <c r="T62" s="7">
        <v>632.39</v>
      </c>
      <c r="U62" s="7">
        <v>3583.55</v>
      </c>
      <c r="V62" s="7">
        <v>2613.9699999999998</v>
      </c>
      <c r="W62" s="7">
        <v>969.58</v>
      </c>
      <c r="X62" s="7" t="s">
        <v>45</v>
      </c>
    </row>
    <row r="63" spans="1:24" x14ac:dyDescent="0.25">
      <c r="A63" s="16" t="s">
        <v>268</v>
      </c>
      <c r="B63" s="17">
        <v>45546</v>
      </c>
      <c r="C63" s="6" t="s">
        <v>269</v>
      </c>
      <c r="D63" s="6" t="s">
        <v>105</v>
      </c>
      <c r="E63" s="6" t="s">
        <v>132</v>
      </c>
      <c r="F63" s="6" t="s">
        <v>133</v>
      </c>
      <c r="G63" s="6" t="s">
        <v>51</v>
      </c>
      <c r="H63" s="6" t="s">
        <v>134</v>
      </c>
      <c r="I63" s="6" t="s">
        <v>53</v>
      </c>
      <c r="J63" s="6" t="s">
        <v>232</v>
      </c>
      <c r="K63" s="6" t="s">
        <v>248</v>
      </c>
      <c r="L63" s="6" t="s">
        <v>2675</v>
      </c>
      <c r="M63" s="6" t="s">
        <v>153</v>
      </c>
      <c r="N63" s="6" t="s">
        <v>31</v>
      </c>
      <c r="O63" s="6">
        <v>75</v>
      </c>
      <c r="P63" s="6">
        <v>61.36</v>
      </c>
      <c r="Q63" s="6">
        <v>31.74</v>
      </c>
      <c r="R63" s="6">
        <v>4602.26</v>
      </c>
      <c r="S63" s="6">
        <v>0.02</v>
      </c>
      <c r="T63" s="6">
        <v>92.05</v>
      </c>
      <c r="U63" s="6">
        <v>4510.22</v>
      </c>
      <c r="V63" s="6">
        <v>2380.33</v>
      </c>
      <c r="W63" s="6">
        <v>2129.89</v>
      </c>
      <c r="X63" s="6" t="s">
        <v>270</v>
      </c>
    </row>
    <row r="64" spans="1:24" x14ac:dyDescent="0.25">
      <c r="A64" s="5" t="s">
        <v>271</v>
      </c>
      <c r="B64" s="18">
        <v>45414</v>
      </c>
      <c r="C64" s="7" t="s">
        <v>272</v>
      </c>
      <c r="D64" s="7" t="s">
        <v>105</v>
      </c>
      <c r="E64" s="7" t="s">
        <v>109</v>
      </c>
      <c r="F64" s="7" t="s">
        <v>110</v>
      </c>
      <c r="G64" s="7" t="s">
        <v>80</v>
      </c>
      <c r="H64" s="7" t="s">
        <v>81</v>
      </c>
      <c r="I64" s="7" t="s">
        <v>40</v>
      </c>
      <c r="J64" s="7" t="s">
        <v>82</v>
      </c>
      <c r="K64" s="7" t="s">
        <v>144</v>
      </c>
      <c r="L64" s="7" t="s">
        <v>2669</v>
      </c>
      <c r="M64" s="7" t="s">
        <v>30</v>
      </c>
      <c r="N64" s="7" t="s">
        <v>31</v>
      </c>
      <c r="O64" s="7">
        <v>80</v>
      </c>
      <c r="P64" s="7">
        <v>134.26</v>
      </c>
      <c r="Q64" s="7">
        <v>72.13</v>
      </c>
      <c r="R64" s="7">
        <v>10740.79</v>
      </c>
      <c r="S64" s="7">
        <v>0.02</v>
      </c>
      <c r="T64" s="7">
        <v>214.82</v>
      </c>
      <c r="U64" s="7">
        <v>10525.97</v>
      </c>
      <c r="V64" s="7">
        <v>5770.22</v>
      </c>
      <c r="W64" s="7">
        <v>4755.75</v>
      </c>
      <c r="X64" s="7" t="s">
        <v>45</v>
      </c>
    </row>
    <row r="65" spans="1:24" x14ac:dyDescent="0.25">
      <c r="A65" s="16" t="s">
        <v>273</v>
      </c>
      <c r="B65" s="17">
        <v>45457</v>
      </c>
      <c r="C65" s="6" t="s">
        <v>239</v>
      </c>
      <c r="D65" s="6" t="s">
        <v>65</v>
      </c>
      <c r="E65" s="6" t="s">
        <v>187</v>
      </c>
      <c r="F65" s="6" t="s">
        <v>188</v>
      </c>
      <c r="G65" s="6" t="s">
        <v>25</v>
      </c>
      <c r="H65" s="6" t="s">
        <v>26</v>
      </c>
      <c r="I65" s="6" t="s">
        <v>40</v>
      </c>
      <c r="J65" s="6" t="s">
        <v>41</v>
      </c>
      <c r="K65" s="6" t="s">
        <v>170</v>
      </c>
      <c r="L65" s="6" t="s">
        <v>2671</v>
      </c>
      <c r="M65" s="6" t="s">
        <v>30</v>
      </c>
      <c r="N65" s="6" t="s">
        <v>70</v>
      </c>
      <c r="O65" s="6">
        <v>27</v>
      </c>
      <c r="P65" s="6">
        <v>49.18</v>
      </c>
      <c r="Q65" s="6">
        <v>27.39</v>
      </c>
      <c r="R65" s="6">
        <v>1327.99</v>
      </c>
      <c r="S65" s="6">
        <v>0</v>
      </c>
      <c r="T65" s="6">
        <v>0</v>
      </c>
      <c r="U65" s="6">
        <v>1327.99</v>
      </c>
      <c r="V65" s="6">
        <v>739.42</v>
      </c>
      <c r="W65" s="6">
        <v>588.58000000000004</v>
      </c>
      <c r="X65" s="6" t="s">
        <v>129</v>
      </c>
    </row>
    <row r="66" spans="1:24" x14ac:dyDescent="0.25">
      <c r="A66" s="5" t="s">
        <v>274</v>
      </c>
      <c r="B66" s="18">
        <v>45467</v>
      </c>
      <c r="C66" s="7" t="s">
        <v>34</v>
      </c>
      <c r="D66" s="7" t="s">
        <v>35</v>
      </c>
      <c r="E66" s="7" t="s">
        <v>99</v>
      </c>
      <c r="F66" s="7" t="s">
        <v>100</v>
      </c>
      <c r="G66" s="7" t="s">
        <v>101</v>
      </c>
      <c r="H66" s="7" t="s">
        <v>102</v>
      </c>
      <c r="I66" s="7" t="s">
        <v>88</v>
      </c>
      <c r="J66" s="7" t="s">
        <v>135</v>
      </c>
      <c r="K66" s="7" t="s">
        <v>248</v>
      </c>
      <c r="L66" s="7" t="s">
        <v>2675</v>
      </c>
      <c r="M66" s="7" t="s">
        <v>43</v>
      </c>
      <c r="N66" s="7" t="s">
        <v>70</v>
      </c>
      <c r="O66" s="7">
        <v>7</v>
      </c>
      <c r="P66" s="7">
        <v>69.91</v>
      </c>
      <c r="Q66" s="7">
        <v>39.409999999999997</v>
      </c>
      <c r="R66" s="7">
        <v>489.38</v>
      </c>
      <c r="S66" s="7"/>
      <c r="T66" s="7">
        <v>0</v>
      </c>
      <c r="U66" s="7">
        <v>489.38</v>
      </c>
      <c r="V66" s="7">
        <v>275.89999999999998</v>
      </c>
      <c r="W66" s="7">
        <v>213.48</v>
      </c>
      <c r="X66" s="7" t="s">
        <v>45</v>
      </c>
    </row>
    <row r="67" spans="1:24" x14ac:dyDescent="0.25">
      <c r="A67" s="16" t="s">
        <v>275</v>
      </c>
      <c r="B67" s="17">
        <v>45381</v>
      </c>
      <c r="C67" s="6" t="s">
        <v>276</v>
      </c>
      <c r="D67" s="6" t="s">
        <v>221</v>
      </c>
      <c r="E67" s="6" t="s">
        <v>93</v>
      </c>
      <c r="F67" s="6" t="s">
        <v>94</v>
      </c>
      <c r="G67" s="6" t="s">
        <v>95</v>
      </c>
      <c r="H67" s="6" t="s">
        <v>96</v>
      </c>
      <c r="I67" s="6" t="s">
        <v>53</v>
      </c>
      <c r="J67" s="6" t="s">
        <v>54</v>
      </c>
      <c r="K67" s="6" t="s">
        <v>184</v>
      </c>
      <c r="L67" s="6" t="s">
        <v>2672</v>
      </c>
      <c r="M67" s="6" t="s">
        <v>61</v>
      </c>
      <c r="N67" s="6" t="s">
        <v>44</v>
      </c>
      <c r="O67" s="6">
        <v>34</v>
      </c>
      <c r="P67" s="6">
        <v>58.97</v>
      </c>
      <c r="Q67" s="6">
        <v>30.21</v>
      </c>
      <c r="R67" s="6">
        <v>2004.9</v>
      </c>
      <c r="S67" s="6">
        <v>0.2</v>
      </c>
      <c r="T67" s="6">
        <v>400.98</v>
      </c>
      <c r="U67" s="6">
        <v>1603.92</v>
      </c>
      <c r="V67" s="6">
        <v>1027.26</v>
      </c>
      <c r="W67" s="6">
        <v>576.66</v>
      </c>
      <c r="X67" s="6" t="s">
        <v>45</v>
      </c>
    </row>
    <row r="68" spans="1:24" x14ac:dyDescent="0.25">
      <c r="A68" s="5" t="s">
        <v>277</v>
      </c>
      <c r="B68" s="18">
        <v>45493</v>
      </c>
      <c r="C68" s="7" t="s">
        <v>278</v>
      </c>
      <c r="D68" s="7" t="s">
        <v>48</v>
      </c>
      <c r="E68" s="7" t="s">
        <v>93</v>
      </c>
      <c r="F68" s="7" t="s">
        <v>94</v>
      </c>
      <c r="G68" s="7" t="s">
        <v>95</v>
      </c>
      <c r="H68" s="7" t="s">
        <v>96</v>
      </c>
      <c r="I68" s="7" t="s">
        <v>58</v>
      </c>
      <c r="J68" s="7" t="s">
        <v>59</v>
      </c>
      <c r="K68" s="7" t="s">
        <v>178</v>
      </c>
      <c r="L68" s="7" t="s">
        <v>256</v>
      </c>
      <c r="M68" s="7" t="s">
        <v>30</v>
      </c>
      <c r="N68" s="7" t="s">
        <v>44</v>
      </c>
      <c r="O68" s="7">
        <v>9</v>
      </c>
      <c r="P68" s="7">
        <v>55.15</v>
      </c>
      <c r="Q68" s="7">
        <v>31.64</v>
      </c>
      <c r="R68" s="7">
        <v>496.38</v>
      </c>
      <c r="S68" s="7">
        <v>0.2</v>
      </c>
      <c r="T68" s="7">
        <v>99.28</v>
      </c>
      <c r="U68" s="7">
        <v>397.11</v>
      </c>
      <c r="V68" s="7">
        <v>284.79000000000002</v>
      </c>
      <c r="W68" s="7">
        <v>112.31</v>
      </c>
      <c r="X68" s="7" t="s">
        <v>129</v>
      </c>
    </row>
    <row r="69" spans="1:24" x14ac:dyDescent="0.25">
      <c r="A69" s="16" t="s">
        <v>279</v>
      </c>
      <c r="B69" s="17">
        <v>45417</v>
      </c>
      <c r="C69" s="6" t="s">
        <v>280</v>
      </c>
      <c r="D69" s="6" t="s">
        <v>35</v>
      </c>
      <c r="E69" s="6" t="s">
        <v>99</v>
      </c>
      <c r="F69" s="6" t="s">
        <v>100</v>
      </c>
      <c r="G69" s="6" t="s">
        <v>101</v>
      </c>
      <c r="H69" s="6" t="s">
        <v>102</v>
      </c>
      <c r="I69" s="6" t="s">
        <v>58</v>
      </c>
      <c r="J69" s="6" t="s">
        <v>59</v>
      </c>
      <c r="K69" s="6" t="s">
        <v>195</v>
      </c>
      <c r="L69" s="6" t="s">
        <v>2673</v>
      </c>
      <c r="M69" s="6" t="s">
        <v>30</v>
      </c>
      <c r="N69" s="6" t="s">
        <v>44</v>
      </c>
      <c r="O69" s="6">
        <v>12</v>
      </c>
      <c r="P69" s="6">
        <v>69.08</v>
      </c>
      <c r="Q69" s="6">
        <v>39.18</v>
      </c>
      <c r="R69" s="6">
        <v>828.9</v>
      </c>
      <c r="S69" s="6">
        <v>0.05</v>
      </c>
      <c r="T69" s="6">
        <v>41.45</v>
      </c>
      <c r="U69" s="6">
        <v>787.46</v>
      </c>
      <c r="V69" s="6">
        <v>470.12</v>
      </c>
      <c r="W69" s="6">
        <v>317.33</v>
      </c>
      <c r="X69" s="6" t="s">
        <v>32</v>
      </c>
    </row>
    <row r="70" spans="1:24" x14ac:dyDescent="0.25">
      <c r="A70" s="5" t="s">
        <v>281</v>
      </c>
      <c r="B70" s="18">
        <v>45319</v>
      </c>
      <c r="C70" s="7" t="s">
        <v>282</v>
      </c>
      <c r="D70" s="7" t="s">
        <v>125</v>
      </c>
      <c r="E70" s="7" t="s">
        <v>66</v>
      </c>
      <c r="F70" s="7" t="s">
        <v>67</v>
      </c>
      <c r="G70" s="7" t="s">
        <v>38</v>
      </c>
      <c r="H70" s="7" t="s">
        <v>68</v>
      </c>
      <c r="I70" s="7" t="s">
        <v>58</v>
      </c>
      <c r="J70" s="7" t="s">
        <v>59</v>
      </c>
      <c r="K70" s="7" t="s">
        <v>111</v>
      </c>
      <c r="L70" s="7" t="s">
        <v>2667</v>
      </c>
      <c r="M70" s="7" t="s">
        <v>43</v>
      </c>
      <c r="N70" s="7" t="s">
        <v>44</v>
      </c>
      <c r="O70" s="7">
        <v>45</v>
      </c>
      <c r="P70" s="7">
        <v>162.16</v>
      </c>
      <c r="Q70" s="7">
        <v>104.64</v>
      </c>
      <c r="R70" s="7">
        <v>7297.29</v>
      </c>
      <c r="S70" s="7">
        <v>0.1</v>
      </c>
      <c r="T70" s="7">
        <v>729.73</v>
      </c>
      <c r="U70" s="7">
        <v>6567.56</v>
      </c>
      <c r="V70" s="7">
        <v>4708.7</v>
      </c>
      <c r="W70" s="7">
        <v>1858.85</v>
      </c>
      <c r="X70" s="7" t="s">
        <v>45</v>
      </c>
    </row>
    <row r="71" spans="1:24" x14ac:dyDescent="0.25">
      <c r="A71" s="16" t="s">
        <v>283</v>
      </c>
      <c r="B71" s="17">
        <v>45440</v>
      </c>
      <c r="C71" s="6" t="s">
        <v>284</v>
      </c>
      <c r="D71" s="6" t="s">
        <v>57</v>
      </c>
      <c r="E71" s="6" t="s">
        <v>209</v>
      </c>
      <c r="F71" s="6" t="s">
        <v>210</v>
      </c>
      <c r="G71" s="6" t="s">
        <v>51</v>
      </c>
      <c r="H71" s="6" t="s">
        <v>116</v>
      </c>
      <c r="I71" s="6" t="s">
        <v>53</v>
      </c>
      <c r="J71" s="6"/>
      <c r="K71" s="6" t="s">
        <v>111</v>
      </c>
      <c r="L71" s="6" t="s">
        <v>2667</v>
      </c>
      <c r="M71" s="6" t="s">
        <v>61</v>
      </c>
      <c r="N71" s="6" t="s">
        <v>44</v>
      </c>
      <c r="O71" s="6">
        <v>37</v>
      </c>
      <c r="P71" s="6">
        <v>17.510000000000002</v>
      </c>
      <c r="Q71" s="6">
        <v>9.89</v>
      </c>
      <c r="R71" s="6">
        <v>647.69000000000005</v>
      </c>
      <c r="S71" s="6">
        <v>0.1</v>
      </c>
      <c r="T71" s="6">
        <v>64.77</v>
      </c>
      <c r="U71" s="6">
        <v>582.91999999999996</v>
      </c>
      <c r="V71" s="6">
        <v>366.09</v>
      </c>
      <c r="W71" s="6">
        <v>216.83</v>
      </c>
      <c r="X71" s="6" t="s">
        <v>285</v>
      </c>
    </row>
    <row r="72" spans="1:24" x14ac:dyDescent="0.25">
      <c r="A72" s="5" t="s">
        <v>286</v>
      </c>
      <c r="B72" s="18">
        <v>45377</v>
      </c>
      <c r="C72" s="7" t="s">
        <v>287</v>
      </c>
      <c r="D72" s="7" t="s">
        <v>65</v>
      </c>
      <c r="E72" s="7" t="s">
        <v>78</v>
      </c>
      <c r="F72" s="7" t="s">
        <v>79</v>
      </c>
      <c r="G72" s="7" t="s">
        <v>80</v>
      </c>
      <c r="H72" s="7" t="s">
        <v>81</v>
      </c>
      <c r="I72" s="7" t="s">
        <v>288</v>
      </c>
      <c r="J72" s="7" t="s">
        <v>289</v>
      </c>
      <c r="K72" s="7" t="s">
        <v>90</v>
      </c>
      <c r="L72" s="7" t="s">
        <v>2666</v>
      </c>
      <c r="M72" s="7" t="s">
        <v>43</v>
      </c>
      <c r="N72" s="7" t="s">
        <v>84</v>
      </c>
      <c r="O72" s="7">
        <v>48</v>
      </c>
      <c r="P72" s="7">
        <v>129.68</v>
      </c>
      <c r="Q72" s="7">
        <v>85.93</v>
      </c>
      <c r="R72" s="7">
        <v>6224.67</v>
      </c>
      <c r="S72" s="7">
        <v>0.02</v>
      </c>
      <c r="T72" s="7">
        <v>124.49</v>
      </c>
      <c r="U72" s="7">
        <v>6100.18</v>
      </c>
      <c r="V72" s="7">
        <v>4124.5600000000004</v>
      </c>
      <c r="W72" s="7">
        <v>1975.62</v>
      </c>
      <c r="X72" s="7" t="s">
        <v>45</v>
      </c>
    </row>
    <row r="73" spans="1:24" x14ac:dyDescent="0.25">
      <c r="A73" s="16" t="s">
        <v>290</v>
      </c>
      <c r="B73" s="17">
        <v>45419</v>
      </c>
      <c r="C73" s="6" t="s">
        <v>291</v>
      </c>
      <c r="D73" s="6" t="s">
        <v>57</v>
      </c>
      <c r="E73" s="6" t="s">
        <v>114</v>
      </c>
      <c r="F73" s="6" t="s">
        <v>115</v>
      </c>
      <c r="G73" s="6" t="s">
        <v>95</v>
      </c>
      <c r="H73" s="6" t="s">
        <v>116</v>
      </c>
      <c r="I73" s="6" t="s">
        <v>53</v>
      </c>
      <c r="J73" s="6" t="s">
        <v>54</v>
      </c>
      <c r="K73" s="6" t="s">
        <v>90</v>
      </c>
      <c r="L73" s="6" t="s">
        <v>2666</v>
      </c>
      <c r="M73" s="6" t="s">
        <v>153</v>
      </c>
      <c r="N73" s="6" t="s">
        <v>84</v>
      </c>
      <c r="O73" s="6">
        <v>50</v>
      </c>
      <c r="P73" s="6">
        <v>36.14</v>
      </c>
      <c r="Q73" s="6">
        <v>21.14</v>
      </c>
      <c r="R73" s="6">
        <v>1807.03</v>
      </c>
      <c r="S73" s="6">
        <v>0.1</v>
      </c>
      <c r="T73" s="6">
        <v>180.7</v>
      </c>
      <c r="U73" s="6">
        <v>1626.33</v>
      </c>
      <c r="V73" s="6">
        <v>1056.8399999999999</v>
      </c>
      <c r="W73" s="6">
        <v>569.49</v>
      </c>
      <c r="X73" s="6" t="s">
        <v>32</v>
      </c>
    </row>
    <row r="74" spans="1:24" x14ac:dyDescent="0.25">
      <c r="A74" s="5" t="s">
        <v>292</v>
      </c>
      <c r="B74" s="18">
        <v>45485</v>
      </c>
      <c r="C74" s="7" t="s">
        <v>293</v>
      </c>
      <c r="D74" s="7" t="s">
        <v>65</v>
      </c>
      <c r="E74" s="7" t="s">
        <v>222</v>
      </c>
      <c r="F74" s="7" t="s">
        <v>223</v>
      </c>
      <c r="G74" s="7" t="s">
        <v>101</v>
      </c>
      <c r="H74" s="7" t="s">
        <v>68</v>
      </c>
      <c r="I74" s="7" t="s">
        <v>88</v>
      </c>
      <c r="J74" s="7" t="s">
        <v>135</v>
      </c>
      <c r="K74" s="7" t="s">
        <v>118</v>
      </c>
      <c r="L74" s="7" t="s">
        <v>2668</v>
      </c>
      <c r="M74" s="7" t="s">
        <v>61</v>
      </c>
      <c r="N74" s="7" t="s">
        <v>31</v>
      </c>
      <c r="O74" s="7">
        <v>1</v>
      </c>
      <c r="P74" s="7">
        <v>114.58</v>
      </c>
      <c r="Q74" s="7">
        <v>80.02</v>
      </c>
      <c r="R74" s="7">
        <v>114.58</v>
      </c>
      <c r="S74" s="7">
        <v>0.02</v>
      </c>
      <c r="T74" s="7">
        <v>2.29</v>
      </c>
      <c r="U74" s="7">
        <v>112.29</v>
      </c>
      <c r="V74" s="7">
        <v>80.02</v>
      </c>
      <c r="W74" s="7">
        <v>32.270000000000003</v>
      </c>
      <c r="X74" s="7" t="s">
        <v>45</v>
      </c>
    </row>
    <row r="75" spans="1:24" x14ac:dyDescent="0.25">
      <c r="A75" s="16" t="s">
        <v>294</v>
      </c>
      <c r="B75" s="17">
        <v>45581</v>
      </c>
      <c r="C75" s="6" t="s">
        <v>295</v>
      </c>
      <c r="D75" s="6" t="s">
        <v>22</v>
      </c>
      <c r="E75" s="6" t="s">
        <v>209</v>
      </c>
      <c r="F75" s="6" t="s">
        <v>210</v>
      </c>
      <c r="G75" s="6" t="s">
        <v>51</v>
      </c>
      <c r="H75" s="6" t="s">
        <v>116</v>
      </c>
      <c r="I75" s="6" t="s">
        <v>88</v>
      </c>
      <c r="J75" s="6" t="s">
        <v>89</v>
      </c>
      <c r="K75" s="6" t="s">
        <v>170</v>
      </c>
      <c r="L75" s="6" t="s">
        <v>2671</v>
      </c>
      <c r="M75" s="6" t="s">
        <v>43</v>
      </c>
      <c r="N75" s="6" t="s">
        <v>44</v>
      </c>
      <c r="O75" s="6">
        <v>52</v>
      </c>
      <c r="P75" s="6">
        <v>19.260000000000002</v>
      </c>
      <c r="Q75" s="6">
        <v>10.31</v>
      </c>
      <c r="R75" s="6">
        <v>1001.32</v>
      </c>
      <c r="S75" s="6">
        <v>0</v>
      </c>
      <c r="T75" s="6">
        <v>0</v>
      </c>
      <c r="U75" s="6">
        <v>1001.32</v>
      </c>
      <c r="V75" s="6">
        <v>536.30999999999995</v>
      </c>
      <c r="W75" s="6">
        <v>465.01</v>
      </c>
      <c r="X75" s="6" t="s">
        <v>45</v>
      </c>
    </row>
    <row r="76" spans="1:24" x14ac:dyDescent="0.25">
      <c r="A76" s="5" t="s">
        <v>296</v>
      </c>
      <c r="B76" s="18">
        <v>45568</v>
      </c>
      <c r="C76" s="7" t="s">
        <v>297</v>
      </c>
      <c r="D76" s="7" t="s">
        <v>87</v>
      </c>
      <c r="E76" s="7" t="s">
        <v>36</v>
      </c>
      <c r="F76" s="7" t="s">
        <v>37</v>
      </c>
      <c r="G76" s="7" t="s">
        <v>38</v>
      </c>
      <c r="H76" s="7" t="s">
        <v>39</v>
      </c>
      <c r="I76" s="7" t="s">
        <v>58</v>
      </c>
      <c r="J76" s="7" t="s">
        <v>59</v>
      </c>
      <c r="K76" s="7" t="s">
        <v>111</v>
      </c>
      <c r="L76" s="7" t="s">
        <v>2667</v>
      </c>
      <c r="M76" s="7" t="s">
        <v>43</v>
      </c>
      <c r="N76" s="7" t="s">
        <v>31</v>
      </c>
      <c r="O76" s="7">
        <v>70</v>
      </c>
      <c r="P76" s="7">
        <v>165.82</v>
      </c>
      <c r="Q76" s="7">
        <v>105.92</v>
      </c>
      <c r="R76" s="7">
        <v>11607.6</v>
      </c>
      <c r="S76" s="7">
        <v>0</v>
      </c>
      <c r="T76" s="7">
        <v>0</v>
      </c>
      <c r="U76" s="7">
        <v>11607.6</v>
      </c>
      <c r="V76" s="7">
        <v>7414.11</v>
      </c>
      <c r="W76" s="7">
        <v>4193.49</v>
      </c>
      <c r="X76" s="7" t="s">
        <v>45</v>
      </c>
    </row>
    <row r="77" spans="1:24" x14ac:dyDescent="0.25">
      <c r="A77" s="16" t="s">
        <v>298</v>
      </c>
      <c r="B77" s="17">
        <v>45625</v>
      </c>
      <c r="C77" s="6" t="s">
        <v>299</v>
      </c>
      <c r="D77" s="6" t="s">
        <v>159</v>
      </c>
      <c r="E77" s="6" t="s">
        <v>209</v>
      </c>
      <c r="F77" s="6" t="s">
        <v>210</v>
      </c>
      <c r="G77" s="6" t="s">
        <v>51</v>
      </c>
      <c r="H77" s="6" t="s">
        <v>116</v>
      </c>
      <c r="I77" s="6" t="s">
        <v>88</v>
      </c>
      <c r="J77" s="6" t="s">
        <v>135</v>
      </c>
      <c r="K77" s="6" t="s">
        <v>60</v>
      </c>
      <c r="L77" s="6" t="s">
        <v>2662</v>
      </c>
      <c r="M77" s="6" t="s">
        <v>153</v>
      </c>
      <c r="N77" s="6" t="s">
        <v>75</v>
      </c>
      <c r="O77" s="6">
        <v>39</v>
      </c>
      <c r="P77" s="6">
        <v>17.63</v>
      </c>
      <c r="Q77" s="6">
        <v>10.26</v>
      </c>
      <c r="R77" s="6">
        <v>687.64</v>
      </c>
      <c r="S77" s="6">
        <v>0.15</v>
      </c>
      <c r="T77" s="6">
        <v>103.15</v>
      </c>
      <c r="U77" s="6">
        <v>584.5</v>
      </c>
      <c r="V77" s="6">
        <v>400.09</v>
      </c>
      <c r="W77" s="6">
        <v>184.41</v>
      </c>
      <c r="X77" s="6" t="s">
        <v>45</v>
      </c>
    </row>
    <row r="78" spans="1:24" x14ac:dyDescent="0.25">
      <c r="A78" s="5" t="s">
        <v>300</v>
      </c>
      <c r="B78" s="18">
        <v>45361</v>
      </c>
      <c r="C78" s="7" t="s">
        <v>301</v>
      </c>
      <c r="D78" s="7" t="s">
        <v>259</v>
      </c>
      <c r="E78" s="7" t="s">
        <v>222</v>
      </c>
      <c r="F78" s="7" t="s">
        <v>223</v>
      </c>
      <c r="G78" s="7" t="s">
        <v>101</v>
      </c>
      <c r="H78" s="7" t="s">
        <v>68</v>
      </c>
      <c r="I78" s="7" t="s">
        <v>27</v>
      </c>
      <c r="J78" s="7" t="s">
        <v>211</v>
      </c>
      <c r="K78" s="7" t="s">
        <v>69</v>
      </c>
      <c r="L78" s="7" t="s">
        <v>2663</v>
      </c>
      <c r="M78" s="7" t="s">
        <v>153</v>
      </c>
      <c r="N78" s="7" t="s">
        <v>70</v>
      </c>
      <c r="O78" s="7">
        <v>29</v>
      </c>
      <c r="P78" s="7">
        <v>117.61</v>
      </c>
      <c r="Q78" s="7">
        <v>81.790000000000006</v>
      </c>
      <c r="R78" s="7">
        <v>3410.66</v>
      </c>
      <c r="S78" s="7">
        <v>0.2</v>
      </c>
      <c r="T78" s="7">
        <v>682.13</v>
      </c>
      <c r="U78" s="7">
        <v>2728.53</v>
      </c>
      <c r="V78" s="7">
        <v>2371.96</v>
      </c>
      <c r="W78" s="7">
        <v>356.57</v>
      </c>
      <c r="X78" s="7" t="s">
        <v>45</v>
      </c>
    </row>
    <row r="79" spans="1:24" x14ac:dyDescent="0.25">
      <c r="A79" s="16" t="s">
        <v>302</v>
      </c>
      <c r="B79" s="17">
        <v>45579</v>
      </c>
      <c r="C79" s="6" t="s">
        <v>303</v>
      </c>
      <c r="D79" s="6" t="s">
        <v>22</v>
      </c>
      <c r="E79" s="6" t="s">
        <v>216</v>
      </c>
      <c r="F79" s="6" t="s">
        <v>217</v>
      </c>
      <c r="G79" s="6" t="s">
        <v>38</v>
      </c>
      <c r="H79" s="6" t="s">
        <v>134</v>
      </c>
      <c r="I79" s="6" t="s">
        <v>40</v>
      </c>
      <c r="J79" s="6" t="s">
        <v>82</v>
      </c>
      <c r="K79" s="6" t="s">
        <v>29</v>
      </c>
      <c r="L79" s="6" t="s">
        <v>2660</v>
      </c>
      <c r="M79" s="6" t="s">
        <v>30</v>
      </c>
      <c r="N79" s="6" t="s">
        <v>75</v>
      </c>
      <c r="O79" s="6">
        <v>2</v>
      </c>
      <c r="P79" s="6">
        <v>101.43</v>
      </c>
      <c r="Q79" s="6">
        <v>68.75</v>
      </c>
      <c r="R79" s="6">
        <v>202.86</v>
      </c>
      <c r="S79" s="6">
        <v>0</v>
      </c>
      <c r="T79" s="6">
        <v>0</v>
      </c>
      <c r="U79" s="6">
        <v>202.86</v>
      </c>
      <c r="V79" s="6">
        <v>137.51</v>
      </c>
      <c r="W79" s="6">
        <v>65.349999999999994</v>
      </c>
      <c r="X79" s="6" t="s">
        <v>129</v>
      </c>
    </row>
    <row r="80" spans="1:24" x14ac:dyDescent="0.25">
      <c r="A80" s="5" t="s">
        <v>304</v>
      </c>
      <c r="B80" s="18">
        <v>45548</v>
      </c>
      <c r="C80" s="7" t="s">
        <v>305</v>
      </c>
      <c r="D80" s="7" t="s">
        <v>87</v>
      </c>
      <c r="E80" s="7" t="s">
        <v>250</v>
      </c>
      <c r="F80" s="7" t="s">
        <v>251</v>
      </c>
      <c r="G80" s="7" t="s">
        <v>51</v>
      </c>
      <c r="H80" s="7" t="s">
        <v>252</v>
      </c>
      <c r="I80" s="7" t="s">
        <v>88</v>
      </c>
      <c r="J80" s="7" t="s">
        <v>135</v>
      </c>
      <c r="K80" s="7" t="s">
        <v>144</v>
      </c>
      <c r="L80" s="7" t="s">
        <v>2669</v>
      </c>
      <c r="M80" s="7" t="s">
        <v>61</v>
      </c>
      <c r="N80" s="7" t="s">
        <v>31</v>
      </c>
      <c r="O80" s="7">
        <v>15</v>
      </c>
      <c r="P80" s="7">
        <v>63.52</v>
      </c>
      <c r="Q80" s="7">
        <v>38.9</v>
      </c>
      <c r="R80" s="7">
        <v>952.82</v>
      </c>
      <c r="S80" s="7">
        <v>0.15</v>
      </c>
      <c r="T80" s="7">
        <v>142.91999999999999</v>
      </c>
      <c r="U80" s="7">
        <v>809.9</v>
      </c>
      <c r="V80" s="7">
        <v>583.48</v>
      </c>
      <c r="W80" s="7">
        <v>226.42</v>
      </c>
      <c r="X80" s="7" t="s">
        <v>129</v>
      </c>
    </row>
    <row r="81" spans="1:24" x14ac:dyDescent="0.25">
      <c r="A81" s="16" t="s">
        <v>306</v>
      </c>
      <c r="B81" s="17">
        <v>45357</v>
      </c>
      <c r="C81" s="6" t="s">
        <v>307</v>
      </c>
      <c r="D81" s="6" t="s">
        <v>105</v>
      </c>
      <c r="E81" s="6" t="s">
        <v>216</v>
      </c>
      <c r="F81" s="6" t="s">
        <v>217</v>
      </c>
      <c r="G81" s="6" t="s">
        <v>38</v>
      </c>
      <c r="H81" s="6" t="s">
        <v>134</v>
      </c>
      <c r="I81" s="6" t="s">
        <v>88</v>
      </c>
      <c r="J81" s="6" t="s">
        <v>173</v>
      </c>
      <c r="K81" s="6" t="s">
        <v>253</v>
      </c>
      <c r="L81" s="6" t="s">
        <v>2676</v>
      </c>
      <c r="M81" s="6" t="s">
        <v>30</v>
      </c>
      <c r="N81" s="6" t="s">
        <v>75</v>
      </c>
      <c r="O81" s="6">
        <v>64</v>
      </c>
      <c r="P81" s="6">
        <v>103.34</v>
      </c>
      <c r="Q81" s="6">
        <v>63.76</v>
      </c>
      <c r="R81" s="6">
        <v>6613.66</v>
      </c>
      <c r="S81" s="6">
        <v>0</v>
      </c>
      <c r="T81" s="6">
        <v>0</v>
      </c>
      <c r="U81" s="6">
        <v>6613.66</v>
      </c>
      <c r="V81" s="6">
        <v>4080.44</v>
      </c>
      <c r="W81" s="6">
        <v>2533.2199999999998</v>
      </c>
      <c r="X81" s="6" t="s">
        <v>45</v>
      </c>
    </row>
    <row r="82" spans="1:24" x14ac:dyDescent="0.25">
      <c r="A82" s="5" t="s">
        <v>308</v>
      </c>
      <c r="B82" s="18">
        <v>45574</v>
      </c>
      <c r="C82" s="7" t="s">
        <v>309</v>
      </c>
      <c r="D82" s="7" t="s">
        <v>65</v>
      </c>
      <c r="E82" s="7" t="s">
        <v>109</v>
      </c>
      <c r="F82" s="7" t="s">
        <v>110</v>
      </c>
      <c r="G82" s="7" t="s">
        <v>80</v>
      </c>
      <c r="H82" s="7" t="s">
        <v>81</v>
      </c>
      <c r="I82" s="7" t="s">
        <v>53</v>
      </c>
      <c r="J82" s="7" t="s">
        <v>54</v>
      </c>
      <c r="K82" s="7" t="s">
        <v>69</v>
      </c>
      <c r="L82" s="7" t="s">
        <v>2663</v>
      </c>
      <c r="M82" s="7" t="s">
        <v>30</v>
      </c>
      <c r="N82" s="7" t="s">
        <v>75</v>
      </c>
      <c r="O82" s="7">
        <v>7</v>
      </c>
      <c r="P82" s="7">
        <v>129.75</v>
      </c>
      <c r="Q82" s="7">
        <v>73.430000000000007</v>
      </c>
      <c r="R82" s="7">
        <v>908.25</v>
      </c>
      <c r="S82" s="7">
        <v>0</v>
      </c>
      <c r="T82" s="7">
        <v>0</v>
      </c>
      <c r="U82" s="7">
        <v>908.25</v>
      </c>
      <c r="V82" s="7">
        <v>514.04</v>
      </c>
      <c r="W82" s="7">
        <v>394.21</v>
      </c>
      <c r="X82" s="7" t="s">
        <v>129</v>
      </c>
    </row>
    <row r="83" spans="1:24" x14ac:dyDescent="0.25">
      <c r="A83" s="16" t="s">
        <v>310</v>
      </c>
      <c r="B83" s="17">
        <v>45564</v>
      </c>
      <c r="C83" s="6" t="s">
        <v>239</v>
      </c>
      <c r="D83" s="6" t="s">
        <v>65</v>
      </c>
      <c r="E83" s="6" t="s">
        <v>150</v>
      </c>
      <c r="F83" s="6" t="s">
        <v>151</v>
      </c>
      <c r="G83" s="6" t="s">
        <v>101</v>
      </c>
      <c r="H83" s="6" t="s">
        <v>134</v>
      </c>
      <c r="I83" s="6" t="s">
        <v>53</v>
      </c>
      <c r="J83" s="6" t="s">
        <v>143</v>
      </c>
      <c r="K83" s="6" t="s">
        <v>184</v>
      </c>
      <c r="L83" s="6" t="s">
        <v>2672</v>
      </c>
      <c r="M83" s="6" t="s">
        <v>61</v>
      </c>
      <c r="N83" s="6" t="s">
        <v>44</v>
      </c>
      <c r="O83" s="6">
        <v>65</v>
      </c>
      <c r="P83" s="6">
        <v>89.32</v>
      </c>
      <c r="Q83" s="6">
        <v>49.71</v>
      </c>
      <c r="R83" s="6">
        <v>5805.62</v>
      </c>
      <c r="S83" s="6">
        <v>0</v>
      </c>
      <c r="T83" s="6">
        <v>0</v>
      </c>
      <c r="U83" s="6">
        <v>5805.62</v>
      </c>
      <c r="V83" s="6">
        <v>3231.1</v>
      </c>
      <c r="W83" s="6">
        <v>2574.52</v>
      </c>
      <c r="X83" s="6" t="s">
        <v>32</v>
      </c>
    </row>
    <row r="84" spans="1:24" x14ac:dyDescent="0.25">
      <c r="A84" s="5" t="s">
        <v>311</v>
      </c>
      <c r="B84" s="18">
        <v>45513</v>
      </c>
      <c r="C84" s="7" t="s">
        <v>312</v>
      </c>
      <c r="D84" s="7" t="s">
        <v>57</v>
      </c>
      <c r="E84" s="7" t="s">
        <v>23</v>
      </c>
      <c r="F84" s="7" t="s">
        <v>24</v>
      </c>
      <c r="G84" s="7" t="s">
        <v>25</v>
      </c>
      <c r="H84" s="7" t="s">
        <v>26</v>
      </c>
      <c r="I84" s="7" t="s">
        <v>53</v>
      </c>
      <c r="J84" s="7" t="s">
        <v>143</v>
      </c>
      <c r="K84" s="7" t="s">
        <v>265</v>
      </c>
      <c r="L84" s="7" t="s">
        <v>2678</v>
      </c>
      <c r="M84" s="7" t="s">
        <v>43</v>
      </c>
      <c r="N84" s="7" t="s">
        <v>75</v>
      </c>
      <c r="O84" s="7">
        <v>77</v>
      </c>
      <c r="P84" s="7">
        <v>76.78</v>
      </c>
      <c r="Q84" s="7">
        <v>42.36</v>
      </c>
      <c r="R84" s="7">
        <v>5912.22</v>
      </c>
      <c r="S84" s="7">
        <v>0</v>
      </c>
      <c r="T84" s="7">
        <v>0</v>
      </c>
      <c r="U84" s="7">
        <v>5912.22</v>
      </c>
      <c r="V84" s="7">
        <v>3261.91</v>
      </c>
      <c r="W84" s="7">
        <v>2650.31</v>
      </c>
      <c r="X84" s="7" t="s">
        <v>129</v>
      </c>
    </row>
    <row r="85" spans="1:24" x14ac:dyDescent="0.25">
      <c r="A85" s="16" t="s">
        <v>313</v>
      </c>
      <c r="B85" s="17">
        <v>45473</v>
      </c>
      <c r="C85" s="6" t="s">
        <v>314</v>
      </c>
      <c r="D85" s="6" t="s">
        <v>163</v>
      </c>
      <c r="E85" s="6" t="s">
        <v>250</v>
      </c>
      <c r="F85" s="6" t="s">
        <v>251</v>
      </c>
      <c r="G85" s="6" t="s">
        <v>51</v>
      </c>
      <c r="H85" s="6" t="s">
        <v>252</v>
      </c>
      <c r="I85" s="6" t="s">
        <v>27</v>
      </c>
      <c r="J85" s="6" t="s">
        <v>28</v>
      </c>
      <c r="K85" s="6" t="s">
        <v>42</v>
      </c>
      <c r="L85" s="6" t="s">
        <v>2661</v>
      </c>
      <c r="M85" s="6" t="s">
        <v>43</v>
      </c>
      <c r="N85" s="6" t="s">
        <v>44</v>
      </c>
      <c r="O85" s="6">
        <v>68</v>
      </c>
      <c r="P85" s="6">
        <v>63.42</v>
      </c>
      <c r="Q85" s="6">
        <v>37.22</v>
      </c>
      <c r="R85" s="6">
        <v>4312.57</v>
      </c>
      <c r="S85" s="6">
        <v>0.15</v>
      </c>
      <c r="T85" s="6">
        <v>646.89</v>
      </c>
      <c r="U85" s="6">
        <v>3665.69</v>
      </c>
      <c r="V85" s="6">
        <v>2530.9699999999998</v>
      </c>
      <c r="W85" s="6">
        <v>1134.72</v>
      </c>
      <c r="X85" s="6" t="s">
        <v>45</v>
      </c>
    </row>
    <row r="86" spans="1:24" x14ac:dyDescent="0.25">
      <c r="A86" s="5" t="s">
        <v>315</v>
      </c>
      <c r="B86" s="18">
        <v>45505</v>
      </c>
      <c r="C86" s="7" t="s">
        <v>316</v>
      </c>
      <c r="D86" s="7" t="s">
        <v>156</v>
      </c>
      <c r="E86" s="7" t="s">
        <v>114</v>
      </c>
      <c r="F86" s="7" t="s">
        <v>115</v>
      </c>
      <c r="G86" s="7" t="s">
        <v>95</v>
      </c>
      <c r="H86" s="7" t="s">
        <v>116</v>
      </c>
      <c r="I86" s="7" t="s">
        <v>88</v>
      </c>
      <c r="J86" s="7" t="s">
        <v>173</v>
      </c>
      <c r="K86" s="7" t="s">
        <v>248</v>
      </c>
      <c r="L86" s="7" t="s">
        <v>2675</v>
      </c>
      <c r="M86" s="7" t="s">
        <v>61</v>
      </c>
      <c r="N86" s="7" t="s">
        <v>44</v>
      </c>
      <c r="O86" s="7">
        <v>76</v>
      </c>
      <c r="P86" s="7">
        <v>35.47</v>
      </c>
      <c r="Q86" s="7">
        <v>20.67</v>
      </c>
      <c r="R86" s="7">
        <v>2695.49</v>
      </c>
      <c r="S86" s="7">
        <v>0.1</v>
      </c>
      <c r="T86" s="7">
        <v>269.55</v>
      </c>
      <c r="U86" s="7">
        <v>2425.94</v>
      </c>
      <c r="V86" s="7">
        <v>1570.68</v>
      </c>
      <c r="W86" s="7">
        <v>855.26</v>
      </c>
      <c r="X86" s="7" t="s">
        <v>45</v>
      </c>
    </row>
    <row r="87" spans="1:24" x14ac:dyDescent="0.25">
      <c r="A87" s="16" t="s">
        <v>317</v>
      </c>
      <c r="B87" s="17">
        <v>45443</v>
      </c>
      <c r="C87" s="6" t="s">
        <v>318</v>
      </c>
      <c r="D87" s="6" t="s">
        <v>121</v>
      </c>
      <c r="E87" s="6" t="s">
        <v>187</v>
      </c>
      <c r="F87" s="6" t="s">
        <v>188</v>
      </c>
      <c r="G87" s="6" t="s">
        <v>25</v>
      </c>
      <c r="H87" s="6" t="s">
        <v>26</v>
      </c>
      <c r="I87" s="6" t="s">
        <v>40</v>
      </c>
      <c r="J87" s="6" t="s">
        <v>82</v>
      </c>
      <c r="K87" s="6" t="s">
        <v>195</v>
      </c>
      <c r="L87" s="6" t="s">
        <v>2673</v>
      </c>
      <c r="M87" s="6" t="s">
        <v>30</v>
      </c>
      <c r="N87" s="6" t="s">
        <v>44</v>
      </c>
      <c r="O87" s="6">
        <v>20</v>
      </c>
      <c r="P87" s="6">
        <v>48.21</v>
      </c>
      <c r="Q87" s="6">
        <v>31.29</v>
      </c>
      <c r="R87" s="6">
        <v>964.25</v>
      </c>
      <c r="S87" s="6">
        <v>0.02</v>
      </c>
      <c r="T87" s="6">
        <v>19.29</v>
      </c>
      <c r="U87" s="6">
        <v>944.97</v>
      </c>
      <c r="V87" s="6">
        <v>625.75</v>
      </c>
      <c r="W87" s="6">
        <v>319.22000000000003</v>
      </c>
      <c r="X87" s="6" t="s">
        <v>45</v>
      </c>
    </row>
    <row r="88" spans="1:24" x14ac:dyDescent="0.25">
      <c r="A88" s="5" t="s">
        <v>319</v>
      </c>
      <c r="B88" s="18">
        <v>45360</v>
      </c>
      <c r="C88" s="7" t="s">
        <v>320</v>
      </c>
      <c r="D88" s="7" t="s">
        <v>264</v>
      </c>
      <c r="E88" s="7" t="s">
        <v>165</v>
      </c>
      <c r="F88" s="7" t="s">
        <v>166</v>
      </c>
      <c r="G88" s="7" t="s">
        <v>95</v>
      </c>
      <c r="H88" s="7" t="s">
        <v>167</v>
      </c>
      <c r="I88" s="7" t="s">
        <v>40</v>
      </c>
      <c r="J88" s="7" t="s">
        <v>82</v>
      </c>
      <c r="K88" s="7" t="s">
        <v>69</v>
      </c>
      <c r="L88" s="7" t="s">
        <v>2663</v>
      </c>
      <c r="M88" s="7" t="s">
        <v>43</v>
      </c>
      <c r="N88" s="7" t="s">
        <v>84</v>
      </c>
      <c r="O88" s="7">
        <v>65</v>
      </c>
      <c r="P88" s="7">
        <v>43.96</v>
      </c>
      <c r="Q88" s="7">
        <v>26.16</v>
      </c>
      <c r="R88" s="7">
        <v>2857.36</v>
      </c>
      <c r="S88" s="7">
        <v>0.1</v>
      </c>
      <c r="T88" s="7">
        <v>285.74</v>
      </c>
      <c r="U88" s="7">
        <v>2571.63</v>
      </c>
      <c r="V88" s="7">
        <v>1700.3</v>
      </c>
      <c r="W88" s="7">
        <v>871.32</v>
      </c>
      <c r="X88" s="7" t="s">
        <v>45</v>
      </c>
    </row>
    <row r="89" spans="1:24" x14ac:dyDescent="0.25">
      <c r="A89" s="16" t="s">
        <v>321</v>
      </c>
      <c r="B89" s="17">
        <v>45299</v>
      </c>
      <c r="C89" s="6" t="s">
        <v>322</v>
      </c>
      <c r="D89" s="6" t="s">
        <v>65</v>
      </c>
      <c r="E89" s="6" t="s">
        <v>126</v>
      </c>
      <c r="F89" s="6" t="s">
        <v>127</v>
      </c>
      <c r="G89" s="6" t="s">
        <v>95</v>
      </c>
      <c r="H89" s="6" t="s">
        <v>128</v>
      </c>
      <c r="I89" s="6" t="s">
        <v>58</v>
      </c>
      <c r="J89" s="6" t="s">
        <v>323</v>
      </c>
      <c r="K89" s="6" t="s">
        <v>69</v>
      </c>
      <c r="L89" s="6" t="s">
        <v>2663</v>
      </c>
      <c r="M89" s="6" t="s">
        <v>61</v>
      </c>
      <c r="N89" s="6" t="s">
        <v>44</v>
      </c>
      <c r="O89" s="6">
        <v>44</v>
      </c>
      <c r="P89" s="6">
        <v>84.11</v>
      </c>
      <c r="Q89" s="6">
        <v>52.95</v>
      </c>
      <c r="R89" s="6">
        <v>3700.99</v>
      </c>
      <c r="S89" s="6">
        <v>0.05</v>
      </c>
      <c r="T89" s="6">
        <v>185.05</v>
      </c>
      <c r="U89" s="6">
        <v>3515.94</v>
      </c>
      <c r="V89" s="6">
        <v>2329.92</v>
      </c>
      <c r="W89" s="6">
        <v>1186.02</v>
      </c>
      <c r="X89" s="6" t="s">
        <v>129</v>
      </c>
    </row>
    <row r="90" spans="1:24" x14ac:dyDescent="0.25">
      <c r="A90" s="5" t="s">
        <v>324</v>
      </c>
      <c r="B90" s="18">
        <v>45494</v>
      </c>
      <c r="C90" s="7" t="s">
        <v>325</v>
      </c>
      <c r="D90" s="7" t="s">
        <v>35</v>
      </c>
      <c r="E90" s="7" t="s">
        <v>222</v>
      </c>
      <c r="F90" s="7" t="s">
        <v>223</v>
      </c>
      <c r="G90" s="7" t="s">
        <v>101</v>
      </c>
      <c r="H90" s="7" t="s">
        <v>68</v>
      </c>
      <c r="I90" s="7" t="s">
        <v>27</v>
      </c>
      <c r="J90" s="7" t="s">
        <v>28</v>
      </c>
      <c r="K90" s="7" t="s">
        <v>90</v>
      </c>
      <c r="L90" s="7" t="s">
        <v>2666</v>
      </c>
      <c r="M90" s="7" t="s">
        <v>61</v>
      </c>
      <c r="N90" s="7" t="s">
        <v>70</v>
      </c>
      <c r="O90" s="7">
        <v>52</v>
      </c>
      <c r="P90" s="7">
        <v>111.1</v>
      </c>
      <c r="Q90" s="7">
        <v>80.95</v>
      </c>
      <c r="R90" s="7">
        <v>5777.41</v>
      </c>
      <c r="S90" s="7">
        <v>0.2</v>
      </c>
      <c r="T90" s="7">
        <v>1155.48</v>
      </c>
      <c r="U90" s="7">
        <v>4621.93</v>
      </c>
      <c r="V90" s="7">
        <v>4209.42</v>
      </c>
      <c r="W90" s="7">
        <v>412.51</v>
      </c>
      <c r="X90" s="7" t="s">
        <v>45</v>
      </c>
    </row>
    <row r="91" spans="1:24" x14ac:dyDescent="0.25">
      <c r="A91" s="16" t="s">
        <v>326</v>
      </c>
      <c r="B91" s="17">
        <v>45324</v>
      </c>
      <c r="C91" s="6" t="s">
        <v>278</v>
      </c>
      <c r="D91" s="6" t="s">
        <v>48</v>
      </c>
      <c r="E91" s="6" t="s">
        <v>99</v>
      </c>
      <c r="F91" s="6" t="s">
        <v>100</v>
      </c>
      <c r="G91" s="6" t="s">
        <v>101</v>
      </c>
      <c r="H91" s="6" t="s">
        <v>102</v>
      </c>
      <c r="I91" s="6" t="s">
        <v>53</v>
      </c>
      <c r="J91" s="6" t="s">
        <v>122</v>
      </c>
      <c r="K91" s="6" t="s">
        <v>265</v>
      </c>
      <c r="L91" s="6" t="s">
        <v>2678</v>
      </c>
      <c r="M91" s="6" t="s">
        <v>61</v>
      </c>
      <c r="N91" s="6" t="s">
        <v>84</v>
      </c>
      <c r="O91" s="6">
        <v>61</v>
      </c>
      <c r="P91" s="6">
        <v>67.959999999999994</v>
      </c>
      <c r="Q91" s="6">
        <v>43.28</v>
      </c>
      <c r="R91" s="6">
        <v>4145.3500000000004</v>
      </c>
      <c r="S91" s="6">
        <v>0.2</v>
      </c>
      <c r="T91" s="6">
        <v>829.07</v>
      </c>
      <c r="U91" s="6">
        <v>3316.28</v>
      </c>
      <c r="V91" s="6">
        <v>2640.3</v>
      </c>
      <c r="W91" s="6">
        <v>675.98</v>
      </c>
      <c r="X91" s="6" t="s">
        <v>32</v>
      </c>
    </row>
    <row r="92" spans="1:24" x14ac:dyDescent="0.25">
      <c r="A92" s="5" t="s">
        <v>327</v>
      </c>
      <c r="B92" s="18">
        <v>45312</v>
      </c>
      <c r="C92" s="7" t="s">
        <v>328</v>
      </c>
      <c r="D92" s="7" t="s">
        <v>159</v>
      </c>
      <c r="E92" s="7" t="s">
        <v>187</v>
      </c>
      <c r="F92" s="7" t="s">
        <v>188</v>
      </c>
      <c r="G92" s="7" t="s">
        <v>25</v>
      </c>
      <c r="H92" s="7" t="s">
        <v>26</v>
      </c>
      <c r="I92" s="7" t="s">
        <v>27</v>
      </c>
      <c r="J92" s="7" t="s">
        <v>211</v>
      </c>
      <c r="K92" s="7" t="s">
        <v>178</v>
      </c>
      <c r="L92" s="7" t="s">
        <v>256</v>
      </c>
      <c r="M92" s="7" t="s">
        <v>61</v>
      </c>
      <c r="N92" s="7" t="s">
        <v>84</v>
      </c>
      <c r="O92" s="7">
        <v>50</v>
      </c>
      <c r="P92" s="7">
        <v>49.48</v>
      </c>
      <c r="Q92" s="7">
        <v>27.91</v>
      </c>
      <c r="R92" s="7">
        <v>2473.87</v>
      </c>
      <c r="S92" s="7">
        <v>0.05</v>
      </c>
      <c r="T92" s="7">
        <v>123.69</v>
      </c>
      <c r="U92" s="7">
        <v>2350.17</v>
      </c>
      <c r="V92" s="7">
        <v>1395.26</v>
      </c>
      <c r="W92" s="7">
        <v>954.91</v>
      </c>
      <c r="X92" s="7" t="s">
        <v>45</v>
      </c>
    </row>
    <row r="93" spans="1:24" x14ac:dyDescent="0.25">
      <c r="A93" s="16" t="s">
        <v>329</v>
      </c>
      <c r="B93" s="17">
        <v>45372</v>
      </c>
      <c r="C93" s="6" t="s">
        <v>307</v>
      </c>
      <c r="D93" s="6" t="s">
        <v>105</v>
      </c>
      <c r="E93" s="6" t="s">
        <v>250</v>
      </c>
      <c r="F93" s="6" t="s">
        <v>251</v>
      </c>
      <c r="G93" s="6" t="s">
        <v>51</v>
      </c>
      <c r="H93" s="6" t="s">
        <v>252</v>
      </c>
      <c r="I93" s="6" t="s">
        <v>58</v>
      </c>
      <c r="J93" s="6" t="s">
        <v>59</v>
      </c>
      <c r="K93" s="6" t="s">
        <v>152</v>
      </c>
      <c r="L93" s="6" t="s">
        <v>2670</v>
      </c>
      <c r="M93" s="6" t="s">
        <v>43</v>
      </c>
      <c r="N93" s="6" t="s">
        <v>44</v>
      </c>
      <c r="O93" s="6">
        <v>57</v>
      </c>
      <c r="P93" s="6">
        <v>63.84</v>
      </c>
      <c r="Q93" s="6">
        <v>36.61</v>
      </c>
      <c r="R93" s="6">
        <v>3639.01</v>
      </c>
      <c r="S93" s="6">
        <v>0.15</v>
      </c>
      <c r="T93" s="6">
        <v>545.85</v>
      </c>
      <c r="U93" s="6">
        <v>3093.16</v>
      </c>
      <c r="V93" s="6">
        <v>2086.7600000000002</v>
      </c>
      <c r="W93" s="6">
        <v>1006.4</v>
      </c>
      <c r="X93" s="6" t="s">
        <v>45</v>
      </c>
    </row>
    <row r="94" spans="1:24" x14ac:dyDescent="0.25">
      <c r="A94" s="5" t="s">
        <v>330</v>
      </c>
      <c r="B94" s="18">
        <v>45316</v>
      </c>
      <c r="C94" s="7" t="s">
        <v>331</v>
      </c>
      <c r="D94" s="7" t="s">
        <v>48</v>
      </c>
      <c r="E94" s="7" t="s">
        <v>109</v>
      </c>
      <c r="F94" s="7" t="s">
        <v>110</v>
      </c>
      <c r="G94" s="7" t="s">
        <v>80</v>
      </c>
      <c r="H94" s="7" t="s">
        <v>81</v>
      </c>
      <c r="I94" s="7" t="s">
        <v>27</v>
      </c>
      <c r="J94" s="7" t="s">
        <v>211</v>
      </c>
      <c r="K94" s="7" t="s">
        <v>253</v>
      </c>
      <c r="L94" s="7" t="s">
        <v>2676</v>
      </c>
      <c r="M94" s="7" t="s">
        <v>30</v>
      </c>
      <c r="N94" s="7" t="s">
        <v>70</v>
      </c>
      <c r="O94" s="7">
        <v>10</v>
      </c>
      <c r="P94" s="7">
        <v>119.59</v>
      </c>
      <c r="Q94" s="7">
        <v>69.47</v>
      </c>
      <c r="R94" s="7">
        <v>1195.92</v>
      </c>
      <c r="S94" s="7">
        <v>0.05</v>
      </c>
      <c r="T94" s="7">
        <v>59.8</v>
      </c>
      <c r="U94" s="7">
        <v>1136.1199999999999</v>
      </c>
      <c r="V94" s="7">
        <v>694.72</v>
      </c>
      <c r="W94" s="7">
        <v>441.41</v>
      </c>
      <c r="X94" s="7" t="s">
        <v>32</v>
      </c>
    </row>
    <row r="95" spans="1:24" x14ac:dyDescent="0.25">
      <c r="A95" s="16" t="s">
        <v>332</v>
      </c>
      <c r="B95" s="17">
        <v>45449</v>
      </c>
      <c r="C95" s="6" t="s">
        <v>333</v>
      </c>
      <c r="D95" s="6" t="s">
        <v>57</v>
      </c>
      <c r="E95" s="6" t="s">
        <v>23</v>
      </c>
      <c r="F95" s="6" t="s">
        <v>24</v>
      </c>
      <c r="G95" s="6" t="s">
        <v>25</v>
      </c>
      <c r="H95" s="6" t="s">
        <v>26</v>
      </c>
      <c r="I95" s="6" t="s">
        <v>58</v>
      </c>
      <c r="J95" s="6" t="s">
        <v>59</v>
      </c>
      <c r="K95" s="6" t="s">
        <v>170</v>
      </c>
      <c r="L95" s="6" t="s">
        <v>2671</v>
      </c>
      <c r="M95" s="6" t="s">
        <v>30</v>
      </c>
      <c r="N95" s="6" t="s">
        <v>70</v>
      </c>
      <c r="O95" s="6">
        <v>54</v>
      </c>
      <c r="P95" s="6">
        <v>79.290000000000006</v>
      </c>
      <c r="Q95" s="6">
        <v>46.86</v>
      </c>
      <c r="R95" s="6">
        <v>4281.45</v>
      </c>
      <c r="S95" s="6">
        <v>0.2</v>
      </c>
      <c r="T95" s="6">
        <v>856.29</v>
      </c>
      <c r="U95" s="6">
        <v>3425.16</v>
      </c>
      <c r="V95" s="6">
        <v>2530.4</v>
      </c>
      <c r="W95" s="6">
        <v>894.76</v>
      </c>
      <c r="X95" s="6" t="s">
        <v>45</v>
      </c>
    </row>
    <row r="96" spans="1:24" x14ac:dyDescent="0.25">
      <c r="A96" s="5" t="s">
        <v>334</v>
      </c>
      <c r="B96" s="18">
        <v>45642</v>
      </c>
      <c r="C96" s="7" t="s">
        <v>335</v>
      </c>
      <c r="D96" s="7" t="s">
        <v>156</v>
      </c>
      <c r="E96" s="7" t="s">
        <v>187</v>
      </c>
      <c r="F96" s="7" t="s">
        <v>188</v>
      </c>
      <c r="G96" s="7" t="s">
        <v>25</v>
      </c>
      <c r="H96" s="7" t="s">
        <v>26</v>
      </c>
      <c r="I96" s="7" t="s">
        <v>53</v>
      </c>
      <c r="J96" s="7" t="s">
        <v>54</v>
      </c>
      <c r="K96" s="7" t="s">
        <v>111</v>
      </c>
      <c r="L96" s="7" t="s">
        <v>2667</v>
      </c>
      <c r="M96" s="7" t="s">
        <v>30</v>
      </c>
      <c r="N96" s="7" t="s">
        <v>84</v>
      </c>
      <c r="O96" s="7">
        <v>74</v>
      </c>
      <c r="P96" s="7">
        <v>47.4</v>
      </c>
      <c r="Q96" s="7">
        <v>30.1</v>
      </c>
      <c r="R96" s="7">
        <v>3507.31</v>
      </c>
      <c r="S96" s="7">
        <v>0</v>
      </c>
      <c r="T96" s="7">
        <v>0</v>
      </c>
      <c r="U96" s="7">
        <v>3507.31</v>
      </c>
      <c r="V96" s="7">
        <v>2227.58</v>
      </c>
      <c r="W96" s="7">
        <v>1279.73</v>
      </c>
      <c r="X96" s="7" t="s">
        <v>45</v>
      </c>
    </row>
    <row r="97" spans="1:24" x14ac:dyDescent="0.25">
      <c r="A97" s="16" t="s">
        <v>336</v>
      </c>
      <c r="B97" s="17">
        <v>45388</v>
      </c>
      <c r="C97" s="6" t="s">
        <v>337</v>
      </c>
      <c r="D97" s="6" t="s">
        <v>87</v>
      </c>
      <c r="E97" s="6" t="s">
        <v>109</v>
      </c>
      <c r="F97" s="6" t="s">
        <v>110</v>
      </c>
      <c r="G97" s="6" t="s">
        <v>80</v>
      </c>
      <c r="H97" s="6" t="s">
        <v>81</v>
      </c>
      <c r="I97" s="6" t="s">
        <v>27</v>
      </c>
      <c r="J97" s="6" t="s">
        <v>189</v>
      </c>
      <c r="K97" s="6" t="s">
        <v>253</v>
      </c>
      <c r="L97" s="6" t="s">
        <v>2676</v>
      </c>
      <c r="M97" s="6" t="s">
        <v>153</v>
      </c>
      <c r="N97" s="6" t="s">
        <v>44</v>
      </c>
      <c r="O97" s="6">
        <v>33</v>
      </c>
      <c r="P97" s="6">
        <v>119.05</v>
      </c>
      <c r="Q97" s="6">
        <v>75.040000000000006</v>
      </c>
      <c r="R97" s="6">
        <v>3928.74</v>
      </c>
      <c r="S97" s="6">
        <v>0.1</v>
      </c>
      <c r="T97" s="6">
        <v>392.87</v>
      </c>
      <c r="U97" s="6">
        <v>3535.86</v>
      </c>
      <c r="V97" s="6">
        <v>2476.2199999999998</v>
      </c>
      <c r="W97" s="6">
        <v>1059.6400000000001</v>
      </c>
      <c r="X97" s="6" t="s">
        <v>32</v>
      </c>
    </row>
    <row r="98" spans="1:24" x14ac:dyDescent="0.25">
      <c r="A98" s="5" t="s">
        <v>338</v>
      </c>
      <c r="B98" s="18">
        <v>45426</v>
      </c>
      <c r="C98" s="7" t="s">
        <v>339</v>
      </c>
      <c r="D98" s="7" t="s">
        <v>221</v>
      </c>
      <c r="E98" s="7" t="s">
        <v>187</v>
      </c>
      <c r="F98" s="7" t="s">
        <v>188</v>
      </c>
      <c r="G98" s="7" t="s">
        <v>25</v>
      </c>
      <c r="H98" s="7" t="s">
        <v>26</v>
      </c>
      <c r="I98" s="7" t="s">
        <v>40</v>
      </c>
      <c r="J98" s="7" t="s">
        <v>117</v>
      </c>
      <c r="K98" s="7" t="s">
        <v>184</v>
      </c>
      <c r="L98" s="7" t="s">
        <v>2672</v>
      </c>
      <c r="M98" s="7" t="s">
        <v>30</v>
      </c>
      <c r="N98" s="7" t="s">
        <v>44</v>
      </c>
      <c r="O98" s="7">
        <v>74</v>
      </c>
      <c r="P98" s="7">
        <v>48.98</v>
      </c>
      <c r="Q98" s="7">
        <v>27.06</v>
      </c>
      <c r="R98" s="7">
        <v>3624.69</v>
      </c>
      <c r="S98" s="7">
        <v>0.2</v>
      </c>
      <c r="T98" s="7">
        <v>724.94</v>
      </c>
      <c r="U98" s="7">
        <v>2899.75</v>
      </c>
      <c r="V98" s="7">
        <v>2002.39</v>
      </c>
      <c r="W98" s="7">
        <v>897.36</v>
      </c>
      <c r="X98" s="7" t="s">
        <v>45</v>
      </c>
    </row>
    <row r="99" spans="1:24" x14ac:dyDescent="0.25">
      <c r="A99" s="16" t="s">
        <v>340</v>
      </c>
      <c r="B99" s="17">
        <v>45638</v>
      </c>
      <c r="C99" s="6" t="s">
        <v>341</v>
      </c>
      <c r="D99" s="6" t="s">
        <v>259</v>
      </c>
      <c r="E99" s="6" t="s">
        <v>49</v>
      </c>
      <c r="F99" s="6" t="s">
        <v>50</v>
      </c>
      <c r="G99" s="6" t="s">
        <v>51</v>
      </c>
      <c r="H99" s="6" t="s">
        <v>52</v>
      </c>
      <c r="I99" s="6" t="s">
        <v>40</v>
      </c>
      <c r="J99" s="6" t="s">
        <v>289</v>
      </c>
      <c r="K99" s="6" t="s">
        <v>69</v>
      </c>
      <c r="L99" s="6" t="s">
        <v>2663</v>
      </c>
      <c r="M99" s="6" t="s">
        <v>43</v>
      </c>
      <c r="N99" s="6" t="s">
        <v>31</v>
      </c>
      <c r="O99" s="6">
        <v>13</v>
      </c>
      <c r="P99" s="6">
        <v>25.38</v>
      </c>
      <c r="Q99" s="6">
        <v>13.5</v>
      </c>
      <c r="R99" s="6">
        <v>329.93</v>
      </c>
      <c r="S99" s="6">
        <v>0</v>
      </c>
      <c r="T99" s="6">
        <v>0</v>
      </c>
      <c r="U99" s="6">
        <v>329.93</v>
      </c>
      <c r="V99" s="6">
        <v>175.46</v>
      </c>
      <c r="W99" s="6">
        <v>154.47</v>
      </c>
      <c r="X99" s="6" t="s">
        <v>45</v>
      </c>
    </row>
    <row r="100" spans="1:24" x14ac:dyDescent="0.25">
      <c r="A100" s="5" t="s">
        <v>342</v>
      </c>
      <c r="B100" s="18">
        <v>45334</v>
      </c>
      <c r="C100" s="7" t="s">
        <v>328</v>
      </c>
      <c r="D100" s="7" t="s">
        <v>159</v>
      </c>
      <c r="E100" s="7" t="s">
        <v>187</v>
      </c>
      <c r="F100" s="7" t="s">
        <v>188</v>
      </c>
      <c r="G100" s="7" t="s">
        <v>25</v>
      </c>
      <c r="H100" s="7" t="s">
        <v>26</v>
      </c>
      <c r="I100" s="7" t="s">
        <v>40</v>
      </c>
      <c r="J100" s="7" t="s">
        <v>117</v>
      </c>
      <c r="K100" s="7" t="s">
        <v>90</v>
      </c>
      <c r="L100" s="7" t="s">
        <v>2666</v>
      </c>
      <c r="M100" s="7" t="s">
        <v>30</v>
      </c>
      <c r="N100" s="7" t="s">
        <v>31</v>
      </c>
      <c r="O100" s="7">
        <v>32</v>
      </c>
      <c r="P100" s="7">
        <v>49.32</v>
      </c>
      <c r="Q100" s="7">
        <v>29.61</v>
      </c>
      <c r="R100" s="7">
        <v>1578.14</v>
      </c>
      <c r="S100" s="7">
        <v>0.2</v>
      </c>
      <c r="T100" s="7">
        <v>315.63</v>
      </c>
      <c r="U100" s="7">
        <v>1262.51</v>
      </c>
      <c r="V100" s="7">
        <v>947.64</v>
      </c>
      <c r="W100" s="7">
        <v>314.87</v>
      </c>
      <c r="X100" s="7" t="s">
        <v>129</v>
      </c>
    </row>
    <row r="101" spans="1:24" x14ac:dyDescent="0.25">
      <c r="A101" s="16" t="s">
        <v>343</v>
      </c>
      <c r="B101" s="17">
        <v>45635</v>
      </c>
      <c r="C101" s="6" t="s">
        <v>344</v>
      </c>
      <c r="D101" s="6" t="s">
        <v>87</v>
      </c>
      <c r="E101" s="6" t="s">
        <v>109</v>
      </c>
      <c r="F101" s="6" t="s">
        <v>110</v>
      </c>
      <c r="G101" s="6" t="s">
        <v>80</v>
      </c>
      <c r="H101" s="6" t="s">
        <v>81</v>
      </c>
      <c r="I101" s="6" t="s">
        <v>58</v>
      </c>
      <c r="J101" s="6" t="s">
        <v>345</v>
      </c>
      <c r="K101" s="6" t="s">
        <v>265</v>
      </c>
      <c r="L101" s="6" t="s">
        <v>2678</v>
      </c>
      <c r="M101" s="6" t="s">
        <v>61</v>
      </c>
      <c r="N101" s="6" t="s">
        <v>70</v>
      </c>
      <c r="O101" s="6">
        <v>57</v>
      </c>
      <c r="P101" s="6">
        <v>134.88</v>
      </c>
      <c r="Q101" s="6">
        <v>75.92</v>
      </c>
      <c r="R101" s="6">
        <v>7688.32</v>
      </c>
      <c r="S101" s="6">
        <v>0.2</v>
      </c>
      <c r="T101" s="6">
        <v>1537.66</v>
      </c>
      <c r="U101" s="6">
        <v>6150.66</v>
      </c>
      <c r="V101" s="6">
        <v>4327.22</v>
      </c>
      <c r="W101" s="6">
        <v>1823.43</v>
      </c>
      <c r="X101" s="6" t="s">
        <v>32</v>
      </c>
    </row>
    <row r="102" spans="1:24" x14ac:dyDescent="0.25">
      <c r="A102" s="5" t="s">
        <v>346</v>
      </c>
      <c r="B102" s="18">
        <v>45534</v>
      </c>
      <c r="C102" s="7" t="s">
        <v>347</v>
      </c>
      <c r="D102" s="7" t="s">
        <v>163</v>
      </c>
      <c r="E102" s="7" t="s">
        <v>250</v>
      </c>
      <c r="F102" s="7" t="s">
        <v>251</v>
      </c>
      <c r="G102" s="7" t="s">
        <v>51</v>
      </c>
      <c r="H102" s="7" t="s">
        <v>252</v>
      </c>
      <c r="I102" s="7" t="s">
        <v>58</v>
      </c>
      <c r="J102" s="7" t="s">
        <v>59</v>
      </c>
      <c r="K102" s="7" t="s">
        <v>111</v>
      </c>
      <c r="L102" s="7" t="s">
        <v>2667</v>
      </c>
      <c r="M102" s="7" t="s">
        <v>153</v>
      </c>
      <c r="N102" s="7" t="s">
        <v>84</v>
      </c>
      <c r="O102" s="7">
        <v>71</v>
      </c>
      <c r="P102" s="7">
        <v>63.58</v>
      </c>
      <c r="Q102" s="7">
        <v>40.869999999999997</v>
      </c>
      <c r="R102" s="7">
        <v>4514.3</v>
      </c>
      <c r="S102" s="7">
        <v>0.15</v>
      </c>
      <c r="T102" s="7">
        <v>677.15</v>
      </c>
      <c r="U102" s="7">
        <v>3837.16</v>
      </c>
      <c r="V102" s="7">
        <v>2901.66</v>
      </c>
      <c r="W102" s="7">
        <v>935.5</v>
      </c>
      <c r="X102" s="7" t="s">
        <v>129</v>
      </c>
    </row>
    <row r="103" spans="1:24" x14ac:dyDescent="0.25">
      <c r="A103" s="16" t="s">
        <v>348</v>
      </c>
      <c r="B103" s="17">
        <v>45303</v>
      </c>
      <c r="C103" s="6" t="s">
        <v>341</v>
      </c>
      <c r="D103" s="6" t="s">
        <v>259</v>
      </c>
      <c r="E103" s="6" t="s">
        <v>165</v>
      </c>
      <c r="F103" s="6" t="s">
        <v>166</v>
      </c>
      <c r="G103" s="6" t="s">
        <v>95</v>
      </c>
      <c r="H103" s="6" t="s">
        <v>167</v>
      </c>
      <c r="I103" s="6" t="s">
        <v>53</v>
      </c>
      <c r="J103" s="6" t="s">
        <v>54</v>
      </c>
      <c r="K103" s="6" t="s">
        <v>69</v>
      </c>
      <c r="L103" s="6" t="s">
        <v>2663</v>
      </c>
      <c r="M103" s="6" t="s">
        <v>43</v>
      </c>
      <c r="N103" s="6" t="s">
        <v>70</v>
      </c>
      <c r="O103" s="6">
        <v>51</v>
      </c>
      <c r="P103" s="6">
        <v>39.21</v>
      </c>
      <c r="Q103" s="6">
        <v>26.95</v>
      </c>
      <c r="R103" s="6">
        <v>1999.72</v>
      </c>
      <c r="S103" s="6">
        <v>0.05</v>
      </c>
      <c r="T103" s="6">
        <v>99.99</v>
      </c>
      <c r="U103" s="6">
        <v>1899.73</v>
      </c>
      <c r="V103" s="6">
        <v>1374.27</v>
      </c>
      <c r="W103" s="6">
        <v>525.46</v>
      </c>
      <c r="X103" s="6" t="s">
        <v>45</v>
      </c>
    </row>
    <row r="104" spans="1:24" x14ac:dyDescent="0.25">
      <c r="A104" s="5" t="s">
        <v>349</v>
      </c>
      <c r="B104" s="18">
        <v>45533</v>
      </c>
      <c r="C104" s="7" t="s">
        <v>350</v>
      </c>
      <c r="D104" s="7" t="s">
        <v>351</v>
      </c>
      <c r="E104" s="7" t="s">
        <v>132</v>
      </c>
      <c r="F104" s="7" t="s">
        <v>133</v>
      </c>
      <c r="G104" s="7" t="s">
        <v>51</v>
      </c>
      <c r="H104" s="7" t="s">
        <v>134</v>
      </c>
      <c r="I104" s="7" t="s">
        <v>58</v>
      </c>
      <c r="J104" s="7" t="s">
        <v>59</v>
      </c>
      <c r="K104" s="7" t="s">
        <v>152</v>
      </c>
      <c r="L104" s="7" t="s">
        <v>2670</v>
      </c>
      <c r="M104" s="7" t="s">
        <v>61</v>
      </c>
      <c r="N104" s="7" t="s">
        <v>31</v>
      </c>
      <c r="O104" s="7">
        <v>15</v>
      </c>
      <c r="P104" s="7">
        <v>56.75</v>
      </c>
      <c r="Q104" s="7">
        <v>34.85</v>
      </c>
      <c r="R104" s="7">
        <v>851.22</v>
      </c>
      <c r="S104" s="7">
        <v>0.1</v>
      </c>
      <c r="T104" s="7">
        <v>85.12</v>
      </c>
      <c r="U104" s="7">
        <v>766.09</v>
      </c>
      <c r="V104" s="7">
        <v>522.76</v>
      </c>
      <c r="W104" s="7">
        <v>243.33</v>
      </c>
      <c r="X104" s="7" t="s">
        <v>45</v>
      </c>
    </row>
    <row r="105" spans="1:24" x14ac:dyDescent="0.25">
      <c r="A105" s="16" t="s">
        <v>352</v>
      </c>
      <c r="B105" s="17">
        <v>45324</v>
      </c>
      <c r="C105" s="6" t="s">
        <v>220</v>
      </c>
      <c r="D105" s="6" t="s">
        <v>221</v>
      </c>
      <c r="E105" s="6" t="s">
        <v>150</v>
      </c>
      <c r="F105" s="6" t="s">
        <v>151</v>
      </c>
      <c r="G105" s="6" t="s">
        <v>101</v>
      </c>
      <c r="H105" s="6" t="s">
        <v>134</v>
      </c>
      <c r="I105" s="6" t="s">
        <v>27</v>
      </c>
      <c r="J105" s="6" t="s">
        <v>189</v>
      </c>
      <c r="K105" s="6" t="s">
        <v>152</v>
      </c>
      <c r="L105" s="6" t="s">
        <v>2670</v>
      </c>
      <c r="M105" s="6" t="s">
        <v>30</v>
      </c>
      <c r="N105" s="6" t="s">
        <v>70</v>
      </c>
      <c r="O105" s="6">
        <v>64</v>
      </c>
      <c r="P105" s="6">
        <v>81.33</v>
      </c>
      <c r="Q105" s="6">
        <v>46.93</v>
      </c>
      <c r="R105" s="6">
        <v>5205.3500000000004</v>
      </c>
      <c r="S105" s="6">
        <v>0.05</v>
      </c>
      <c r="T105" s="6">
        <v>260.27</v>
      </c>
      <c r="U105" s="6">
        <v>4945.09</v>
      </c>
      <c r="V105" s="6">
        <v>3003.65</v>
      </c>
      <c r="W105" s="6">
        <v>1941.44</v>
      </c>
      <c r="X105" s="6" t="s">
        <v>129</v>
      </c>
    </row>
    <row r="106" spans="1:24" x14ac:dyDescent="0.25">
      <c r="A106" s="5" t="s">
        <v>353</v>
      </c>
      <c r="B106" s="18">
        <v>45452</v>
      </c>
      <c r="C106" s="7" t="s">
        <v>354</v>
      </c>
      <c r="D106" s="7" t="s">
        <v>163</v>
      </c>
      <c r="E106" s="7" t="s">
        <v>165</v>
      </c>
      <c r="F106" s="7" t="s">
        <v>166</v>
      </c>
      <c r="G106" s="7" t="s">
        <v>95</v>
      </c>
      <c r="H106" s="7" t="s">
        <v>167</v>
      </c>
      <c r="I106" s="7" t="s">
        <v>88</v>
      </c>
      <c r="J106" s="7" t="s">
        <v>135</v>
      </c>
      <c r="K106" s="7" t="s">
        <v>261</v>
      </c>
      <c r="L106" s="7" t="s">
        <v>2677</v>
      </c>
      <c r="M106" s="7" t="s">
        <v>61</v>
      </c>
      <c r="N106" s="7" t="s">
        <v>75</v>
      </c>
      <c r="O106" s="7">
        <v>46</v>
      </c>
      <c r="P106" s="7">
        <v>43.02</v>
      </c>
      <c r="Q106" s="7">
        <v>26.32</v>
      </c>
      <c r="R106" s="7">
        <v>1978.81</v>
      </c>
      <c r="S106" s="7">
        <v>0.02</v>
      </c>
      <c r="T106" s="7">
        <v>39.58</v>
      </c>
      <c r="U106" s="7">
        <v>1939.23</v>
      </c>
      <c r="V106" s="7">
        <v>1210.67</v>
      </c>
      <c r="W106" s="7">
        <v>728.56</v>
      </c>
      <c r="X106" s="7" t="s">
        <v>45</v>
      </c>
    </row>
    <row r="107" spans="1:24" x14ac:dyDescent="0.25">
      <c r="A107" s="16" t="s">
        <v>355</v>
      </c>
      <c r="B107" s="17">
        <v>45464</v>
      </c>
      <c r="C107" s="6" t="s">
        <v>356</v>
      </c>
      <c r="D107" s="6" t="s">
        <v>48</v>
      </c>
      <c r="E107" s="6" t="s">
        <v>66</v>
      </c>
      <c r="F107" s="6" t="s">
        <v>67</v>
      </c>
      <c r="G107" s="6" t="s">
        <v>38</v>
      </c>
      <c r="H107" s="6" t="s">
        <v>68</v>
      </c>
      <c r="I107" s="6" t="s">
        <v>53</v>
      </c>
      <c r="J107" s="6" t="s">
        <v>143</v>
      </c>
      <c r="K107" s="6" t="s">
        <v>261</v>
      </c>
      <c r="L107" s="6" t="s">
        <v>2677</v>
      </c>
      <c r="M107" s="6" t="s">
        <v>153</v>
      </c>
      <c r="N107" s="6" t="s">
        <v>84</v>
      </c>
      <c r="O107" s="6">
        <v>36</v>
      </c>
      <c r="P107" s="6">
        <v>157.25</v>
      </c>
      <c r="Q107" s="6">
        <v>109.27</v>
      </c>
      <c r="R107" s="6">
        <v>5660.88</v>
      </c>
      <c r="S107" s="6">
        <v>0.2</v>
      </c>
      <c r="T107" s="6">
        <v>1132.18</v>
      </c>
      <c r="U107" s="6">
        <v>4528.7</v>
      </c>
      <c r="V107" s="6">
        <v>3933.66</v>
      </c>
      <c r="W107" s="6">
        <v>595.04999999999995</v>
      </c>
      <c r="X107" s="6" t="s">
        <v>45</v>
      </c>
    </row>
    <row r="108" spans="1:24" x14ac:dyDescent="0.25">
      <c r="A108" s="5" t="s">
        <v>357</v>
      </c>
      <c r="B108" s="18">
        <v>45571</v>
      </c>
      <c r="C108" s="7" t="s">
        <v>358</v>
      </c>
      <c r="D108" s="7" t="s">
        <v>359</v>
      </c>
      <c r="E108" s="7" t="s">
        <v>78</v>
      </c>
      <c r="F108" s="7" t="s">
        <v>79</v>
      </c>
      <c r="G108" s="7" t="s">
        <v>80</v>
      </c>
      <c r="H108" s="7" t="s">
        <v>81</v>
      </c>
      <c r="I108" s="7" t="s">
        <v>88</v>
      </c>
      <c r="J108" s="7" t="s">
        <v>89</v>
      </c>
      <c r="K108" s="7" t="s">
        <v>118</v>
      </c>
      <c r="L108" s="7" t="s">
        <v>2668</v>
      </c>
      <c r="M108" s="7" t="s">
        <v>43</v>
      </c>
      <c r="N108" s="7" t="s">
        <v>70</v>
      </c>
      <c r="O108" s="7">
        <v>63</v>
      </c>
      <c r="P108" s="7">
        <v>150.51</v>
      </c>
      <c r="Q108" s="7">
        <v>82.3</v>
      </c>
      <c r="R108" s="7">
        <v>9482.2800000000007</v>
      </c>
      <c r="S108" s="7">
        <v>0.02</v>
      </c>
      <c r="T108" s="7">
        <v>189.65</v>
      </c>
      <c r="U108" s="7">
        <v>9292.6299999999992</v>
      </c>
      <c r="V108" s="7">
        <v>5185.09</v>
      </c>
      <c r="W108" s="7">
        <v>4107.54</v>
      </c>
      <c r="X108" s="7" t="s">
        <v>129</v>
      </c>
    </row>
    <row r="109" spans="1:24" x14ac:dyDescent="0.25">
      <c r="A109" s="16" t="s">
        <v>360</v>
      </c>
      <c r="B109" s="17">
        <v>45490</v>
      </c>
      <c r="C109" s="6" t="s">
        <v>361</v>
      </c>
      <c r="D109" s="6" t="s">
        <v>35</v>
      </c>
      <c r="E109" s="6" t="s">
        <v>49</v>
      </c>
      <c r="F109" s="6" t="s">
        <v>50</v>
      </c>
      <c r="G109" s="6" t="s">
        <v>51</v>
      </c>
      <c r="H109" s="6" t="s">
        <v>52</v>
      </c>
      <c r="I109" s="6" t="s">
        <v>40</v>
      </c>
      <c r="J109" s="6" t="s">
        <v>41</v>
      </c>
      <c r="K109" s="6" t="s">
        <v>83</v>
      </c>
      <c r="L109" s="6" t="s">
        <v>2665</v>
      </c>
      <c r="M109" s="6" t="s">
        <v>43</v>
      </c>
      <c r="N109" s="6" t="s">
        <v>31</v>
      </c>
      <c r="O109" s="6">
        <v>32</v>
      </c>
      <c r="P109" s="6">
        <v>25.98</v>
      </c>
      <c r="Q109" s="6">
        <v>13.17</v>
      </c>
      <c r="R109" s="6">
        <v>831.49</v>
      </c>
      <c r="S109" s="6">
        <v>0.05</v>
      </c>
      <c r="T109" s="6">
        <v>41.57</v>
      </c>
      <c r="U109" s="6">
        <v>789.92</v>
      </c>
      <c r="V109" s="6">
        <v>421.55</v>
      </c>
      <c r="W109" s="6">
        <v>368.37</v>
      </c>
      <c r="X109" s="6" t="s">
        <v>45</v>
      </c>
    </row>
    <row r="110" spans="1:24" x14ac:dyDescent="0.25">
      <c r="A110" s="5" t="s">
        <v>362</v>
      </c>
      <c r="B110" s="18">
        <v>45488</v>
      </c>
      <c r="C110" s="7" t="s">
        <v>363</v>
      </c>
      <c r="D110" s="7"/>
      <c r="E110" s="7" t="s">
        <v>126</v>
      </c>
      <c r="F110" s="7" t="s">
        <v>127</v>
      </c>
      <c r="G110" s="7" t="s">
        <v>95</v>
      </c>
      <c r="H110" s="7" t="s">
        <v>128</v>
      </c>
      <c r="I110" s="7" t="s">
        <v>88</v>
      </c>
      <c r="J110" s="7" t="s">
        <v>173</v>
      </c>
      <c r="K110" s="7" t="s">
        <v>111</v>
      </c>
      <c r="L110" s="7" t="s">
        <v>2667</v>
      </c>
      <c r="M110" s="7" t="s">
        <v>30</v>
      </c>
      <c r="N110" s="7" t="s">
        <v>75</v>
      </c>
      <c r="O110" s="7">
        <v>75</v>
      </c>
      <c r="P110" s="7">
        <v>94.37</v>
      </c>
      <c r="Q110" s="7">
        <v>56.64</v>
      </c>
      <c r="R110" s="7">
        <v>7077.76</v>
      </c>
      <c r="S110" s="7">
        <v>0.2</v>
      </c>
      <c r="T110" s="7">
        <v>1415.55</v>
      </c>
      <c r="U110" s="7">
        <v>5662.21</v>
      </c>
      <c r="V110" s="7">
        <v>4247.99</v>
      </c>
      <c r="W110" s="7">
        <v>1414.22</v>
      </c>
      <c r="X110" s="7" t="s">
        <v>129</v>
      </c>
    </row>
    <row r="111" spans="1:24" x14ac:dyDescent="0.25">
      <c r="A111" s="16" t="s">
        <v>364</v>
      </c>
      <c r="B111" s="17">
        <v>45654</v>
      </c>
      <c r="C111" s="6" t="s">
        <v>365</v>
      </c>
      <c r="D111" s="6" t="s">
        <v>22</v>
      </c>
      <c r="E111" s="6" t="s">
        <v>36</v>
      </c>
      <c r="F111" s="6" t="s">
        <v>37</v>
      </c>
      <c r="G111" s="6" t="s">
        <v>38</v>
      </c>
      <c r="H111" s="6" t="s">
        <v>39</v>
      </c>
      <c r="I111" s="6" t="s">
        <v>40</v>
      </c>
      <c r="J111" s="6" t="s">
        <v>82</v>
      </c>
      <c r="K111" s="6" t="s">
        <v>170</v>
      </c>
      <c r="L111" s="6" t="s">
        <v>2671</v>
      </c>
      <c r="M111" s="6" t="s">
        <v>153</v>
      </c>
      <c r="N111" s="6" t="s">
        <v>84</v>
      </c>
      <c r="O111" s="6">
        <v>73</v>
      </c>
      <c r="P111" s="6">
        <v>161.62</v>
      </c>
      <c r="Q111" s="6">
        <v>103.38</v>
      </c>
      <c r="R111" s="6">
        <v>11798.35</v>
      </c>
      <c r="S111" s="6">
        <v>0.05</v>
      </c>
      <c r="T111" s="6">
        <v>589.91999999999996</v>
      </c>
      <c r="U111" s="6">
        <v>11208.44</v>
      </c>
      <c r="V111" s="6">
        <v>7546.62</v>
      </c>
      <c r="W111" s="6">
        <v>3661.81</v>
      </c>
      <c r="X111" s="6" t="s">
        <v>129</v>
      </c>
    </row>
    <row r="112" spans="1:24" x14ac:dyDescent="0.25">
      <c r="A112" s="5" t="s">
        <v>366</v>
      </c>
      <c r="B112" s="18">
        <v>45417</v>
      </c>
      <c r="C112" s="7" t="s">
        <v>367</v>
      </c>
      <c r="D112" s="7" t="s">
        <v>105</v>
      </c>
      <c r="E112" s="7" t="s">
        <v>78</v>
      </c>
      <c r="F112" s="7" t="s">
        <v>79</v>
      </c>
      <c r="G112" s="7" t="s">
        <v>80</v>
      </c>
      <c r="H112" s="7" t="s">
        <v>81</v>
      </c>
      <c r="I112" s="7" t="s">
        <v>53</v>
      </c>
      <c r="J112" s="7" t="s">
        <v>232</v>
      </c>
      <c r="K112" s="7" t="s">
        <v>144</v>
      </c>
      <c r="L112" s="7" t="s">
        <v>2669</v>
      </c>
      <c r="M112" s="7" t="s">
        <v>61</v>
      </c>
      <c r="N112" s="7" t="s">
        <v>368</v>
      </c>
      <c r="O112" s="7">
        <v>68</v>
      </c>
      <c r="P112" s="7">
        <v>148.66999999999999</v>
      </c>
      <c r="Q112" s="7">
        <v>85.67</v>
      </c>
      <c r="R112" s="7">
        <v>10109.61</v>
      </c>
      <c r="S112" s="7">
        <v>0.1</v>
      </c>
      <c r="T112" s="7">
        <v>1010.96</v>
      </c>
      <c r="U112" s="7">
        <v>9098.65</v>
      </c>
      <c r="V112" s="7">
        <v>5825.69</v>
      </c>
      <c r="W112" s="7">
        <v>3272.96</v>
      </c>
      <c r="X112" s="7" t="s">
        <v>45</v>
      </c>
    </row>
    <row r="113" spans="1:24" x14ac:dyDescent="0.25">
      <c r="A113" s="16" t="s">
        <v>369</v>
      </c>
      <c r="B113" s="17">
        <v>45628</v>
      </c>
      <c r="C113" s="6" t="s">
        <v>155</v>
      </c>
      <c r="D113" s="6" t="s">
        <v>156</v>
      </c>
      <c r="E113" s="6" t="s">
        <v>66</v>
      </c>
      <c r="F113" s="6" t="s">
        <v>67</v>
      </c>
      <c r="G113" s="6" t="s">
        <v>38</v>
      </c>
      <c r="H113" s="6" t="s">
        <v>68</v>
      </c>
      <c r="I113" s="6" t="s">
        <v>53</v>
      </c>
      <c r="J113" s="6" t="s">
        <v>54</v>
      </c>
      <c r="K113" s="6" t="s">
        <v>218</v>
      </c>
      <c r="L113" s="6" t="s">
        <v>2674</v>
      </c>
      <c r="M113" s="6" t="s">
        <v>61</v>
      </c>
      <c r="N113" s="6" t="s">
        <v>44</v>
      </c>
      <c r="O113" s="6">
        <v>75</v>
      </c>
      <c r="P113" s="6">
        <v>148.66</v>
      </c>
      <c r="Q113" s="6">
        <v>102.65</v>
      </c>
      <c r="R113" s="6">
        <v>11149.4</v>
      </c>
      <c r="S113" s="6">
        <v>0</v>
      </c>
      <c r="T113" s="6">
        <v>0</v>
      </c>
      <c r="U113" s="6">
        <v>11149.4</v>
      </c>
      <c r="V113" s="6">
        <v>7698.42</v>
      </c>
      <c r="W113" s="6">
        <v>3450.98</v>
      </c>
      <c r="X113" s="6" t="s">
        <v>32</v>
      </c>
    </row>
    <row r="114" spans="1:24" x14ac:dyDescent="0.25">
      <c r="A114" s="5" t="s">
        <v>370</v>
      </c>
      <c r="B114" s="18">
        <v>45499</v>
      </c>
      <c r="C114" s="7" t="s">
        <v>371</v>
      </c>
      <c r="D114" s="7" t="s">
        <v>159</v>
      </c>
      <c r="E114" s="7" t="s">
        <v>36</v>
      </c>
      <c r="F114" s="7" t="s">
        <v>37</v>
      </c>
      <c r="G114" s="7" t="s">
        <v>38</v>
      </c>
      <c r="H114" s="7" t="s">
        <v>39</v>
      </c>
      <c r="I114" s="7" t="s">
        <v>58</v>
      </c>
      <c r="J114" s="7" t="s">
        <v>323</v>
      </c>
      <c r="K114" s="7" t="s">
        <v>195</v>
      </c>
      <c r="L114" s="7" t="s">
        <v>2673</v>
      </c>
      <c r="M114" s="7" t="s">
        <v>30</v>
      </c>
      <c r="N114" s="7" t="s">
        <v>75</v>
      </c>
      <c r="O114" s="7">
        <v>49</v>
      </c>
      <c r="P114" s="7">
        <v>158.94999999999999</v>
      </c>
      <c r="Q114" s="7">
        <v>94.28</v>
      </c>
      <c r="R114" s="7">
        <v>7788.69</v>
      </c>
      <c r="S114" s="7">
        <v>0.15</v>
      </c>
      <c r="T114" s="7">
        <v>1168.3</v>
      </c>
      <c r="U114" s="7">
        <v>6620.39</v>
      </c>
      <c r="V114" s="7">
        <v>4619.8999999999996</v>
      </c>
      <c r="W114" s="7">
        <v>2000.49</v>
      </c>
      <c r="X114" s="7" t="s">
        <v>45</v>
      </c>
    </row>
    <row r="115" spans="1:24" x14ac:dyDescent="0.25">
      <c r="A115" s="16" t="s">
        <v>372</v>
      </c>
      <c r="B115" s="17">
        <v>45412</v>
      </c>
      <c r="C115" s="6" t="s">
        <v>373</v>
      </c>
      <c r="D115" s="6" t="s">
        <v>264</v>
      </c>
      <c r="E115" s="6" t="s">
        <v>114</v>
      </c>
      <c r="F115" s="6" t="s">
        <v>115</v>
      </c>
      <c r="G115" s="6" t="s">
        <v>95</v>
      </c>
      <c r="H115" s="6" t="s">
        <v>116</v>
      </c>
      <c r="I115" s="6" t="s">
        <v>27</v>
      </c>
      <c r="J115" s="6" t="s">
        <v>106</v>
      </c>
      <c r="K115" s="6" t="s">
        <v>152</v>
      </c>
      <c r="L115" s="6" t="s">
        <v>2670</v>
      </c>
      <c r="M115" s="6" t="s">
        <v>43</v>
      </c>
      <c r="N115" s="6" t="s">
        <v>70</v>
      </c>
      <c r="O115" s="6">
        <v>61</v>
      </c>
      <c r="P115" s="6">
        <v>33.47</v>
      </c>
      <c r="Q115" s="6">
        <v>19.57</v>
      </c>
      <c r="R115" s="6">
        <v>2041.84</v>
      </c>
      <c r="S115" s="6">
        <v>0.05</v>
      </c>
      <c r="T115" s="6">
        <v>102.09</v>
      </c>
      <c r="U115" s="6">
        <v>1939.74</v>
      </c>
      <c r="V115" s="6">
        <v>1193.52</v>
      </c>
      <c r="W115" s="6">
        <v>746.22</v>
      </c>
      <c r="X115" s="6" t="s">
        <v>45</v>
      </c>
    </row>
    <row r="116" spans="1:24" x14ac:dyDescent="0.25">
      <c r="A116" s="5" t="s">
        <v>374</v>
      </c>
      <c r="B116" s="18">
        <v>45470</v>
      </c>
      <c r="C116" s="7" t="s">
        <v>375</v>
      </c>
      <c r="D116" s="7" t="s">
        <v>221</v>
      </c>
      <c r="E116" s="7" t="s">
        <v>187</v>
      </c>
      <c r="F116" s="7" t="s">
        <v>188</v>
      </c>
      <c r="G116" s="7" t="s">
        <v>25</v>
      </c>
      <c r="H116" s="7" t="s">
        <v>26</v>
      </c>
      <c r="I116" s="7" t="s">
        <v>53</v>
      </c>
      <c r="J116" s="7" t="s">
        <v>122</v>
      </c>
      <c r="K116" s="7" t="s">
        <v>248</v>
      </c>
      <c r="L116" s="7" t="s">
        <v>2675</v>
      </c>
      <c r="M116" s="7" t="s">
        <v>153</v>
      </c>
      <c r="N116" s="7" t="s">
        <v>44</v>
      </c>
      <c r="O116" s="7">
        <v>59</v>
      </c>
      <c r="P116" s="7">
        <v>49.27</v>
      </c>
      <c r="Q116" s="7">
        <v>29.11</v>
      </c>
      <c r="R116" s="7">
        <v>2906.85</v>
      </c>
      <c r="S116" s="7">
        <v>0.05</v>
      </c>
      <c r="T116" s="7">
        <v>145.34</v>
      </c>
      <c r="U116" s="7">
        <v>2761.51</v>
      </c>
      <c r="V116" s="7">
        <v>1717.31</v>
      </c>
      <c r="W116" s="7">
        <v>1044.2</v>
      </c>
      <c r="X116" s="7" t="s">
        <v>32</v>
      </c>
    </row>
    <row r="117" spans="1:24" x14ac:dyDescent="0.25">
      <c r="A117" s="16" t="s">
        <v>376</v>
      </c>
      <c r="B117" s="17">
        <v>45299</v>
      </c>
      <c r="C117" s="6" t="s">
        <v>337</v>
      </c>
      <c r="D117" s="6" t="s">
        <v>87</v>
      </c>
      <c r="E117" s="6" t="s">
        <v>78</v>
      </c>
      <c r="F117" s="6" t="s">
        <v>79</v>
      </c>
      <c r="G117" s="6" t="s">
        <v>80</v>
      </c>
      <c r="H117" s="6" t="s">
        <v>81</v>
      </c>
      <c r="I117" s="6" t="s">
        <v>88</v>
      </c>
      <c r="J117" s="6" t="s">
        <v>173</v>
      </c>
      <c r="K117" s="6" t="s">
        <v>184</v>
      </c>
      <c r="L117" s="6" t="s">
        <v>2672</v>
      </c>
      <c r="M117" s="6" t="s">
        <v>43</v>
      </c>
      <c r="N117" s="6" t="s">
        <v>75</v>
      </c>
      <c r="O117" s="6">
        <v>68</v>
      </c>
      <c r="P117" s="6">
        <v>141</v>
      </c>
      <c r="Q117" s="6">
        <v>75.52</v>
      </c>
      <c r="R117" s="6">
        <v>9587.77</v>
      </c>
      <c r="S117" s="6">
        <v>0.1</v>
      </c>
      <c r="T117" s="6">
        <v>958.78</v>
      </c>
      <c r="U117" s="6">
        <v>8628.99</v>
      </c>
      <c r="V117" s="6">
        <v>5135.0600000000004</v>
      </c>
      <c r="W117" s="6">
        <v>3493.93</v>
      </c>
      <c r="X117" s="6" t="s">
        <v>129</v>
      </c>
    </row>
    <row r="118" spans="1:24" x14ac:dyDescent="0.25">
      <c r="A118" s="5" t="s">
        <v>377</v>
      </c>
      <c r="B118" s="18">
        <v>45579</v>
      </c>
      <c r="C118" s="7" t="s">
        <v>378</v>
      </c>
      <c r="D118" s="7" t="s">
        <v>159</v>
      </c>
      <c r="E118" s="7" t="s">
        <v>150</v>
      </c>
      <c r="F118" s="7" t="s">
        <v>151</v>
      </c>
      <c r="G118" s="7" t="s">
        <v>101</v>
      </c>
      <c r="H118" s="7" t="s">
        <v>134</v>
      </c>
      <c r="I118" s="7" t="s">
        <v>53</v>
      </c>
      <c r="J118" s="7" t="s">
        <v>122</v>
      </c>
      <c r="K118" s="7" t="s">
        <v>195</v>
      </c>
      <c r="L118" s="7" t="s">
        <v>2673</v>
      </c>
      <c r="M118" s="7" t="s">
        <v>43</v>
      </c>
      <c r="N118" s="7" t="s">
        <v>44</v>
      </c>
      <c r="O118" s="7">
        <v>77</v>
      </c>
      <c r="P118" s="7">
        <v>85.63</v>
      </c>
      <c r="Q118" s="7">
        <v>54.81</v>
      </c>
      <c r="R118" s="7">
        <v>6593.62</v>
      </c>
      <c r="S118" s="7">
        <v>0.05</v>
      </c>
      <c r="T118" s="7">
        <v>329.68</v>
      </c>
      <c r="U118" s="7">
        <v>6263.94</v>
      </c>
      <c r="V118" s="7">
        <v>4220.45</v>
      </c>
      <c r="W118" s="7">
        <v>2043.49</v>
      </c>
      <c r="X118" s="7" t="s">
        <v>45</v>
      </c>
    </row>
    <row r="119" spans="1:24" x14ac:dyDescent="0.25">
      <c r="A119" s="16" t="s">
        <v>379</v>
      </c>
      <c r="B119" s="17">
        <v>45641</v>
      </c>
      <c r="C119" s="6" t="s">
        <v>380</v>
      </c>
      <c r="D119" s="6" t="s">
        <v>105</v>
      </c>
      <c r="E119" s="6" t="s">
        <v>216</v>
      </c>
      <c r="F119" s="6" t="s">
        <v>217</v>
      </c>
      <c r="G119" s="6" t="s">
        <v>38</v>
      </c>
      <c r="H119" s="6" t="s">
        <v>134</v>
      </c>
      <c r="I119" s="6" t="s">
        <v>88</v>
      </c>
      <c r="J119" s="6" t="s">
        <v>89</v>
      </c>
      <c r="K119" s="6" t="s">
        <v>170</v>
      </c>
      <c r="L119" s="6" t="s">
        <v>2671</v>
      </c>
      <c r="M119" s="6" t="s">
        <v>153</v>
      </c>
      <c r="N119" s="6" t="s">
        <v>44</v>
      </c>
      <c r="O119" s="6">
        <v>66</v>
      </c>
      <c r="P119" s="6">
        <v>108.1</v>
      </c>
      <c r="Q119" s="6">
        <v>71.239999999999995</v>
      </c>
      <c r="R119" s="6">
        <v>7134.38</v>
      </c>
      <c r="S119" s="6">
        <v>0.02</v>
      </c>
      <c r="T119" s="6">
        <v>142.69</v>
      </c>
      <c r="U119" s="6">
        <v>6991.7</v>
      </c>
      <c r="V119" s="6">
        <v>4701.95</v>
      </c>
      <c r="W119" s="6">
        <v>2289.75</v>
      </c>
      <c r="X119" s="6" t="s">
        <v>129</v>
      </c>
    </row>
    <row r="120" spans="1:24" x14ac:dyDescent="0.25">
      <c r="A120" s="5" t="s">
        <v>381</v>
      </c>
      <c r="B120" s="18">
        <v>45506</v>
      </c>
      <c r="C120" s="7" t="s">
        <v>382</v>
      </c>
      <c r="D120" s="7" t="s">
        <v>22</v>
      </c>
      <c r="E120" s="7" t="s">
        <v>176</v>
      </c>
      <c r="F120" s="7" t="s">
        <v>177</v>
      </c>
      <c r="G120" s="7" t="s">
        <v>101</v>
      </c>
      <c r="H120" s="7" t="s">
        <v>39</v>
      </c>
      <c r="I120" s="7" t="s">
        <v>58</v>
      </c>
      <c r="J120" s="7" t="s">
        <v>59</v>
      </c>
      <c r="K120" s="7" t="s">
        <v>42</v>
      </c>
      <c r="L120" s="7" t="s">
        <v>2661</v>
      </c>
      <c r="M120" s="7" t="s">
        <v>61</v>
      </c>
      <c r="N120" s="7" t="s">
        <v>84</v>
      </c>
      <c r="O120" s="7">
        <v>52</v>
      </c>
      <c r="P120" s="7">
        <v>104.37</v>
      </c>
      <c r="Q120" s="7">
        <v>61</v>
      </c>
      <c r="R120" s="7">
        <v>5427.4</v>
      </c>
      <c r="S120" s="7">
        <v>0.1</v>
      </c>
      <c r="T120" s="7">
        <v>542.74</v>
      </c>
      <c r="U120" s="7">
        <v>4884.66</v>
      </c>
      <c r="V120" s="7">
        <v>3171.89</v>
      </c>
      <c r="W120" s="7">
        <v>1712.77</v>
      </c>
      <c r="X120" s="7" t="s">
        <v>129</v>
      </c>
    </row>
    <row r="121" spans="1:24" x14ac:dyDescent="0.25">
      <c r="A121" s="16" t="s">
        <v>383</v>
      </c>
      <c r="B121" s="17">
        <v>45489</v>
      </c>
      <c r="C121" s="6" t="s">
        <v>384</v>
      </c>
      <c r="D121" s="6" t="s">
        <v>57</v>
      </c>
      <c r="E121" s="6" t="s">
        <v>216</v>
      </c>
      <c r="F121" s="6" t="s">
        <v>217</v>
      </c>
      <c r="G121" s="6" t="s">
        <v>38</v>
      </c>
      <c r="H121" s="6" t="s">
        <v>134</v>
      </c>
      <c r="I121" s="6" t="s">
        <v>88</v>
      </c>
      <c r="J121" s="6" t="s">
        <v>89</v>
      </c>
      <c r="K121" s="6" t="s">
        <v>265</v>
      </c>
      <c r="L121" s="6" t="s">
        <v>2678</v>
      </c>
      <c r="M121" s="6" t="s">
        <v>385</v>
      </c>
      <c r="N121" s="6" t="s">
        <v>75</v>
      </c>
      <c r="O121" s="6">
        <v>18</v>
      </c>
      <c r="P121" s="6">
        <v>101.62</v>
      </c>
      <c r="Q121" s="6">
        <v>70.59</v>
      </c>
      <c r="R121" s="6">
        <v>1829.11</v>
      </c>
      <c r="S121" s="6">
        <v>0.1</v>
      </c>
      <c r="T121" s="6">
        <v>182.91</v>
      </c>
      <c r="U121" s="6">
        <v>1646.2</v>
      </c>
      <c r="V121" s="6">
        <v>1270.6300000000001</v>
      </c>
      <c r="W121" s="6">
        <v>375.57</v>
      </c>
      <c r="X121" s="6" t="s">
        <v>45</v>
      </c>
    </row>
    <row r="122" spans="1:24" x14ac:dyDescent="0.25">
      <c r="A122" s="5" t="s">
        <v>386</v>
      </c>
      <c r="B122" s="18">
        <v>45335</v>
      </c>
      <c r="C122" s="7" t="s">
        <v>387</v>
      </c>
      <c r="D122" s="7" t="s">
        <v>22</v>
      </c>
      <c r="E122" s="7" t="s">
        <v>49</v>
      </c>
      <c r="F122" s="7" t="s">
        <v>50</v>
      </c>
      <c r="G122" s="7" t="s">
        <v>51</v>
      </c>
      <c r="H122" s="7" t="s">
        <v>52</v>
      </c>
      <c r="I122" s="7" t="s">
        <v>88</v>
      </c>
      <c r="J122" s="7" t="s">
        <v>135</v>
      </c>
      <c r="K122" s="7" t="s">
        <v>265</v>
      </c>
      <c r="L122" s="7" t="s">
        <v>2678</v>
      </c>
      <c r="M122" s="7" t="s">
        <v>43</v>
      </c>
      <c r="N122" s="7" t="s">
        <v>84</v>
      </c>
      <c r="O122" s="7">
        <v>80</v>
      </c>
      <c r="P122" s="7">
        <v>24.24</v>
      </c>
      <c r="Q122" s="7">
        <v>13.65</v>
      </c>
      <c r="R122" s="7">
        <v>1939.05</v>
      </c>
      <c r="S122" s="7">
        <v>0.05</v>
      </c>
      <c r="T122" s="7">
        <v>96.95</v>
      </c>
      <c r="U122" s="7">
        <v>1842.1</v>
      </c>
      <c r="V122" s="7">
        <v>1092.22</v>
      </c>
      <c r="W122" s="7">
        <v>749.88</v>
      </c>
      <c r="X122" s="7" t="s">
        <v>45</v>
      </c>
    </row>
    <row r="123" spans="1:24" x14ac:dyDescent="0.25">
      <c r="A123" s="16" t="s">
        <v>388</v>
      </c>
      <c r="B123" s="17">
        <v>45611</v>
      </c>
      <c r="C123" s="6" t="s">
        <v>389</v>
      </c>
      <c r="D123" s="6" t="s">
        <v>264</v>
      </c>
      <c r="E123" s="6" t="s">
        <v>141</v>
      </c>
      <c r="F123" s="6" t="s">
        <v>142</v>
      </c>
      <c r="G123" s="6" t="s">
        <v>25</v>
      </c>
      <c r="H123" s="6" t="s">
        <v>26</v>
      </c>
      <c r="I123" s="6" t="s">
        <v>58</v>
      </c>
      <c r="J123" s="6" t="s">
        <v>323</v>
      </c>
      <c r="K123" s="6" t="s">
        <v>111</v>
      </c>
      <c r="L123" s="6" t="s">
        <v>2667</v>
      </c>
      <c r="M123" s="6" t="s">
        <v>43</v>
      </c>
      <c r="N123" s="6" t="s">
        <v>75</v>
      </c>
      <c r="O123" s="6">
        <v>27</v>
      </c>
      <c r="P123" s="6">
        <v>91.27</v>
      </c>
      <c r="Q123" s="6">
        <v>61.16</v>
      </c>
      <c r="R123" s="6">
        <v>2464.3200000000002</v>
      </c>
      <c r="S123" s="6">
        <v>0.15</v>
      </c>
      <c r="T123" s="6">
        <v>369.65</v>
      </c>
      <c r="U123" s="6">
        <v>2094.67</v>
      </c>
      <c r="V123" s="6">
        <v>1651.41</v>
      </c>
      <c r="W123" s="6">
        <v>443.26</v>
      </c>
      <c r="X123" s="6" t="s">
        <v>45</v>
      </c>
    </row>
    <row r="124" spans="1:24" x14ac:dyDescent="0.25">
      <c r="A124" s="5" t="s">
        <v>390</v>
      </c>
      <c r="B124" s="18">
        <v>45506</v>
      </c>
      <c r="C124" s="7"/>
      <c r="D124" s="7"/>
      <c r="E124" s="7" t="s">
        <v>187</v>
      </c>
      <c r="F124" s="7" t="s">
        <v>188</v>
      </c>
      <c r="G124" s="7" t="s">
        <v>25</v>
      </c>
      <c r="H124" s="7" t="s">
        <v>26</v>
      </c>
      <c r="I124" s="7" t="s">
        <v>40</v>
      </c>
      <c r="J124" s="7" t="s">
        <v>117</v>
      </c>
      <c r="K124" s="7" t="s">
        <v>265</v>
      </c>
      <c r="L124" s="7" t="s">
        <v>2678</v>
      </c>
      <c r="M124" s="7" t="s">
        <v>61</v>
      </c>
      <c r="N124" s="7" t="s">
        <v>75</v>
      </c>
      <c r="O124" s="7">
        <v>61</v>
      </c>
      <c r="P124" s="7">
        <v>45.98</v>
      </c>
      <c r="Q124" s="7">
        <v>26.91</v>
      </c>
      <c r="R124" s="7">
        <v>2805.01</v>
      </c>
      <c r="S124" s="7">
        <v>0.05</v>
      </c>
      <c r="T124" s="7">
        <v>140.25</v>
      </c>
      <c r="U124" s="7">
        <v>2664.76</v>
      </c>
      <c r="V124" s="7">
        <v>1641.52</v>
      </c>
      <c r="W124" s="7">
        <v>1023.24</v>
      </c>
      <c r="X124" s="7" t="s">
        <v>45</v>
      </c>
    </row>
    <row r="125" spans="1:24" x14ac:dyDescent="0.25">
      <c r="A125" s="16" t="s">
        <v>391</v>
      </c>
      <c r="B125" s="17">
        <v>45308</v>
      </c>
      <c r="C125" s="6" t="s">
        <v>392</v>
      </c>
      <c r="D125" s="6" t="s">
        <v>393</v>
      </c>
      <c r="E125" s="6" t="s">
        <v>176</v>
      </c>
      <c r="F125" s="6" t="s">
        <v>177</v>
      </c>
      <c r="G125" s="6" t="s">
        <v>101</v>
      </c>
      <c r="H125" s="6" t="s">
        <v>39</v>
      </c>
      <c r="I125" s="6" t="s">
        <v>88</v>
      </c>
      <c r="J125" s="6" t="s">
        <v>173</v>
      </c>
      <c r="K125" s="6" t="s">
        <v>184</v>
      </c>
      <c r="L125" s="6" t="s">
        <v>2672</v>
      </c>
      <c r="M125" s="6" t="s">
        <v>153</v>
      </c>
      <c r="N125" s="6" t="s">
        <v>70</v>
      </c>
      <c r="O125" s="6">
        <v>74</v>
      </c>
      <c r="P125" s="6">
        <v>101.96</v>
      </c>
      <c r="Q125" s="6">
        <v>66.319999999999993</v>
      </c>
      <c r="R125" s="6">
        <v>7545.11</v>
      </c>
      <c r="S125" s="6">
        <v>0.2</v>
      </c>
      <c r="T125" s="6">
        <v>1509.02</v>
      </c>
      <c r="U125" s="6">
        <v>6036.08</v>
      </c>
      <c r="V125" s="6">
        <v>4907.34</v>
      </c>
      <c r="W125" s="6">
        <v>1128.74</v>
      </c>
      <c r="X125" s="6" t="s">
        <v>45</v>
      </c>
    </row>
    <row r="126" spans="1:24" x14ac:dyDescent="0.25">
      <c r="A126" s="5" t="s">
        <v>394</v>
      </c>
      <c r="B126" s="18">
        <v>45580</v>
      </c>
      <c r="C126" s="7" t="s">
        <v>395</v>
      </c>
      <c r="D126" s="7" t="s">
        <v>221</v>
      </c>
      <c r="E126" s="7" t="s">
        <v>250</v>
      </c>
      <c r="F126" s="7" t="s">
        <v>251</v>
      </c>
      <c r="G126" s="7" t="s">
        <v>51</v>
      </c>
      <c r="H126" s="7" t="s">
        <v>252</v>
      </c>
      <c r="I126" s="7" t="s">
        <v>53</v>
      </c>
      <c r="J126" s="7" t="s">
        <v>54</v>
      </c>
      <c r="K126" s="7" t="s">
        <v>178</v>
      </c>
      <c r="L126" s="7" t="s">
        <v>256</v>
      </c>
      <c r="M126" s="7" t="s">
        <v>30</v>
      </c>
      <c r="N126" s="7" t="s">
        <v>70</v>
      </c>
      <c r="O126" s="7">
        <v>61</v>
      </c>
      <c r="P126" s="7">
        <v>62.99</v>
      </c>
      <c r="Q126" s="7">
        <v>35.200000000000003</v>
      </c>
      <c r="R126" s="7">
        <v>3842.2</v>
      </c>
      <c r="S126" s="7">
        <v>0.05</v>
      </c>
      <c r="T126" s="7">
        <v>192.11</v>
      </c>
      <c r="U126" s="7">
        <v>3650.09</v>
      </c>
      <c r="V126" s="7">
        <v>2147.4899999999998</v>
      </c>
      <c r="W126" s="7">
        <v>1502.6</v>
      </c>
      <c r="X126" s="7" t="s">
        <v>45</v>
      </c>
    </row>
    <row r="127" spans="1:24" x14ac:dyDescent="0.25">
      <c r="A127" s="16" t="s">
        <v>396</v>
      </c>
      <c r="B127" s="17">
        <v>45333</v>
      </c>
      <c r="C127" s="6" t="s">
        <v>397</v>
      </c>
      <c r="D127" s="6" t="s">
        <v>105</v>
      </c>
      <c r="E127" s="6" t="s">
        <v>150</v>
      </c>
      <c r="F127" s="6" t="s">
        <v>151</v>
      </c>
      <c r="G127" s="6" t="s">
        <v>101</v>
      </c>
      <c r="H127" s="6" t="s">
        <v>134</v>
      </c>
      <c r="I127" s="6" t="s">
        <v>27</v>
      </c>
      <c r="J127" s="6" t="s">
        <v>211</v>
      </c>
      <c r="K127" s="6" t="s">
        <v>265</v>
      </c>
      <c r="L127" s="6" t="s">
        <v>2678</v>
      </c>
      <c r="M127" s="6" t="s">
        <v>153</v>
      </c>
      <c r="N127" s="6" t="s">
        <v>31</v>
      </c>
      <c r="O127" s="6">
        <v>1</v>
      </c>
      <c r="P127" s="6">
        <v>84.73</v>
      </c>
      <c r="Q127" s="6">
        <v>47.78</v>
      </c>
      <c r="R127" s="6">
        <v>84.73</v>
      </c>
      <c r="S127" s="6">
        <v>0</v>
      </c>
      <c r="T127" s="6">
        <v>0</v>
      </c>
      <c r="U127" s="6">
        <v>84.73</v>
      </c>
      <c r="V127" s="6">
        <v>47.78</v>
      </c>
      <c r="W127" s="6">
        <v>36.96</v>
      </c>
      <c r="X127" s="6" t="s">
        <v>129</v>
      </c>
    </row>
    <row r="128" spans="1:24" x14ac:dyDescent="0.25">
      <c r="A128" s="5" t="s">
        <v>398</v>
      </c>
      <c r="B128" s="18">
        <v>45397</v>
      </c>
      <c r="C128" s="7" t="s">
        <v>399</v>
      </c>
      <c r="D128" s="7" t="s">
        <v>48</v>
      </c>
      <c r="E128" s="7" t="s">
        <v>99</v>
      </c>
      <c r="F128" s="7" t="s">
        <v>100</v>
      </c>
      <c r="G128" s="7" t="s">
        <v>101</v>
      </c>
      <c r="H128" s="7" t="s">
        <v>102</v>
      </c>
      <c r="I128" s="7" t="s">
        <v>53</v>
      </c>
      <c r="J128" s="7" t="s">
        <v>54</v>
      </c>
      <c r="K128" s="7" t="s">
        <v>90</v>
      </c>
      <c r="L128" s="7" t="s">
        <v>2666</v>
      </c>
      <c r="M128" s="7" t="s">
        <v>153</v>
      </c>
      <c r="N128" s="7" t="s">
        <v>44</v>
      </c>
      <c r="O128" s="7">
        <v>12</v>
      </c>
      <c r="P128" s="7">
        <v>67.540000000000006</v>
      </c>
      <c r="Q128" s="7">
        <v>43.35</v>
      </c>
      <c r="R128" s="7">
        <v>810.44</v>
      </c>
      <c r="S128" s="7">
        <v>0.02</v>
      </c>
      <c r="T128" s="7">
        <v>16.21</v>
      </c>
      <c r="U128" s="7">
        <v>794.23</v>
      </c>
      <c r="V128" s="7">
        <v>520.21</v>
      </c>
      <c r="W128" s="7">
        <v>274.02</v>
      </c>
      <c r="X128" s="7" t="s">
        <v>45</v>
      </c>
    </row>
    <row r="129" spans="1:24" x14ac:dyDescent="0.25">
      <c r="A129" s="16" t="s">
        <v>400</v>
      </c>
      <c r="B129" s="17">
        <v>45584</v>
      </c>
      <c r="C129" s="6" t="s">
        <v>309</v>
      </c>
      <c r="D129" s="6" t="s">
        <v>65</v>
      </c>
      <c r="E129" s="6" t="s">
        <v>93</v>
      </c>
      <c r="F129" s="6" t="s">
        <v>94</v>
      </c>
      <c r="G129" s="6" t="s">
        <v>95</v>
      </c>
      <c r="H129" s="6" t="s">
        <v>96</v>
      </c>
      <c r="I129" s="6" t="s">
        <v>88</v>
      </c>
      <c r="J129" s="6" t="s">
        <v>183</v>
      </c>
      <c r="K129" s="6" t="s">
        <v>69</v>
      </c>
      <c r="L129" s="6" t="s">
        <v>2663</v>
      </c>
      <c r="M129" s="6" t="s">
        <v>153</v>
      </c>
      <c r="N129" s="6" t="s">
        <v>31</v>
      </c>
      <c r="O129" s="6">
        <v>44</v>
      </c>
      <c r="P129" s="6">
        <v>57.26</v>
      </c>
      <c r="Q129" s="6">
        <v>31.7</v>
      </c>
      <c r="R129" s="6">
        <v>2519.41</v>
      </c>
      <c r="S129" s="6">
        <v>0</v>
      </c>
      <c r="T129" s="6">
        <v>0</v>
      </c>
      <c r="U129" s="6">
        <v>2519.41</v>
      </c>
      <c r="V129" s="6">
        <v>1395</v>
      </c>
      <c r="W129" s="6">
        <v>1124.4100000000001</v>
      </c>
      <c r="X129" s="6" t="s">
        <v>32</v>
      </c>
    </row>
    <row r="130" spans="1:24" x14ac:dyDescent="0.25">
      <c r="A130" s="5" t="s">
        <v>401</v>
      </c>
      <c r="B130" s="18">
        <v>45488</v>
      </c>
      <c r="C130" s="7" t="s">
        <v>402</v>
      </c>
      <c r="D130" s="7" t="s">
        <v>35</v>
      </c>
      <c r="E130" s="7" t="s">
        <v>209</v>
      </c>
      <c r="F130" s="7" t="s">
        <v>210</v>
      </c>
      <c r="G130" s="7" t="s">
        <v>51</v>
      </c>
      <c r="H130" s="7" t="s">
        <v>116</v>
      </c>
      <c r="I130" s="7" t="s">
        <v>88</v>
      </c>
      <c r="J130" s="7" t="s">
        <v>183</v>
      </c>
      <c r="K130" s="7" t="s">
        <v>184</v>
      </c>
      <c r="L130" s="7" t="s">
        <v>2672</v>
      </c>
      <c r="M130" s="7" t="s">
        <v>43</v>
      </c>
      <c r="N130" s="7" t="s">
        <v>75</v>
      </c>
      <c r="O130" s="7">
        <v>36</v>
      </c>
      <c r="P130" s="7">
        <v>17.38</v>
      </c>
      <c r="Q130" s="7">
        <v>10.51</v>
      </c>
      <c r="R130" s="7">
        <v>625.79999999999995</v>
      </c>
      <c r="S130" s="7">
        <v>0.02</v>
      </c>
      <c r="T130" s="7">
        <v>12.52</v>
      </c>
      <c r="U130" s="7">
        <v>613.29</v>
      </c>
      <c r="V130" s="7">
        <v>378.2</v>
      </c>
      <c r="W130" s="7">
        <v>235.09</v>
      </c>
      <c r="X130" s="7" t="s">
        <v>32</v>
      </c>
    </row>
    <row r="131" spans="1:24" x14ac:dyDescent="0.25">
      <c r="A131" s="16" t="s">
        <v>403</v>
      </c>
      <c r="B131" s="17">
        <v>45502</v>
      </c>
      <c r="C131" s="6" t="s">
        <v>404</v>
      </c>
      <c r="D131" s="6" t="s">
        <v>87</v>
      </c>
      <c r="E131" s="6" t="s">
        <v>126</v>
      </c>
      <c r="F131" s="6" t="s">
        <v>127</v>
      </c>
      <c r="G131" s="6" t="s">
        <v>95</v>
      </c>
      <c r="H131" s="6" t="s">
        <v>128</v>
      </c>
      <c r="I131" s="6" t="s">
        <v>88</v>
      </c>
      <c r="J131" s="6" t="s">
        <v>135</v>
      </c>
      <c r="K131" s="6" t="s">
        <v>29</v>
      </c>
      <c r="L131" s="6" t="s">
        <v>2660</v>
      </c>
      <c r="M131" s="6" t="s">
        <v>43</v>
      </c>
      <c r="N131" s="6" t="s">
        <v>44</v>
      </c>
      <c r="O131" s="6">
        <v>17</v>
      </c>
      <c r="P131" s="6">
        <v>94.38</v>
      </c>
      <c r="Q131" s="6">
        <v>54.82</v>
      </c>
      <c r="R131" s="6">
        <v>1604.52</v>
      </c>
      <c r="S131" s="6">
        <v>0.15</v>
      </c>
      <c r="T131" s="6">
        <v>240.68</v>
      </c>
      <c r="U131" s="6">
        <v>1363.84</v>
      </c>
      <c r="V131" s="6">
        <v>932.01</v>
      </c>
      <c r="W131" s="6">
        <v>431.83</v>
      </c>
      <c r="X131" s="6" t="s">
        <v>45</v>
      </c>
    </row>
    <row r="132" spans="1:24" x14ac:dyDescent="0.25">
      <c r="A132" s="5" t="s">
        <v>405</v>
      </c>
      <c r="B132" s="18">
        <v>45565</v>
      </c>
      <c r="C132" s="7" t="s">
        <v>354</v>
      </c>
      <c r="D132" s="7" t="s">
        <v>406</v>
      </c>
      <c r="E132" s="7" t="s">
        <v>165</v>
      </c>
      <c r="F132" s="7" t="s">
        <v>166</v>
      </c>
      <c r="G132" s="7" t="s">
        <v>95</v>
      </c>
      <c r="H132" s="7" t="s">
        <v>167</v>
      </c>
      <c r="I132" s="7" t="s">
        <v>53</v>
      </c>
      <c r="J132" s="7" t="s">
        <v>54</v>
      </c>
      <c r="K132" s="7" t="s">
        <v>42</v>
      </c>
      <c r="L132" s="7" t="s">
        <v>2661</v>
      </c>
      <c r="M132" s="7" t="s">
        <v>153</v>
      </c>
      <c r="N132" s="7" t="s">
        <v>75</v>
      </c>
      <c r="O132" s="7">
        <v>60</v>
      </c>
      <c r="P132" s="7">
        <v>45.31</v>
      </c>
      <c r="Q132" s="7">
        <v>23.53</v>
      </c>
      <c r="R132" s="7">
        <v>2718.7</v>
      </c>
      <c r="S132" s="7">
        <v>0.1</v>
      </c>
      <c r="T132" s="7">
        <v>271.87</v>
      </c>
      <c r="U132" s="7">
        <v>2446.83</v>
      </c>
      <c r="V132" s="7">
        <v>1411.56</v>
      </c>
      <c r="W132" s="7">
        <v>1035.28</v>
      </c>
      <c r="X132" s="7" t="s">
        <v>45</v>
      </c>
    </row>
    <row r="133" spans="1:24" x14ac:dyDescent="0.25">
      <c r="A133" s="16" t="s">
        <v>407</v>
      </c>
      <c r="B133" s="17">
        <v>45591</v>
      </c>
      <c r="C133" s="6" t="s">
        <v>408</v>
      </c>
      <c r="D133" s="6" t="s">
        <v>65</v>
      </c>
      <c r="E133" s="6" t="s">
        <v>209</v>
      </c>
      <c r="F133" s="6" t="s">
        <v>210</v>
      </c>
      <c r="G133" s="6" t="s">
        <v>51</v>
      </c>
      <c r="H133" s="6" t="s">
        <v>116</v>
      </c>
      <c r="I133" s="6" t="s">
        <v>27</v>
      </c>
      <c r="J133" s="6" t="s">
        <v>106</v>
      </c>
      <c r="K133" s="6" t="s">
        <v>60</v>
      </c>
      <c r="L133" s="6" t="s">
        <v>2662</v>
      </c>
      <c r="M133" s="6" t="s">
        <v>153</v>
      </c>
      <c r="N133" s="6" t="s">
        <v>75</v>
      </c>
      <c r="O133" s="6">
        <v>68</v>
      </c>
      <c r="P133" s="6">
        <v>17.329999999999998</v>
      </c>
      <c r="Q133" s="6">
        <v>9.66</v>
      </c>
      <c r="R133" s="6">
        <v>1178.67</v>
      </c>
      <c r="S133" s="6">
        <v>0</v>
      </c>
      <c r="T133" s="6">
        <v>0</v>
      </c>
      <c r="U133" s="6">
        <v>1178.67</v>
      </c>
      <c r="V133" s="6">
        <v>656.88</v>
      </c>
      <c r="W133" s="6">
        <v>521.79</v>
      </c>
      <c r="X133" s="6" t="s">
        <v>45</v>
      </c>
    </row>
    <row r="134" spans="1:24" x14ac:dyDescent="0.25">
      <c r="A134" s="5" t="s">
        <v>409</v>
      </c>
      <c r="B134" s="18">
        <v>45368</v>
      </c>
      <c r="C134" s="7" t="s">
        <v>410</v>
      </c>
      <c r="D134" s="7" t="s">
        <v>149</v>
      </c>
      <c r="E134" s="7" t="s">
        <v>209</v>
      </c>
      <c r="F134" s="7" t="s">
        <v>210</v>
      </c>
      <c r="G134" s="7" t="s">
        <v>51</v>
      </c>
      <c r="H134" s="7" t="s">
        <v>116</v>
      </c>
      <c r="I134" s="7" t="s">
        <v>53</v>
      </c>
      <c r="J134" s="7" t="s">
        <v>122</v>
      </c>
      <c r="K134" s="7" t="s">
        <v>170</v>
      </c>
      <c r="L134" s="7" t="s">
        <v>2671</v>
      </c>
      <c r="M134" s="7" t="s">
        <v>30</v>
      </c>
      <c r="N134" s="7" t="s">
        <v>31</v>
      </c>
      <c r="O134" s="7">
        <v>35</v>
      </c>
      <c r="P134" s="7">
        <v>18.91</v>
      </c>
      <c r="Q134" s="7">
        <v>9.49</v>
      </c>
      <c r="R134" s="7">
        <v>661.93</v>
      </c>
      <c r="S134" s="7">
        <v>0.05</v>
      </c>
      <c r="T134" s="7">
        <v>33.1</v>
      </c>
      <c r="U134" s="7">
        <v>628.83000000000004</v>
      </c>
      <c r="V134" s="7">
        <v>332.17</v>
      </c>
      <c r="W134" s="7">
        <v>296.66000000000003</v>
      </c>
      <c r="X134" s="7" t="s">
        <v>45</v>
      </c>
    </row>
    <row r="135" spans="1:24" x14ac:dyDescent="0.25">
      <c r="A135" s="16" t="s">
        <v>411</v>
      </c>
      <c r="B135" s="17">
        <v>45630</v>
      </c>
      <c r="C135" s="6" t="s">
        <v>98</v>
      </c>
      <c r="D135" s="6" t="s">
        <v>48</v>
      </c>
      <c r="E135" s="6" t="s">
        <v>209</v>
      </c>
      <c r="F135" s="6" t="s">
        <v>210</v>
      </c>
      <c r="G135" s="6" t="s">
        <v>51</v>
      </c>
      <c r="H135" s="6" t="s">
        <v>116</v>
      </c>
      <c r="I135" s="6" t="s">
        <v>27</v>
      </c>
      <c r="J135" s="6" t="s">
        <v>211</v>
      </c>
      <c r="K135" s="6" t="s">
        <v>29</v>
      </c>
      <c r="L135" s="6" t="s">
        <v>2660</v>
      </c>
      <c r="M135" s="6" t="s">
        <v>43</v>
      </c>
      <c r="N135" s="6" t="s">
        <v>70</v>
      </c>
      <c r="O135" s="6">
        <v>35</v>
      </c>
      <c r="P135" s="6">
        <v>17.670000000000002</v>
      </c>
      <c r="Q135" s="6">
        <v>10.29</v>
      </c>
      <c r="R135" s="6">
        <v>618.34</v>
      </c>
      <c r="S135" s="6">
        <v>0.2</v>
      </c>
      <c r="T135" s="6">
        <v>123.67</v>
      </c>
      <c r="U135" s="6">
        <v>494.67</v>
      </c>
      <c r="V135" s="6">
        <v>360.06</v>
      </c>
      <c r="W135" s="6">
        <v>134.61000000000001</v>
      </c>
      <c r="X135" s="6" t="s">
        <v>45</v>
      </c>
    </row>
    <row r="136" spans="1:24" x14ac:dyDescent="0.25">
      <c r="A136" s="5" t="s">
        <v>412</v>
      </c>
      <c r="B136" s="18">
        <v>45335</v>
      </c>
      <c r="C136" s="7" t="s">
        <v>199</v>
      </c>
      <c r="D136" s="7" t="s">
        <v>105</v>
      </c>
      <c r="E136" s="7" t="s">
        <v>165</v>
      </c>
      <c r="F136" s="7" t="s">
        <v>166</v>
      </c>
      <c r="G136" s="7" t="s">
        <v>95</v>
      </c>
      <c r="H136" s="7" t="s">
        <v>167</v>
      </c>
      <c r="I136" s="7" t="s">
        <v>53</v>
      </c>
      <c r="J136" s="7" t="s">
        <v>143</v>
      </c>
      <c r="K136" s="7" t="s">
        <v>178</v>
      </c>
      <c r="L136" s="7" t="s">
        <v>256</v>
      </c>
      <c r="M136" s="7" t="s">
        <v>30</v>
      </c>
      <c r="N136" s="7" t="s">
        <v>190</v>
      </c>
      <c r="O136" s="7">
        <v>24</v>
      </c>
      <c r="P136" s="7">
        <v>40.020000000000003</v>
      </c>
      <c r="Q136" s="7">
        <v>26.51</v>
      </c>
      <c r="R136" s="7">
        <v>960.4</v>
      </c>
      <c r="S136" s="7">
        <v>0.2</v>
      </c>
      <c r="T136" s="7">
        <v>192.08</v>
      </c>
      <c r="U136" s="7">
        <v>768.32</v>
      </c>
      <c r="V136" s="7">
        <v>636.27</v>
      </c>
      <c r="W136" s="7">
        <v>132.05000000000001</v>
      </c>
      <c r="X136" s="7" t="s">
        <v>45</v>
      </c>
    </row>
    <row r="137" spans="1:24" x14ac:dyDescent="0.25">
      <c r="A137" s="16" t="s">
        <v>413</v>
      </c>
      <c r="B137" s="17">
        <v>45335</v>
      </c>
      <c r="C137" s="6" t="s">
        <v>414</v>
      </c>
      <c r="D137" s="6" t="s">
        <v>22</v>
      </c>
      <c r="E137" s="6" t="s">
        <v>109</v>
      </c>
      <c r="F137" s="6" t="s">
        <v>110</v>
      </c>
      <c r="G137" s="6" t="s">
        <v>80</v>
      </c>
      <c r="H137" s="6" t="s">
        <v>81</v>
      </c>
      <c r="I137" s="6" t="s">
        <v>88</v>
      </c>
      <c r="J137" s="6" t="s">
        <v>183</v>
      </c>
      <c r="K137" s="6" t="s">
        <v>178</v>
      </c>
      <c r="L137" s="6" t="s">
        <v>256</v>
      </c>
      <c r="M137" s="6" t="s">
        <v>61</v>
      </c>
      <c r="N137" s="6" t="s">
        <v>44</v>
      </c>
      <c r="O137" s="6">
        <v>5</v>
      </c>
      <c r="P137" s="6">
        <v>134.76</v>
      </c>
      <c r="Q137" s="6">
        <v>69.7</v>
      </c>
      <c r="R137" s="6">
        <v>673.78</v>
      </c>
      <c r="S137" s="6">
        <v>0.15</v>
      </c>
      <c r="T137" s="6">
        <v>101.07</v>
      </c>
      <c r="U137" s="6">
        <v>572.71</v>
      </c>
      <c r="V137" s="6">
        <v>348.48</v>
      </c>
      <c r="W137" s="6">
        <v>224.23</v>
      </c>
      <c r="X137" s="6" t="s">
        <v>32</v>
      </c>
    </row>
    <row r="138" spans="1:24" x14ac:dyDescent="0.25">
      <c r="A138" s="5" t="s">
        <v>415</v>
      </c>
      <c r="B138" s="18">
        <v>45339</v>
      </c>
      <c r="C138" s="7" t="s">
        <v>416</v>
      </c>
      <c r="D138" s="7" t="s">
        <v>57</v>
      </c>
      <c r="E138" s="7" t="s">
        <v>165</v>
      </c>
      <c r="F138" s="7" t="s">
        <v>166</v>
      </c>
      <c r="G138" s="7" t="s">
        <v>95</v>
      </c>
      <c r="H138" s="7" t="s">
        <v>167</v>
      </c>
      <c r="I138" s="7" t="s">
        <v>88</v>
      </c>
      <c r="J138" s="7" t="s">
        <v>183</v>
      </c>
      <c r="K138" s="7" t="s">
        <v>178</v>
      </c>
      <c r="L138" s="7" t="s">
        <v>256</v>
      </c>
      <c r="M138" s="7" t="s">
        <v>61</v>
      </c>
      <c r="N138" s="7" t="s">
        <v>31</v>
      </c>
      <c r="O138" s="7">
        <v>78</v>
      </c>
      <c r="P138" s="7">
        <v>44.16</v>
      </c>
      <c r="Q138" s="7">
        <v>24.91</v>
      </c>
      <c r="R138" s="7">
        <v>3444.1</v>
      </c>
      <c r="S138" s="7">
        <v>0.2</v>
      </c>
      <c r="T138" s="7">
        <v>688.82</v>
      </c>
      <c r="U138" s="7">
        <v>2755.28</v>
      </c>
      <c r="V138" s="7">
        <v>1942.93</v>
      </c>
      <c r="W138" s="7">
        <v>812.34</v>
      </c>
      <c r="X138" s="7" t="s">
        <v>45</v>
      </c>
    </row>
    <row r="139" spans="1:24" x14ac:dyDescent="0.25">
      <c r="A139" s="16" t="s">
        <v>417</v>
      </c>
      <c r="B139" s="17">
        <v>45329</v>
      </c>
      <c r="C139" s="6" t="s">
        <v>418</v>
      </c>
      <c r="D139" s="6" t="s">
        <v>159</v>
      </c>
      <c r="E139" s="6" t="s">
        <v>114</v>
      </c>
      <c r="F139" s="6" t="s">
        <v>115</v>
      </c>
      <c r="G139" s="6" t="s">
        <v>95</v>
      </c>
      <c r="H139" s="6" t="s">
        <v>116</v>
      </c>
      <c r="I139" s="6" t="s">
        <v>58</v>
      </c>
      <c r="J139" s="6" t="s">
        <v>323</v>
      </c>
      <c r="K139" s="6" t="s">
        <v>90</v>
      </c>
      <c r="L139" s="6" t="s">
        <v>2666</v>
      </c>
      <c r="M139" s="6" t="s">
        <v>30</v>
      </c>
      <c r="N139" s="6" t="s">
        <v>44</v>
      </c>
      <c r="O139" s="6">
        <v>77</v>
      </c>
      <c r="P139" s="6">
        <v>37.06</v>
      </c>
      <c r="Q139" s="6">
        <v>22.03</v>
      </c>
      <c r="R139" s="6">
        <v>2853.71</v>
      </c>
      <c r="S139" s="6">
        <v>0.15</v>
      </c>
      <c r="T139" s="6">
        <v>428.06</v>
      </c>
      <c r="U139" s="6">
        <v>2425.65</v>
      </c>
      <c r="V139" s="6">
        <v>1696.15</v>
      </c>
      <c r="W139" s="6">
        <v>729.5</v>
      </c>
      <c r="X139" s="6" t="s">
        <v>45</v>
      </c>
    </row>
    <row r="140" spans="1:24" x14ac:dyDescent="0.25">
      <c r="A140" s="5" t="s">
        <v>419</v>
      </c>
      <c r="B140" s="18">
        <v>45397</v>
      </c>
      <c r="C140" s="7" t="s">
        <v>420</v>
      </c>
      <c r="D140" s="7" t="s">
        <v>156</v>
      </c>
      <c r="E140" s="7" t="s">
        <v>99</v>
      </c>
      <c r="F140" s="7" t="s">
        <v>100</v>
      </c>
      <c r="G140" s="7" t="s">
        <v>101</v>
      </c>
      <c r="H140" s="7" t="s">
        <v>102</v>
      </c>
      <c r="I140" s="7" t="s">
        <v>58</v>
      </c>
      <c r="J140" s="7" t="s">
        <v>323</v>
      </c>
      <c r="K140" s="7" t="s">
        <v>111</v>
      </c>
      <c r="L140" s="7" t="s">
        <v>2667</v>
      </c>
      <c r="M140" s="7" t="s">
        <v>153</v>
      </c>
      <c r="N140" s="7" t="s">
        <v>84</v>
      </c>
      <c r="O140" s="7">
        <v>63</v>
      </c>
      <c r="P140" s="7">
        <v>65.290000000000006</v>
      </c>
      <c r="Q140" s="7">
        <v>42.52</v>
      </c>
      <c r="R140" s="7">
        <v>4113.2299999999996</v>
      </c>
      <c r="S140" s="7">
        <v>0.1</v>
      </c>
      <c r="T140" s="7">
        <v>411.32</v>
      </c>
      <c r="U140" s="7">
        <v>3701.91</v>
      </c>
      <c r="V140" s="7">
        <v>2678.67</v>
      </c>
      <c r="W140" s="7">
        <v>1023.23</v>
      </c>
      <c r="X140" s="7" t="s">
        <v>32</v>
      </c>
    </row>
    <row r="141" spans="1:24" x14ac:dyDescent="0.25">
      <c r="A141" s="16" t="s">
        <v>421</v>
      </c>
      <c r="B141" s="17">
        <v>45328</v>
      </c>
      <c r="C141" s="6" t="s">
        <v>422</v>
      </c>
      <c r="D141" s="6" t="s">
        <v>48</v>
      </c>
      <c r="E141" s="6" t="s">
        <v>141</v>
      </c>
      <c r="F141" s="6" t="s">
        <v>142</v>
      </c>
      <c r="G141" s="6" t="s">
        <v>25</v>
      </c>
      <c r="H141" s="6" t="s">
        <v>26</v>
      </c>
      <c r="I141" s="6" t="s">
        <v>53</v>
      </c>
      <c r="J141" s="6" t="s">
        <v>122</v>
      </c>
      <c r="K141" s="6" t="s">
        <v>195</v>
      </c>
      <c r="L141" s="6" t="s">
        <v>2673</v>
      </c>
      <c r="M141" s="6" t="s">
        <v>153</v>
      </c>
      <c r="N141" s="6" t="s">
        <v>84</v>
      </c>
      <c r="O141" s="6"/>
      <c r="P141" s="6">
        <v>97.49</v>
      </c>
      <c r="Q141" s="6">
        <v>62.05</v>
      </c>
      <c r="R141" s="6">
        <v>1072.3699999999999</v>
      </c>
      <c r="S141" s="6">
        <v>0.02</v>
      </c>
      <c r="T141" s="6">
        <v>21.45</v>
      </c>
      <c r="U141" s="6">
        <v>1050.92</v>
      </c>
      <c r="V141" s="6">
        <v>682.59</v>
      </c>
      <c r="W141" s="6">
        <v>368.33</v>
      </c>
      <c r="X141" s="6" t="s">
        <v>129</v>
      </c>
    </row>
    <row r="142" spans="1:24" x14ac:dyDescent="0.25">
      <c r="A142" s="5" t="s">
        <v>423</v>
      </c>
      <c r="B142" s="18">
        <v>45332</v>
      </c>
      <c r="C142" s="7" t="s">
        <v>192</v>
      </c>
      <c r="D142" s="7" t="s">
        <v>65</v>
      </c>
      <c r="E142" s="7" t="s">
        <v>150</v>
      </c>
      <c r="F142" s="7" t="s">
        <v>151</v>
      </c>
      <c r="G142" s="7" t="s">
        <v>101</v>
      </c>
      <c r="H142" s="7" t="s">
        <v>134</v>
      </c>
      <c r="I142" s="7" t="s">
        <v>88</v>
      </c>
      <c r="J142" s="7" t="s">
        <v>173</v>
      </c>
      <c r="K142" s="7" t="s">
        <v>248</v>
      </c>
      <c r="L142" s="7" t="s">
        <v>2675</v>
      </c>
      <c r="M142" s="7" t="s">
        <v>43</v>
      </c>
      <c r="N142" s="7" t="s">
        <v>44</v>
      </c>
      <c r="O142" s="7">
        <v>48</v>
      </c>
      <c r="P142" s="7">
        <v>81.25</v>
      </c>
      <c r="Q142" s="7">
        <v>48.76</v>
      </c>
      <c r="R142" s="7">
        <v>3900.04</v>
      </c>
      <c r="S142" s="7">
        <v>0.2</v>
      </c>
      <c r="T142" s="7">
        <v>780.01</v>
      </c>
      <c r="U142" s="7">
        <v>3120.03</v>
      </c>
      <c r="V142" s="7">
        <v>2340.71</v>
      </c>
      <c r="W142" s="7">
        <v>779.32</v>
      </c>
      <c r="X142" s="7" t="s">
        <v>45</v>
      </c>
    </row>
    <row r="143" spans="1:24" x14ac:dyDescent="0.25">
      <c r="A143" s="16" t="s">
        <v>424</v>
      </c>
      <c r="B143" s="17">
        <v>45579</v>
      </c>
      <c r="C143" s="6" t="s">
        <v>215</v>
      </c>
      <c r="D143" s="6" t="s">
        <v>105</v>
      </c>
      <c r="E143" s="6" t="s">
        <v>78</v>
      </c>
      <c r="F143" s="6" t="s">
        <v>79</v>
      </c>
      <c r="G143" s="6" t="s">
        <v>80</v>
      </c>
      <c r="H143" s="6" t="s">
        <v>81</v>
      </c>
      <c r="I143" s="6" t="s">
        <v>88</v>
      </c>
      <c r="J143" s="6" t="s">
        <v>135</v>
      </c>
      <c r="K143" s="6" t="s">
        <v>144</v>
      </c>
      <c r="L143" s="6" t="s">
        <v>2669</v>
      </c>
      <c r="M143" s="6" t="s">
        <v>30</v>
      </c>
      <c r="N143" s="6" t="s">
        <v>31</v>
      </c>
      <c r="O143" s="6">
        <v>56</v>
      </c>
      <c r="P143" s="6">
        <v>146.71</v>
      </c>
      <c r="Q143" s="6">
        <v>84.55</v>
      </c>
      <c r="R143" s="6">
        <v>8215.59</v>
      </c>
      <c r="S143" s="6">
        <v>0.1</v>
      </c>
      <c r="T143" s="6">
        <v>821.56</v>
      </c>
      <c r="U143" s="6">
        <v>7394.03</v>
      </c>
      <c r="V143" s="6">
        <v>4735.05</v>
      </c>
      <c r="W143" s="6">
        <v>2658.98</v>
      </c>
      <c r="X143" s="6" t="s">
        <v>45</v>
      </c>
    </row>
    <row r="144" spans="1:24" x14ac:dyDescent="0.25">
      <c r="A144" s="5" t="s">
        <v>425</v>
      </c>
      <c r="B144" s="18">
        <v>45519</v>
      </c>
      <c r="C144" s="7" t="s">
        <v>426</v>
      </c>
      <c r="D144" s="7" t="s">
        <v>57</v>
      </c>
      <c r="E144" s="7" t="s">
        <v>99</v>
      </c>
      <c r="F144" s="7" t="s">
        <v>100</v>
      </c>
      <c r="G144" s="7" t="s">
        <v>101</v>
      </c>
      <c r="H144" s="7" t="s">
        <v>102</v>
      </c>
      <c r="I144" s="7" t="s">
        <v>88</v>
      </c>
      <c r="J144" s="7" t="s">
        <v>89</v>
      </c>
      <c r="K144" s="7" t="s">
        <v>83</v>
      </c>
      <c r="L144" s="7" t="s">
        <v>2665</v>
      </c>
      <c r="M144" s="7" t="s">
        <v>43</v>
      </c>
      <c r="N144" s="7" t="s">
        <v>70</v>
      </c>
      <c r="O144" s="7">
        <v>19</v>
      </c>
      <c r="P144" s="7">
        <v>68.86</v>
      </c>
      <c r="Q144" s="7">
        <v>39.71</v>
      </c>
      <c r="R144" s="7">
        <v>1308.3</v>
      </c>
      <c r="S144" s="7">
        <v>0.2</v>
      </c>
      <c r="T144" s="7">
        <v>261.66000000000003</v>
      </c>
      <c r="U144" s="7">
        <v>1046.6400000000001</v>
      </c>
      <c r="V144" s="7">
        <v>754.44</v>
      </c>
      <c r="W144" s="7">
        <v>292.2</v>
      </c>
      <c r="X144" s="7" t="s">
        <v>32</v>
      </c>
    </row>
    <row r="145" spans="1:24" x14ac:dyDescent="0.25">
      <c r="A145" s="16" t="s">
        <v>427</v>
      </c>
      <c r="B145" s="17">
        <v>45301</v>
      </c>
      <c r="C145" s="6" t="s">
        <v>428</v>
      </c>
      <c r="D145" s="6" t="s">
        <v>57</v>
      </c>
      <c r="E145" s="6" t="s">
        <v>114</v>
      </c>
      <c r="F145" s="6" t="s">
        <v>115</v>
      </c>
      <c r="G145" s="6" t="s">
        <v>95</v>
      </c>
      <c r="H145" s="6" t="s">
        <v>116</v>
      </c>
      <c r="I145" s="6" t="s">
        <v>58</v>
      </c>
      <c r="J145" s="6" t="s">
        <v>59</v>
      </c>
      <c r="K145" s="6" t="s">
        <v>265</v>
      </c>
      <c r="L145" s="6" t="s">
        <v>2678</v>
      </c>
      <c r="M145" s="6" t="s">
        <v>30</v>
      </c>
      <c r="N145" s="6" t="s">
        <v>31</v>
      </c>
      <c r="O145" s="6">
        <v>53</v>
      </c>
      <c r="P145" s="6">
        <v>34.659999999999997</v>
      </c>
      <c r="Q145" s="6">
        <v>21.37</v>
      </c>
      <c r="R145" s="6">
        <v>1836.96</v>
      </c>
      <c r="S145" s="6">
        <v>0.15</v>
      </c>
      <c r="T145" s="6">
        <v>275.54000000000002</v>
      </c>
      <c r="U145" s="6">
        <v>1561.41</v>
      </c>
      <c r="V145" s="6">
        <v>1132.69</v>
      </c>
      <c r="W145" s="6">
        <v>428.73</v>
      </c>
      <c r="X145" s="6" t="s">
        <v>45</v>
      </c>
    </row>
    <row r="146" spans="1:24" x14ac:dyDescent="0.25">
      <c r="A146" s="5" t="s">
        <v>429</v>
      </c>
      <c r="B146" s="18">
        <v>45454</v>
      </c>
      <c r="C146" s="7" t="s">
        <v>430</v>
      </c>
      <c r="D146" s="7" t="s">
        <v>156</v>
      </c>
      <c r="E146" s="7" t="s">
        <v>216</v>
      </c>
      <c r="F146" s="7" t="s">
        <v>217</v>
      </c>
      <c r="G146" s="7" t="s">
        <v>38</v>
      </c>
      <c r="H146" s="7" t="s">
        <v>134</v>
      </c>
      <c r="I146" s="7" t="s">
        <v>431</v>
      </c>
      <c r="J146" s="7" t="s">
        <v>135</v>
      </c>
      <c r="K146" s="7" t="s">
        <v>184</v>
      </c>
      <c r="L146" s="7" t="s">
        <v>2672</v>
      </c>
      <c r="M146" s="7" t="s">
        <v>153</v>
      </c>
      <c r="N146" s="7" t="s">
        <v>44</v>
      </c>
      <c r="O146" s="7">
        <v>60</v>
      </c>
      <c r="P146" s="7">
        <v>108.88</v>
      </c>
      <c r="Q146" s="7">
        <v>67.86</v>
      </c>
      <c r="R146" s="7">
        <v>6533.06</v>
      </c>
      <c r="S146" s="7">
        <v>0.02</v>
      </c>
      <c r="T146" s="7">
        <v>130.66</v>
      </c>
      <c r="U146" s="7">
        <v>6402.4</v>
      </c>
      <c r="V146" s="7">
        <v>4071.51</v>
      </c>
      <c r="W146" s="7">
        <v>2330.89</v>
      </c>
      <c r="X146" s="7" t="s">
        <v>32</v>
      </c>
    </row>
    <row r="147" spans="1:24" x14ac:dyDescent="0.25">
      <c r="A147" s="16" t="s">
        <v>432</v>
      </c>
      <c r="B147" s="17">
        <v>45529</v>
      </c>
      <c r="C147" s="6" t="s">
        <v>433</v>
      </c>
      <c r="D147" s="6" t="s">
        <v>22</v>
      </c>
      <c r="E147" s="6" t="s">
        <v>99</v>
      </c>
      <c r="F147" s="6" t="s">
        <v>100</v>
      </c>
      <c r="G147" s="6" t="s">
        <v>101</v>
      </c>
      <c r="H147" s="6" t="s">
        <v>102</v>
      </c>
      <c r="I147" s="6" t="s">
        <v>27</v>
      </c>
      <c r="J147" s="6" t="s">
        <v>211</v>
      </c>
      <c r="K147" s="6" t="s">
        <v>144</v>
      </c>
      <c r="L147" s="6" t="s">
        <v>2669</v>
      </c>
      <c r="M147" s="6" t="s">
        <v>153</v>
      </c>
      <c r="N147" s="6" t="s">
        <v>31</v>
      </c>
      <c r="O147" s="6">
        <v>18</v>
      </c>
      <c r="P147" s="6">
        <v>68.2</v>
      </c>
      <c r="Q147" s="6">
        <v>43.07</v>
      </c>
      <c r="R147" s="6">
        <v>1227.6300000000001</v>
      </c>
      <c r="S147" s="6">
        <v>0.2</v>
      </c>
      <c r="T147" s="6">
        <v>245.53</v>
      </c>
      <c r="U147" s="6">
        <v>982.11</v>
      </c>
      <c r="V147" s="6">
        <v>775.17</v>
      </c>
      <c r="W147" s="6">
        <v>206.93</v>
      </c>
      <c r="X147" s="6" t="s">
        <v>129</v>
      </c>
    </row>
    <row r="148" spans="1:24" x14ac:dyDescent="0.25">
      <c r="A148" s="5" t="s">
        <v>434</v>
      </c>
      <c r="B148" s="18">
        <v>45483</v>
      </c>
      <c r="C148" s="7" t="s">
        <v>213</v>
      </c>
      <c r="D148" s="7" t="s">
        <v>87</v>
      </c>
      <c r="E148" s="7" t="s">
        <v>109</v>
      </c>
      <c r="F148" s="7" t="s">
        <v>110</v>
      </c>
      <c r="G148" s="7" t="s">
        <v>80</v>
      </c>
      <c r="H148" s="7" t="s">
        <v>81</v>
      </c>
      <c r="I148" s="7" t="s">
        <v>40</v>
      </c>
      <c r="J148" s="7" t="s">
        <v>41</v>
      </c>
      <c r="K148" s="7" t="s">
        <v>60</v>
      </c>
      <c r="L148" s="7" t="s">
        <v>2662</v>
      </c>
      <c r="M148" s="7" t="s">
        <v>43</v>
      </c>
      <c r="N148" s="7" t="s">
        <v>84</v>
      </c>
      <c r="O148" s="7">
        <v>33</v>
      </c>
      <c r="P148" s="7">
        <v>134.66999999999999</v>
      </c>
      <c r="Q148" s="7">
        <v>70.91</v>
      </c>
      <c r="R148" s="7">
        <v>4444.2299999999996</v>
      </c>
      <c r="S148" s="7">
        <v>0.15</v>
      </c>
      <c r="T148" s="7">
        <v>666.63</v>
      </c>
      <c r="U148" s="7">
        <v>3777.59</v>
      </c>
      <c r="V148" s="7">
        <v>2340.09</v>
      </c>
      <c r="W148" s="7">
        <v>1437.5</v>
      </c>
      <c r="X148" s="7" t="s">
        <v>45</v>
      </c>
    </row>
    <row r="149" spans="1:24" x14ac:dyDescent="0.25">
      <c r="A149" s="16" t="s">
        <v>435</v>
      </c>
      <c r="B149" s="17">
        <v>45547</v>
      </c>
      <c r="C149" s="6" t="s">
        <v>436</v>
      </c>
      <c r="D149" s="6" t="s">
        <v>57</v>
      </c>
      <c r="E149" s="6" t="s">
        <v>114</v>
      </c>
      <c r="F149" s="6" t="s">
        <v>115</v>
      </c>
      <c r="G149" s="6" t="s">
        <v>95</v>
      </c>
      <c r="H149" s="6" t="s">
        <v>116</v>
      </c>
      <c r="I149" s="6" t="s">
        <v>53</v>
      </c>
      <c r="J149" s="6" t="s">
        <v>143</v>
      </c>
      <c r="K149" s="6" t="s">
        <v>261</v>
      </c>
      <c r="L149" s="6" t="s">
        <v>2677</v>
      </c>
      <c r="M149" s="6" t="s">
        <v>30</v>
      </c>
      <c r="N149" s="6" t="s">
        <v>31</v>
      </c>
      <c r="O149" s="6">
        <v>41</v>
      </c>
      <c r="P149" s="6">
        <v>32.520000000000003</v>
      </c>
      <c r="Q149" s="6">
        <v>20.58</v>
      </c>
      <c r="R149" s="6">
        <v>1333.19</v>
      </c>
      <c r="S149" s="6">
        <v>0.05</v>
      </c>
      <c r="T149" s="6">
        <v>66.66</v>
      </c>
      <c r="U149" s="6">
        <v>1266.53</v>
      </c>
      <c r="V149" s="6">
        <v>843.63</v>
      </c>
      <c r="W149" s="6">
        <v>422.9</v>
      </c>
      <c r="X149" s="6" t="s">
        <v>32</v>
      </c>
    </row>
    <row r="150" spans="1:24" x14ac:dyDescent="0.25">
      <c r="A150" s="5" t="s">
        <v>437</v>
      </c>
      <c r="B150" s="18">
        <v>45623</v>
      </c>
      <c r="C150" s="7" t="s">
        <v>438</v>
      </c>
      <c r="D150" s="7" t="s">
        <v>221</v>
      </c>
      <c r="E150" s="7" t="s">
        <v>78</v>
      </c>
      <c r="F150" s="7" t="s">
        <v>79</v>
      </c>
      <c r="G150" s="7" t="s">
        <v>80</v>
      </c>
      <c r="H150" s="7" t="s">
        <v>81</v>
      </c>
      <c r="I150" s="7" t="s">
        <v>53</v>
      </c>
      <c r="J150" s="7" t="s">
        <v>143</v>
      </c>
      <c r="K150" s="7" t="s">
        <v>69</v>
      </c>
      <c r="L150" s="7" t="s">
        <v>2663</v>
      </c>
      <c r="M150" s="7" t="s">
        <v>43</v>
      </c>
      <c r="N150" s="7" t="s">
        <v>84</v>
      </c>
      <c r="O150" s="7">
        <v>30</v>
      </c>
      <c r="P150" s="7">
        <v>138.6</v>
      </c>
      <c r="Q150" s="7">
        <v>78.52</v>
      </c>
      <c r="R150" s="7">
        <v>4158.1099999999997</v>
      </c>
      <c r="S150" s="7">
        <v>0.15</v>
      </c>
      <c r="T150" s="7">
        <v>623.72</v>
      </c>
      <c r="U150" s="7">
        <v>3534.39</v>
      </c>
      <c r="V150" s="7">
        <v>2355.69</v>
      </c>
      <c r="W150" s="7">
        <v>1178.71</v>
      </c>
      <c r="X150" s="7" t="s">
        <v>45</v>
      </c>
    </row>
    <row r="151" spans="1:24" x14ac:dyDescent="0.25">
      <c r="A151" s="16" t="s">
        <v>439</v>
      </c>
      <c r="B151" s="17">
        <v>45294</v>
      </c>
      <c r="C151" s="6" t="s">
        <v>203</v>
      </c>
      <c r="D151" s="6" t="s">
        <v>156</v>
      </c>
      <c r="E151" s="6" t="s">
        <v>36</v>
      </c>
      <c r="F151" s="6" t="s">
        <v>37</v>
      </c>
      <c r="G151" s="6" t="s">
        <v>38</v>
      </c>
      <c r="H151" s="6" t="s">
        <v>39</v>
      </c>
      <c r="I151" s="6" t="s">
        <v>27</v>
      </c>
      <c r="J151" s="6" t="s">
        <v>211</v>
      </c>
      <c r="K151" s="6" t="s">
        <v>111</v>
      </c>
      <c r="L151" s="6" t="s">
        <v>2667</v>
      </c>
      <c r="M151" s="6" t="s">
        <v>43</v>
      </c>
      <c r="N151" s="6" t="s">
        <v>70</v>
      </c>
      <c r="O151" s="6">
        <v>47</v>
      </c>
      <c r="P151" s="6">
        <v>151.97</v>
      </c>
      <c r="Q151" s="6">
        <v>106.58</v>
      </c>
      <c r="R151" s="6">
        <v>7142.52</v>
      </c>
      <c r="S151" s="6">
        <v>0.15</v>
      </c>
      <c r="T151" s="6">
        <v>1071.3800000000001</v>
      </c>
      <c r="U151" s="6">
        <v>6071.14</v>
      </c>
      <c r="V151" s="6">
        <v>5009.13</v>
      </c>
      <c r="W151" s="6">
        <v>1062.01</v>
      </c>
      <c r="X151" s="6" t="s">
        <v>32</v>
      </c>
    </row>
    <row r="152" spans="1:24" x14ac:dyDescent="0.25">
      <c r="A152" s="5" t="s">
        <v>440</v>
      </c>
      <c r="B152" s="18">
        <v>45393</v>
      </c>
      <c r="C152" s="7" t="s">
        <v>305</v>
      </c>
      <c r="D152" s="7" t="s">
        <v>87</v>
      </c>
      <c r="E152" s="7" t="s">
        <v>222</v>
      </c>
      <c r="F152" s="7" t="s">
        <v>223</v>
      </c>
      <c r="G152" s="7" t="s">
        <v>101</v>
      </c>
      <c r="H152" s="7" t="s">
        <v>68</v>
      </c>
      <c r="I152" s="7" t="s">
        <v>58</v>
      </c>
      <c r="J152" s="7" t="s">
        <v>345</v>
      </c>
      <c r="K152" s="7" t="s">
        <v>29</v>
      </c>
      <c r="L152" s="7" t="s">
        <v>2660</v>
      </c>
      <c r="M152" s="7" t="s">
        <v>61</v>
      </c>
      <c r="N152" s="7" t="s">
        <v>75</v>
      </c>
      <c r="O152" s="7">
        <v>75</v>
      </c>
      <c r="P152" s="7">
        <v>113.38</v>
      </c>
      <c r="Q152" s="7">
        <v>74.03</v>
      </c>
      <c r="R152" s="7">
        <v>8503.5499999999993</v>
      </c>
      <c r="S152" s="7">
        <v>0.1</v>
      </c>
      <c r="T152" s="7">
        <v>850.35</v>
      </c>
      <c r="U152" s="7">
        <v>7653.19</v>
      </c>
      <c r="V152" s="7">
        <v>5552.28</v>
      </c>
      <c r="W152" s="7">
        <v>2100.91</v>
      </c>
      <c r="X152" s="7" t="s">
        <v>45</v>
      </c>
    </row>
    <row r="153" spans="1:24" x14ac:dyDescent="0.25">
      <c r="A153" s="16" t="s">
        <v>441</v>
      </c>
      <c r="B153" s="17">
        <v>45533</v>
      </c>
      <c r="C153" s="6" t="s">
        <v>442</v>
      </c>
      <c r="D153" s="6" t="s">
        <v>87</v>
      </c>
      <c r="E153" s="6" t="s">
        <v>99</v>
      </c>
      <c r="F153" s="6" t="s">
        <v>100</v>
      </c>
      <c r="G153" s="6" t="s">
        <v>101</v>
      </c>
      <c r="H153" s="6" t="s">
        <v>102</v>
      </c>
      <c r="I153" s="6" t="s">
        <v>40</v>
      </c>
      <c r="J153" s="6" t="s">
        <v>117</v>
      </c>
      <c r="K153" s="6" t="s">
        <v>178</v>
      </c>
      <c r="L153" s="6" t="s">
        <v>256</v>
      </c>
      <c r="M153" s="6" t="s">
        <v>153</v>
      </c>
      <c r="N153" s="6" t="s">
        <v>31</v>
      </c>
      <c r="O153" s="6">
        <v>25</v>
      </c>
      <c r="P153" s="6">
        <v>74.55</v>
      </c>
      <c r="Q153" s="6">
        <v>41.82</v>
      </c>
      <c r="R153" s="6">
        <v>1863.81</v>
      </c>
      <c r="S153" s="6">
        <v>0.15</v>
      </c>
      <c r="T153" s="6">
        <v>279.57</v>
      </c>
      <c r="U153" s="6">
        <v>1584.24</v>
      </c>
      <c r="V153" s="6">
        <v>1045.3800000000001</v>
      </c>
      <c r="W153" s="6">
        <v>538.87</v>
      </c>
      <c r="X153" s="6" t="s">
        <v>45</v>
      </c>
    </row>
    <row r="154" spans="1:24" x14ac:dyDescent="0.25">
      <c r="A154" s="5" t="s">
        <v>443</v>
      </c>
      <c r="B154" s="18">
        <v>45557</v>
      </c>
      <c r="C154" s="7" t="s">
        <v>414</v>
      </c>
      <c r="D154" s="7" t="s">
        <v>22</v>
      </c>
      <c r="E154" s="7" t="s">
        <v>209</v>
      </c>
      <c r="F154" s="7" t="s">
        <v>210</v>
      </c>
      <c r="G154" s="7" t="s">
        <v>51</v>
      </c>
      <c r="H154" s="7" t="s">
        <v>116</v>
      </c>
      <c r="I154" s="7" t="s">
        <v>88</v>
      </c>
      <c r="J154" s="7" t="s">
        <v>183</v>
      </c>
      <c r="K154" s="7" t="s">
        <v>144</v>
      </c>
      <c r="L154" s="7" t="s">
        <v>2669</v>
      </c>
      <c r="M154" s="7" t="s">
        <v>30</v>
      </c>
      <c r="N154" s="7" t="s">
        <v>75</v>
      </c>
      <c r="O154" s="7">
        <v>77</v>
      </c>
      <c r="P154" s="7">
        <v>17.36</v>
      </c>
      <c r="Q154" s="7">
        <v>10.77</v>
      </c>
      <c r="R154" s="7">
        <v>1336.53</v>
      </c>
      <c r="S154" s="7">
        <v>0.05</v>
      </c>
      <c r="T154" s="7">
        <v>66.83</v>
      </c>
      <c r="U154" s="7">
        <v>1269.7</v>
      </c>
      <c r="V154" s="7">
        <v>829.57</v>
      </c>
      <c r="W154" s="7">
        <v>440.13</v>
      </c>
      <c r="X154" s="7" t="s">
        <v>32</v>
      </c>
    </row>
    <row r="155" spans="1:24" x14ac:dyDescent="0.25">
      <c r="A155" s="16" t="s">
        <v>444</v>
      </c>
      <c r="B155" s="17">
        <v>45492</v>
      </c>
      <c r="C155" s="6" t="s">
        <v>325</v>
      </c>
      <c r="D155" s="6" t="s">
        <v>35</v>
      </c>
      <c r="E155" s="6" t="s">
        <v>150</v>
      </c>
      <c r="F155" s="6" t="s">
        <v>151</v>
      </c>
      <c r="G155" s="6" t="s">
        <v>101</v>
      </c>
      <c r="H155" s="6" t="s">
        <v>134</v>
      </c>
      <c r="I155" s="6" t="s">
        <v>40</v>
      </c>
      <c r="J155" s="6" t="s">
        <v>117</v>
      </c>
      <c r="K155" s="6" t="s">
        <v>178</v>
      </c>
      <c r="L155" s="6" t="s">
        <v>256</v>
      </c>
      <c r="M155" s="6" t="s">
        <v>153</v>
      </c>
      <c r="N155" s="6" t="s">
        <v>84</v>
      </c>
      <c r="O155" s="6">
        <v>34</v>
      </c>
      <c r="P155" s="6">
        <v>82.5</v>
      </c>
      <c r="Q155" s="6">
        <v>51.06</v>
      </c>
      <c r="R155" s="6">
        <v>2804.99</v>
      </c>
      <c r="S155" s="6">
        <v>0.1</v>
      </c>
      <c r="T155" s="6">
        <v>280.5</v>
      </c>
      <c r="U155" s="6">
        <v>2524.4899999999998</v>
      </c>
      <c r="V155" s="6">
        <v>1736.01</v>
      </c>
      <c r="W155" s="6">
        <v>788.48</v>
      </c>
      <c r="X155" s="6" t="s">
        <v>45</v>
      </c>
    </row>
    <row r="156" spans="1:24" x14ac:dyDescent="0.25">
      <c r="A156" s="5" t="s">
        <v>445</v>
      </c>
      <c r="B156" s="18">
        <v>45300</v>
      </c>
      <c r="C156" s="7" t="s">
        <v>356</v>
      </c>
      <c r="D156" s="7" t="s">
        <v>48</v>
      </c>
      <c r="E156" s="7" t="s">
        <v>216</v>
      </c>
      <c r="F156" s="7" t="s">
        <v>217</v>
      </c>
      <c r="G156" s="7" t="s">
        <v>38</v>
      </c>
      <c r="H156" s="7" t="s">
        <v>134</v>
      </c>
      <c r="I156" s="7" t="s">
        <v>27</v>
      </c>
      <c r="J156" s="7" t="s">
        <v>106</v>
      </c>
      <c r="K156" s="7" t="s">
        <v>248</v>
      </c>
      <c r="L156" s="7" t="s">
        <v>2675</v>
      </c>
      <c r="M156" s="7" t="s">
        <v>61</v>
      </c>
      <c r="N156" s="7" t="s">
        <v>44</v>
      </c>
      <c r="O156" s="7">
        <v>47</v>
      </c>
      <c r="P156" s="7">
        <v>108.93</v>
      </c>
      <c r="Q156" s="7">
        <v>68.209999999999994</v>
      </c>
      <c r="R156" s="7">
        <v>5119.88</v>
      </c>
      <c r="S156" s="7">
        <v>0</v>
      </c>
      <c r="T156" s="7">
        <v>0</v>
      </c>
      <c r="U156" s="7">
        <v>5119.88</v>
      </c>
      <c r="V156" s="7">
        <v>3205.9</v>
      </c>
      <c r="W156" s="7">
        <v>1913.97</v>
      </c>
      <c r="X156" s="7" t="s">
        <v>45</v>
      </c>
    </row>
    <row r="157" spans="1:24" x14ac:dyDescent="0.25">
      <c r="A157" s="16" t="s">
        <v>446</v>
      </c>
      <c r="B157" s="17">
        <v>45588</v>
      </c>
      <c r="C157" s="6" t="s">
        <v>447</v>
      </c>
      <c r="D157" s="6" t="s">
        <v>48</v>
      </c>
      <c r="E157" s="6" t="s">
        <v>49</v>
      </c>
      <c r="F157" s="6" t="s">
        <v>50</v>
      </c>
      <c r="G157" s="6" t="s">
        <v>51</v>
      </c>
      <c r="H157" s="6" t="s">
        <v>52</v>
      </c>
      <c r="I157" s="6" t="s">
        <v>53</v>
      </c>
      <c r="J157" s="6" t="s">
        <v>122</v>
      </c>
      <c r="K157" s="6" t="s">
        <v>218</v>
      </c>
      <c r="L157" s="6" t="s">
        <v>2674</v>
      </c>
      <c r="M157" s="6" t="s">
        <v>43</v>
      </c>
      <c r="N157" s="6" t="s">
        <v>31</v>
      </c>
      <c r="O157" s="6">
        <v>77</v>
      </c>
      <c r="P157" s="6">
        <v>23.17</v>
      </c>
      <c r="Q157" s="6">
        <v>13.28</v>
      </c>
      <c r="R157" s="6">
        <v>1784.37</v>
      </c>
      <c r="S157" s="6">
        <v>0.2</v>
      </c>
      <c r="T157" s="6">
        <v>356.87</v>
      </c>
      <c r="U157" s="6">
        <v>1427.5</v>
      </c>
      <c r="V157" s="6">
        <v>1022.33</v>
      </c>
      <c r="W157" s="6">
        <v>405.17</v>
      </c>
      <c r="X157" s="6" t="s">
        <v>45</v>
      </c>
    </row>
    <row r="158" spans="1:24" x14ac:dyDescent="0.25">
      <c r="A158" s="5" t="s">
        <v>448</v>
      </c>
      <c r="B158" s="18">
        <v>45597</v>
      </c>
      <c r="C158" s="7" t="s">
        <v>449</v>
      </c>
      <c r="D158" s="7" t="s">
        <v>65</v>
      </c>
      <c r="E158" s="7" t="s">
        <v>141</v>
      </c>
      <c r="F158" s="7" t="s">
        <v>142</v>
      </c>
      <c r="G158" s="7" t="s">
        <v>25</v>
      </c>
      <c r="H158" s="7" t="s">
        <v>26</v>
      </c>
      <c r="I158" s="7" t="s">
        <v>88</v>
      </c>
      <c r="J158" s="7" t="s">
        <v>89</v>
      </c>
      <c r="K158" s="7" t="s">
        <v>170</v>
      </c>
      <c r="L158" s="7" t="s">
        <v>2671</v>
      </c>
      <c r="M158" s="7" t="s">
        <v>61</v>
      </c>
      <c r="N158" s="7" t="s">
        <v>84</v>
      </c>
      <c r="O158" s="7">
        <v>37</v>
      </c>
      <c r="P158" s="7">
        <v>90.22</v>
      </c>
      <c r="Q158" s="7">
        <v>55.95</v>
      </c>
      <c r="R158" s="7">
        <v>3338</v>
      </c>
      <c r="S158" s="7">
        <v>0.1</v>
      </c>
      <c r="T158" s="7">
        <v>333.8</v>
      </c>
      <c r="U158" s="7">
        <v>3004.2</v>
      </c>
      <c r="V158" s="7">
        <v>2069.9899999999998</v>
      </c>
      <c r="W158" s="7">
        <v>934.2</v>
      </c>
      <c r="X158" s="7" t="s">
        <v>45</v>
      </c>
    </row>
    <row r="159" spans="1:24" x14ac:dyDescent="0.25">
      <c r="A159" s="16" t="s">
        <v>450</v>
      </c>
      <c r="B159" s="17">
        <v>45582</v>
      </c>
      <c r="C159" s="6" t="s">
        <v>451</v>
      </c>
      <c r="D159" s="6" t="s">
        <v>87</v>
      </c>
      <c r="E159" s="6" t="s">
        <v>132</v>
      </c>
      <c r="F159" s="6" t="s">
        <v>133</v>
      </c>
      <c r="G159" s="6" t="s">
        <v>51</v>
      </c>
      <c r="H159" s="6" t="s">
        <v>134</v>
      </c>
      <c r="I159" s="6" t="s">
        <v>452</v>
      </c>
      <c r="J159" s="6" t="s">
        <v>28</v>
      </c>
      <c r="K159" s="6" t="s">
        <v>60</v>
      </c>
      <c r="L159" s="6" t="s">
        <v>2662</v>
      </c>
      <c r="M159" s="6" t="s">
        <v>153</v>
      </c>
      <c r="N159" s="6" t="s">
        <v>44</v>
      </c>
      <c r="O159" s="6">
        <v>64</v>
      </c>
      <c r="P159" s="6">
        <v>61.45</v>
      </c>
      <c r="Q159" s="6">
        <v>34.25</v>
      </c>
      <c r="R159" s="6">
        <v>3932.76</v>
      </c>
      <c r="S159" s="6">
        <v>0</v>
      </c>
      <c r="T159" s="6">
        <v>0</v>
      </c>
      <c r="U159" s="6">
        <v>3932.76</v>
      </c>
      <c r="V159" s="6">
        <v>2191.8200000000002</v>
      </c>
      <c r="W159" s="6">
        <v>1740.94</v>
      </c>
      <c r="X159" s="6" t="s">
        <v>45</v>
      </c>
    </row>
    <row r="160" spans="1:24" x14ac:dyDescent="0.25">
      <c r="A160" s="5" t="s">
        <v>453</v>
      </c>
      <c r="B160" s="18">
        <v>45419</v>
      </c>
      <c r="C160" s="7" t="s">
        <v>454</v>
      </c>
      <c r="D160" s="7" t="s">
        <v>156</v>
      </c>
      <c r="E160" s="7" t="s">
        <v>176</v>
      </c>
      <c r="F160" s="7" t="s">
        <v>177</v>
      </c>
      <c r="G160" s="7" t="s">
        <v>101</v>
      </c>
      <c r="H160" s="7" t="s">
        <v>39</v>
      </c>
      <c r="I160" s="7" t="s">
        <v>53</v>
      </c>
      <c r="J160" s="7" t="s">
        <v>54</v>
      </c>
      <c r="K160" s="7" t="s">
        <v>111</v>
      </c>
      <c r="L160" s="7" t="s">
        <v>2667</v>
      </c>
      <c r="M160" s="7" t="s">
        <v>61</v>
      </c>
      <c r="N160" s="7" t="s">
        <v>75</v>
      </c>
      <c r="O160" s="7">
        <v>30</v>
      </c>
      <c r="P160" s="7">
        <v>97.11</v>
      </c>
      <c r="Q160" s="7">
        <v>60.02</v>
      </c>
      <c r="R160" s="7">
        <v>2913.35</v>
      </c>
      <c r="S160" s="7">
        <v>0.02</v>
      </c>
      <c r="T160" s="7">
        <v>58.27</v>
      </c>
      <c r="U160" s="7">
        <v>2855.09</v>
      </c>
      <c r="V160" s="7">
        <v>1800.63</v>
      </c>
      <c r="W160" s="7">
        <v>1054.46</v>
      </c>
      <c r="X160" s="7" t="s">
        <v>129</v>
      </c>
    </row>
    <row r="161" spans="1:24" x14ac:dyDescent="0.25">
      <c r="A161" s="16" t="s">
        <v>455</v>
      </c>
      <c r="B161" s="17">
        <v>45656</v>
      </c>
      <c r="C161" s="6" t="s">
        <v>456</v>
      </c>
      <c r="D161" s="6" t="s">
        <v>22</v>
      </c>
      <c r="E161" s="6" t="s">
        <v>187</v>
      </c>
      <c r="F161" s="6" t="s">
        <v>188</v>
      </c>
      <c r="G161" s="6" t="s">
        <v>25</v>
      </c>
      <c r="H161" s="6" t="s">
        <v>26</v>
      </c>
      <c r="I161" s="6" t="s">
        <v>58</v>
      </c>
      <c r="J161" s="6" t="s">
        <v>345</v>
      </c>
      <c r="K161" s="6" t="s">
        <v>218</v>
      </c>
      <c r="L161" s="6" t="s">
        <v>2674</v>
      </c>
      <c r="M161" s="6" t="s">
        <v>153</v>
      </c>
      <c r="N161" s="6" t="s">
        <v>70</v>
      </c>
      <c r="O161" s="6">
        <v>71</v>
      </c>
      <c r="P161" s="6">
        <v>48.25</v>
      </c>
      <c r="Q161" s="6">
        <v>27.22</v>
      </c>
      <c r="R161" s="6">
        <v>3425.72</v>
      </c>
      <c r="S161" s="6">
        <v>0.15</v>
      </c>
      <c r="T161" s="6">
        <v>513.86</v>
      </c>
      <c r="U161" s="6">
        <v>2911.87</v>
      </c>
      <c r="V161" s="6">
        <v>1932.3</v>
      </c>
      <c r="W161" s="6">
        <v>979.57</v>
      </c>
      <c r="X161" s="6" t="s">
        <v>270</v>
      </c>
    </row>
    <row r="162" spans="1:24" x14ac:dyDescent="0.25">
      <c r="A162" s="5" t="s">
        <v>457</v>
      </c>
      <c r="B162" s="18">
        <v>45312</v>
      </c>
      <c r="C162" s="7" t="s">
        <v>458</v>
      </c>
      <c r="D162" s="7" t="s">
        <v>163</v>
      </c>
      <c r="E162" s="7" t="s">
        <v>36</v>
      </c>
      <c r="F162" s="7" t="s">
        <v>37</v>
      </c>
      <c r="G162" s="7" t="s">
        <v>38</v>
      </c>
      <c r="H162" s="7" t="s">
        <v>39</v>
      </c>
      <c r="I162" s="7" t="s">
        <v>27</v>
      </c>
      <c r="J162" s="7" t="s">
        <v>211</v>
      </c>
      <c r="K162" s="7" t="s">
        <v>261</v>
      </c>
      <c r="L162" s="7" t="s">
        <v>2677</v>
      </c>
      <c r="M162" s="7" t="s">
        <v>61</v>
      </c>
      <c r="N162" s="7" t="s">
        <v>75</v>
      </c>
      <c r="O162" s="7"/>
      <c r="P162" s="7">
        <v>155.52000000000001</v>
      </c>
      <c r="Q162" s="7">
        <v>93.87</v>
      </c>
      <c r="R162" s="7">
        <v>8553.52</v>
      </c>
      <c r="S162" s="7">
        <v>0.05</v>
      </c>
      <c r="T162" s="7">
        <v>427.68</v>
      </c>
      <c r="U162" s="7">
        <v>8125.85</v>
      </c>
      <c r="V162" s="7">
        <v>5163.07</v>
      </c>
      <c r="W162" s="7">
        <v>2962.78</v>
      </c>
      <c r="X162" s="7" t="s">
        <v>32</v>
      </c>
    </row>
    <row r="163" spans="1:24" x14ac:dyDescent="0.25">
      <c r="A163" s="16" t="s">
        <v>459</v>
      </c>
      <c r="B163" s="17">
        <v>45506</v>
      </c>
      <c r="C163" s="6" t="s">
        <v>378</v>
      </c>
      <c r="D163" s="6" t="s">
        <v>159</v>
      </c>
      <c r="E163" s="6" t="s">
        <v>23</v>
      </c>
      <c r="F163" s="6" t="s">
        <v>24</v>
      </c>
      <c r="G163" s="6" t="s">
        <v>25</v>
      </c>
      <c r="H163" s="6" t="s">
        <v>26</v>
      </c>
      <c r="I163" s="6" t="s">
        <v>58</v>
      </c>
      <c r="J163" s="6" t="s">
        <v>73</v>
      </c>
      <c r="K163" s="6" t="s">
        <v>83</v>
      </c>
      <c r="L163" s="6" t="s">
        <v>2665</v>
      </c>
      <c r="M163" s="6" t="s">
        <v>61</v>
      </c>
      <c r="N163" s="6" t="s">
        <v>75</v>
      </c>
      <c r="O163" s="6">
        <v>31</v>
      </c>
      <c r="P163" s="6">
        <v>78.94</v>
      </c>
      <c r="Q163" s="6">
        <v>46.04</v>
      </c>
      <c r="R163" s="6">
        <v>2447.2199999999998</v>
      </c>
      <c r="S163" s="6">
        <v>0.05</v>
      </c>
      <c r="T163" s="6">
        <v>122.36</v>
      </c>
      <c r="U163" s="6">
        <v>2324.86</v>
      </c>
      <c r="V163" s="6">
        <v>1427.14</v>
      </c>
      <c r="W163" s="6">
        <v>897.73</v>
      </c>
      <c r="X163" s="6" t="s">
        <v>45</v>
      </c>
    </row>
    <row r="164" spans="1:24" x14ac:dyDescent="0.25">
      <c r="A164" s="5" t="s">
        <v>460</v>
      </c>
      <c r="B164" s="18">
        <v>45508</v>
      </c>
      <c r="C164" s="7" t="s">
        <v>461</v>
      </c>
      <c r="D164" s="7" t="s">
        <v>87</v>
      </c>
      <c r="E164" s="7" t="s">
        <v>36</v>
      </c>
      <c r="F164" s="7" t="s">
        <v>37</v>
      </c>
      <c r="G164" s="7" t="s">
        <v>38</v>
      </c>
      <c r="H164" s="7" t="s">
        <v>39</v>
      </c>
      <c r="I164" s="7" t="s">
        <v>40</v>
      </c>
      <c r="J164" s="7"/>
      <c r="K164" s="7" t="s">
        <v>253</v>
      </c>
      <c r="L164" s="7" t="s">
        <v>2676</v>
      </c>
      <c r="M164" s="7" t="s">
        <v>61</v>
      </c>
      <c r="N164" s="7" t="s">
        <v>84</v>
      </c>
      <c r="O164" s="7">
        <v>46</v>
      </c>
      <c r="P164" s="7">
        <v>170.91</v>
      </c>
      <c r="Q164" s="7">
        <v>92.99</v>
      </c>
      <c r="R164" s="7">
        <v>7861.99</v>
      </c>
      <c r="S164" s="7">
        <v>0.02</v>
      </c>
      <c r="T164" s="7">
        <v>157.24</v>
      </c>
      <c r="U164" s="7">
        <v>7704.75</v>
      </c>
      <c r="V164" s="7">
        <v>4277.5200000000004</v>
      </c>
      <c r="W164" s="7">
        <v>3427.23</v>
      </c>
      <c r="X164" s="7" t="s">
        <v>45</v>
      </c>
    </row>
    <row r="165" spans="1:24" x14ac:dyDescent="0.25">
      <c r="A165" s="16" t="s">
        <v>462</v>
      </c>
      <c r="B165" s="17">
        <v>45482</v>
      </c>
      <c r="C165" s="6" t="s">
        <v>339</v>
      </c>
      <c r="D165" s="6" t="s">
        <v>221</v>
      </c>
      <c r="E165" s="6" t="s">
        <v>109</v>
      </c>
      <c r="F165" s="6" t="s">
        <v>110</v>
      </c>
      <c r="G165" s="6" t="s">
        <v>80</v>
      </c>
      <c r="H165" s="6" t="s">
        <v>81</v>
      </c>
      <c r="I165" s="6" t="s">
        <v>53</v>
      </c>
      <c r="J165" s="6" t="s">
        <v>232</v>
      </c>
      <c r="K165" s="6" t="s">
        <v>152</v>
      </c>
      <c r="L165" s="6" t="s">
        <v>2670</v>
      </c>
      <c r="M165" s="6" t="s">
        <v>30</v>
      </c>
      <c r="N165" s="6" t="s">
        <v>75</v>
      </c>
      <c r="O165" s="6">
        <v>19</v>
      </c>
      <c r="P165" s="6">
        <v>120.17</v>
      </c>
      <c r="Q165" s="6">
        <v>73.22</v>
      </c>
      <c r="R165" s="6">
        <v>2283.31</v>
      </c>
      <c r="S165" s="6">
        <v>0.2</v>
      </c>
      <c r="T165" s="6">
        <v>456.66</v>
      </c>
      <c r="U165" s="6">
        <v>1826.65</v>
      </c>
      <c r="V165" s="6">
        <v>1391.24</v>
      </c>
      <c r="W165" s="6">
        <v>435.4</v>
      </c>
      <c r="X165" s="6" t="s">
        <v>45</v>
      </c>
    </row>
    <row r="166" spans="1:24" x14ac:dyDescent="0.25">
      <c r="A166" s="5" t="s">
        <v>463</v>
      </c>
      <c r="B166" s="18">
        <v>45382</v>
      </c>
      <c r="C166" s="7" t="s">
        <v>464</v>
      </c>
      <c r="D166" s="7" t="s">
        <v>105</v>
      </c>
      <c r="E166" s="7" t="s">
        <v>36</v>
      </c>
      <c r="F166" s="7" t="s">
        <v>37</v>
      </c>
      <c r="G166" s="7" t="s">
        <v>38</v>
      </c>
      <c r="H166" s="7" t="s">
        <v>39</v>
      </c>
      <c r="I166" s="7" t="s">
        <v>27</v>
      </c>
      <c r="J166" s="7" t="s">
        <v>189</v>
      </c>
      <c r="K166" s="7" t="s">
        <v>253</v>
      </c>
      <c r="L166" s="7" t="s">
        <v>2676</v>
      </c>
      <c r="M166" s="7" t="s">
        <v>61</v>
      </c>
      <c r="N166" s="7" t="s">
        <v>70</v>
      </c>
      <c r="O166" s="7">
        <v>26</v>
      </c>
      <c r="P166" s="7">
        <v>165.59</v>
      </c>
      <c r="Q166" s="7">
        <v>91.95</v>
      </c>
      <c r="R166" s="7">
        <v>4305.45</v>
      </c>
      <c r="S166" s="7">
        <v>0.05</v>
      </c>
      <c r="T166" s="7">
        <v>215.27</v>
      </c>
      <c r="U166" s="7">
        <v>4090.18</v>
      </c>
      <c r="V166" s="7">
        <v>2390.58</v>
      </c>
      <c r="W166" s="7">
        <v>1699.6</v>
      </c>
      <c r="X166" s="7" t="s">
        <v>129</v>
      </c>
    </row>
    <row r="167" spans="1:24" x14ac:dyDescent="0.25">
      <c r="A167" s="16" t="s">
        <v>465</v>
      </c>
      <c r="B167" s="17">
        <v>45327</v>
      </c>
      <c r="C167" s="6" t="s">
        <v>466</v>
      </c>
      <c r="D167" s="6" t="s">
        <v>221</v>
      </c>
      <c r="E167" s="6" t="s">
        <v>250</v>
      </c>
      <c r="F167" s="6" t="s">
        <v>251</v>
      </c>
      <c r="G167" s="6" t="s">
        <v>51</v>
      </c>
      <c r="H167" s="6" t="s">
        <v>252</v>
      </c>
      <c r="I167" s="6" t="s">
        <v>88</v>
      </c>
      <c r="J167" s="6" t="s">
        <v>89</v>
      </c>
      <c r="K167" s="6" t="s">
        <v>69</v>
      </c>
      <c r="L167" s="6" t="s">
        <v>2663</v>
      </c>
      <c r="M167" s="6" t="s">
        <v>61</v>
      </c>
      <c r="N167" s="6" t="s">
        <v>84</v>
      </c>
      <c r="O167" s="6">
        <v>71</v>
      </c>
      <c r="P167" s="6">
        <v>68.069999999999993</v>
      </c>
      <c r="Q167" s="6">
        <v>38.020000000000003</v>
      </c>
      <c r="R167" s="6">
        <v>4832.6899999999996</v>
      </c>
      <c r="S167" s="6">
        <v>0.02</v>
      </c>
      <c r="T167" s="6">
        <v>96.65</v>
      </c>
      <c r="U167" s="6">
        <v>4736.03</v>
      </c>
      <c r="V167" s="6">
        <v>2699.14</v>
      </c>
      <c r="W167" s="6">
        <v>2036.9</v>
      </c>
      <c r="X167" s="6" t="s">
        <v>45</v>
      </c>
    </row>
    <row r="168" spans="1:24" x14ac:dyDescent="0.25">
      <c r="A168" s="5" t="s">
        <v>467</v>
      </c>
      <c r="B168" s="18">
        <v>45307</v>
      </c>
      <c r="C168" s="7" t="s">
        <v>468</v>
      </c>
      <c r="D168" s="7" t="s">
        <v>65</v>
      </c>
      <c r="E168" s="7" t="s">
        <v>49</v>
      </c>
      <c r="F168" s="7" t="s">
        <v>50</v>
      </c>
      <c r="G168" s="7" t="s">
        <v>51</v>
      </c>
      <c r="H168" s="7" t="s">
        <v>52</v>
      </c>
      <c r="I168" s="7" t="s">
        <v>53</v>
      </c>
      <c r="J168" s="7" t="s">
        <v>122</v>
      </c>
      <c r="K168" s="7" t="s">
        <v>144</v>
      </c>
      <c r="L168" s="7" t="s">
        <v>2669</v>
      </c>
      <c r="M168" s="7" t="s">
        <v>153</v>
      </c>
      <c r="N168" s="7" t="s">
        <v>75</v>
      </c>
      <c r="O168" s="7">
        <v>49</v>
      </c>
      <c r="P168" s="7">
        <v>26.16</v>
      </c>
      <c r="Q168" s="7">
        <v>13</v>
      </c>
      <c r="R168" s="7">
        <v>1281.68</v>
      </c>
      <c r="S168" s="7">
        <v>0.2</v>
      </c>
      <c r="T168" s="7">
        <v>256.33999999999997</v>
      </c>
      <c r="U168" s="7">
        <v>1025.3399999999999</v>
      </c>
      <c r="V168" s="7">
        <v>636.84</v>
      </c>
      <c r="W168" s="7">
        <v>388.5</v>
      </c>
      <c r="X168" s="7" t="s">
        <v>45</v>
      </c>
    </row>
    <row r="169" spans="1:24" x14ac:dyDescent="0.25">
      <c r="A169" s="16" t="s">
        <v>469</v>
      </c>
      <c r="B169" s="17">
        <v>45487</v>
      </c>
      <c r="C169" s="6" t="s">
        <v>104</v>
      </c>
      <c r="D169" s="6" t="s">
        <v>105</v>
      </c>
      <c r="E169" s="6" t="s">
        <v>36</v>
      </c>
      <c r="F169" s="6" t="s">
        <v>37</v>
      </c>
      <c r="G169" s="6" t="s">
        <v>38</v>
      </c>
      <c r="H169" s="6" t="s">
        <v>39</v>
      </c>
      <c r="I169" s="6" t="s">
        <v>27</v>
      </c>
      <c r="J169" s="6" t="s">
        <v>189</v>
      </c>
      <c r="K169" s="6" t="s">
        <v>118</v>
      </c>
      <c r="L169" s="6" t="s">
        <v>2668</v>
      </c>
      <c r="M169" s="6" t="s">
        <v>61</v>
      </c>
      <c r="N169" s="6" t="s">
        <v>84</v>
      </c>
      <c r="O169" s="6">
        <v>19</v>
      </c>
      <c r="P169" s="6">
        <v>160.6</v>
      </c>
      <c r="Q169" s="6">
        <v>97.39</v>
      </c>
      <c r="R169" s="6">
        <v>3051.48</v>
      </c>
      <c r="S169" s="6">
        <v>0</v>
      </c>
      <c r="T169" s="6">
        <v>0</v>
      </c>
      <c r="U169" s="6">
        <v>3051.48</v>
      </c>
      <c r="V169" s="6">
        <v>1850.35</v>
      </c>
      <c r="W169" s="6">
        <v>1201.1300000000001</v>
      </c>
      <c r="X169" s="6" t="s">
        <v>45</v>
      </c>
    </row>
    <row r="170" spans="1:24" x14ac:dyDescent="0.25">
      <c r="A170" s="5" t="s">
        <v>470</v>
      </c>
      <c r="B170" s="18">
        <v>45551</v>
      </c>
      <c r="C170" s="7" t="s">
        <v>471</v>
      </c>
      <c r="D170" s="7" t="s">
        <v>125</v>
      </c>
      <c r="E170" s="7" t="s">
        <v>222</v>
      </c>
      <c r="F170" s="7" t="s">
        <v>223</v>
      </c>
      <c r="G170" s="7" t="s">
        <v>101</v>
      </c>
      <c r="H170" s="7" t="s">
        <v>68</v>
      </c>
      <c r="I170" s="7" t="s">
        <v>27</v>
      </c>
      <c r="J170" s="7" t="s">
        <v>189</v>
      </c>
      <c r="K170" s="7" t="s">
        <v>178</v>
      </c>
      <c r="L170" s="7" t="s">
        <v>256</v>
      </c>
      <c r="M170" s="7" t="s">
        <v>61</v>
      </c>
      <c r="N170" s="7" t="s">
        <v>70</v>
      </c>
      <c r="O170" s="7">
        <v>4</v>
      </c>
      <c r="P170" s="7">
        <v>124.15</v>
      </c>
      <c r="Q170" s="7">
        <v>79.98</v>
      </c>
      <c r="R170" s="7">
        <v>496.59</v>
      </c>
      <c r="S170" s="7">
        <v>0.15</v>
      </c>
      <c r="T170" s="7">
        <v>74.489999999999995</v>
      </c>
      <c r="U170" s="7">
        <v>422.1</v>
      </c>
      <c r="V170" s="7">
        <v>319.93</v>
      </c>
      <c r="W170" s="7">
        <v>102.17</v>
      </c>
      <c r="X170" s="7" t="s">
        <v>32</v>
      </c>
    </row>
    <row r="171" spans="1:24" x14ac:dyDescent="0.25">
      <c r="A171" s="16" t="s">
        <v>472</v>
      </c>
      <c r="B171" s="17">
        <v>45492</v>
      </c>
      <c r="C171" s="6" t="s">
        <v>473</v>
      </c>
      <c r="D171" s="6" t="s">
        <v>22</v>
      </c>
      <c r="E171" s="6" t="s">
        <v>23</v>
      </c>
      <c r="F171" s="6" t="s">
        <v>24</v>
      </c>
      <c r="G171" s="6" t="s">
        <v>25</v>
      </c>
      <c r="H171" s="6" t="s">
        <v>26</v>
      </c>
      <c r="I171" s="6" t="s">
        <v>88</v>
      </c>
      <c r="J171" s="6" t="s">
        <v>89</v>
      </c>
      <c r="K171" s="6" t="s">
        <v>195</v>
      </c>
      <c r="L171" s="6" t="s">
        <v>2673</v>
      </c>
      <c r="M171" s="6" t="s">
        <v>30</v>
      </c>
      <c r="N171" s="6" t="s">
        <v>31</v>
      </c>
      <c r="O171" s="6">
        <v>38</v>
      </c>
      <c r="P171" s="6">
        <v>77.010000000000005</v>
      </c>
      <c r="Q171" s="6">
        <v>41.69</v>
      </c>
      <c r="R171" s="6">
        <v>2926.41</v>
      </c>
      <c r="S171" s="6">
        <v>0.2</v>
      </c>
      <c r="T171" s="6">
        <v>585.28</v>
      </c>
      <c r="U171" s="6">
        <v>2341.13</v>
      </c>
      <c r="V171" s="6">
        <v>1584.34</v>
      </c>
      <c r="W171" s="6">
        <v>756.79</v>
      </c>
      <c r="X171" s="6" t="s">
        <v>45</v>
      </c>
    </row>
    <row r="172" spans="1:24" x14ac:dyDescent="0.25">
      <c r="A172" s="5" t="s">
        <v>474</v>
      </c>
      <c r="B172" s="18">
        <v>45347</v>
      </c>
      <c r="C172" s="7" t="s">
        <v>475</v>
      </c>
      <c r="D172" s="7" t="s">
        <v>57</v>
      </c>
      <c r="E172" s="7" t="s">
        <v>216</v>
      </c>
      <c r="F172" s="7" t="s">
        <v>217</v>
      </c>
      <c r="G172" s="7" t="s">
        <v>38</v>
      </c>
      <c r="H172" s="7" t="s">
        <v>134</v>
      </c>
      <c r="I172" s="7" t="s">
        <v>88</v>
      </c>
      <c r="J172" s="7" t="s">
        <v>89</v>
      </c>
      <c r="K172" s="7" t="s">
        <v>60</v>
      </c>
      <c r="L172" s="7" t="s">
        <v>2662</v>
      </c>
      <c r="M172" s="7" t="s">
        <v>30</v>
      </c>
      <c r="N172" s="7" t="s">
        <v>31</v>
      </c>
      <c r="O172" s="7">
        <v>24</v>
      </c>
      <c r="P172" s="7">
        <v>105.28</v>
      </c>
      <c r="Q172" s="7">
        <v>61.79</v>
      </c>
      <c r="R172" s="7">
        <v>2526.8000000000002</v>
      </c>
      <c r="S172" s="7">
        <v>0.02</v>
      </c>
      <c r="T172" s="7">
        <v>50.54</v>
      </c>
      <c r="U172" s="7">
        <v>2476.27</v>
      </c>
      <c r="V172" s="7">
        <v>1483.06</v>
      </c>
      <c r="W172" s="7">
        <v>993.21</v>
      </c>
      <c r="X172" s="7" t="s">
        <v>32</v>
      </c>
    </row>
    <row r="173" spans="1:24" x14ac:dyDescent="0.25">
      <c r="A173" s="16" t="s">
        <v>476</v>
      </c>
      <c r="B173" s="17">
        <v>45485</v>
      </c>
      <c r="C173" s="6" t="s">
        <v>477</v>
      </c>
      <c r="D173" s="6" t="s">
        <v>221</v>
      </c>
      <c r="E173" s="6" t="s">
        <v>49</v>
      </c>
      <c r="F173" s="6" t="s">
        <v>50</v>
      </c>
      <c r="G173" s="6" t="s">
        <v>51</v>
      </c>
      <c r="H173" s="6" t="s">
        <v>52</v>
      </c>
      <c r="I173" s="6" t="s">
        <v>53</v>
      </c>
      <c r="J173" s="6" t="s">
        <v>122</v>
      </c>
      <c r="K173" s="6" t="s">
        <v>184</v>
      </c>
      <c r="L173" s="6" t="s">
        <v>2672</v>
      </c>
      <c r="M173" s="6" t="s">
        <v>138</v>
      </c>
      <c r="N173" s="6" t="s">
        <v>84</v>
      </c>
      <c r="O173" s="6">
        <v>11</v>
      </c>
      <c r="P173" s="6">
        <v>26.03</v>
      </c>
      <c r="Q173" s="6">
        <v>12.3</v>
      </c>
      <c r="R173" s="6">
        <v>286.32</v>
      </c>
      <c r="S173" s="6">
        <v>0.1</v>
      </c>
      <c r="T173" s="6">
        <v>28.63</v>
      </c>
      <c r="U173" s="6">
        <v>257.69</v>
      </c>
      <c r="V173" s="6">
        <v>135.26</v>
      </c>
      <c r="W173" s="6">
        <v>122.43</v>
      </c>
      <c r="X173" s="6" t="s">
        <v>32</v>
      </c>
    </row>
    <row r="174" spans="1:24" x14ac:dyDescent="0.25">
      <c r="A174" s="5" t="s">
        <v>478</v>
      </c>
      <c r="B174" s="18">
        <v>45607</v>
      </c>
      <c r="C174" s="7" t="s">
        <v>234</v>
      </c>
      <c r="D174" s="7" t="s">
        <v>159</v>
      </c>
      <c r="E174" s="7" t="s">
        <v>132</v>
      </c>
      <c r="F174" s="7" t="s">
        <v>133</v>
      </c>
      <c r="G174" s="7" t="s">
        <v>51</v>
      </c>
      <c r="H174" s="7" t="s">
        <v>134</v>
      </c>
      <c r="I174" s="7" t="s">
        <v>40</v>
      </c>
      <c r="J174" s="7" t="s">
        <v>82</v>
      </c>
      <c r="K174" s="7" t="s">
        <v>69</v>
      </c>
      <c r="L174" s="7" t="s">
        <v>2663</v>
      </c>
      <c r="M174" s="7" t="s">
        <v>43</v>
      </c>
      <c r="N174" s="7" t="s">
        <v>31</v>
      </c>
      <c r="O174" s="7">
        <v>46</v>
      </c>
      <c r="P174" s="7">
        <v>61.12</v>
      </c>
      <c r="Q174" s="7">
        <v>36.619999999999997</v>
      </c>
      <c r="R174" s="7">
        <v>2811.63</v>
      </c>
      <c r="S174" s="7">
        <v>0.05</v>
      </c>
      <c r="T174" s="7">
        <v>140.58000000000001</v>
      </c>
      <c r="U174" s="7">
        <v>2671.05</v>
      </c>
      <c r="V174" s="7">
        <v>1684.41</v>
      </c>
      <c r="W174" s="7">
        <v>986.64</v>
      </c>
      <c r="X174" s="7" t="s">
        <v>32</v>
      </c>
    </row>
    <row r="175" spans="1:24" x14ac:dyDescent="0.25">
      <c r="A175" s="16" t="s">
        <v>479</v>
      </c>
      <c r="B175" s="17">
        <v>45390</v>
      </c>
      <c r="C175" s="6" t="s">
        <v>480</v>
      </c>
      <c r="D175" s="6" t="s">
        <v>22</v>
      </c>
      <c r="E175" s="6" t="s">
        <v>150</v>
      </c>
      <c r="F175" s="6" t="s">
        <v>151</v>
      </c>
      <c r="G175" s="6" t="s">
        <v>101</v>
      </c>
      <c r="H175" s="6" t="s">
        <v>134</v>
      </c>
      <c r="I175" s="6" t="s">
        <v>88</v>
      </c>
      <c r="J175" s="6" t="s">
        <v>89</v>
      </c>
      <c r="K175" s="6" t="s">
        <v>265</v>
      </c>
      <c r="L175" s="6" t="s">
        <v>2678</v>
      </c>
      <c r="M175" s="6" t="s">
        <v>30</v>
      </c>
      <c r="N175" s="6" t="s">
        <v>75</v>
      </c>
      <c r="O175" s="6">
        <v>17</v>
      </c>
      <c r="P175" s="6">
        <v>79.06</v>
      </c>
      <c r="Q175" s="6">
        <v>55</v>
      </c>
      <c r="R175" s="6">
        <v>1344.05</v>
      </c>
      <c r="S175" s="6">
        <v>0</v>
      </c>
      <c r="T175" s="6">
        <v>0</v>
      </c>
      <c r="U175" s="6">
        <v>1344.05</v>
      </c>
      <c r="V175" s="6">
        <v>934.97</v>
      </c>
      <c r="W175" s="6">
        <v>409.09</v>
      </c>
      <c r="X175" s="6" t="s">
        <v>129</v>
      </c>
    </row>
    <row r="176" spans="1:24" x14ac:dyDescent="0.25">
      <c r="A176" s="5" t="s">
        <v>481</v>
      </c>
      <c r="B176" s="18">
        <v>45509</v>
      </c>
      <c r="C176" s="7" t="s">
        <v>208</v>
      </c>
      <c r="D176" s="7" t="s">
        <v>35</v>
      </c>
      <c r="E176" s="7" t="s">
        <v>132</v>
      </c>
      <c r="F176" s="7" t="s">
        <v>133</v>
      </c>
      <c r="G176" s="7" t="s">
        <v>51</v>
      </c>
      <c r="H176" s="7" t="s">
        <v>134</v>
      </c>
      <c r="I176" s="7" t="s">
        <v>40</v>
      </c>
      <c r="J176" s="7" t="s">
        <v>117</v>
      </c>
      <c r="K176" s="7" t="s">
        <v>265</v>
      </c>
      <c r="L176" s="7" t="s">
        <v>2678</v>
      </c>
      <c r="M176" s="7" t="s">
        <v>153</v>
      </c>
      <c r="N176" s="7" t="s">
        <v>70</v>
      </c>
      <c r="O176" s="7">
        <v>3</v>
      </c>
      <c r="P176" s="7">
        <v>62.64</v>
      </c>
      <c r="Q176" s="7">
        <v>32.56</v>
      </c>
      <c r="R176" s="7">
        <v>187.93</v>
      </c>
      <c r="S176" s="7">
        <v>0.15</v>
      </c>
      <c r="T176" s="7">
        <v>28.19</v>
      </c>
      <c r="U176" s="7">
        <v>159.74</v>
      </c>
      <c r="V176" s="7">
        <v>97.67</v>
      </c>
      <c r="W176" s="7">
        <v>62.07</v>
      </c>
      <c r="X176" s="7" t="s">
        <v>45</v>
      </c>
    </row>
    <row r="177" spans="1:24" x14ac:dyDescent="0.25">
      <c r="A177" s="16" t="s">
        <v>482</v>
      </c>
      <c r="B177" s="17">
        <v>45558</v>
      </c>
      <c r="C177" s="6" t="s">
        <v>483</v>
      </c>
      <c r="D177" s="6" t="s">
        <v>159</v>
      </c>
      <c r="E177" s="6" t="s">
        <v>93</v>
      </c>
      <c r="F177" s="6" t="s">
        <v>94</v>
      </c>
      <c r="G177" s="6" t="s">
        <v>95</v>
      </c>
      <c r="H177" s="6" t="s">
        <v>96</v>
      </c>
      <c r="I177" s="6" t="s">
        <v>27</v>
      </c>
      <c r="J177" s="6" t="s">
        <v>211</v>
      </c>
      <c r="K177" s="6" t="s">
        <v>111</v>
      </c>
      <c r="L177" s="6" t="s">
        <v>2667</v>
      </c>
      <c r="M177" s="6" t="s">
        <v>61</v>
      </c>
      <c r="N177" s="6" t="s">
        <v>44</v>
      </c>
      <c r="O177" s="6">
        <v>79</v>
      </c>
      <c r="P177" s="6">
        <v>56</v>
      </c>
      <c r="Q177" s="6">
        <v>30.3</v>
      </c>
      <c r="R177" s="6">
        <v>4423.84</v>
      </c>
      <c r="S177" s="6">
        <v>0.2</v>
      </c>
      <c r="T177" s="6">
        <v>884.77</v>
      </c>
      <c r="U177" s="6">
        <v>3539.07</v>
      </c>
      <c r="V177" s="6">
        <v>2393.3200000000002</v>
      </c>
      <c r="W177" s="6">
        <v>1145.75</v>
      </c>
      <c r="X177" s="6" t="s">
        <v>45</v>
      </c>
    </row>
    <row r="178" spans="1:24" x14ac:dyDescent="0.25">
      <c r="A178" s="5" t="s">
        <v>484</v>
      </c>
      <c r="B178" s="18">
        <v>45356</v>
      </c>
      <c r="C178" s="7" t="s">
        <v>485</v>
      </c>
      <c r="D178" s="7" t="s">
        <v>22</v>
      </c>
      <c r="E178" s="7" t="s">
        <v>93</v>
      </c>
      <c r="F178" s="7" t="s">
        <v>94</v>
      </c>
      <c r="G178" s="7" t="s">
        <v>95</v>
      </c>
      <c r="H178" s="7" t="s">
        <v>96</v>
      </c>
      <c r="I178" s="7" t="s">
        <v>40</v>
      </c>
      <c r="J178" s="7" t="s">
        <v>117</v>
      </c>
      <c r="K178" s="7" t="s">
        <v>253</v>
      </c>
      <c r="L178" s="7" t="s">
        <v>2676</v>
      </c>
      <c r="M178" s="7" t="s">
        <v>153</v>
      </c>
      <c r="N178" s="7" t="s">
        <v>31</v>
      </c>
      <c r="O178" s="7">
        <v>63</v>
      </c>
      <c r="P178" s="7">
        <v>56.81</v>
      </c>
      <c r="Q178" s="7">
        <v>34.18</v>
      </c>
      <c r="R178" s="7">
        <v>3578.97</v>
      </c>
      <c r="S178" s="7">
        <v>0.02</v>
      </c>
      <c r="T178" s="7">
        <v>71.58</v>
      </c>
      <c r="U178" s="7">
        <v>3507.39</v>
      </c>
      <c r="V178" s="7">
        <v>2153.17</v>
      </c>
      <c r="W178" s="7">
        <v>1354.22</v>
      </c>
      <c r="X178" s="7" t="s">
        <v>129</v>
      </c>
    </row>
    <row r="179" spans="1:24" x14ac:dyDescent="0.25">
      <c r="A179" s="16" t="s">
        <v>486</v>
      </c>
      <c r="B179" s="17">
        <v>45442</v>
      </c>
      <c r="C179" s="6" t="s">
        <v>487</v>
      </c>
      <c r="D179" s="6" t="s">
        <v>156</v>
      </c>
      <c r="E179" s="6" t="s">
        <v>126</v>
      </c>
      <c r="F179" s="6" t="s">
        <v>127</v>
      </c>
      <c r="G179" s="6" t="s">
        <v>95</v>
      </c>
      <c r="H179" s="6" t="s">
        <v>128</v>
      </c>
      <c r="I179" s="6" t="s">
        <v>88</v>
      </c>
      <c r="J179" s="6" t="s">
        <v>135</v>
      </c>
      <c r="K179" s="6" t="s">
        <v>60</v>
      </c>
      <c r="L179" s="6" t="s">
        <v>2662</v>
      </c>
      <c r="M179" s="6" t="s">
        <v>30</v>
      </c>
      <c r="N179" s="6" t="s">
        <v>31</v>
      </c>
      <c r="O179" s="6">
        <v>79</v>
      </c>
      <c r="P179" s="6">
        <v>92.82</v>
      </c>
      <c r="Q179" s="6">
        <v>50.07</v>
      </c>
      <c r="R179" s="6">
        <v>7332.99</v>
      </c>
      <c r="S179" s="6">
        <v>0</v>
      </c>
      <c r="T179" s="6">
        <v>0</v>
      </c>
      <c r="U179" s="6">
        <v>7332.99</v>
      </c>
      <c r="V179" s="6">
        <v>3955.14</v>
      </c>
      <c r="W179" s="6">
        <v>3377.86</v>
      </c>
      <c r="X179" s="6" t="s">
        <v>45</v>
      </c>
    </row>
    <row r="180" spans="1:24" x14ac:dyDescent="0.25">
      <c r="A180" s="5" t="s">
        <v>488</v>
      </c>
      <c r="B180" s="18">
        <v>45499</v>
      </c>
      <c r="C180" s="7" t="s">
        <v>489</v>
      </c>
      <c r="D180" s="7" t="s">
        <v>105</v>
      </c>
      <c r="E180" s="7" t="s">
        <v>126</v>
      </c>
      <c r="F180" s="7" t="s">
        <v>127</v>
      </c>
      <c r="G180" s="7" t="s">
        <v>95</v>
      </c>
      <c r="H180" s="7" t="s">
        <v>128</v>
      </c>
      <c r="I180" s="7" t="s">
        <v>27</v>
      </c>
      <c r="J180" s="7" t="s">
        <v>106</v>
      </c>
      <c r="K180" s="7" t="s">
        <v>74</v>
      </c>
      <c r="L180" s="7" t="s">
        <v>2664</v>
      </c>
      <c r="M180" s="7" t="s">
        <v>61</v>
      </c>
      <c r="N180" s="7" t="s">
        <v>70</v>
      </c>
      <c r="O180" s="7">
        <v>73</v>
      </c>
      <c r="P180" s="7">
        <v>89.83</v>
      </c>
      <c r="Q180" s="7">
        <v>52.17</v>
      </c>
      <c r="R180" s="7">
        <v>6557.91</v>
      </c>
      <c r="S180" s="7">
        <v>0.02</v>
      </c>
      <c r="T180" s="7">
        <v>131.16</v>
      </c>
      <c r="U180" s="7">
        <v>6426.75</v>
      </c>
      <c r="V180" s="7">
        <v>3808.26</v>
      </c>
      <c r="W180" s="7">
        <v>2618.48</v>
      </c>
      <c r="X180" s="7" t="s">
        <v>32</v>
      </c>
    </row>
    <row r="181" spans="1:24" x14ac:dyDescent="0.25">
      <c r="A181" s="16" t="s">
        <v>490</v>
      </c>
      <c r="B181" s="17">
        <v>45641</v>
      </c>
      <c r="C181" s="6" t="s">
        <v>491</v>
      </c>
      <c r="D181" s="6" t="s">
        <v>57</v>
      </c>
      <c r="E181" s="6" t="s">
        <v>222</v>
      </c>
      <c r="F181" s="6" t="s">
        <v>223</v>
      </c>
      <c r="G181" s="6" t="s">
        <v>101</v>
      </c>
      <c r="H181" s="6" t="s">
        <v>68</v>
      </c>
      <c r="I181" s="6" t="s">
        <v>27</v>
      </c>
      <c r="J181" s="6" t="s">
        <v>189</v>
      </c>
      <c r="K181" s="6" t="s">
        <v>178</v>
      </c>
      <c r="L181" s="6" t="s">
        <v>256</v>
      </c>
      <c r="M181" s="6" t="s">
        <v>43</v>
      </c>
      <c r="N181" s="6" t="s">
        <v>31</v>
      </c>
      <c r="O181" s="6">
        <v>53</v>
      </c>
      <c r="P181" s="6">
        <v>112.76</v>
      </c>
      <c r="Q181" s="6">
        <v>82.85</v>
      </c>
      <c r="R181" s="6">
        <v>5976.28</v>
      </c>
      <c r="S181" s="6">
        <v>0.15</v>
      </c>
      <c r="T181" s="6">
        <v>896.44</v>
      </c>
      <c r="U181" s="6">
        <v>5079.84</v>
      </c>
      <c r="V181" s="6">
        <v>4391.07</v>
      </c>
      <c r="W181" s="6">
        <v>688.77</v>
      </c>
      <c r="X181" s="6" t="s">
        <v>45</v>
      </c>
    </row>
    <row r="182" spans="1:24" x14ac:dyDescent="0.25">
      <c r="A182" s="5" t="s">
        <v>492</v>
      </c>
      <c r="B182" s="18">
        <v>45567</v>
      </c>
      <c r="C182" s="7" t="s">
        <v>493</v>
      </c>
      <c r="D182" s="7" t="s">
        <v>121</v>
      </c>
      <c r="E182" s="7" t="s">
        <v>49</v>
      </c>
      <c r="F182" s="7" t="s">
        <v>50</v>
      </c>
      <c r="G182" s="7" t="s">
        <v>51</v>
      </c>
      <c r="H182" s="7" t="s">
        <v>52</v>
      </c>
      <c r="I182" s="7" t="s">
        <v>27</v>
      </c>
      <c r="J182" s="7" t="s">
        <v>106</v>
      </c>
      <c r="K182" s="7" t="s">
        <v>83</v>
      </c>
      <c r="L182" s="7" t="s">
        <v>2665</v>
      </c>
      <c r="M182" s="7" t="s">
        <v>43</v>
      </c>
      <c r="N182" s="7" t="s">
        <v>70</v>
      </c>
      <c r="O182" s="7">
        <v>63</v>
      </c>
      <c r="P182" s="7">
        <v>24.48</v>
      </c>
      <c r="Q182" s="7">
        <v>12.07</v>
      </c>
      <c r="R182" s="7">
        <v>1542.19</v>
      </c>
      <c r="S182" s="7">
        <v>0.05</v>
      </c>
      <c r="T182" s="7">
        <v>77.11</v>
      </c>
      <c r="U182" s="7">
        <v>1465.08</v>
      </c>
      <c r="V182" s="7">
        <v>760.34</v>
      </c>
      <c r="W182" s="7">
        <v>704.74</v>
      </c>
      <c r="X182" s="7" t="s">
        <v>32</v>
      </c>
    </row>
    <row r="183" spans="1:24" x14ac:dyDescent="0.25">
      <c r="A183" s="16" t="s">
        <v>494</v>
      </c>
      <c r="B183" s="17">
        <v>45490</v>
      </c>
      <c r="C183" s="6" t="s">
        <v>495</v>
      </c>
      <c r="D183" s="6" t="s">
        <v>125</v>
      </c>
      <c r="E183" s="6" t="s">
        <v>176</v>
      </c>
      <c r="F183" s="6" t="s">
        <v>177</v>
      </c>
      <c r="G183" s="6" t="s">
        <v>101</v>
      </c>
      <c r="H183" s="6" t="s">
        <v>39</v>
      </c>
      <c r="I183" s="6" t="s">
        <v>40</v>
      </c>
      <c r="J183" s="6" t="s">
        <v>82</v>
      </c>
      <c r="K183" s="6" t="s">
        <v>69</v>
      </c>
      <c r="L183" s="6" t="s">
        <v>2663</v>
      </c>
      <c r="M183" s="6" t="s">
        <v>43</v>
      </c>
      <c r="N183" s="6" t="s">
        <v>70</v>
      </c>
      <c r="O183" s="6">
        <v>42</v>
      </c>
      <c r="P183" s="6">
        <v>103.17</v>
      </c>
      <c r="Q183" s="6">
        <v>60.32</v>
      </c>
      <c r="R183" s="6">
        <v>4333.1099999999997</v>
      </c>
      <c r="S183" s="6">
        <v>0.2</v>
      </c>
      <c r="T183" s="6">
        <v>866.62</v>
      </c>
      <c r="U183" s="6">
        <v>3466.49</v>
      </c>
      <c r="V183" s="6">
        <v>2533.4699999999998</v>
      </c>
      <c r="W183" s="6">
        <v>933.02</v>
      </c>
      <c r="X183" s="6" t="s">
        <v>45</v>
      </c>
    </row>
    <row r="184" spans="1:24" x14ac:dyDescent="0.25">
      <c r="A184" s="5" t="s">
        <v>496</v>
      </c>
      <c r="B184" s="18">
        <v>45656</v>
      </c>
      <c r="C184" s="7" t="s">
        <v>497</v>
      </c>
      <c r="D184" s="7" t="s">
        <v>35</v>
      </c>
      <c r="E184" s="7" t="s">
        <v>49</v>
      </c>
      <c r="F184" s="7" t="s">
        <v>50</v>
      </c>
      <c r="G184" s="7" t="s">
        <v>51</v>
      </c>
      <c r="H184" s="7" t="s">
        <v>52</v>
      </c>
      <c r="I184" s="7" t="s">
        <v>27</v>
      </c>
      <c r="J184" s="7" t="s">
        <v>211</v>
      </c>
      <c r="K184" s="7" t="s">
        <v>83</v>
      </c>
      <c r="L184" s="7" t="s">
        <v>2665</v>
      </c>
      <c r="M184" s="7" t="s">
        <v>61</v>
      </c>
      <c r="N184" s="7" t="s">
        <v>70</v>
      </c>
      <c r="O184" s="7">
        <v>57</v>
      </c>
      <c r="P184" s="7">
        <v>26.76</v>
      </c>
      <c r="Q184" s="7">
        <v>13.94</v>
      </c>
      <c r="R184" s="7">
        <v>1525.42</v>
      </c>
      <c r="S184" s="7">
        <v>0</v>
      </c>
      <c r="T184" s="7">
        <v>0</v>
      </c>
      <c r="U184" s="7">
        <v>1525.42</v>
      </c>
      <c r="V184" s="7">
        <v>794.82</v>
      </c>
      <c r="W184" s="7">
        <v>730.61</v>
      </c>
      <c r="X184" s="7" t="s">
        <v>45</v>
      </c>
    </row>
    <row r="185" spans="1:24" x14ac:dyDescent="0.25">
      <c r="A185" s="16" t="s">
        <v>498</v>
      </c>
      <c r="B185" s="17">
        <v>45443</v>
      </c>
      <c r="C185" s="6" t="s">
        <v>499</v>
      </c>
      <c r="D185" s="6" t="s">
        <v>87</v>
      </c>
      <c r="E185" s="6" t="s">
        <v>216</v>
      </c>
      <c r="F185" s="6" t="s">
        <v>217</v>
      </c>
      <c r="G185" s="6" t="s">
        <v>38</v>
      </c>
      <c r="H185" s="6" t="s">
        <v>134</v>
      </c>
      <c r="I185" s="6" t="s">
        <v>88</v>
      </c>
      <c r="J185" s="6"/>
      <c r="K185" s="6" t="s">
        <v>184</v>
      </c>
      <c r="L185" s="6" t="s">
        <v>2672</v>
      </c>
      <c r="M185" s="6" t="s">
        <v>30</v>
      </c>
      <c r="N185" s="6" t="s">
        <v>31</v>
      </c>
      <c r="O185" s="6">
        <v>32</v>
      </c>
      <c r="P185" s="6">
        <v>112.3</v>
      </c>
      <c r="Q185" s="6">
        <v>66.44</v>
      </c>
      <c r="R185" s="6">
        <v>3593.74</v>
      </c>
      <c r="S185" s="6">
        <v>0</v>
      </c>
      <c r="T185" s="6">
        <v>0</v>
      </c>
      <c r="U185" s="6">
        <v>3593.74</v>
      </c>
      <c r="V185" s="6">
        <v>2126.0500000000002</v>
      </c>
      <c r="W185" s="6">
        <v>1467.69</v>
      </c>
      <c r="X185" s="6" t="s">
        <v>32</v>
      </c>
    </row>
    <row r="186" spans="1:24" x14ac:dyDescent="0.25">
      <c r="A186" s="5" t="s">
        <v>500</v>
      </c>
      <c r="B186" s="18">
        <v>45295</v>
      </c>
      <c r="C186" s="7" t="s">
        <v>293</v>
      </c>
      <c r="D186" s="7" t="s">
        <v>65</v>
      </c>
      <c r="E186" s="7" t="s">
        <v>109</v>
      </c>
      <c r="F186" s="7" t="s">
        <v>110</v>
      </c>
      <c r="G186" s="7" t="s">
        <v>80</v>
      </c>
      <c r="H186" s="7" t="s">
        <v>81</v>
      </c>
      <c r="I186" s="7" t="s">
        <v>40</v>
      </c>
      <c r="J186" s="7" t="s">
        <v>117</v>
      </c>
      <c r="K186" s="7" t="s">
        <v>253</v>
      </c>
      <c r="L186" s="7" t="s">
        <v>2676</v>
      </c>
      <c r="M186" s="7" t="s">
        <v>153</v>
      </c>
      <c r="N186" s="7"/>
      <c r="O186" s="7">
        <v>66</v>
      </c>
      <c r="P186" s="7">
        <v>122.18</v>
      </c>
      <c r="Q186" s="7">
        <v>78.47</v>
      </c>
      <c r="R186" s="7">
        <v>8063.66</v>
      </c>
      <c r="S186" s="7">
        <v>0.2</v>
      </c>
      <c r="T186" s="7">
        <v>1612.73</v>
      </c>
      <c r="U186" s="7">
        <v>6450.92</v>
      </c>
      <c r="V186" s="7">
        <v>5178.76</v>
      </c>
      <c r="W186" s="7">
        <v>1272.17</v>
      </c>
      <c r="X186" s="7" t="s">
        <v>129</v>
      </c>
    </row>
    <row r="187" spans="1:24" x14ac:dyDescent="0.25">
      <c r="A187" s="16" t="s">
        <v>501</v>
      </c>
      <c r="B187" s="17">
        <v>45378</v>
      </c>
      <c r="C187" s="6" t="s">
        <v>241</v>
      </c>
      <c r="D187" s="6" t="s">
        <v>87</v>
      </c>
      <c r="E187" s="6" t="s">
        <v>109</v>
      </c>
      <c r="F187" s="6" t="s">
        <v>110</v>
      </c>
      <c r="G187" s="6" t="s">
        <v>80</v>
      </c>
      <c r="H187" s="6" t="s">
        <v>81</v>
      </c>
      <c r="I187" s="6" t="s">
        <v>27</v>
      </c>
      <c r="J187" s="6" t="s">
        <v>211</v>
      </c>
      <c r="K187" s="6" t="s">
        <v>218</v>
      </c>
      <c r="L187" s="6" t="s">
        <v>2674</v>
      </c>
      <c r="M187" s="6" t="s">
        <v>153</v>
      </c>
      <c r="N187" s="6" t="s">
        <v>70</v>
      </c>
      <c r="O187" s="6">
        <v>15</v>
      </c>
      <c r="P187" s="6">
        <v>116.31</v>
      </c>
      <c r="Q187" s="6">
        <v>73.849999999999994</v>
      </c>
      <c r="R187" s="6">
        <v>1744.61</v>
      </c>
      <c r="S187" s="6">
        <v>0.02</v>
      </c>
      <c r="T187" s="6">
        <v>34.89</v>
      </c>
      <c r="U187" s="6">
        <v>1709.72</v>
      </c>
      <c r="V187" s="6">
        <v>1107.79</v>
      </c>
      <c r="W187" s="6">
        <v>601.92999999999995</v>
      </c>
      <c r="X187" s="6" t="s">
        <v>32</v>
      </c>
    </row>
    <row r="188" spans="1:24" x14ac:dyDescent="0.25">
      <c r="A188" s="5" t="s">
        <v>502</v>
      </c>
      <c r="B188" s="18">
        <v>45383</v>
      </c>
      <c r="C188" s="7" t="s">
        <v>503</v>
      </c>
      <c r="D188" s="7" t="s">
        <v>87</v>
      </c>
      <c r="E188" s="7" t="s">
        <v>222</v>
      </c>
      <c r="F188" s="7" t="s">
        <v>223</v>
      </c>
      <c r="G188" s="7" t="s">
        <v>101</v>
      </c>
      <c r="H188" s="7" t="s">
        <v>68</v>
      </c>
      <c r="I188" s="7" t="s">
        <v>58</v>
      </c>
      <c r="J188" s="7" t="s">
        <v>345</v>
      </c>
      <c r="K188" s="7" t="s">
        <v>42</v>
      </c>
      <c r="L188" s="7" t="s">
        <v>2661</v>
      </c>
      <c r="M188" s="7" t="s">
        <v>61</v>
      </c>
      <c r="N188" s="7" t="s">
        <v>31</v>
      </c>
      <c r="O188" s="7">
        <v>41</v>
      </c>
      <c r="P188" s="7">
        <v>119.3</v>
      </c>
      <c r="Q188" s="7">
        <v>76.17</v>
      </c>
      <c r="R188" s="7">
        <v>4891.42</v>
      </c>
      <c r="S188" s="7">
        <v>0</v>
      </c>
      <c r="T188" s="7">
        <v>0</v>
      </c>
      <c r="U188" s="7">
        <v>4891.42</v>
      </c>
      <c r="V188" s="7">
        <v>3122.96</v>
      </c>
      <c r="W188" s="7">
        <v>1768.46</v>
      </c>
      <c r="X188" s="7" t="s">
        <v>45</v>
      </c>
    </row>
    <row r="189" spans="1:24" x14ac:dyDescent="0.25">
      <c r="A189" s="16" t="s">
        <v>504</v>
      </c>
      <c r="B189" s="17">
        <v>45297</v>
      </c>
      <c r="C189" s="6" t="s">
        <v>408</v>
      </c>
      <c r="D189" s="6" t="s">
        <v>65</v>
      </c>
      <c r="E189" s="6" t="s">
        <v>209</v>
      </c>
      <c r="F189" s="6" t="s">
        <v>210</v>
      </c>
      <c r="G189" s="6" t="s">
        <v>51</v>
      </c>
      <c r="H189" s="6" t="s">
        <v>116</v>
      </c>
      <c r="I189" s="6" t="s">
        <v>27</v>
      </c>
      <c r="J189" s="6" t="s">
        <v>189</v>
      </c>
      <c r="K189" s="6" t="s">
        <v>248</v>
      </c>
      <c r="L189" s="6" t="s">
        <v>2675</v>
      </c>
      <c r="M189" s="6" t="s">
        <v>30</v>
      </c>
      <c r="N189" s="6" t="s">
        <v>44</v>
      </c>
      <c r="O189" s="6">
        <v>36</v>
      </c>
      <c r="P189" s="6">
        <v>16.71</v>
      </c>
      <c r="Q189" s="6">
        <v>10.01</v>
      </c>
      <c r="R189" s="6">
        <v>601.52</v>
      </c>
      <c r="S189" s="6">
        <v>0</v>
      </c>
      <c r="T189" s="6">
        <v>0</v>
      </c>
      <c r="U189" s="6">
        <v>601.52</v>
      </c>
      <c r="V189" s="6">
        <v>360.28</v>
      </c>
      <c r="W189" s="6">
        <v>241.24</v>
      </c>
      <c r="X189" s="6" t="s">
        <v>45</v>
      </c>
    </row>
    <row r="190" spans="1:24" x14ac:dyDescent="0.25">
      <c r="A190" s="5" t="s">
        <v>505</v>
      </c>
      <c r="B190" s="18">
        <v>45524</v>
      </c>
      <c r="C190" s="7" t="s">
        <v>506</v>
      </c>
      <c r="D190" s="7" t="s">
        <v>264</v>
      </c>
      <c r="E190" s="7" t="s">
        <v>250</v>
      </c>
      <c r="F190" s="7" t="s">
        <v>251</v>
      </c>
      <c r="G190" s="7" t="s">
        <v>51</v>
      </c>
      <c r="H190" s="7" t="s">
        <v>252</v>
      </c>
      <c r="I190" s="7" t="s">
        <v>88</v>
      </c>
      <c r="J190" s="7" t="s">
        <v>135</v>
      </c>
      <c r="K190" s="7" t="s">
        <v>152</v>
      </c>
      <c r="L190" s="7" t="s">
        <v>2670</v>
      </c>
      <c r="M190" s="7" t="s">
        <v>43</v>
      </c>
      <c r="N190" s="7" t="s">
        <v>75</v>
      </c>
      <c r="O190" s="7">
        <v>53</v>
      </c>
      <c r="P190" s="7">
        <v>68.77</v>
      </c>
      <c r="Q190" s="7">
        <v>39.880000000000003</v>
      </c>
      <c r="R190" s="7">
        <v>3644.6</v>
      </c>
      <c r="S190" s="7">
        <v>0.1</v>
      </c>
      <c r="T190" s="7">
        <v>364.46</v>
      </c>
      <c r="U190" s="7">
        <v>3280.14</v>
      </c>
      <c r="V190" s="7">
        <v>2113.7399999999998</v>
      </c>
      <c r="W190" s="7">
        <v>1166.4100000000001</v>
      </c>
      <c r="X190" s="7" t="s">
        <v>32</v>
      </c>
    </row>
    <row r="191" spans="1:24" x14ac:dyDescent="0.25">
      <c r="A191" s="16" t="s">
        <v>507</v>
      </c>
      <c r="B191" s="17">
        <v>45585</v>
      </c>
      <c r="C191" s="6" t="s">
        <v>155</v>
      </c>
      <c r="D191" s="6" t="s">
        <v>156</v>
      </c>
      <c r="E191" s="6" t="s">
        <v>141</v>
      </c>
      <c r="F191" s="6" t="s">
        <v>142</v>
      </c>
      <c r="G191" s="6" t="s">
        <v>25</v>
      </c>
      <c r="H191" s="6" t="s">
        <v>26</v>
      </c>
      <c r="I191" s="6" t="s">
        <v>40</v>
      </c>
      <c r="J191" s="6" t="s">
        <v>82</v>
      </c>
      <c r="K191" s="6" t="s">
        <v>111</v>
      </c>
      <c r="L191" s="6" t="s">
        <v>2667</v>
      </c>
      <c r="M191" s="6" t="s">
        <v>153</v>
      </c>
      <c r="N191" s="6" t="s">
        <v>70</v>
      </c>
      <c r="O191" s="6">
        <v>52</v>
      </c>
      <c r="P191" s="6">
        <v>99.7</v>
      </c>
      <c r="Q191" s="6">
        <v>60.88</v>
      </c>
      <c r="R191" s="6">
        <v>5184.5200000000004</v>
      </c>
      <c r="S191" s="6">
        <v>0.2</v>
      </c>
      <c r="T191" s="6">
        <v>1036.9000000000001</v>
      </c>
      <c r="U191" s="6">
        <v>4147.62</v>
      </c>
      <c r="V191" s="6">
        <v>3165.65</v>
      </c>
      <c r="W191" s="6">
        <v>981.97</v>
      </c>
      <c r="X191" s="6" t="s">
        <v>45</v>
      </c>
    </row>
    <row r="192" spans="1:24" x14ac:dyDescent="0.25">
      <c r="A192" s="5" t="s">
        <v>508</v>
      </c>
      <c r="B192" s="18">
        <v>45359</v>
      </c>
      <c r="C192" s="7" t="s">
        <v>509</v>
      </c>
      <c r="D192" s="7" t="s">
        <v>264</v>
      </c>
      <c r="E192" s="7" t="s">
        <v>222</v>
      </c>
      <c r="F192" s="7" t="s">
        <v>223</v>
      </c>
      <c r="G192" s="7" t="s">
        <v>101</v>
      </c>
      <c r="H192" s="7" t="s">
        <v>68</v>
      </c>
      <c r="I192" s="7" t="s">
        <v>88</v>
      </c>
      <c r="J192" s="7" t="s">
        <v>173</v>
      </c>
      <c r="K192" s="7" t="s">
        <v>69</v>
      </c>
      <c r="L192" s="7" t="s">
        <v>2663</v>
      </c>
      <c r="M192" s="7" t="s">
        <v>61</v>
      </c>
      <c r="N192" s="7" t="s">
        <v>75</v>
      </c>
      <c r="O192" s="7">
        <v>67</v>
      </c>
      <c r="P192" s="7">
        <v>126.52</v>
      </c>
      <c r="Q192" s="7">
        <v>71.81</v>
      </c>
      <c r="R192" s="7">
        <v>8476.5300000000007</v>
      </c>
      <c r="S192" s="7">
        <v>0.05</v>
      </c>
      <c r="T192" s="7">
        <v>423.83</v>
      </c>
      <c r="U192" s="7">
        <v>8052.7</v>
      </c>
      <c r="V192" s="7">
        <v>4811.1099999999997</v>
      </c>
      <c r="W192" s="7">
        <v>3241.58</v>
      </c>
      <c r="X192" s="7" t="s">
        <v>32</v>
      </c>
    </row>
    <row r="193" spans="1:24" x14ac:dyDescent="0.25">
      <c r="A193" s="16" t="s">
        <v>510</v>
      </c>
      <c r="B193" s="17">
        <v>45461</v>
      </c>
      <c r="C193" s="6" t="s">
        <v>511</v>
      </c>
      <c r="D193" s="6" t="s">
        <v>163</v>
      </c>
      <c r="E193" s="6" t="s">
        <v>209</v>
      </c>
      <c r="F193" s="6" t="s">
        <v>210</v>
      </c>
      <c r="G193" s="6" t="s">
        <v>51</v>
      </c>
      <c r="H193" s="6" t="s">
        <v>116</v>
      </c>
      <c r="I193" s="6" t="s">
        <v>40</v>
      </c>
      <c r="J193" s="6" t="s">
        <v>41</v>
      </c>
      <c r="K193" s="6" t="s">
        <v>42</v>
      </c>
      <c r="L193" s="6" t="s">
        <v>2661</v>
      </c>
      <c r="M193" s="6" t="s">
        <v>153</v>
      </c>
      <c r="N193" s="6" t="s">
        <v>75</v>
      </c>
      <c r="O193" s="6">
        <v>47</v>
      </c>
      <c r="P193" s="6">
        <v>18.21</v>
      </c>
      <c r="Q193" s="6">
        <v>10.14</v>
      </c>
      <c r="R193" s="6">
        <v>855.73</v>
      </c>
      <c r="S193" s="6">
        <v>0.2</v>
      </c>
      <c r="T193" s="6">
        <v>171.15</v>
      </c>
      <c r="U193" s="6">
        <v>684.58</v>
      </c>
      <c r="V193" s="6">
        <v>476.6</v>
      </c>
      <c r="W193" s="6">
        <v>207.98</v>
      </c>
      <c r="X193" s="6" t="s">
        <v>129</v>
      </c>
    </row>
    <row r="194" spans="1:24" x14ac:dyDescent="0.25">
      <c r="A194" s="5" t="s">
        <v>512</v>
      </c>
      <c r="B194" s="18">
        <v>45530</v>
      </c>
      <c r="C194" s="7" t="s">
        <v>513</v>
      </c>
      <c r="D194" s="7" t="s">
        <v>48</v>
      </c>
      <c r="E194" s="7" t="s">
        <v>209</v>
      </c>
      <c r="F194" s="7" t="s">
        <v>210</v>
      </c>
      <c r="G194" s="7" t="s">
        <v>51</v>
      </c>
      <c r="H194" s="7" t="s">
        <v>116</v>
      </c>
      <c r="I194" s="7" t="s">
        <v>53</v>
      </c>
      <c r="J194" s="7" t="s">
        <v>232</v>
      </c>
      <c r="K194" s="7" t="s">
        <v>152</v>
      </c>
      <c r="L194" s="7" t="s">
        <v>2670</v>
      </c>
      <c r="M194" s="7" t="s">
        <v>61</v>
      </c>
      <c r="N194" s="7" t="s">
        <v>84</v>
      </c>
      <c r="O194" s="7">
        <v>20</v>
      </c>
      <c r="P194" s="7">
        <v>16.61</v>
      </c>
      <c r="Q194" s="7">
        <v>10.74</v>
      </c>
      <c r="R194" s="7">
        <v>332.24</v>
      </c>
      <c r="S194" s="7">
        <v>0.15</v>
      </c>
      <c r="T194" s="7">
        <v>49.84</v>
      </c>
      <c r="U194" s="7">
        <v>282.39999999999998</v>
      </c>
      <c r="V194" s="7">
        <v>214.81</v>
      </c>
      <c r="W194" s="7">
        <v>67.59</v>
      </c>
      <c r="X194" s="7" t="s">
        <v>45</v>
      </c>
    </row>
    <row r="195" spans="1:24" x14ac:dyDescent="0.25">
      <c r="A195" s="16" t="s">
        <v>514</v>
      </c>
      <c r="B195" s="17">
        <v>45308</v>
      </c>
      <c r="C195" s="6" t="s">
        <v>515</v>
      </c>
      <c r="D195" s="6" t="s">
        <v>48</v>
      </c>
      <c r="E195" s="6" t="s">
        <v>216</v>
      </c>
      <c r="F195" s="6" t="s">
        <v>217</v>
      </c>
      <c r="G195" s="6" t="s">
        <v>38</v>
      </c>
      <c r="H195" s="6" t="s">
        <v>134</v>
      </c>
      <c r="I195" s="6" t="s">
        <v>27</v>
      </c>
      <c r="J195" s="6" t="s">
        <v>28</v>
      </c>
      <c r="K195" s="6" t="s">
        <v>69</v>
      </c>
      <c r="L195" s="6" t="s">
        <v>2663</v>
      </c>
      <c r="M195" s="6" t="s">
        <v>153</v>
      </c>
      <c r="N195" s="6" t="s">
        <v>84</v>
      </c>
      <c r="O195" s="6">
        <v>59</v>
      </c>
      <c r="P195" s="6">
        <v>102.37</v>
      </c>
      <c r="Q195" s="6">
        <v>69.58</v>
      </c>
      <c r="R195" s="6">
        <v>6039.85</v>
      </c>
      <c r="S195" s="6">
        <v>0</v>
      </c>
      <c r="T195" s="6">
        <v>0</v>
      </c>
      <c r="U195" s="6">
        <v>6039.85</v>
      </c>
      <c r="V195" s="6">
        <v>4105.5</v>
      </c>
      <c r="W195" s="6">
        <v>1934.35</v>
      </c>
      <c r="X195" s="6" t="s">
        <v>45</v>
      </c>
    </row>
    <row r="196" spans="1:24" x14ac:dyDescent="0.25">
      <c r="A196" s="5" t="s">
        <v>516</v>
      </c>
      <c r="B196" s="18">
        <v>45432</v>
      </c>
      <c r="C196" s="7" t="s">
        <v>517</v>
      </c>
      <c r="D196" s="7" t="s">
        <v>163</v>
      </c>
      <c r="E196" s="7" t="s">
        <v>165</v>
      </c>
      <c r="F196" s="7" t="s">
        <v>166</v>
      </c>
      <c r="G196" s="7" t="s">
        <v>95</v>
      </c>
      <c r="H196" s="7" t="s">
        <v>167</v>
      </c>
      <c r="I196" s="7" t="s">
        <v>88</v>
      </c>
      <c r="J196" s="7" t="s">
        <v>183</v>
      </c>
      <c r="K196" s="7" t="s">
        <v>248</v>
      </c>
      <c r="L196" s="7" t="s">
        <v>2675</v>
      </c>
      <c r="M196" s="7" t="s">
        <v>43</v>
      </c>
      <c r="N196" s="7" t="s">
        <v>75</v>
      </c>
      <c r="O196" s="7">
        <v>72</v>
      </c>
      <c r="P196" s="7">
        <v>43.94</v>
      </c>
      <c r="Q196" s="7">
        <v>26.57</v>
      </c>
      <c r="R196" s="7">
        <v>3163.8</v>
      </c>
      <c r="S196" s="7">
        <v>0.15</v>
      </c>
      <c r="T196" s="7">
        <v>474.57</v>
      </c>
      <c r="U196" s="7">
        <v>2689.23</v>
      </c>
      <c r="V196" s="7">
        <v>1912.86</v>
      </c>
      <c r="W196" s="7">
        <v>776.37</v>
      </c>
      <c r="X196" s="7" t="s">
        <v>45</v>
      </c>
    </row>
    <row r="197" spans="1:24" x14ac:dyDescent="0.25">
      <c r="A197" s="16" t="s">
        <v>518</v>
      </c>
      <c r="B197" s="17">
        <v>45594</v>
      </c>
      <c r="C197" s="6" t="s">
        <v>519</v>
      </c>
      <c r="D197" s="6" t="s">
        <v>121</v>
      </c>
      <c r="E197" s="6" t="s">
        <v>66</v>
      </c>
      <c r="F197" s="6" t="s">
        <v>67</v>
      </c>
      <c r="G197" s="6" t="s">
        <v>38</v>
      </c>
      <c r="H197" s="6" t="s">
        <v>68</v>
      </c>
      <c r="I197" s="6" t="s">
        <v>520</v>
      </c>
      <c r="J197" s="6" t="s">
        <v>54</v>
      </c>
      <c r="K197" s="6" t="s">
        <v>170</v>
      </c>
      <c r="L197" s="6" t="s">
        <v>2671</v>
      </c>
      <c r="M197" s="6" t="s">
        <v>43</v>
      </c>
      <c r="N197" s="6" t="s">
        <v>31</v>
      </c>
      <c r="O197" s="6">
        <v>14</v>
      </c>
      <c r="P197" s="6">
        <v>168.01</v>
      </c>
      <c r="Q197" s="6">
        <v>107.63</v>
      </c>
      <c r="R197" s="6">
        <v>2352.17</v>
      </c>
      <c r="S197" s="6">
        <v>0.05</v>
      </c>
      <c r="T197" s="6">
        <v>117.61</v>
      </c>
      <c r="U197" s="6">
        <v>2234.5700000000002</v>
      </c>
      <c r="V197" s="6">
        <v>1506.81</v>
      </c>
      <c r="W197" s="6">
        <v>727.75</v>
      </c>
      <c r="X197" s="6" t="s">
        <v>129</v>
      </c>
    </row>
    <row r="198" spans="1:24" x14ac:dyDescent="0.25">
      <c r="A198" s="5" t="s">
        <v>521</v>
      </c>
      <c r="B198" s="18">
        <v>45581</v>
      </c>
      <c r="C198" s="7" t="s">
        <v>305</v>
      </c>
      <c r="D198" s="7" t="s">
        <v>87</v>
      </c>
      <c r="E198" s="7" t="s">
        <v>132</v>
      </c>
      <c r="F198" s="7" t="s">
        <v>133</v>
      </c>
      <c r="G198" s="7" t="s">
        <v>51</v>
      </c>
      <c r="H198" s="7" t="s">
        <v>134</v>
      </c>
      <c r="I198" s="7" t="s">
        <v>27</v>
      </c>
      <c r="J198" s="7" t="s">
        <v>106</v>
      </c>
      <c r="K198" s="7" t="s">
        <v>118</v>
      </c>
      <c r="L198" s="7" t="s">
        <v>2668</v>
      </c>
      <c r="M198" s="7" t="s">
        <v>43</v>
      </c>
      <c r="N198" s="7" t="s">
        <v>44</v>
      </c>
      <c r="O198" s="7">
        <v>62</v>
      </c>
      <c r="P198" s="7">
        <v>61.61</v>
      </c>
      <c r="Q198" s="7">
        <v>34.51</v>
      </c>
      <c r="R198" s="7">
        <v>3819.88</v>
      </c>
      <c r="S198" s="7">
        <v>0.2</v>
      </c>
      <c r="T198" s="7">
        <v>763.98</v>
      </c>
      <c r="U198" s="7">
        <v>3055.9</v>
      </c>
      <c r="V198" s="7">
        <v>2139.44</v>
      </c>
      <c r="W198" s="7">
        <v>916.46</v>
      </c>
      <c r="X198" s="7" t="s">
        <v>129</v>
      </c>
    </row>
    <row r="199" spans="1:24" x14ac:dyDescent="0.25">
      <c r="A199" s="16" t="s">
        <v>522</v>
      </c>
      <c r="B199" s="17">
        <v>45322</v>
      </c>
      <c r="C199" s="6" t="s">
        <v>451</v>
      </c>
      <c r="D199" s="6" t="s">
        <v>87</v>
      </c>
      <c r="E199" s="6" t="s">
        <v>165</v>
      </c>
      <c r="F199" s="6" t="s">
        <v>166</v>
      </c>
      <c r="G199" s="6" t="s">
        <v>95</v>
      </c>
      <c r="H199" s="6" t="s">
        <v>167</v>
      </c>
      <c r="I199" s="6" t="s">
        <v>40</v>
      </c>
      <c r="J199" s="6" t="s">
        <v>82</v>
      </c>
      <c r="K199" s="6" t="s">
        <v>90</v>
      </c>
      <c r="L199" s="6" t="s">
        <v>2666</v>
      </c>
      <c r="M199" s="6" t="s">
        <v>30</v>
      </c>
      <c r="N199" s="6" t="s">
        <v>44</v>
      </c>
      <c r="O199" s="6">
        <v>1</v>
      </c>
      <c r="P199" s="6">
        <v>43.71</v>
      </c>
      <c r="Q199" s="6">
        <v>25.31</v>
      </c>
      <c r="R199" s="6">
        <v>43.71</v>
      </c>
      <c r="S199" s="6">
        <v>0.15</v>
      </c>
      <c r="T199" s="6">
        <v>6.56</v>
      </c>
      <c r="U199" s="6">
        <v>37.15</v>
      </c>
      <c r="V199" s="6">
        <v>25.31</v>
      </c>
      <c r="W199" s="6">
        <v>11.84</v>
      </c>
      <c r="X199" s="6" t="s">
        <v>32</v>
      </c>
    </row>
    <row r="200" spans="1:24" x14ac:dyDescent="0.25">
      <c r="A200" s="5" t="s">
        <v>523</v>
      </c>
      <c r="B200" s="18">
        <v>45533</v>
      </c>
      <c r="C200" s="7" t="s">
        <v>524</v>
      </c>
      <c r="D200" s="7" t="s">
        <v>125</v>
      </c>
      <c r="E200" s="7" t="s">
        <v>78</v>
      </c>
      <c r="F200" s="7" t="s">
        <v>79</v>
      </c>
      <c r="G200" s="7" t="s">
        <v>80</v>
      </c>
      <c r="H200" s="7" t="s">
        <v>81</v>
      </c>
      <c r="I200" s="7" t="s">
        <v>27</v>
      </c>
      <c r="J200" s="7" t="s">
        <v>28</v>
      </c>
      <c r="K200" s="7" t="s">
        <v>83</v>
      </c>
      <c r="L200" s="7" t="s">
        <v>2665</v>
      </c>
      <c r="M200" s="7" t="s">
        <v>61</v>
      </c>
      <c r="N200" s="7" t="s">
        <v>70</v>
      </c>
      <c r="O200" s="7">
        <v>4</v>
      </c>
      <c r="P200" s="7">
        <v>143.35</v>
      </c>
      <c r="Q200" s="7">
        <v>86.58</v>
      </c>
      <c r="R200" s="7">
        <v>573.41</v>
      </c>
      <c r="S200" s="7">
        <v>0.15</v>
      </c>
      <c r="T200" s="7">
        <v>86.01</v>
      </c>
      <c r="U200" s="7">
        <v>487.4</v>
      </c>
      <c r="V200" s="7">
        <v>346.33</v>
      </c>
      <c r="W200" s="7">
        <v>141.07</v>
      </c>
      <c r="X200" s="7" t="s">
        <v>129</v>
      </c>
    </row>
    <row r="201" spans="1:24" x14ac:dyDescent="0.25">
      <c r="A201" s="16" t="s">
        <v>525</v>
      </c>
      <c r="B201" s="17">
        <v>45475</v>
      </c>
      <c r="C201" s="6" t="s">
        <v>526</v>
      </c>
      <c r="D201" s="6" t="s">
        <v>159</v>
      </c>
      <c r="E201" s="6" t="s">
        <v>93</v>
      </c>
      <c r="F201" s="6" t="s">
        <v>94</v>
      </c>
      <c r="G201" s="6" t="s">
        <v>95</v>
      </c>
      <c r="H201" s="6" t="s">
        <v>96</v>
      </c>
      <c r="I201" s="6" t="s">
        <v>58</v>
      </c>
      <c r="J201" s="6" t="s">
        <v>73</v>
      </c>
      <c r="K201" s="6" t="s">
        <v>170</v>
      </c>
      <c r="L201" s="6" t="s">
        <v>2671</v>
      </c>
      <c r="M201" s="6" t="s">
        <v>61</v>
      </c>
      <c r="N201" s="6" t="s">
        <v>75</v>
      </c>
      <c r="O201" s="6">
        <v>25</v>
      </c>
      <c r="P201" s="6">
        <v>52.79</v>
      </c>
      <c r="Q201" s="6">
        <v>33.25</v>
      </c>
      <c r="R201" s="6">
        <v>1319.67</v>
      </c>
      <c r="S201" s="6">
        <v>0.02</v>
      </c>
      <c r="T201" s="6">
        <v>26.39</v>
      </c>
      <c r="U201" s="6">
        <v>1293.27</v>
      </c>
      <c r="V201" s="6">
        <v>831.23</v>
      </c>
      <c r="W201" s="6">
        <v>462.05</v>
      </c>
      <c r="X201" s="6" t="s">
        <v>129</v>
      </c>
    </row>
    <row r="202" spans="1:24" x14ac:dyDescent="0.25">
      <c r="A202" s="5" t="s">
        <v>527</v>
      </c>
      <c r="B202" s="18">
        <v>45490</v>
      </c>
      <c r="C202" s="7" t="s">
        <v>408</v>
      </c>
      <c r="D202" s="7" t="s">
        <v>65</v>
      </c>
      <c r="E202" s="7" t="s">
        <v>132</v>
      </c>
      <c r="F202" s="7" t="s">
        <v>133</v>
      </c>
      <c r="G202" s="7" t="s">
        <v>51</v>
      </c>
      <c r="H202" s="7" t="s">
        <v>134</v>
      </c>
      <c r="I202" s="7" t="s">
        <v>58</v>
      </c>
      <c r="J202" s="7" t="s">
        <v>59</v>
      </c>
      <c r="K202" s="7" t="s">
        <v>111</v>
      </c>
      <c r="L202" s="7" t="s">
        <v>2667</v>
      </c>
      <c r="M202" s="7" t="s">
        <v>30</v>
      </c>
      <c r="N202" s="7" t="s">
        <v>44</v>
      </c>
      <c r="O202" s="7">
        <v>48</v>
      </c>
      <c r="P202" s="7">
        <v>61.78</v>
      </c>
      <c r="Q202" s="7">
        <v>33.090000000000003</v>
      </c>
      <c r="R202" s="7">
        <v>2965.45</v>
      </c>
      <c r="S202" s="7"/>
      <c r="T202" s="7">
        <v>59.31</v>
      </c>
      <c r="U202" s="7">
        <v>2906.14</v>
      </c>
      <c r="V202" s="7">
        <v>1588.25</v>
      </c>
      <c r="W202" s="7">
        <v>1317.89</v>
      </c>
      <c r="X202" s="7" t="s">
        <v>32</v>
      </c>
    </row>
    <row r="203" spans="1:24" x14ac:dyDescent="0.25">
      <c r="A203" s="16" t="s">
        <v>528</v>
      </c>
      <c r="B203" s="17">
        <v>45294</v>
      </c>
      <c r="C203" s="6" t="s">
        <v>529</v>
      </c>
      <c r="D203" s="6" t="s">
        <v>256</v>
      </c>
      <c r="E203" s="6" t="s">
        <v>150</v>
      </c>
      <c r="F203" s="6" t="s">
        <v>151</v>
      </c>
      <c r="G203" s="6" t="s">
        <v>101</v>
      </c>
      <c r="H203" s="6" t="s">
        <v>134</v>
      </c>
      <c r="I203" s="6" t="s">
        <v>58</v>
      </c>
      <c r="J203" s="6" t="s">
        <v>59</v>
      </c>
      <c r="K203" s="6" t="s">
        <v>111</v>
      </c>
      <c r="L203" s="6" t="s">
        <v>2667</v>
      </c>
      <c r="M203" s="6" t="s">
        <v>61</v>
      </c>
      <c r="N203" s="6" t="s">
        <v>84</v>
      </c>
      <c r="O203" s="6">
        <v>53</v>
      </c>
      <c r="P203" s="6">
        <v>79.260000000000005</v>
      </c>
      <c r="Q203" s="6">
        <v>50.25</v>
      </c>
      <c r="R203" s="6">
        <v>4200.57</v>
      </c>
      <c r="S203" s="6">
        <v>0.02</v>
      </c>
      <c r="T203" s="6">
        <v>84.01</v>
      </c>
      <c r="U203" s="6">
        <v>4595.32</v>
      </c>
      <c r="V203" s="6">
        <v>2663.01</v>
      </c>
      <c r="W203" s="6">
        <v>1453.54</v>
      </c>
      <c r="X203" s="6" t="s">
        <v>45</v>
      </c>
    </row>
    <row r="204" spans="1:24" x14ac:dyDescent="0.25">
      <c r="A204" s="5" t="s">
        <v>530</v>
      </c>
      <c r="B204" s="18">
        <v>45305</v>
      </c>
      <c r="C204" s="7" t="s">
        <v>531</v>
      </c>
      <c r="D204" s="7" t="s">
        <v>264</v>
      </c>
      <c r="E204" s="7" t="s">
        <v>165</v>
      </c>
      <c r="F204" s="7" t="s">
        <v>166</v>
      </c>
      <c r="G204" s="7" t="s">
        <v>95</v>
      </c>
      <c r="H204" s="7" t="s">
        <v>167</v>
      </c>
      <c r="I204" s="7" t="s">
        <v>88</v>
      </c>
      <c r="J204" s="7" t="s">
        <v>183</v>
      </c>
      <c r="K204" s="7" t="s">
        <v>195</v>
      </c>
      <c r="L204" s="7" t="s">
        <v>2673</v>
      </c>
      <c r="M204" s="7" t="s">
        <v>61</v>
      </c>
      <c r="N204" s="7" t="s">
        <v>31</v>
      </c>
      <c r="O204" s="7">
        <v>64</v>
      </c>
      <c r="P204" s="7">
        <v>39.630000000000003</v>
      </c>
      <c r="Q204" s="7">
        <v>23.03</v>
      </c>
      <c r="R204" s="7">
        <v>2536.31</v>
      </c>
      <c r="S204" s="7">
        <v>0.02</v>
      </c>
      <c r="T204" s="7">
        <v>50.73</v>
      </c>
      <c r="U204" s="7">
        <v>2485.59</v>
      </c>
      <c r="V204" s="7">
        <v>1474.01</v>
      </c>
      <c r="W204" s="7">
        <v>1011.58</v>
      </c>
      <c r="X204" s="7" t="s">
        <v>129</v>
      </c>
    </row>
    <row r="205" spans="1:24" x14ac:dyDescent="0.25">
      <c r="A205" s="16" t="s">
        <v>532</v>
      </c>
      <c r="B205" s="17">
        <v>45296</v>
      </c>
      <c r="C205" s="6" t="s">
        <v>533</v>
      </c>
      <c r="D205" s="6" t="s">
        <v>163</v>
      </c>
      <c r="E205" s="6" t="s">
        <v>78</v>
      </c>
      <c r="F205" s="6" t="s">
        <v>79</v>
      </c>
      <c r="G205" s="6" t="s">
        <v>80</v>
      </c>
      <c r="H205" s="6" t="s">
        <v>81</v>
      </c>
      <c r="I205" s="6" t="s">
        <v>88</v>
      </c>
      <c r="J205" s="6" t="s">
        <v>173</v>
      </c>
      <c r="K205" s="6" t="s">
        <v>90</v>
      </c>
      <c r="L205" s="6" t="s">
        <v>2666</v>
      </c>
      <c r="M205" s="6" t="s">
        <v>61</v>
      </c>
      <c r="N205" s="6" t="s">
        <v>75</v>
      </c>
      <c r="O205" s="6">
        <v>55</v>
      </c>
      <c r="P205" s="6">
        <v>138.81</v>
      </c>
      <c r="Q205" s="6">
        <v>82.02</v>
      </c>
      <c r="R205" s="6">
        <v>7634.35</v>
      </c>
      <c r="S205" s="6">
        <v>0.02</v>
      </c>
      <c r="T205" s="6">
        <v>152.69</v>
      </c>
      <c r="U205" s="6">
        <v>7481.67</v>
      </c>
      <c r="V205" s="6">
        <v>4511.1000000000004</v>
      </c>
      <c r="W205" s="6">
        <v>2970.57</v>
      </c>
      <c r="X205" s="6" t="s">
        <v>45</v>
      </c>
    </row>
    <row r="206" spans="1:24" x14ac:dyDescent="0.25">
      <c r="A206" s="5" t="s">
        <v>534</v>
      </c>
      <c r="B206" s="18">
        <v>45440</v>
      </c>
      <c r="C206" s="7" t="s">
        <v>535</v>
      </c>
      <c r="D206" s="7" t="s">
        <v>221</v>
      </c>
      <c r="E206" s="7" t="s">
        <v>216</v>
      </c>
      <c r="F206" s="7" t="s">
        <v>217</v>
      </c>
      <c r="G206" s="7" t="s">
        <v>38</v>
      </c>
      <c r="H206" s="7" t="s">
        <v>134</v>
      </c>
      <c r="I206" s="7" t="s">
        <v>88</v>
      </c>
      <c r="J206" s="7" t="s">
        <v>135</v>
      </c>
      <c r="K206" s="7" t="s">
        <v>218</v>
      </c>
      <c r="L206" s="7" t="s">
        <v>2674</v>
      </c>
      <c r="M206" s="7" t="s">
        <v>153</v>
      </c>
      <c r="N206" s="7" t="s">
        <v>31</v>
      </c>
      <c r="O206" s="7">
        <v>71</v>
      </c>
      <c r="P206" s="7">
        <v>106.07</v>
      </c>
      <c r="Q206" s="7">
        <v>67.989999999999995</v>
      </c>
      <c r="R206" s="7">
        <v>7531.12</v>
      </c>
      <c r="S206" s="7">
        <v>0.1</v>
      </c>
      <c r="T206" s="7">
        <v>753.11</v>
      </c>
      <c r="U206" s="7">
        <v>6778.01</v>
      </c>
      <c r="V206" s="7">
        <v>4827.29</v>
      </c>
      <c r="W206" s="7">
        <v>1950.72</v>
      </c>
      <c r="X206" s="7" t="s">
        <v>32</v>
      </c>
    </row>
    <row r="207" spans="1:24" x14ac:dyDescent="0.25">
      <c r="A207" s="16" t="s">
        <v>536</v>
      </c>
      <c r="B207" s="17">
        <v>45644</v>
      </c>
      <c r="C207" s="6" t="s">
        <v>537</v>
      </c>
      <c r="D207" s="6" t="s">
        <v>359</v>
      </c>
      <c r="E207" s="6" t="s">
        <v>114</v>
      </c>
      <c r="F207" s="6" t="s">
        <v>115</v>
      </c>
      <c r="G207" s="6" t="s">
        <v>95</v>
      </c>
      <c r="H207" s="6" t="s">
        <v>116</v>
      </c>
      <c r="I207" s="6" t="s">
        <v>58</v>
      </c>
      <c r="J207" s="6" t="s">
        <v>323</v>
      </c>
      <c r="K207" s="6" t="s">
        <v>170</v>
      </c>
      <c r="L207" s="6" t="s">
        <v>2671</v>
      </c>
      <c r="M207" s="6" t="s">
        <v>153</v>
      </c>
      <c r="N207" s="6" t="s">
        <v>84</v>
      </c>
      <c r="O207" s="6">
        <v>65</v>
      </c>
      <c r="P207" s="6">
        <v>35.19</v>
      </c>
      <c r="Q207" s="6">
        <v>22.24</v>
      </c>
      <c r="R207" s="6">
        <v>2287.15</v>
      </c>
      <c r="S207" s="6">
        <v>0.1</v>
      </c>
      <c r="T207" s="6">
        <v>228.72</v>
      </c>
      <c r="U207" s="6">
        <v>2058.44</v>
      </c>
      <c r="V207" s="6">
        <v>1445.8</v>
      </c>
      <c r="W207" s="6">
        <v>612.64</v>
      </c>
      <c r="X207" s="6" t="s">
        <v>32</v>
      </c>
    </row>
    <row r="208" spans="1:24" x14ac:dyDescent="0.25">
      <c r="A208" s="5" t="s">
        <v>538</v>
      </c>
      <c r="B208" s="18">
        <v>45649</v>
      </c>
      <c r="C208" s="7" t="s">
        <v>511</v>
      </c>
      <c r="D208" s="7" t="s">
        <v>163</v>
      </c>
      <c r="E208" s="7" t="s">
        <v>126</v>
      </c>
      <c r="F208" s="7" t="s">
        <v>127</v>
      </c>
      <c r="G208" s="7" t="s">
        <v>95</v>
      </c>
      <c r="H208" s="7" t="s">
        <v>128</v>
      </c>
      <c r="I208" s="7" t="s">
        <v>88</v>
      </c>
      <c r="J208" s="7" t="s">
        <v>173</v>
      </c>
      <c r="K208" s="7" t="s">
        <v>111</v>
      </c>
      <c r="L208" s="7" t="s">
        <v>2667</v>
      </c>
      <c r="M208" s="7" t="s">
        <v>30</v>
      </c>
      <c r="N208" s="7" t="s">
        <v>31</v>
      </c>
      <c r="O208" s="7">
        <v>70</v>
      </c>
      <c r="P208" s="7">
        <v>96.15</v>
      </c>
      <c r="Q208" s="7">
        <v>49.65</v>
      </c>
      <c r="R208" s="7">
        <v>6730.53</v>
      </c>
      <c r="S208" s="7">
        <v>0.15</v>
      </c>
      <c r="T208" s="7">
        <v>1009.58</v>
      </c>
      <c r="U208" s="7">
        <v>5720.95</v>
      </c>
      <c r="V208" s="7">
        <v>3475.76</v>
      </c>
      <c r="W208" s="7">
        <v>2245.19</v>
      </c>
      <c r="X208" s="7" t="s">
        <v>32</v>
      </c>
    </row>
    <row r="209" spans="1:24" x14ac:dyDescent="0.25">
      <c r="A209" s="16" t="s">
        <v>539</v>
      </c>
      <c r="B209" s="17">
        <v>45327</v>
      </c>
      <c r="C209" s="6" t="s">
        <v>454</v>
      </c>
      <c r="D209" s="6" t="s">
        <v>156</v>
      </c>
      <c r="E209" s="6" t="s">
        <v>66</v>
      </c>
      <c r="F209" s="6" t="s">
        <v>67</v>
      </c>
      <c r="G209" s="6" t="s">
        <v>38</v>
      </c>
      <c r="H209" s="6" t="s">
        <v>68</v>
      </c>
      <c r="I209" s="6" t="s">
        <v>58</v>
      </c>
      <c r="J209" s="6" t="s">
        <v>59</v>
      </c>
      <c r="K209" s="6" t="s">
        <v>83</v>
      </c>
      <c r="L209" s="6" t="s">
        <v>2665</v>
      </c>
      <c r="M209" s="6" t="s">
        <v>30</v>
      </c>
      <c r="N209" s="6" t="s">
        <v>70</v>
      </c>
      <c r="O209" s="6">
        <v>27</v>
      </c>
      <c r="P209" s="6">
        <v>164.45</v>
      </c>
      <c r="Q209" s="6">
        <v>96.72</v>
      </c>
      <c r="R209" s="6">
        <v>4440.26</v>
      </c>
      <c r="S209" s="6">
        <v>0</v>
      </c>
      <c r="T209" s="6">
        <v>0</v>
      </c>
      <c r="U209" s="6">
        <v>4440.26</v>
      </c>
      <c r="V209" s="6">
        <v>2611.4699999999998</v>
      </c>
      <c r="W209" s="6">
        <v>1828.8</v>
      </c>
      <c r="X209" s="6" t="s">
        <v>32</v>
      </c>
    </row>
    <row r="210" spans="1:24" x14ac:dyDescent="0.25">
      <c r="A210" s="5" t="s">
        <v>540</v>
      </c>
      <c r="B210" s="18">
        <v>45323</v>
      </c>
      <c r="C210" s="7" t="s">
        <v>541</v>
      </c>
      <c r="D210" s="7" t="s">
        <v>159</v>
      </c>
      <c r="E210" s="7" t="s">
        <v>114</v>
      </c>
      <c r="F210" s="7" t="s">
        <v>115</v>
      </c>
      <c r="G210" s="7" t="s">
        <v>95</v>
      </c>
      <c r="H210" s="7" t="s">
        <v>116</v>
      </c>
      <c r="I210" s="7" t="s">
        <v>40</v>
      </c>
      <c r="J210" s="7" t="s">
        <v>41</v>
      </c>
      <c r="K210" s="7" t="s">
        <v>29</v>
      </c>
      <c r="L210" s="7" t="s">
        <v>2660</v>
      </c>
      <c r="M210" s="7" t="s">
        <v>43</v>
      </c>
      <c r="N210" s="7" t="s">
        <v>44</v>
      </c>
      <c r="O210" s="7">
        <v>34</v>
      </c>
      <c r="P210" s="7">
        <v>35.76</v>
      </c>
      <c r="Q210" s="7">
        <v>19.489999999999998</v>
      </c>
      <c r="R210" s="7">
        <v>1215.97</v>
      </c>
      <c r="S210" s="7">
        <v>0.05</v>
      </c>
      <c r="T210" s="7">
        <v>60.8</v>
      </c>
      <c r="U210" s="7">
        <v>1155.17</v>
      </c>
      <c r="V210" s="7">
        <v>662.72</v>
      </c>
      <c r="W210" s="7">
        <v>492.45</v>
      </c>
      <c r="X210" s="7" t="s">
        <v>45</v>
      </c>
    </row>
    <row r="211" spans="1:24" x14ac:dyDescent="0.25">
      <c r="A211" s="16" t="s">
        <v>542</v>
      </c>
      <c r="B211" s="17">
        <v>45341</v>
      </c>
      <c r="C211" s="6" t="s">
        <v>72</v>
      </c>
      <c r="D211" s="6" t="s">
        <v>48</v>
      </c>
      <c r="E211" s="6" t="s">
        <v>216</v>
      </c>
      <c r="F211" s="6" t="s">
        <v>217</v>
      </c>
      <c r="G211" s="6" t="s">
        <v>38</v>
      </c>
      <c r="H211" s="6" t="s">
        <v>134</v>
      </c>
      <c r="I211" s="6" t="s">
        <v>27</v>
      </c>
      <c r="J211" s="6" t="s">
        <v>28</v>
      </c>
      <c r="K211" s="6" t="s">
        <v>118</v>
      </c>
      <c r="L211" s="6" t="s">
        <v>2668</v>
      </c>
      <c r="M211" s="6" t="s">
        <v>30</v>
      </c>
      <c r="N211" s="6" t="s">
        <v>44</v>
      </c>
      <c r="O211" s="6">
        <v>22</v>
      </c>
      <c r="P211" s="6">
        <v>113.31</v>
      </c>
      <c r="Q211" s="6">
        <v>66.33</v>
      </c>
      <c r="R211" s="6">
        <v>2492.85</v>
      </c>
      <c r="S211" s="6">
        <v>0.2</v>
      </c>
      <c r="T211" s="6">
        <v>498.57</v>
      </c>
      <c r="U211" s="6">
        <v>1994.28</v>
      </c>
      <c r="V211" s="6">
        <v>1459.28</v>
      </c>
      <c r="W211" s="6">
        <v>534.99</v>
      </c>
      <c r="X211" s="6" t="s">
        <v>45</v>
      </c>
    </row>
    <row r="212" spans="1:24" x14ac:dyDescent="0.25">
      <c r="A212" s="5" t="s">
        <v>543</v>
      </c>
      <c r="B212" s="18">
        <v>45363</v>
      </c>
      <c r="C212" s="7" t="s">
        <v>511</v>
      </c>
      <c r="D212" s="7" t="s">
        <v>163</v>
      </c>
      <c r="E212" s="7" t="s">
        <v>109</v>
      </c>
      <c r="F212" s="7" t="s">
        <v>110</v>
      </c>
      <c r="G212" s="7" t="s">
        <v>80</v>
      </c>
      <c r="H212" s="7" t="s">
        <v>81</v>
      </c>
      <c r="I212" s="7" t="s">
        <v>58</v>
      </c>
      <c r="J212" s="7" t="s">
        <v>345</v>
      </c>
      <c r="K212" s="7" t="s">
        <v>118</v>
      </c>
      <c r="L212" s="7" t="s">
        <v>2668</v>
      </c>
      <c r="M212" s="7" t="s">
        <v>43</v>
      </c>
      <c r="N212" s="7" t="s">
        <v>70</v>
      </c>
      <c r="O212" s="7">
        <v>24</v>
      </c>
      <c r="P212" s="7">
        <v>123.16</v>
      </c>
      <c r="Q212" s="7">
        <v>68.260000000000005</v>
      </c>
      <c r="R212" s="7">
        <v>2955.91</v>
      </c>
      <c r="S212" s="7"/>
      <c r="T212" s="7">
        <v>0</v>
      </c>
      <c r="U212" s="7">
        <v>2955.91</v>
      </c>
      <c r="V212" s="7">
        <v>1638.29</v>
      </c>
      <c r="W212" s="7">
        <v>1317.62</v>
      </c>
      <c r="X212" s="7" t="s">
        <v>45</v>
      </c>
    </row>
    <row r="213" spans="1:24" x14ac:dyDescent="0.25">
      <c r="A213" s="16" t="s">
        <v>544</v>
      </c>
      <c r="B213" s="17">
        <v>45614</v>
      </c>
      <c r="C213" s="6" t="s">
        <v>545</v>
      </c>
      <c r="D213" s="6" t="s">
        <v>105</v>
      </c>
      <c r="E213" s="6" t="s">
        <v>78</v>
      </c>
      <c r="F213" s="6" t="s">
        <v>79</v>
      </c>
      <c r="G213" s="6" t="s">
        <v>80</v>
      </c>
      <c r="H213" s="6" t="s">
        <v>81</v>
      </c>
      <c r="I213" s="6" t="s">
        <v>53</v>
      </c>
      <c r="J213" s="6" t="s">
        <v>54</v>
      </c>
      <c r="K213" s="6" t="s">
        <v>111</v>
      </c>
      <c r="L213" s="6" t="s">
        <v>2667</v>
      </c>
      <c r="M213" s="6" t="s">
        <v>61</v>
      </c>
      <c r="N213" s="6" t="s">
        <v>75</v>
      </c>
      <c r="O213" s="6">
        <v>32</v>
      </c>
      <c r="P213" s="6">
        <v>133.65</v>
      </c>
      <c r="Q213" s="6">
        <v>76.7</v>
      </c>
      <c r="R213" s="6">
        <v>4276.96</v>
      </c>
      <c r="S213" s="6">
        <v>0.02</v>
      </c>
      <c r="T213" s="6">
        <v>85.54</v>
      </c>
      <c r="U213" s="6">
        <v>4191.42</v>
      </c>
      <c r="V213" s="6">
        <v>2454.2600000000002</v>
      </c>
      <c r="W213" s="6">
        <v>1737.16</v>
      </c>
      <c r="X213" s="6" t="s">
        <v>45</v>
      </c>
    </row>
    <row r="214" spans="1:24" x14ac:dyDescent="0.25">
      <c r="A214" s="5" t="s">
        <v>546</v>
      </c>
      <c r="B214" s="18">
        <v>45362</v>
      </c>
      <c r="C214" s="7" t="s">
        <v>531</v>
      </c>
      <c r="D214" s="7" t="s">
        <v>264</v>
      </c>
      <c r="E214" s="7" t="s">
        <v>114</v>
      </c>
      <c r="F214" s="7" t="s">
        <v>115</v>
      </c>
      <c r="G214" s="7" t="s">
        <v>95</v>
      </c>
      <c r="H214" s="7" t="s">
        <v>116</v>
      </c>
      <c r="I214" s="7" t="s">
        <v>27</v>
      </c>
      <c r="J214" s="7" t="s">
        <v>28</v>
      </c>
      <c r="K214" s="7" t="s">
        <v>69</v>
      </c>
      <c r="L214" s="7" t="s">
        <v>2663</v>
      </c>
      <c r="M214" s="7" t="s">
        <v>547</v>
      </c>
      <c r="N214" s="7" t="s">
        <v>31</v>
      </c>
      <c r="O214" s="7">
        <v>76</v>
      </c>
      <c r="P214" s="7">
        <v>36.81</v>
      </c>
      <c r="Q214" s="7">
        <v>22.2</v>
      </c>
      <c r="R214" s="7">
        <v>2797.22</v>
      </c>
      <c r="S214" s="7">
        <v>0.1</v>
      </c>
      <c r="T214" s="7">
        <v>279.72000000000003</v>
      </c>
      <c r="U214" s="7">
        <v>2517.5</v>
      </c>
      <c r="V214" s="7">
        <v>1687.31</v>
      </c>
      <c r="W214" s="7">
        <v>830.19</v>
      </c>
      <c r="X214" s="7" t="s">
        <v>45</v>
      </c>
    </row>
    <row r="215" spans="1:24" x14ac:dyDescent="0.25">
      <c r="A215" s="16" t="s">
        <v>548</v>
      </c>
      <c r="B215" s="17">
        <v>45415</v>
      </c>
      <c r="C215" s="6" t="s">
        <v>549</v>
      </c>
      <c r="D215" s="6" t="s">
        <v>35</v>
      </c>
      <c r="E215" s="6" t="s">
        <v>132</v>
      </c>
      <c r="F215" s="6" t="s">
        <v>133</v>
      </c>
      <c r="G215" s="6" t="s">
        <v>51</v>
      </c>
      <c r="H215" s="6" t="s">
        <v>134</v>
      </c>
      <c r="I215" s="6" t="s">
        <v>40</v>
      </c>
      <c r="J215" s="6" t="s">
        <v>289</v>
      </c>
      <c r="K215" s="6" t="s">
        <v>111</v>
      </c>
      <c r="L215" s="6" t="s">
        <v>2667</v>
      </c>
      <c r="M215" s="6" t="s">
        <v>43</v>
      </c>
      <c r="N215" s="6" t="s">
        <v>70</v>
      </c>
      <c r="O215" s="6">
        <v>64</v>
      </c>
      <c r="P215" s="6">
        <v>55.76</v>
      </c>
      <c r="Q215" s="6">
        <v>36.49</v>
      </c>
      <c r="R215" s="6">
        <v>3568.34</v>
      </c>
      <c r="S215" s="6">
        <v>0.2</v>
      </c>
      <c r="T215" s="6">
        <v>713.67</v>
      </c>
      <c r="U215" s="6">
        <v>2854.67</v>
      </c>
      <c r="V215" s="6">
        <v>2335.38</v>
      </c>
      <c r="W215" s="6">
        <v>519.29</v>
      </c>
      <c r="X215" s="6" t="s">
        <v>550</v>
      </c>
    </row>
    <row r="216" spans="1:24" x14ac:dyDescent="0.25">
      <c r="A216" s="5" t="s">
        <v>551</v>
      </c>
      <c r="B216" s="18">
        <v>45504</v>
      </c>
      <c r="C216" s="7" t="s">
        <v>552</v>
      </c>
      <c r="D216" s="7" t="s">
        <v>163</v>
      </c>
      <c r="E216" s="7" t="s">
        <v>66</v>
      </c>
      <c r="F216" s="7" t="s">
        <v>67</v>
      </c>
      <c r="G216" s="7" t="s">
        <v>38</v>
      </c>
      <c r="H216" s="7" t="s">
        <v>68</v>
      </c>
      <c r="I216" s="7" t="s">
        <v>53</v>
      </c>
      <c r="J216" s="7" t="s">
        <v>122</v>
      </c>
      <c r="K216" s="7" t="s">
        <v>152</v>
      </c>
      <c r="L216" s="7" t="s">
        <v>2670</v>
      </c>
      <c r="M216" s="7" t="s">
        <v>43</v>
      </c>
      <c r="N216" s="7" t="s">
        <v>84</v>
      </c>
      <c r="O216" s="7">
        <v>69</v>
      </c>
      <c r="P216" s="7">
        <v>160.79</v>
      </c>
      <c r="Q216" s="7">
        <v>105.58</v>
      </c>
      <c r="R216" s="7">
        <v>11094.65</v>
      </c>
      <c r="S216" s="7">
        <v>0.1</v>
      </c>
      <c r="T216" s="7">
        <v>1109.46</v>
      </c>
      <c r="U216" s="7">
        <v>9985.18</v>
      </c>
      <c r="V216" s="7">
        <v>7285.23</v>
      </c>
      <c r="W216" s="7">
        <v>2699.96</v>
      </c>
      <c r="X216" s="7" t="s">
        <v>45</v>
      </c>
    </row>
    <row r="217" spans="1:24" x14ac:dyDescent="0.25">
      <c r="A217" s="16" t="s">
        <v>479</v>
      </c>
      <c r="B217" s="17">
        <v>45390</v>
      </c>
      <c r="C217" s="6" t="s">
        <v>480</v>
      </c>
      <c r="D217" s="6" t="s">
        <v>22</v>
      </c>
      <c r="E217" s="6" t="s">
        <v>150</v>
      </c>
      <c r="F217" s="6" t="s">
        <v>151</v>
      </c>
      <c r="G217" s="6" t="s">
        <v>101</v>
      </c>
      <c r="H217" s="6" t="s">
        <v>134</v>
      </c>
      <c r="I217" s="6" t="s">
        <v>88</v>
      </c>
      <c r="J217" s="6" t="s">
        <v>89</v>
      </c>
      <c r="K217" s="6" t="s">
        <v>265</v>
      </c>
      <c r="L217" s="6" t="s">
        <v>2678</v>
      </c>
      <c r="M217" s="6" t="s">
        <v>30</v>
      </c>
      <c r="N217" s="6" t="s">
        <v>75</v>
      </c>
      <c r="O217" s="6">
        <v>17</v>
      </c>
      <c r="P217" s="6">
        <v>79.06</v>
      </c>
      <c r="Q217" s="6">
        <v>55</v>
      </c>
      <c r="R217" s="6">
        <v>1344.05</v>
      </c>
      <c r="S217" s="6">
        <v>0</v>
      </c>
      <c r="T217" s="6">
        <v>0</v>
      </c>
      <c r="U217" s="6">
        <v>1344.05</v>
      </c>
      <c r="V217" s="6">
        <v>934.97</v>
      </c>
      <c r="W217" s="6">
        <v>409.09</v>
      </c>
      <c r="X217" s="6" t="s">
        <v>129</v>
      </c>
    </row>
    <row r="218" spans="1:24" x14ac:dyDescent="0.25">
      <c r="A218" s="5" t="s">
        <v>553</v>
      </c>
      <c r="B218" s="18">
        <v>45454</v>
      </c>
      <c r="C218" s="7" t="s">
        <v>506</v>
      </c>
      <c r="D218" s="7" t="s">
        <v>264</v>
      </c>
      <c r="E218" s="7" t="s">
        <v>49</v>
      </c>
      <c r="F218" s="7" t="s">
        <v>50</v>
      </c>
      <c r="G218" s="7" t="s">
        <v>51</v>
      </c>
      <c r="H218" s="7" t="s">
        <v>52</v>
      </c>
      <c r="I218" s="7" t="s">
        <v>58</v>
      </c>
      <c r="J218" s="7" t="s">
        <v>59</v>
      </c>
      <c r="K218" s="7" t="s">
        <v>253</v>
      </c>
      <c r="L218" s="7" t="s">
        <v>2676</v>
      </c>
      <c r="M218" s="7" t="s">
        <v>153</v>
      </c>
      <c r="N218" s="7" t="s">
        <v>31</v>
      </c>
      <c r="O218" s="7">
        <v>45</v>
      </c>
      <c r="P218" s="7">
        <v>23.57</v>
      </c>
      <c r="Q218" s="7">
        <v>12.68</v>
      </c>
      <c r="R218" s="7">
        <v>1060.55</v>
      </c>
      <c r="S218" s="7">
        <v>0.1</v>
      </c>
      <c r="T218" s="7">
        <v>106.06</v>
      </c>
      <c r="U218" s="7">
        <v>954.5</v>
      </c>
      <c r="V218" s="7">
        <v>570.77</v>
      </c>
      <c r="W218" s="7">
        <v>383.73</v>
      </c>
      <c r="X218" s="7" t="s">
        <v>32</v>
      </c>
    </row>
    <row r="219" spans="1:24" x14ac:dyDescent="0.25">
      <c r="A219" s="16" t="s">
        <v>554</v>
      </c>
      <c r="B219" s="17">
        <v>45446</v>
      </c>
      <c r="C219" s="6" t="s">
        <v>205</v>
      </c>
      <c r="D219" s="6" t="s">
        <v>22</v>
      </c>
      <c r="E219" s="6" t="s">
        <v>187</v>
      </c>
      <c r="F219" s="6" t="s">
        <v>188</v>
      </c>
      <c r="G219" s="6" t="s">
        <v>25</v>
      </c>
      <c r="H219" s="6" t="s">
        <v>26</v>
      </c>
      <c r="I219" s="6" t="s">
        <v>27</v>
      </c>
      <c r="J219" s="6" t="s">
        <v>189</v>
      </c>
      <c r="K219" s="6" t="s">
        <v>152</v>
      </c>
      <c r="L219" s="6" t="s">
        <v>2670</v>
      </c>
      <c r="M219" s="6" t="s">
        <v>61</v>
      </c>
      <c r="N219" s="6" t="s">
        <v>44</v>
      </c>
      <c r="O219" s="6">
        <v>2</v>
      </c>
      <c r="P219" s="6">
        <v>49.2</v>
      </c>
      <c r="Q219" s="6">
        <v>28.19</v>
      </c>
      <c r="R219" s="6">
        <v>98.41</v>
      </c>
      <c r="S219" s="6">
        <v>0</v>
      </c>
      <c r="T219" s="6">
        <v>0</v>
      </c>
      <c r="U219" s="6">
        <v>98.41</v>
      </c>
      <c r="V219" s="6">
        <v>56.38</v>
      </c>
      <c r="W219" s="6">
        <v>42.03</v>
      </c>
      <c r="X219" s="6" t="s">
        <v>45</v>
      </c>
    </row>
    <row r="220" spans="1:24" x14ac:dyDescent="0.25">
      <c r="A220" s="5" t="s">
        <v>555</v>
      </c>
      <c r="B220" s="18">
        <v>45537</v>
      </c>
      <c r="C220" s="7" t="s">
        <v>408</v>
      </c>
      <c r="D220" s="7" t="s">
        <v>65</v>
      </c>
      <c r="E220" s="7" t="s">
        <v>99</v>
      </c>
      <c r="F220" s="7" t="s">
        <v>100</v>
      </c>
      <c r="G220" s="7" t="s">
        <v>101</v>
      </c>
      <c r="H220" s="7" t="s">
        <v>102</v>
      </c>
      <c r="I220" s="7" t="s">
        <v>40</v>
      </c>
      <c r="J220" s="7" t="s">
        <v>41</v>
      </c>
      <c r="K220" s="7" t="s">
        <v>170</v>
      </c>
      <c r="L220" s="7" t="s">
        <v>2671</v>
      </c>
      <c r="M220" s="7" t="s">
        <v>61</v>
      </c>
      <c r="N220" s="7" t="s">
        <v>75</v>
      </c>
      <c r="O220" s="7">
        <v>27</v>
      </c>
      <c r="P220" s="7">
        <v>67.599999999999994</v>
      </c>
      <c r="Q220" s="7">
        <v>43.42</v>
      </c>
      <c r="R220" s="7">
        <v>1825.2</v>
      </c>
      <c r="S220" s="7">
        <v>0.05</v>
      </c>
      <c r="T220" s="7">
        <v>91.26</v>
      </c>
      <c r="U220" s="7">
        <v>1733.94</v>
      </c>
      <c r="V220" s="7">
        <v>1172.29</v>
      </c>
      <c r="W220" s="7">
        <v>561.65</v>
      </c>
      <c r="X220" s="7" t="s">
        <v>129</v>
      </c>
    </row>
    <row r="221" spans="1:24" x14ac:dyDescent="0.25">
      <c r="A221" s="16" t="s">
        <v>556</v>
      </c>
      <c r="B221" s="17">
        <v>45481</v>
      </c>
      <c r="C221" s="6" t="s">
        <v>557</v>
      </c>
      <c r="D221" s="6" t="s">
        <v>159</v>
      </c>
      <c r="E221" s="6" t="s">
        <v>114</v>
      </c>
      <c r="F221" s="6" t="s">
        <v>115</v>
      </c>
      <c r="G221" s="6" t="s">
        <v>95</v>
      </c>
      <c r="H221" s="6" t="s">
        <v>116</v>
      </c>
      <c r="I221" s="6" t="s">
        <v>53</v>
      </c>
      <c r="J221" s="6" t="s">
        <v>54</v>
      </c>
      <c r="K221" s="6" t="s">
        <v>178</v>
      </c>
      <c r="L221" s="6" t="s">
        <v>256</v>
      </c>
      <c r="M221" s="6" t="s">
        <v>30</v>
      </c>
      <c r="N221" s="6" t="s">
        <v>75</v>
      </c>
      <c r="O221" s="6">
        <v>13</v>
      </c>
      <c r="P221" s="6">
        <v>32.39</v>
      </c>
      <c r="Q221" s="6">
        <v>20.34</v>
      </c>
      <c r="R221" s="6">
        <v>421.02</v>
      </c>
      <c r="S221" s="6">
        <v>0</v>
      </c>
      <c r="T221" s="6">
        <v>0</v>
      </c>
      <c r="U221" s="6">
        <v>421.02</v>
      </c>
      <c r="V221" s="6">
        <v>264.44</v>
      </c>
      <c r="W221" s="6">
        <v>156.58000000000001</v>
      </c>
      <c r="X221" s="6" t="s">
        <v>45</v>
      </c>
    </row>
    <row r="222" spans="1:24" x14ac:dyDescent="0.25">
      <c r="A222" s="5" t="s">
        <v>558</v>
      </c>
      <c r="B222" s="18">
        <v>45382</v>
      </c>
      <c r="C222" s="7" t="s">
        <v>559</v>
      </c>
      <c r="D222" s="7" t="s">
        <v>221</v>
      </c>
      <c r="E222" s="7" t="s">
        <v>109</v>
      </c>
      <c r="F222" s="7" t="s">
        <v>110</v>
      </c>
      <c r="G222" s="7" t="s">
        <v>80</v>
      </c>
      <c r="H222" s="7" t="s">
        <v>81</v>
      </c>
      <c r="I222" s="7" t="s">
        <v>40</v>
      </c>
      <c r="J222" s="7" t="s">
        <v>289</v>
      </c>
      <c r="K222" s="7" t="s">
        <v>170</v>
      </c>
      <c r="L222" s="7" t="s">
        <v>2671</v>
      </c>
      <c r="M222" s="7" t="s">
        <v>30</v>
      </c>
      <c r="N222" s="7" t="s">
        <v>70</v>
      </c>
      <c r="O222" s="7">
        <v>70</v>
      </c>
      <c r="P222" s="7">
        <v>129.37</v>
      </c>
      <c r="Q222" s="7">
        <v>76.75</v>
      </c>
      <c r="R222" s="7">
        <v>9056.24</v>
      </c>
      <c r="S222" s="7">
        <v>0.2</v>
      </c>
      <c r="T222" s="7">
        <v>1811.25</v>
      </c>
      <c r="U222" s="7">
        <v>7244.99</v>
      </c>
      <c r="V222" s="7">
        <v>5372.61</v>
      </c>
      <c r="W222" s="7">
        <v>1872.37</v>
      </c>
      <c r="X222" s="7" t="s">
        <v>45</v>
      </c>
    </row>
    <row r="223" spans="1:24" x14ac:dyDescent="0.25">
      <c r="A223" s="16" t="s">
        <v>560</v>
      </c>
      <c r="B223" s="17">
        <v>45582</v>
      </c>
      <c r="C223" s="6" t="s">
        <v>559</v>
      </c>
      <c r="D223" s="6" t="s">
        <v>221</v>
      </c>
      <c r="E223" s="6" t="s">
        <v>36</v>
      </c>
      <c r="F223" s="6" t="s">
        <v>37</v>
      </c>
      <c r="G223" s="6" t="s">
        <v>38</v>
      </c>
      <c r="H223" s="6" t="s">
        <v>39</v>
      </c>
      <c r="I223" s="6" t="s">
        <v>27</v>
      </c>
      <c r="J223" s="6" t="s">
        <v>211</v>
      </c>
      <c r="K223" s="6" t="s">
        <v>118</v>
      </c>
      <c r="L223" s="6" t="s">
        <v>2668</v>
      </c>
      <c r="M223" s="6" t="s">
        <v>61</v>
      </c>
      <c r="N223" s="6" t="s">
        <v>75</v>
      </c>
      <c r="O223" s="6">
        <v>28</v>
      </c>
      <c r="P223" s="6">
        <v>172.89</v>
      </c>
      <c r="Q223" s="6">
        <v>95.72</v>
      </c>
      <c r="R223" s="6">
        <v>4840.8100000000004</v>
      </c>
      <c r="S223" s="6">
        <v>0.02</v>
      </c>
      <c r="T223" s="6">
        <v>96.82</v>
      </c>
      <c r="U223" s="6">
        <v>4743.99</v>
      </c>
      <c r="V223" s="6">
        <v>2680.11</v>
      </c>
      <c r="W223" s="6">
        <v>2063.88</v>
      </c>
      <c r="X223" s="6" t="s">
        <v>45</v>
      </c>
    </row>
    <row r="224" spans="1:24" x14ac:dyDescent="0.25">
      <c r="A224" s="5" t="s">
        <v>561</v>
      </c>
      <c r="B224" s="18">
        <v>45341</v>
      </c>
      <c r="C224" s="7" t="s">
        <v>529</v>
      </c>
      <c r="D224" s="7" t="s">
        <v>256</v>
      </c>
      <c r="E224" s="7" t="s">
        <v>126</v>
      </c>
      <c r="F224" s="7" t="s">
        <v>127</v>
      </c>
      <c r="G224" s="7" t="s">
        <v>95</v>
      </c>
      <c r="H224" s="7" t="s">
        <v>128</v>
      </c>
      <c r="I224" s="7" t="s">
        <v>40</v>
      </c>
      <c r="J224" s="7" t="s">
        <v>289</v>
      </c>
      <c r="K224" s="7" t="s">
        <v>83</v>
      </c>
      <c r="L224" s="7" t="s">
        <v>2665</v>
      </c>
      <c r="M224" s="7" t="s">
        <v>61</v>
      </c>
      <c r="N224" s="7" t="s">
        <v>70</v>
      </c>
      <c r="O224" s="7">
        <v>29</v>
      </c>
      <c r="P224" s="7">
        <v>88.66</v>
      </c>
      <c r="Q224" s="7">
        <v>49.32</v>
      </c>
      <c r="R224" s="7">
        <v>2571.21</v>
      </c>
      <c r="S224" s="7">
        <v>0.02</v>
      </c>
      <c r="T224" s="7">
        <v>51.42</v>
      </c>
      <c r="U224" s="7">
        <v>2519.7800000000002</v>
      </c>
      <c r="V224" s="7">
        <v>1430.27</v>
      </c>
      <c r="W224" s="7">
        <v>1089.51</v>
      </c>
      <c r="X224" s="7" t="s">
        <v>32</v>
      </c>
    </row>
    <row r="225" spans="1:24" x14ac:dyDescent="0.25">
      <c r="A225" s="16" t="s">
        <v>562</v>
      </c>
      <c r="B225" s="17">
        <v>45296</v>
      </c>
      <c r="C225" s="6" t="s">
        <v>563</v>
      </c>
      <c r="D225" s="6" t="s">
        <v>156</v>
      </c>
      <c r="E225" s="6" t="s">
        <v>93</v>
      </c>
      <c r="F225" s="6" t="s">
        <v>94</v>
      </c>
      <c r="G225" s="6" t="s">
        <v>95</v>
      </c>
      <c r="H225" s="6" t="s">
        <v>96</v>
      </c>
      <c r="I225" s="6" t="s">
        <v>88</v>
      </c>
      <c r="J225" s="6" t="s">
        <v>135</v>
      </c>
      <c r="K225" s="6" t="s">
        <v>60</v>
      </c>
      <c r="L225" s="6" t="s">
        <v>2662</v>
      </c>
      <c r="M225" s="6" t="s">
        <v>153</v>
      </c>
      <c r="N225" s="6" t="s">
        <v>31</v>
      </c>
      <c r="O225" s="6">
        <v>23</v>
      </c>
      <c r="P225" s="6">
        <v>51.33</v>
      </c>
      <c r="Q225" s="6">
        <v>32.53</v>
      </c>
      <c r="R225" s="6">
        <v>1180.56</v>
      </c>
      <c r="S225" s="6">
        <v>0.1</v>
      </c>
      <c r="T225" s="6">
        <v>118.06</v>
      </c>
      <c r="U225" s="6">
        <v>1062.5</v>
      </c>
      <c r="V225" s="6">
        <v>748.15</v>
      </c>
      <c r="W225" s="6">
        <v>314.36</v>
      </c>
      <c r="X225" s="6" t="s">
        <v>45</v>
      </c>
    </row>
    <row r="226" spans="1:24" x14ac:dyDescent="0.25">
      <c r="A226" s="5" t="s">
        <v>564</v>
      </c>
      <c r="B226" s="18">
        <v>45384</v>
      </c>
      <c r="C226" s="7" t="s">
        <v>565</v>
      </c>
      <c r="D226" s="7" t="s">
        <v>121</v>
      </c>
      <c r="E226" s="7" t="s">
        <v>49</v>
      </c>
      <c r="F226" s="7" t="s">
        <v>50</v>
      </c>
      <c r="G226" s="7" t="s">
        <v>51</v>
      </c>
      <c r="H226" s="7" t="s">
        <v>52</v>
      </c>
      <c r="I226" s="7" t="s">
        <v>27</v>
      </c>
      <c r="J226" s="7" t="s">
        <v>28</v>
      </c>
      <c r="K226" s="7" t="s">
        <v>83</v>
      </c>
      <c r="L226" s="7" t="s">
        <v>2665</v>
      </c>
      <c r="M226" s="7" t="s">
        <v>61</v>
      </c>
      <c r="N226" s="7" t="s">
        <v>44</v>
      </c>
      <c r="O226" s="7">
        <v>71</v>
      </c>
      <c r="P226" s="7">
        <v>23.26</v>
      </c>
      <c r="Q226" s="7">
        <v>12.62</v>
      </c>
      <c r="R226" s="7">
        <v>1651.56</v>
      </c>
      <c r="S226" s="7">
        <v>0.1</v>
      </c>
      <c r="T226" s="7">
        <v>165.16</v>
      </c>
      <c r="U226" s="7">
        <v>1486.41</v>
      </c>
      <c r="V226" s="7">
        <v>895.72</v>
      </c>
      <c r="W226" s="7">
        <v>590.67999999999995</v>
      </c>
      <c r="X226" s="7" t="s">
        <v>32</v>
      </c>
    </row>
    <row r="227" spans="1:24" x14ac:dyDescent="0.25">
      <c r="A227" s="16" t="s">
        <v>566</v>
      </c>
      <c r="B227" s="17">
        <v>45449</v>
      </c>
      <c r="C227" s="6" t="s">
        <v>567</v>
      </c>
      <c r="D227" s="6" t="s">
        <v>22</v>
      </c>
      <c r="E227" s="6" t="s">
        <v>126</v>
      </c>
      <c r="F227" s="6" t="s">
        <v>127</v>
      </c>
      <c r="G227" s="6" t="s">
        <v>95</v>
      </c>
      <c r="H227" s="6" t="s">
        <v>128</v>
      </c>
      <c r="I227" s="6" t="s">
        <v>58</v>
      </c>
      <c r="J227" s="6" t="s">
        <v>73</v>
      </c>
      <c r="K227" s="6" t="s">
        <v>248</v>
      </c>
      <c r="L227" s="6" t="s">
        <v>2675</v>
      </c>
      <c r="M227" s="6" t="s">
        <v>153</v>
      </c>
      <c r="N227" s="6" t="s">
        <v>84</v>
      </c>
      <c r="O227" s="6">
        <v>80</v>
      </c>
      <c r="P227" s="6">
        <v>94.26</v>
      </c>
      <c r="Q227" s="6">
        <v>50.25</v>
      </c>
      <c r="R227" s="6">
        <v>7540.91</v>
      </c>
      <c r="S227" s="6">
        <v>0</v>
      </c>
      <c r="T227" s="6">
        <v>0</v>
      </c>
      <c r="U227" s="6">
        <v>7540.91</v>
      </c>
      <c r="V227" s="6">
        <v>4019.6</v>
      </c>
      <c r="W227" s="6">
        <v>3521.3</v>
      </c>
      <c r="X227" s="6" t="s">
        <v>45</v>
      </c>
    </row>
    <row r="228" spans="1:24" x14ac:dyDescent="0.25">
      <c r="A228" s="5" t="s">
        <v>568</v>
      </c>
      <c r="B228" s="18">
        <v>45320</v>
      </c>
      <c r="C228" s="7" t="s">
        <v>569</v>
      </c>
      <c r="D228" s="7" t="s">
        <v>121</v>
      </c>
      <c r="E228" s="7" t="s">
        <v>222</v>
      </c>
      <c r="F228" s="7" t="s">
        <v>223</v>
      </c>
      <c r="G228" s="7" t="s">
        <v>101</v>
      </c>
      <c r="H228" s="7" t="s">
        <v>68</v>
      </c>
      <c r="I228" s="7" t="s">
        <v>58</v>
      </c>
      <c r="J228" s="7" t="s">
        <v>345</v>
      </c>
      <c r="K228" s="7" t="s">
        <v>195</v>
      </c>
      <c r="L228" s="7" t="s">
        <v>2673</v>
      </c>
      <c r="M228" s="7" t="s">
        <v>61</v>
      </c>
      <c r="N228" s="7" t="s">
        <v>84</v>
      </c>
      <c r="O228" s="7">
        <v>58</v>
      </c>
      <c r="P228" s="7">
        <v>111.3</v>
      </c>
      <c r="Q228" s="7">
        <v>75.209999999999994</v>
      </c>
      <c r="R228" s="7">
        <v>6455.37</v>
      </c>
      <c r="S228" s="7">
        <v>0.15</v>
      </c>
      <c r="T228" s="7">
        <v>968.31</v>
      </c>
      <c r="U228" s="7">
        <v>5487.07</v>
      </c>
      <c r="V228" s="7">
        <v>4361.9799999999996</v>
      </c>
      <c r="W228" s="7">
        <v>1125.0899999999999</v>
      </c>
      <c r="X228" s="7" t="s">
        <v>129</v>
      </c>
    </row>
    <row r="229" spans="1:24" x14ac:dyDescent="0.25">
      <c r="A229" s="16" t="s">
        <v>570</v>
      </c>
      <c r="B229" s="17">
        <v>45453</v>
      </c>
      <c r="C229" s="6" t="s">
        <v>280</v>
      </c>
      <c r="D229" s="6" t="s">
        <v>35</v>
      </c>
      <c r="E229" s="6" t="s">
        <v>132</v>
      </c>
      <c r="F229" s="6" t="s">
        <v>133</v>
      </c>
      <c r="G229" s="6" t="s">
        <v>51</v>
      </c>
      <c r="H229" s="6" t="s">
        <v>134</v>
      </c>
      <c r="I229" s="6" t="s">
        <v>40</v>
      </c>
      <c r="J229" s="6" t="s">
        <v>41</v>
      </c>
      <c r="K229" s="6" t="s">
        <v>261</v>
      </c>
      <c r="L229" s="6" t="s">
        <v>2677</v>
      </c>
      <c r="M229" s="6" t="s">
        <v>153</v>
      </c>
      <c r="N229" s="6" t="s">
        <v>70</v>
      </c>
      <c r="O229" s="6">
        <v>76</v>
      </c>
      <c r="P229" s="6">
        <v>56.74</v>
      </c>
      <c r="Q229" s="6">
        <v>34.94</v>
      </c>
      <c r="R229" s="6">
        <v>4312.2</v>
      </c>
      <c r="S229" s="6">
        <v>0.02</v>
      </c>
      <c r="T229" s="6">
        <v>86.24</v>
      </c>
      <c r="U229" s="6">
        <v>4225.96</v>
      </c>
      <c r="V229" s="6">
        <v>2655.79</v>
      </c>
      <c r="W229" s="6">
        <v>1570.17</v>
      </c>
      <c r="X229" s="6" t="s">
        <v>45</v>
      </c>
    </row>
    <row r="230" spans="1:24" x14ac:dyDescent="0.25">
      <c r="A230" s="5" t="s">
        <v>571</v>
      </c>
      <c r="B230" s="18">
        <v>45571</v>
      </c>
      <c r="C230" s="7" t="s">
        <v>572</v>
      </c>
      <c r="D230" s="7" t="s">
        <v>57</v>
      </c>
      <c r="E230" s="7" t="s">
        <v>176</v>
      </c>
      <c r="F230" s="7" t="s">
        <v>177</v>
      </c>
      <c r="G230" s="7" t="s">
        <v>101</v>
      </c>
      <c r="H230" s="7" t="s">
        <v>39</v>
      </c>
      <c r="I230" s="7" t="s">
        <v>53</v>
      </c>
      <c r="J230" s="7" t="s">
        <v>54</v>
      </c>
      <c r="K230" s="7" t="s">
        <v>42</v>
      </c>
      <c r="L230" s="7" t="s">
        <v>2661</v>
      </c>
      <c r="M230" s="7" t="s">
        <v>43</v>
      </c>
      <c r="N230" s="7" t="s">
        <v>31</v>
      </c>
      <c r="O230" s="7">
        <v>14</v>
      </c>
      <c r="P230" s="7">
        <v>103.05</v>
      </c>
      <c r="Q230" s="7">
        <v>58.35</v>
      </c>
      <c r="R230" s="7">
        <v>1442.77</v>
      </c>
      <c r="S230" s="7">
        <v>0.1</v>
      </c>
      <c r="T230" s="7">
        <v>144.28</v>
      </c>
      <c r="U230" s="7">
        <v>1298.49</v>
      </c>
      <c r="V230" s="7">
        <v>816.94</v>
      </c>
      <c r="W230" s="7">
        <v>481.55</v>
      </c>
      <c r="X230" s="7" t="s">
        <v>45</v>
      </c>
    </row>
    <row r="231" spans="1:24" x14ac:dyDescent="0.25">
      <c r="A231" s="16" t="s">
        <v>573</v>
      </c>
      <c r="B231" s="17">
        <v>45379</v>
      </c>
      <c r="C231" s="6" t="s">
        <v>499</v>
      </c>
      <c r="D231" s="6" t="s">
        <v>87</v>
      </c>
      <c r="E231" s="6" t="s">
        <v>23</v>
      </c>
      <c r="F231" s="6" t="s">
        <v>24</v>
      </c>
      <c r="G231" s="6" t="s">
        <v>25</v>
      </c>
      <c r="H231" s="6" t="s">
        <v>26</v>
      </c>
      <c r="I231" s="6" t="s">
        <v>40</v>
      </c>
      <c r="J231" s="6" t="s">
        <v>41</v>
      </c>
      <c r="K231" s="6" t="s">
        <v>83</v>
      </c>
      <c r="L231" s="6" t="s">
        <v>2665</v>
      </c>
      <c r="M231" s="6" t="s">
        <v>30</v>
      </c>
      <c r="N231" s="6" t="s">
        <v>70</v>
      </c>
      <c r="O231" s="6">
        <v>10</v>
      </c>
      <c r="P231" s="6">
        <v>78.989999999999995</v>
      </c>
      <c r="Q231" s="6">
        <v>44.05</v>
      </c>
      <c r="R231" s="6">
        <v>789.86</v>
      </c>
      <c r="S231" s="6">
        <v>0.05</v>
      </c>
      <c r="T231" s="6">
        <v>39.49</v>
      </c>
      <c r="U231" s="6">
        <v>750.36</v>
      </c>
      <c r="V231" s="6">
        <v>440.53</v>
      </c>
      <c r="W231" s="6">
        <v>309.83999999999997</v>
      </c>
      <c r="X231" s="6" t="s">
        <v>45</v>
      </c>
    </row>
    <row r="232" spans="1:24" x14ac:dyDescent="0.25">
      <c r="A232" s="5" t="s">
        <v>574</v>
      </c>
      <c r="B232" s="18">
        <v>45387</v>
      </c>
      <c r="C232" s="7" t="s">
        <v>278</v>
      </c>
      <c r="D232" s="7" t="s">
        <v>48</v>
      </c>
      <c r="E232" s="7" t="s">
        <v>187</v>
      </c>
      <c r="F232" s="7" t="s">
        <v>188</v>
      </c>
      <c r="G232" s="7" t="s">
        <v>25</v>
      </c>
      <c r="H232" s="7" t="s">
        <v>26</v>
      </c>
      <c r="I232" s="7" t="s">
        <v>27</v>
      </c>
      <c r="J232" s="7" t="s">
        <v>106</v>
      </c>
      <c r="K232" s="7" t="s">
        <v>144</v>
      </c>
      <c r="L232" s="7" t="s">
        <v>2669</v>
      </c>
      <c r="M232" s="7" t="s">
        <v>153</v>
      </c>
      <c r="N232" s="7" t="s">
        <v>31</v>
      </c>
      <c r="O232" s="7">
        <v>69</v>
      </c>
      <c r="P232" s="7">
        <v>51.64</v>
      </c>
      <c r="Q232" s="7">
        <v>28.84</v>
      </c>
      <c r="R232" s="7">
        <v>3562.85</v>
      </c>
      <c r="S232" s="7">
        <v>0.05</v>
      </c>
      <c r="T232" s="7">
        <v>178.14</v>
      </c>
      <c r="U232" s="7">
        <v>3384.71</v>
      </c>
      <c r="V232" s="7">
        <v>1989.8</v>
      </c>
      <c r="W232" s="7">
        <v>1394.91</v>
      </c>
      <c r="X232" s="7" t="s">
        <v>45</v>
      </c>
    </row>
    <row r="233" spans="1:24" x14ac:dyDescent="0.25">
      <c r="A233" s="16" t="s">
        <v>575</v>
      </c>
      <c r="B233" s="17">
        <v>45597</v>
      </c>
      <c r="C233" s="6" t="s">
        <v>282</v>
      </c>
      <c r="D233" s="6" t="s">
        <v>125</v>
      </c>
      <c r="E233" s="6" t="s">
        <v>222</v>
      </c>
      <c r="F233" s="6" t="s">
        <v>223</v>
      </c>
      <c r="G233" s="6" t="s">
        <v>101</v>
      </c>
      <c r="H233" s="6" t="s">
        <v>68</v>
      </c>
      <c r="I233" s="6" t="s">
        <v>58</v>
      </c>
      <c r="J233" s="6" t="s">
        <v>345</v>
      </c>
      <c r="K233" s="6" t="s">
        <v>170</v>
      </c>
      <c r="L233" s="6" t="s">
        <v>2671</v>
      </c>
      <c r="M233" s="6" t="s">
        <v>153</v>
      </c>
      <c r="N233" s="6" t="s">
        <v>31</v>
      </c>
      <c r="O233" s="6">
        <v>77</v>
      </c>
      <c r="P233" s="6">
        <v>128.63999999999999</v>
      </c>
      <c r="Q233" s="6">
        <v>80.819999999999993</v>
      </c>
      <c r="R233" s="6">
        <v>9904.98</v>
      </c>
      <c r="S233" s="6">
        <v>0.05</v>
      </c>
      <c r="T233" s="6">
        <v>495.25</v>
      </c>
      <c r="U233" s="6">
        <v>9409.73</v>
      </c>
      <c r="V233" s="6">
        <v>6222.91</v>
      </c>
      <c r="W233" s="6">
        <v>3186.83</v>
      </c>
      <c r="X233" s="6" t="s">
        <v>45</v>
      </c>
    </row>
    <row r="234" spans="1:24" x14ac:dyDescent="0.25">
      <c r="A234" s="5" t="s">
        <v>576</v>
      </c>
      <c r="B234" s="18">
        <v>45467</v>
      </c>
      <c r="C234" s="7" t="s">
        <v>280</v>
      </c>
      <c r="D234" s="7" t="s">
        <v>35</v>
      </c>
      <c r="E234" s="7" t="s">
        <v>93</v>
      </c>
      <c r="F234" s="7" t="s">
        <v>94</v>
      </c>
      <c r="G234" s="7" t="s">
        <v>95</v>
      </c>
      <c r="H234" s="7" t="s">
        <v>96</v>
      </c>
      <c r="I234" s="7" t="s">
        <v>58</v>
      </c>
      <c r="J234" s="7" t="s">
        <v>345</v>
      </c>
      <c r="K234" s="7" t="s">
        <v>184</v>
      </c>
      <c r="L234" s="7" t="s">
        <v>2672</v>
      </c>
      <c r="M234" s="7" t="s">
        <v>43</v>
      </c>
      <c r="N234" s="7" t="s">
        <v>62</v>
      </c>
      <c r="O234" s="7">
        <v>15</v>
      </c>
      <c r="P234" s="7">
        <v>53.21</v>
      </c>
      <c r="Q234" s="7">
        <v>30.64</v>
      </c>
      <c r="R234" s="7">
        <v>798.11</v>
      </c>
      <c r="S234" s="7">
        <v>0.05</v>
      </c>
      <c r="T234" s="7">
        <v>39.909999999999997</v>
      </c>
      <c r="U234" s="7">
        <v>758.21</v>
      </c>
      <c r="V234" s="7">
        <v>459.54</v>
      </c>
      <c r="W234" s="7">
        <v>298.67</v>
      </c>
      <c r="X234" s="7" t="s">
        <v>45</v>
      </c>
    </row>
    <row r="235" spans="1:24" x14ac:dyDescent="0.25">
      <c r="A235" s="16" t="s">
        <v>577</v>
      </c>
      <c r="B235" s="17">
        <v>45538</v>
      </c>
      <c r="C235" s="6" t="s">
        <v>578</v>
      </c>
      <c r="D235" s="6" t="s">
        <v>221</v>
      </c>
      <c r="E235" s="6" t="s">
        <v>216</v>
      </c>
      <c r="F235" s="6" t="s">
        <v>217</v>
      </c>
      <c r="G235" s="6" t="s">
        <v>38</v>
      </c>
      <c r="H235" s="6" t="s">
        <v>134</v>
      </c>
      <c r="I235" s="6" t="s">
        <v>53</v>
      </c>
      <c r="J235" s="6" t="s">
        <v>122</v>
      </c>
      <c r="K235" s="6" t="s">
        <v>152</v>
      </c>
      <c r="L235" s="6" t="s">
        <v>2670</v>
      </c>
      <c r="M235" s="6" t="s">
        <v>61</v>
      </c>
      <c r="N235" s="6" t="s">
        <v>44</v>
      </c>
      <c r="O235" s="6">
        <v>22</v>
      </c>
      <c r="P235" s="6">
        <v>104.86</v>
      </c>
      <c r="Q235" s="6">
        <v>61.92</v>
      </c>
      <c r="R235" s="6">
        <v>2306.89</v>
      </c>
      <c r="S235" s="6">
        <v>0.02</v>
      </c>
      <c r="T235" s="6">
        <v>46.14</v>
      </c>
      <c r="U235" s="6">
        <v>2260.7600000000002</v>
      </c>
      <c r="V235" s="6">
        <v>1362.34</v>
      </c>
      <c r="W235" s="6">
        <v>898.42</v>
      </c>
      <c r="X235" s="6" t="s">
        <v>45</v>
      </c>
    </row>
    <row r="236" spans="1:24" x14ac:dyDescent="0.25">
      <c r="A236" s="5" t="s">
        <v>579</v>
      </c>
      <c r="B236" s="18">
        <v>45354</v>
      </c>
      <c r="C236" s="7" t="s">
        <v>580</v>
      </c>
      <c r="D236" s="7" t="s">
        <v>156</v>
      </c>
      <c r="E236" s="7" t="s">
        <v>114</v>
      </c>
      <c r="F236" s="7" t="s">
        <v>115</v>
      </c>
      <c r="G236" s="7" t="s">
        <v>95</v>
      </c>
      <c r="H236" s="7" t="s">
        <v>116</v>
      </c>
      <c r="I236" s="7" t="s">
        <v>40</v>
      </c>
      <c r="J236" s="7" t="s">
        <v>41</v>
      </c>
      <c r="K236" s="7" t="s">
        <v>74</v>
      </c>
      <c r="L236" s="7" t="s">
        <v>2664</v>
      </c>
      <c r="M236" s="7" t="s">
        <v>153</v>
      </c>
      <c r="N236" s="7" t="s">
        <v>31</v>
      </c>
      <c r="O236" s="7">
        <v>59</v>
      </c>
      <c r="P236" s="7">
        <v>32.340000000000003</v>
      </c>
      <c r="Q236" s="7">
        <v>19.68</v>
      </c>
      <c r="R236" s="7">
        <v>1908.2</v>
      </c>
      <c r="S236" s="7">
        <v>0.02</v>
      </c>
      <c r="T236" s="7">
        <v>38.159999999999997</v>
      </c>
      <c r="U236" s="7">
        <v>1870.03</v>
      </c>
      <c r="V236" s="7">
        <v>1161.27</v>
      </c>
      <c r="W236" s="7">
        <v>708.77</v>
      </c>
      <c r="X236" s="7" t="s">
        <v>32</v>
      </c>
    </row>
    <row r="237" spans="1:24" x14ac:dyDescent="0.25">
      <c r="A237" s="16" t="s">
        <v>581</v>
      </c>
      <c r="B237" s="17">
        <v>45302</v>
      </c>
      <c r="C237" s="6" t="s">
        <v>464</v>
      </c>
      <c r="D237" s="6" t="s">
        <v>105</v>
      </c>
      <c r="E237" s="6" t="s">
        <v>187</v>
      </c>
      <c r="F237" s="6" t="s">
        <v>188</v>
      </c>
      <c r="G237" s="6" t="s">
        <v>25</v>
      </c>
      <c r="H237" s="6" t="s">
        <v>26</v>
      </c>
      <c r="I237" s="6" t="s">
        <v>88</v>
      </c>
      <c r="J237" s="6" t="s">
        <v>183</v>
      </c>
      <c r="K237" s="6" t="s">
        <v>118</v>
      </c>
      <c r="L237" s="6" t="s">
        <v>2668</v>
      </c>
      <c r="M237" s="6" t="s">
        <v>30</v>
      </c>
      <c r="N237" s="6" t="s">
        <v>31</v>
      </c>
      <c r="O237" s="6">
        <v>56</v>
      </c>
      <c r="P237" s="6">
        <v>49.2</v>
      </c>
      <c r="Q237" s="6">
        <v>27.8</v>
      </c>
      <c r="R237" s="6">
        <v>2755.36</v>
      </c>
      <c r="S237" s="6">
        <v>0.05</v>
      </c>
      <c r="T237" s="6">
        <v>137.77000000000001</v>
      </c>
      <c r="U237" s="6">
        <v>2617.6</v>
      </c>
      <c r="V237" s="6">
        <v>1556.55</v>
      </c>
      <c r="W237" s="6">
        <v>1061.05</v>
      </c>
      <c r="X237" s="6" t="s">
        <v>129</v>
      </c>
    </row>
    <row r="238" spans="1:24" x14ac:dyDescent="0.25">
      <c r="A238" s="5" t="s">
        <v>582</v>
      </c>
      <c r="B238" s="18">
        <v>45397</v>
      </c>
      <c r="C238" s="7" t="s">
        <v>392</v>
      </c>
      <c r="D238" s="7" t="s">
        <v>393</v>
      </c>
      <c r="E238" s="7" t="s">
        <v>216</v>
      </c>
      <c r="F238" s="7" t="s">
        <v>217</v>
      </c>
      <c r="G238" s="7" t="s">
        <v>38</v>
      </c>
      <c r="H238" s="7" t="s">
        <v>134</v>
      </c>
      <c r="I238" s="7" t="s">
        <v>88</v>
      </c>
      <c r="J238" s="7" t="s">
        <v>183</v>
      </c>
      <c r="K238" s="7" t="s">
        <v>83</v>
      </c>
      <c r="L238" s="7" t="s">
        <v>2665</v>
      </c>
      <c r="M238" s="7" t="s">
        <v>30</v>
      </c>
      <c r="N238" s="7" t="s">
        <v>31</v>
      </c>
      <c r="O238" s="7">
        <v>64</v>
      </c>
      <c r="P238" s="7">
        <v>113.61</v>
      </c>
      <c r="Q238" s="7">
        <v>70.400000000000006</v>
      </c>
      <c r="R238" s="7">
        <v>7270.77</v>
      </c>
      <c r="S238" s="7">
        <v>0.2</v>
      </c>
      <c r="T238" s="7">
        <v>1454.15</v>
      </c>
      <c r="U238" s="7">
        <v>5816.61</v>
      </c>
      <c r="V238" s="7">
        <v>4505.58</v>
      </c>
      <c r="W238" s="7">
        <v>1311.04</v>
      </c>
      <c r="X238" s="7" t="s">
        <v>32</v>
      </c>
    </row>
    <row r="239" spans="1:24" x14ac:dyDescent="0.25">
      <c r="A239" s="16" t="s">
        <v>583</v>
      </c>
      <c r="B239" s="17">
        <v>45594</v>
      </c>
      <c r="C239" s="6" t="s">
        <v>584</v>
      </c>
      <c r="D239" s="6" t="s">
        <v>105</v>
      </c>
      <c r="E239" s="6" t="s">
        <v>99</v>
      </c>
      <c r="F239" s="6" t="s">
        <v>100</v>
      </c>
      <c r="G239" s="6" t="s">
        <v>101</v>
      </c>
      <c r="H239" s="6" t="s">
        <v>102</v>
      </c>
      <c r="I239" s="6" t="s">
        <v>53</v>
      </c>
      <c r="J239" s="6" t="s">
        <v>232</v>
      </c>
      <c r="K239" s="6" t="s">
        <v>90</v>
      </c>
      <c r="L239" s="6" t="s">
        <v>2666</v>
      </c>
      <c r="M239" s="6" t="s">
        <v>30</v>
      </c>
      <c r="N239" s="6" t="s">
        <v>44</v>
      </c>
      <c r="O239" s="6">
        <v>56</v>
      </c>
      <c r="P239" s="6">
        <v>75.5</v>
      </c>
      <c r="Q239" s="6">
        <v>41.29</v>
      </c>
      <c r="R239" s="6">
        <v>4228.16</v>
      </c>
      <c r="S239" s="6">
        <v>0.2</v>
      </c>
      <c r="T239" s="6">
        <v>845.63</v>
      </c>
      <c r="U239" s="6">
        <v>3382.53</v>
      </c>
      <c r="V239" s="6">
        <v>2312.34</v>
      </c>
      <c r="W239" s="6">
        <v>1070.19</v>
      </c>
      <c r="X239" s="6" t="s">
        <v>32</v>
      </c>
    </row>
    <row r="240" spans="1:24" x14ac:dyDescent="0.25">
      <c r="A240" s="5" t="s">
        <v>585</v>
      </c>
      <c r="B240" s="18">
        <v>45316</v>
      </c>
      <c r="C240" s="7" t="s">
        <v>237</v>
      </c>
      <c r="D240" s="7" t="s">
        <v>105</v>
      </c>
      <c r="E240" s="7" t="s">
        <v>99</v>
      </c>
      <c r="F240" s="7" t="s">
        <v>100</v>
      </c>
      <c r="G240" s="7" t="s">
        <v>101</v>
      </c>
      <c r="H240" s="7" t="s">
        <v>102</v>
      </c>
      <c r="I240" s="7" t="s">
        <v>88</v>
      </c>
      <c r="J240" s="7" t="s">
        <v>89</v>
      </c>
      <c r="K240" s="7" t="s">
        <v>265</v>
      </c>
      <c r="L240" s="7" t="s">
        <v>2678</v>
      </c>
      <c r="M240" s="7" t="s">
        <v>30</v>
      </c>
      <c r="N240" s="7" t="s">
        <v>70</v>
      </c>
      <c r="O240" s="7">
        <v>37</v>
      </c>
      <c r="P240" s="7">
        <v>66.59</v>
      </c>
      <c r="Q240" s="7">
        <v>37.770000000000003</v>
      </c>
      <c r="R240" s="7">
        <v>2463.9299999999998</v>
      </c>
      <c r="S240" s="7">
        <v>0.05</v>
      </c>
      <c r="T240" s="7">
        <v>123.2</v>
      </c>
      <c r="U240" s="7">
        <v>2340.73</v>
      </c>
      <c r="V240" s="7">
        <v>1397.48</v>
      </c>
      <c r="W240" s="7">
        <v>943.26</v>
      </c>
      <c r="X240" s="7" t="s">
        <v>45</v>
      </c>
    </row>
    <row r="241" spans="1:24" x14ac:dyDescent="0.25">
      <c r="A241" s="16" t="s">
        <v>586</v>
      </c>
      <c r="B241" s="17">
        <v>45293</v>
      </c>
      <c r="C241" s="6" t="s">
        <v>428</v>
      </c>
      <c r="D241" s="6" t="s">
        <v>57</v>
      </c>
      <c r="E241" s="6" t="s">
        <v>150</v>
      </c>
      <c r="F241" s="6" t="s">
        <v>151</v>
      </c>
      <c r="G241" s="6" t="s">
        <v>101</v>
      </c>
      <c r="H241" s="6" t="s">
        <v>134</v>
      </c>
      <c r="I241" s="6" t="s">
        <v>53</v>
      </c>
      <c r="J241" s="6" t="s">
        <v>232</v>
      </c>
      <c r="K241" s="6" t="s">
        <v>218</v>
      </c>
      <c r="L241" s="6" t="s">
        <v>2674</v>
      </c>
      <c r="M241" s="6" t="s">
        <v>153</v>
      </c>
      <c r="N241" s="6" t="s">
        <v>44</v>
      </c>
      <c r="O241" s="6">
        <v>52</v>
      </c>
      <c r="P241" s="6">
        <v>90.15</v>
      </c>
      <c r="Q241" s="6">
        <v>50.22</v>
      </c>
      <c r="R241" s="6">
        <v>4687.6899999999996</v>
      </c>
      <c r="S241" s="6">
        <v>0.02</v>
      </c>
      <c r="T241" s="6">
        <v>93.75</v>
      </c>
      <c r="U241" s="6">
        <v>4593.93</v>
      </c>
      <c r="V241" s="6">
        <v>2611.3200000000002</v>
      </c>
      <c r="W241" s="6">
        <v>1982.61</v>
      </c>
      <c r="X241" s="6" t="s">
        <v>45</v>
      </c>
    </row>
    <row r="242" spans="1:24" x14ac:dyDescent="0.25">
      <c r="A242" s="5" t="s">
        <v>587</v>
      </c>
      <c r="B242" s="18">
        <v>45303</v>
      </c>
      <c r="C242" s="7" t="s">
        <v>309</v>
      </c>
      <c r="D242" s="7" t="s">
        <v>65</v>
      </c>
      <c r="E242" s="7" t="s">
        <v>132</v>
      </c>
      <c r="F242" s="7" t="s">
        <v>133</v>
      </c>
      <c r="G242" s="7" t="s">
        <v>51</v>
      </c>
      <c r="H242" s="7" t="s">
        <v>134</v>
      </c>
      <c r="I242" s="7" t="s">
        <v>40</v>
      </c>
      <c r="J242" s="7" t="s">
        <v>289</v>
      </c>
      <c r="K242" s="7" t="s">
        <v>178</v>
      </c>
      <c r="L242" s="7" t="s">
        <v>256</v>
      </c>
      <c r="M242" s="7" t="s">
        <v>153</v>
      </c>
      <c r="N242" s="7" t="s">
        <v>70</v>
      </c>
      <c r="O242" s="7">
        <v>29</v>
      </c>
      <c r="P242" s="7">
        <v>62.34</v>
      </c>
      <c r="Q242" s="7">
        <v>34.03</v>
      </c>
      <c r="R242" s="7">
        <v>1807.82</v>
      </c>
      <c r="S242" s="7">
        <v>0.05</v>
      </c>
      <c r="T242" s="7">
        <v>90.39</v>
      </c>
      <c r="U242" s="7">
        <v>1717.43</v>
      </c>
      <c r="V242" s="7">
        <v>986.99</v>
      </c>
      <c r="W242" s="7">
        <v>730.44</v>
      </c>
      <c r="X242" s="7" t="s">
        <v>45</v>
      </c>
    </row>
    <row r="243" spans="1:24" x14ac:dyDescent="0.25">
      <c r="A243" s="16" t="s">
        <v>588</v>
      </c>
      <c r="B243" s="17">
        <v>45326</v>
      </c>
      <c r="C243" s="6" t="s">
        <v>384</v>
      </c>
      <c r="D243" s="6" t="s">
        <v>57</v>
      </c>
      <c r="E243" s="6" t="s">
        <v>216</v>
      </c>
      <c r="F243" s="6" t="s">
        <v>217</v>
      </c>
      <c r="G243" s="6" t="s">
        <v>38</v>
      </c>
      <c r="H243" s="6" t="s">
        <v>134</v>
      </c>
      <c r="I243" s="6" t="s">
        <v>88</v>
      </c>
      <c r="J243" s="6" t="s">
        <v>173</v>
      </c>
      <c r="K243" s="6" t="s">
        <v>111</v>
      </c>
      <c r="L243" s="6" t="s">
        <v>2667</v>
      </c>
      <c r="M243" s="6" t="s">
        <v>153</v>
      </c>
      <c r="N243" s="6" t="s">
        <v>31</v>
      </c>
      <c r="O243" s="6">
        <v>33</v>
      </c>
      <c r="P243" s="6">
        <v>106.23</v>
      </c>
      <c r="Q243" s="6">
        <v>66.28</v>
      </c>
      <c r="R243" s="6">
        <v>3505.57</v>
      </c>
      <c r="S243" s="6">
        <v>0.1</v>
      </c>
      <c r="T243" s="6">
        <v>350.56</v>
      </c>
      <c r="U243" s="6">
        <v>3155.01</v>
      </c>
      <c r="V243" s="6">
        <v>2187.2199999999998</v>
      </c>
      <c r="W243" s="6">
        <v>967.8</v>
      </c>
      <c r="X243" s="6" t="s">
        <v>45</v>
      </c>
    </row>
    <row r="244" spans="1:24" x14ac:dyDescent="0.25">
      <c r="A244" s="5" t="s">
        <v>589</v>
      </c>
      <c r="B244" s="18">
        <v>45522</v>
      </c>
      <c r="C244" s="7" t="s">
        <v>56</v>
      </c>
      <c r="D244" s="7" t="s">
        <v>57</v>
      </c>
      <c r="E244" s="7" t="s">
        <v>176</v>
      </c>
      <c r="F244" s="7" t="s">
        <v>177</v>
      </c>
      <c r="G244" s="7" t="s">
        <v>101</v>
      </c>
      <c r="H244" s="7" t="s">
        <v>39</v>
      </c>
      <c r="I244" s="7" t="s">
        <v>40</v>
      </c>
      <c r="J244" s="7" t="s">
        <v>117</v>
      </c>
      <c r="K244" s="7" t="s">
        <v>195</v>
      </c>
      <c r="L244" s="7" t="s">
        <v>2673</v>
      </c>
      <c r="M244" s="7" t="s">
        <v>153</v>
      </c>
      <c r="N244" s="7" t="s">
        <v>75</v>
      </c>
      <c r="O244" s="7">
        <v>57</v>
      </c>
      <c r="P244" s="7">
        <v>101.16</v>
      </c>
      <c r="Q244" s="7">
        <v>59.88</v>
      </c>
      <c r="R244" s="7">
        <v>5766.32</v>
      </c>
      <c r="S244" s="7">
        <v>0.1</v>
      </c>
      <c r="T244" s="7">
        <v>576.63</v>
      </c>
      <c r="U244" s="7">
        <v>5189.68</v>
      </c>
      <c r="V244" s="7">
        <v>3413.24</v>
      </c>
      <c r="W244" s="7">
        <v>1776.45</v>
      </c>
      <c r="X244" s="7" t="s">
        <v>45</v>
      </c>
    </row>
    <row r="245" spans="1:24" x14ac:dyDescent="0.25">
      <c r="A245" s="16" t="s">
        <v>590</v>
      </c>
      <c r="B245" s="17">
        <v>45495</v>
      </c>
      <c r="C245" s="6" t="s">
        <v>344</v>
      </c>
      <c r="D245" s="6" t="s">
        <v>87</v>
      </c>
      <c r="E245" s="6" t="s">
        <v>99</v>
      </c>
      <c r="F245" s="6" t="s">
        <v>100</v>
      </c>
      <c r="G245" s="6" t="s">
        <v>101</v>
      </c>
      <c r="H245" s="6" t="s">
        <v>102</v>
      </c>
      <c r="I245" s="6" t="s">
        <v>88</v>
      </c>
      <c r="J245" s="6" t="s">
        <v>183</v>
      </c>
      <c r="K245" s="6" t="s">
        <v>195</v>
      </c>
      <c r="L245" s="6" t="s">
        <v>2673</v>
      </c>
      <c r="M245" s="6" t="s">
        <v>43</v>
      </c>
      <c r="N245" s="6" t="s">
        <v>70</v>
      </c>
      <c r="O245" s="6">
        <v>41</v>
      </c>
      <c r="P245" s="6">
        <v>71.510000000000005</v>
      </c>
      <c r="Q245" s="6">
        <v>38.020000000000003</v>
      </c>
      <c r="R245" s="6">
        <v>2932.04</v>
      </c>
      <c r="S245" s="6">
        <v>0.2</v>
      </c>
      <c r="T245" s="6">
        <v>586.41</v>
      </c>
      <c r="U245" s="6">
        <v>2345.63</v>
      </c>
      <c r="V245" s="6">
        <v>1558.7</v>
      </c>
      <c r="W245" s="6">
        <v>786.92</v>
      </c>
      <c r="X245" s="6" t="s">
        <v>550</v>
      </c>
    </row>
    <row r="246" spans="1:24" x14ac:dyDescent="0.25">
      <c r="A246" s="5" t="s">
        <v>591</v>
      </c>
      <c r="B246" s="18">
        <v>45588</v>
      </c>
      <c r="C246" s="7"/>
      <c r="D246" s="7"/>
      <c r="E246" s="7" t="s">
        <v>78</v>
      </c>
      <c r="F246" s="7" t="s">
        <v>79</v>
      </c>
      <c r="G246" s="7" t="s">
        <v>80</v>
      </c>
      <c r="H246" s="7" t="s">
        <v>81</v>
      </c>
      <c r="I246" s="7" t="s">
        <v>53</v>
      </c>
      <c r="J246" s="7" t="s">
        <v>122</v>
      </c>
      <c r="K246" s="7" t="s">
        <v>74</v>
      </c>
      <c r="L246" s="7" t="s">
        <v>2664</v>
      </c>
      <c r="M246" s="7" t="s">
        <v>61</v>
      </c>
      <c r="N246" s="7" t="s">
        <v>31</v>
      </c>
      <c r="O246" s="7">
        <v>2</v>
      </c>
      <c r="P246" s="7">
        <v>135.66</v>
      </c>
      <c r="Q246" s="7">
        <v>83.63</v>
      </c>
      <c r="R246" s="7">
        <v>271.32</v>
      </c>
      <c r="S246" s="7">
        <v>0.1</v>
      </c>
      <c r="T246" s="7">
        <v>27.13</v>
      </c>
      <c r="U246" s="7">
        <v>244.19</v>
      </c>
      <c r="V246" s="7">
        <v>167.25</v>
      </c>
      <c r="W246" s="7">
        <v>76.94</v>
      </c>
      <c r="X246" s="7" t="s">
        <v>45</v>
      </c>
    </row>
    <row r="247" spans="1:24" x14ac:dyDescent="0.25">
      <c r="A247" s="16" t="s">
        <v>592</v>
      </c>
      <c r="B247" s="17">
        <v>45487</v>
      </c>
      <c r="C247" s="6" t="s">
        <v>572</v>
      </c>
      <c r="D247" s="6" t="s">
        <v>57</v>
      </c>
      <c r="E247" s="6" t="s">
        <v>99</v>
      </c>
      <c r="F247" s="6" t="s">
        <v>100</v>
      </c>
      <c r="G247" s="6" t="s">
        <v>101</v>
      </c>
      <c r="H247" s="6" t="s">
        <v>102</v>
      </c>
      <c r="I247" s="6" t="s">
        <v>27</v>
      </c>
      <c r="J247" s="6" t="s">
        <v>28</v>
      </c>
      <c r="K247" s="6" t="s">
        <v>42</v>
      </c>
      <c r="L247" s="6" t="s">
        <v>2661</v>
      </c>
      <c r="M247" s="6" t="s">
        <v>30</v>
      </c>
      <c r="N247" s="6" t="s">
        <v>44</v>
      </c>
      <c r="O247" s="6">
        <v>11</v>
      </c>
      <c r="P247" s="6">
        <v>65.760000000000005</v>
      </c>
      <c r="Q247" s="6">
        <v>40.47</v>
      </c>
      <c r="R247" s="6">
        <v>723.31</v>
      </c>
      <c r="S247" s="6">
        <v>0</v>
      </c>
      <c r="T247" s="6">
        <v>0</v>
      </c>
      <c r="U247" s="6">
        <v>723.31</v>
      </c>
      <c r="V247" s="6">
        <v>445.15</v>
      </c>
      <c r="W247" s="6">
        <v>278.16000000000003</v>
      </c>
      <c r="X247" s="6" t="s">
        <v>129</v>
      </c>
    </row>
    <row r="248" spans="1:24" x14ac:dyDescent="0.25">
      <c r="A248" s="5" t="s">
        <v>593</v>
      </c>
      <c r="B248" s="18">
        <v>45554</v>
      </c>
      <c r="C248" s="7" t="s">
        <v>594</v>
      </c>
      <c r="D248" s="7" t="s">
        <v>105</v>
      </c>
      <c r="E248" s="7" t="s">
        <v>165</v>
      </c>
      <c r="F248" s="7" t="s">
        <v>166</v>
      </c>
      <c r="G248" s="7" t="s">
        <v>95</v>
      </c>
      <c r="H248" s="7" t="s">
        <v>167</v>
      </c>
      <c r="I248" s="7" t="s">
        <v>27</v>
      </c>
      <c r="J248" s="7" t="s">
        <v>189</v>
      </c>
      <c r="K248" s="7" t="s">
        <v>111</v>
      </c>
      <c r="L248" s="7" t="s">
        <v>2667</v>
      </c>
      <c r="M248" s="7" t="s">
        <v>43</v>
      </c>
      <c r="N248" s="7" t="s">
        <v>31</v>
      </c>
      <c r="O248" s="7">
        <v>14</v>
      </c>
      <c r="P248" s="7">
        <v>44.04</v>
      </c>
      <c r="Q248" s="7">
        <v>25.16</v>
      </c>
      <c r="R248" s="7">
        <v>616.51</v>
      </c>
      <c r="S248" s="7">
        <v>0.15</v>
      </c>
      <c r="T248" s="7">
        <v>92.48</v>
      </c>
      <c r="U248" s="7">
        <v>524.03</v>
      </c>
      <c r="V248" s="7">
        <v>352.19</v>
      </c>
      <c r="W248" s="7">
        <v>171.84</v>
      </c>
      <c r="X248" s="7" t="s">
        <v>129</v>
      </c>
    </row>
    <row r="249" spans="1:24" x14ac:dyDescent="0.25">
      <c r="A249" s="16" t="s">
        <v>595</v>
      </c>
      <c r="B249" s="17">
        <v>45505</v>
      </c>
      <c r="C249" s="6" t="s">
        <v>596</v>
      </c>
      <c r="D249" s="6" t="s">
        <v>597</v>
      </c>
      <c r="E249" s="6" t="s">
        <v>93</v>
      </c>
      <c r="F249" s="6" t="s">
        <v>94</v>
      </c>
      <c r="G249" s="6" t="s">
        <v>95</v>
      </c>
      <c r="H249" s="6" t="s">
        <v>96</v>
      </c>
      <c r="I249" s="6" t="s">
        <v>58</v>
      </c>
      <c r="J249" s="6" t="s">
        <v>73</v>
      </c>
      <c r="K249" s="6" t="s">
        <v>74</v>
      </c>
      <c r="L249" s="6" t="s">
        <v>2664</v>
      </c>
      <c r="M249" s="6" t="s">
        <v>30</v>
      </c>
      <c r="N249" s="6" t="s">
        <v>31</v>
      </c>
      <c r="O249" s="6">
        <v>8</v>
      </c>
      <c r="P249" s="6">
        <v>59.12</v>
      </c>
      <c r="Q249" s="6">
        <v>31.69</v>
      </c>
      <c r="R249" s="6">
        <v>472.93</v>
      </c>
      <c r="S249" s="6">
        <v>0.05</v>
      </c>
      <c r="T249" s="6">
        <v>23.65</v>
      </c>
      <c r="U249" s="6">
        <v>449.28</v>
      </c>
      <c r="V249" s="6">
        <v>253.53</v>
      </c>
      <c r="W249" s="6">
        <v>195.75</v>
      </c>
      <c r="X249" s="6" t="s">
        <v>32</v>
      </c>
    </row>
    <row r="250" spans="1:24" x14ac:dyDescent="0.25">
      <c r="A250" s="5" t="s">
        <v>598</v>
      </c>
      <c r="B250" s="18">
        <v>45590</v>
      </c>
      <c r="C250" s="7" t="s">
        <v>578</v>
      </c>
      <c r="D250" s="7" t="s">
        <v>221</v>
      </c>
      <c r="E250" s="7" t="s">
        <v>49</v>
      </c>
      <c r="F250" s="7" t="s">
        <v>50</v>
      </c>
      <c r="G250" s="7" t="s">
        <v>51</v>
      </c>
      <c r="H250" s="7" t="s">
        <v>52</v>
      </c>
      <c r="I250" s="7" t="s">
        <v>88</v>
      </c>
      <c r="J250" s="7" t="s">
        <v>89</v>
      </c>
      <c r="K250" s="7" t="s">
        <v>60</v>
      </c>
      <c r="L250" s="7" t="s">
        <v>2662</v>
      </c>
      <c r="M250" s="7" t="s">
        <v>43</v>
      </c>
      <c r="N250" s="7" t="s">
        <v>84</v>
      </c>
      <c r="O250" s="7">
        <v>57</v>
      </c>
      <c r="P250" s="7">
        <v>23.85</v>
      </c>
      <c r="Q250" s="7">
        <v>14.03</v>
      </c>
      <c r="R250" s="7">
        <v>1359.25</v>
      </c>
      <c r="S250" s="7">
        <v>0.2</v>
      </c>
      <c r="T250" s="7">
        <v>271.85000000000002</v>
      </c>
      <c r="U250" s="7">
        <v>1087.4000000000001</v>
      </c>
      <c r="V250" s="7">
        <v>799.76</v>
      </c>
      <c r="W250" s="7">
        <v>287.64</v>
      </c>
      <c r="X250" s="7" t="s">
        <v>45</v>
      </c>
    </row>
    <row r="251" spans="1:24" x14ac:dyDescent="0.25">
      <c r="A251" s="16" t="s">
        <v>599</v>
      </c>
      <c r="B251" s="17">
        <v>45493</v>
      </c>
      <c r="C251" s="6" t="s">
        <v>600</v>
      </c>
      <c r="D251" s="6" t="s">
        <v>87</v>
      </c>
      <c r="E251" s="6" t="s">
        <v>78</v>
      </c>
      <c r="F251" s="6" t="s">
        <v>79</v>
      </c>
      <c r="G251" s="6" t="s">
        <v>80</v>
      </c>
      <c r="H251" s="6" t="s">
        <v>81</v>
      </c>
      <c r="I251" s="6" t="s">
        <v>40</v>
      </c>
      <c r="J251" s="6" t="s">
        <v>82</v>
      </c>
      <c r="K251" s="6" t="s">
        <v>248</v>
      </c>
      <c r="L251" s="6" t="s">
        <v>2675</v>
      </c>
      <c r="M251" s="6" t="s">
        <v>30</v>
      </c>
      <c r="N251" s="6" t="s">
        <v>44</v>
      </c>
      <c r="O251" s="6">
        <v>6</v>
      </c>
      <c r="P251" s="6">
        <v>136.99</v>
      </c>
      <c r="Q251" s="6">
        <v>78.400000000000006</v>
      </c>
      <c r="R251" s="6">
        <v>821.95</v>
      </c>
      <c r="S251" s="6">
        <v>0.05</v>
      </c>
      <c r="T251" s="6">
        <v>41.1</v>
      </c>
      <c r="U251" s="6">
        <v>780.85</v>
      </c>
      <c r="V251" s="6">
        <v>470.38</v>
      </c>
      <c r="W251" s="6">
        <v>310.47000000000003</v>
      </c>
      <c r="X251" s="6" t="s">
        <v>32</v>
      </c>
    </row>
    <row r="252" spans="1:24" x14ac:dyDescent="0.25">
      <c r="A252" s="5" t="s">
        <v>601</v>
      </c>
      <c r="B252" s="18">
        <v>45654</v>
      </c>
      <c r="C252" s="7" t="s">
        <v>602</v>
      </c>
      <c r="D252" s="7" t="s">
        <v>159</v>
      </c>
      <c r="E252" s="7" t="s">
        <v>109</v>
      </c>
      <c r="F252" s="7" t="s">
        <v>110</v>
      </c>
      <c r="G252" s="7" t="s">
        <v>80</v>
      </c>
      <c r="H252" s="7" t="s">
        <v>81</v>
      </c>
      <c r="I252" s="7" t="s">
        <v>88</v>
      </c>
      <c r="J252" s="7" t="s">
        <v>135</v>
      </c>
      <c r="K252" s="7" t="s">
        <v>261</v>
      </c>
      <c r="L252" s="7" t="s">
        <v>2677</v>
      </c>
      <c r="M252" s="7" t="s">
        <v>43</v>
      </c>
      <c r="N252" s="7" t="s">
        <v>70</v>
      </c>
      <c r="O252" s="7">
        <v>55</v>
      </c>
      <c r="P252" s="7">
        <v>119.75</v>
      </c>
      <c r="Q252" s="7">
        <v>72.5</v>
      </c>
      <c r="R252" s="7">
        <v>6586.3</v>
      </c>
      <c r="S252" s="7">
        <v>0.2</v>
      </c>
      <c r="T252" s="7">
        <v>1317.26</v>
      </c>
      <c r="U252" s="7">
        <v>5269.04</v>
      </c>
      <c r="V252" s="7">
        <v>3987.46</v>
      </c>
      <c r="W252" s="7">
        <v>1281.58</v>
      </c>
      <c r="X252" s="7" t="s">
        <v>32</v>
      </c>
    </row>
    <row r="253" spans="1:24" x14ac:dyDescent="0.25">
      <c r="A253" s="16" t="s">
        <v>603</v>
      </c>
      <c r="B253" s="17">
        <v>45562</v>
      </c>
      <c r="C253" s="6" t="s">
        <v>485</v>
      </c>
      <c r="D253" s="6" t="s">
        <v>22</v>
      </c>
      <c r="E253" s="6" t="s">
        <v>250</v>
      </c>
      <c r="F253" s="6" t="s">
        <v>251</v>
      </c>
      <c r="G253" s="6" t="s">
        <v>51</v>
      </c>
      <c r="H253" s="6" t="s">
        <v>252</v>
      </c>
      <c r="I253" s="6" t="s">
        <v>53</v>
      </c>
      <c r="J253" s="6" t="s">
        <v>143</v>
      </c>
      <c r="K253" s="6" t="s">
        <v>60</v>
      </c>
      <c r="L253" s="6" t="s">
        <v>2662</v>
      </c>
      <c r="M253" s="6" t="s">
        <v>30</v>
      </c>
      <c r="N253" s="6" t="s">
        <v>44</v>
      </c>
      <c r="O253" s="6">
        <v>2</v>
      </c>
      <c r="P253" s="6">
        <v>61.8</v>
      </c>
      <c r="Q253" s="6">
        <v>35.21</v>
      </c>
      <c r="R253" s="6">
        <v>123.6</v>
      </c>
      <c r="S253" s="6">
        <v>0.05</v>
      </c>
      <c r="T253" s="6">
        <v>6.18</v>
      </c>
      <c r="U253" s="6">
        <v>117.42</v>
      </c>
      <c r="V253" s="6">
        <v>70.42</v>
      </c>
      <c r="W253" s="6">
        <v>47</v>
      </c>
      <c r="X253" s="6" t="s">
        <v>45</v>
      </c>
    </row>
    <row r="254" spans="1:24" x14ac:dyDescent="0.25">
      <c r="A254" s="5" t="s">
        <v>604</v>
      </c>
      <c r="B254" s="18">
        <v>45538</v>
      </c>
      <c r="C254" s="7" t="s">
        <v>220</v>
      </c>
      <c r="D254" s="7" t="s">
        <v>221</v>
      </c>
      <c r="E254" s="7" t="s">
        <v>150</v>
      </c>
      <c r="F254" s="7" t="s">
        <v>151</v>
      </c>
      <c r="G254" s="7" t="s">
        <v>101</v>
      </c>
      <c r="H254" s="7" t="s">
        <v>134</v>
      </c>
      <c r="I254" s="7" t="s">
        <v>53</v>
      </c>
      <c r="J254" s="7" t="s">
        <v>122</v>
      </c>
      <c r="K254" s="7" t="s">
        <v>144</v>
      </c>
      <c r="L254" s="7" t="s">
        <v>2669</v>
      </c>
      <c r="M254" s="7" t="s">
        <v>30</v>
      </c>
      <c r="N254" s="7" t="s">
        <v>70</v>
      </c>
      <c r="O254" s="7">
        <v>28</v>
      </c>
      <c r="P254" s="7">
        <v>82.44</v>
      </c>
      <c r="Q254" s="7">
        <v>51.16</v>
      </c>
      <c r="R254" s="7">
        <v>2308.3000000000002</v>
      </c>
      <c r="S254" s="7">
        <v>0.1</v>
      </c>
      <c r="T254" s="7">
        <v>230.83</v>
      </c>
      <c r="U254" s="7">
        <v>2077.4699999999998</v>
      </c>
      <c r="V254" s="7">
        <v>1432.59</v>
      </c>
      <c r="W254" s="7">
        <v>644.88</v>
      </c>
      <c r="X254" s="7" t="s">
        <v>45</v>
      </c>
    </row>
    <row r="255" spans="1:24" x14ac:dyDescent="0.25">
      <c r="A255" s="16" t="s">
        <v>605</v>
      </c>
      <c r="B255" s="17">
        <v>45509</v>
      </c>
      <c r="C255" s="6" t="s">
        <v>320</v>
      </c>
      <c r="D255" s="6" t="s">
        <v>264</v>
      </c>
      <c r="E255" s="6" t="s">
        <v>150</v>
      </c>
      <c r="F255" s="6" t="s">
        <v>151</v>
      </c>
      <c r="G255" s="6" t="s">
        <v>101</v>
      </c>
      <c r="H255" s="6" t="s">
        <v>134</v>
      </c>
      <c r="I255" s="6" t="s">
        <v>27</v>
      </c>
      <c r="J255" s="6" t="s">
        <v>106</v>
      </c>
      <c r="K255" s="6" t="s">
        <v>42</v>
      </c>
      <c r="L255" s="6" t="s">
        <v>2661</v>
      </c>
      <c r="M255" s="6" t="s">
        <v>61</v>
      </c>
      <c r="N255" s="6" t="s">
        <v>31</v>
      </c>
      <c r="O255" s="6">
        <v>33</v>
      </c>
      <c r="P255" s="6">
        <v>79.11</v>
      </c>
      <c r="Q255" s="6">
        <v>54.08</v>
      </c>
      <c r="R255" s="6">
        <v>2610.66</v>
      </c>
      <c r="S255" s="6">
        <v>0.2</v>
      </c>
      <c r="T255" s="6">
        <v>522.13</v>
      </c>
      <c r="U255" s="6">
        <v>2088.5300000000002</v>
      </c>
      <c r="V255" s="6">
        <v>1784.61</v>
      </c>
      <c r="W255" s="6">
        <v>303.91000000000003</v>
      </c>
      <c r="X255" s="6" t="s">
        <v>129</v>
      </c>
    </row>
    <row r="256" spans="1:24" x14ac:dyDescent="0.25">
      <c r="A256" s="5" t="s">
        <v>606</v>
      </c>
      <c r="B256" s="18">
        <v>45539</v>
      </c>
      <c r="C256" s="7" t="s">
        <v>180</v>
      </c>
      <c r="D256" s="7" t="s">
        <v>163</v>
      </c>
      <c r="E256" s="7" t="s">
        <v>66</v>
      </c>
      <c r="F256" s="7" t="s">
        <v>67</v>
      </c>
      <c r="G256" s="7" t="s">
        <v>38</v>
      </c>
      <c r="H256" s="7" t="s">
        <v>68</v>
      </c>
      <c r="I256" s="7" t="s">
        <v>53</v>
      </c>
      <c r="J256" s="7" t="s">
        <v>143</v>
      </c>
      <c r="K256" s="7" t="s">
        <v>170</v>
      </c>
      <c r="L256" s="7" t="s">
        <v>2671</v>
      </c>
      <c r="M256" s="7" t="s">
        <v>61</v>
      </c>
      <c r="N256" s="7" t="s">
        <v>44</v>
      </c>
      <c r="O256" s="7">
        <v>54</v>
      </c>
      <c r="P256" s="7">
        <v>154.19</v>
      </c>
      <c r="Q256" s="7">
        <v>104.3</v>
      </c>
      <c r="R256" s="7">
        <v>8326.2900000000009</v>
      </c>
      <c r="S256" s="7">
        <v>0.15</v>
      </c>
      <c r="T256" s="7">
        <v>1248.94</v>
      </c>
      <c r="U256" s="7">
        <v>7077.35</v>
      </c>
      <c r="V256" s="7">
        <v>5632.24</v>
      </c>
      <c r="W256" s="7">
        <v>1445.1</v>
      </c>
      <c r="X256" s="7" t="s">
        <v>45</v>
      </c>
    </row>
    <row r="257" spans="1:24" x14ac:dyDescent="0.25">
      <c r="A257" s="16" t="s">
        <v>607</v>
      </c>
      <c r="B257" s="17">
        <v>45298</v>
      </c>
      <c r="C257" s="6" t="s">
        <v>608</v>
      </c>
      <c r="D257" s="6" t="s">
        <v>22</v>
      </c>
      <c r="E257" s="6" t="s">
        <v>78</v>
      </c>
      <c r="F257" s="6" t="s">
        <v>79</v>
      </c>
      <c r="G257" s="6" t="s">
        <v>80</v>
      </c>
      <c r="H257" s="6" t="s">
        <v>81</v>
      </c>
      <c r="I257" s="6" t="s">
        <v>27</v>
      </c>
      <c r="J257" s="6" t="s">
        <v>106</v>
      </c>
      <c r="K257" s="6" t="s">
        <v>111</v>
      </c>
      <c r="L257" s="6" t="s">
        <v>2667</v>
      </c>
      <c r="M257" s="6" t="s">
        <v>609</v>
      </c>
      <c r="N257" s="6" t="s">
        <v>31</v>
      </c>
      <c r="O257" s="6">
        <v>54</v>
      </c>
      <c r="P257" s="6">
        <v>147.12</v>
      </c>
      <c r="Q257" s="6">
        <v>86.73</v>
      </c>
      <c r="R257" s="6">
        <v>7944.67</v>
      </c>
      <c r="S257" s="6">
        <v>0.1</v>
      </c>
      <c r="T257" s="6">
        <v>794.47</v>
      </c>
      <c r="U257" s="6">
        <v>7150.2</v>
      </c>
      <c r="V257" s="6">
        <v>4683.57</v>
      </c>
      <c r="W257" s="6">
        <v>2466.63</v>
      </c>
      <c r="X257" s="6" t="s">
        <v>129</v>
      </c>
    </row>
    <row r="258" spans="1:24" x14ac:dyDescent="0.25">
      <c r="A258" s="5" t="s">
        <v>610</v>
      </c>
      <c r="B258" s="18">
        <v>45368</v>
      </c>
      <c r="C258" s="7" t="s">
        <v>611</v>
      </c>
      <c r="D258" s="7" t="s">
        <v>264</v>
      </c>
      <c r="E258" s="7" t="s">
        <v>126</v>
      </c>
      <c r="F258" s="7" t="s">
        <v>127</v>
      </c>
      <c r="G258" s="7" t="s">
        <v>95</v>
      </c>
      <c r="H258" s="7" t="s">
        <v>128</v>
      </c>
      <c r="I258" s="7" t="s">
        <v>53</v>
      </c>
      <c r="J258" s="7" t="s">
        <v>122</v>
      </c>
      <c r="K258" s="7" t="s">
        <v>152</v>
      </c>
      <c r="L258" s="7" t="s">
        <v>2670</v>
      </c>
      <c r="M258" s="7" t="s">
        <v>30</v>
      </c>
      <c r="N258" s="7" t="s">
        <v>31</v>
      </c>
      <c r="O258" s="7">
        <v>42</v>
      </c>
      <c r="P258" s="7">
        <v>87.6</v>
      </c>
      <c r="Q258" s="7">
        <v>54.44</v>
      </c>
      <c r="R258" s="7">
        <v>3679</v>
      </c>
      <c r="S258" s="7">
        <v>0</v>
      </c>
      <c r="T258" s="7">
        <v>0</v>
      </c>
      <c r="U258" s="7">
        <v>3679</v>
      </c>
      <c r="V258" s="7">
        <v>2286.36</v>
      </c>
      <c r="W258" s="7">
        <v>1392.64</v>
      </c>
      <c r="X258" s="7" t="s">
        <v>45</v>
      </c>
    </row>
    <row r="259" spans="1:24" x14ac:dyDescent="0.25">
      <c r="A259" s="16" t="s">
        <v>612</v>
      </c>
      <c r="B259" s="17">
        <v>45571</v>
      </c>
      <c r="C259" s="6" t="s">
        <v>613</v>
      </c>
      <c r="D259" s="6" t="s">
        <v>87</v>
      </c>
      <c r="E259" s="6" t="s">
        <v>78</v>
      </c>
      <c r="F259" s="6" t="s">
        <v>79</v>
      </c>
      <c r="G259" s="6" t="s">
        <v>80</v>
      </c>
      <c r="H259" s="6" t="s">
        <v>81</v>
      </c>
      <c r="I259" s="6" t="s">
        <v>27</v>
      </c>
      <c r="J259" s="6" t="s">
        <v>106</v>
      </c>
      <c r="K259" s="6" t="s">
        <v>195</v>
      </c>
      <c r="L259" s="6" t="s">
        <v>2673</v>
      </c>
      <c r="M259" s="6" t="s">
        <v>153</v>
      </c>
      <c r="N259" s="6" t="s">
        <v>75</v>
      </c>
      <c r="O259" s="6">
        <v>55</v>
      </c>
      <c r="P259" s="6">
        <v>137.62</v>
      </c>
      <c r="Q259" s="6">
        <v>83.98</v>
      </c>
      <c r="R259" s="6">
        <v>7569.24</v>
      </c>
      <c r="S259" s="6">
        <v>0.1</v>
      </c>
      <c r="T259" s="6">
        <v>756.92</v>
      </c>
      <c r="U259" s="6">
        <v>6812.32</v>
      </c>
      <c r="V259" s="6">
        <v>4619.13</v>
      </c>
      <c r="W259" s="6">
        <v>2193.19</v>
      </c>
      <c r="X259" s="6" t="s">
        <v>45</v>
      </c>
    </row>
    <row r="260" spans="1:24" x14ac:dyDescent="0.25">
      <c r="A260" s="5" t="s">
        <v>614</v>
      </c>
      <c r="B260" s="18">
        <v>45551</v>
      </c>
      <c r="C260" s="7" t="s">
        <v>615</v>
      </c>
      <c r="D260" s="7" t="s">
        <v>264</v>
      </c>
      <c r="E260" s="7" t="s">
        <v>150</v>
      </c>
      <c r="F260" s="7" t="s">
        <v>151</v>
      </c>
      <c r="G260" s="7" t="s">
        <v>101</v>
      </c>
      <c r="H260" s="7" t="s">
        <v>134</v>
      </c>
      <c r="I260" s="7" t="s">
        <v>58</v>
      </c>
      <c r="J260" s="7" t="s">
        <v>323</v>
      </c>
      <c r="K260" s="7" t="s">
        <v>265</v>
      </c>
      <c r="L260" s="7" t="s">
        <v>2678</v>
      </c>
      <c r="M260" s="7" t="s">
        <v>30</v>
      </c>
      <c r="N260" s="7" t="s">
        <v>31</v>
      </c>
      <c r="O260" s="7">
        <v>6</v>
      </c>
      <c r="P260" s="7">
        <v>79.53</v>
      </c>
      <c r="Q260" s="7">
        <v>50.9</v>
      </c>
      <c r="R260" s="7">
        <v>477.2</v>
      </c>
      <c r="S260" s="7">
        <v>0.1</v>
      </c>
      <c r="T260" s="7">
        <v>47.72</v>
      </c>
      <c r="U260" s="7">
        <v>429.48</v>
      </c>
      <c r="V260" s="7">
        <v>305.42</v>
      </c>
      <c r="W260" s="7">
        <v>124.06</v>
      </c>
      <c r="X260" s="7" t="s">
        <v>45</v>
      </c>
    </row>
    <row r="261" spans="1:24" x14ac:dyDescent="0.25">
      <c r="A261" s="16" t="s">
        <v>616</v>
      </c>
      <c r="B261" s="17">
        <v>45569</v>
      </c>
      <c r="C261" s="6" t="s">
        <v>617</v>
      </c>
      <c r="D261" s="6" t="s">
        <v>22</v>
      </c>
      <c r="E261" s="6" t="s">
        <v>187</v>
      </c>
      <c r="F261" s="6" t="s">
        <v>188</v>
      </c>
      <c r="G261" s="6" t="s">
        <v>25</v>
      </c>
      <c r="H261" s="6" t="s">
        <v>26</v>
      </c>
      <c r="I261" s="6" t="s">
        <v>40</v>
      </c>
      <c r="J261" s="6" t="s">
        <v>289</v>
      </c>
      <c r="K261" s="6" t="s">
        <v>253</v>
      </c>
      <c r="L261" s="6" t="s">
        <v>2676</v>
      </c>
      <c r="M261" s="6" t="s">
        <v>61</v>
      </c>
      <c r="N261" s="6" t="s">
        <v>31</v>
      </c>
      <c r="O261" s="6">
        <v>6</v>
      </c>
      <c r="P261" s="6">
        <v>45.21</v>
      </c>
      <c r="Q261" s="6">
        <v>26.75</v>
      </c>
      <c r="R261" s="6">
        <v>271.24</v>
      </c>
      <c r="S261" s="6">
        <v>0.2</v>
      </c>
      <c r="T261" s="6">
        <v>54.25</v>
      </c>
      <c r="U261" s="6">
        <v>217</v>
      </c>
      <c r="V261" s="6">
        <v>160.47999999999999</v>
      </c>
      <c r="W261" s="6">
        <v>56.51</v>
      </c>
      <c r="X261" s="6" t="s">
        <v>45</v>
      </c>
    </row>
    <row r="262" spans="1:24" x14ac:dyDescent="0.25">
      <c r="A262" s="5" t="s">
        <v>618</v>
      </c>
      <c r="B262" s="18">
        <v>45324</v>
      </c>
      <c r="C262" s="7" t="s">
        <v>426</v>
      </c>
      <c r="D262" s="7" t="s">
        <v>57</v>
      </c>
      <c r="E262" s="7" t="s">
        <v>187</v>
      </c>
      <c r="F262" s="7" t="s">
        <v>188</v>
      </c>
      <c r="G262" s="7" t="s">
        <v>25</v>
      </c>
      <c r="H262" s="7" t="s">
        <v>26</v>
      </c>
      <c r="I262" s="7" t="s">
        <v>53</v>
      </c>
      <c r="J262" s="7" t="s">
        <v>232</v>
      </c>
      <c r="K262" s="7" t="s">
        <v>111</v>
      </c>
      <c r="L262" s="7" t="s">
        <v>2667</v>
      </c>
      <c r="M262" s="7" t="s">
        <v>153</v>
      </c>
      <c r="N262" s="7" t="s">
        <v>31</v>
      </c>
      <c r="O262" s="7">
        <v>22</v>
      </c>
      <c r="P262" s="7">
        <v>51.32</v>
      </c>
      <c r="Q262" s="7">
        <v>30.7</v>
      </c>
      <c r="R262" s="7">
        <v>1129.1099999999999</v>
      </c>
      <c r="S262" s="7">
        <v>0.1</v>
      </c>
      <c r="T262" s="7">
        <v>112.91</v>
      </c>
      <c r="U262" s="7">
        <v>1016.2</v>
      </c>
      <c r="V262" s="7">
        <v>675.37</v>
      </c>
      <c r="W262" s="7">
        <v>340.83</v>
      </c>
      <c r="X262" s="7" t="s">
        <v>45</v>
      </c>
    </row>
    <row r="263" spans="1:24" x14ac:dyDescent="0.25">
      <c r="A263" s="16" t="s">
        <v>619</v>
      </c>
      <c r="B263" s="17">
        <v>45298</v>
      </c>
      <c r="C263" s="6" t="s">
        <v>569</v>
      </c>
      <c r="D263" s="6" t="s">
        <v>121</v>
      </c>
      <c r="E263" s="6" t="s">
        <v>187</v>
      </c>
      <c r="F263" s="6" t="s">
        <v>188</v>
      </c>
      <c r="G263" s="6" t="s">
        <v>25</v>
      </c>
      <c r="H263" s="6" t="s">
        <v>26</v>
      </c>
      <c r="I263" s="6" t="s">
        <v>40</v>
      </c>
      <c r="J263" s="6" t="s">
        <v>82</v>
      </c>
      <c r="K263" s="6" t="s">
        <v>111</v>
      </c>
      <c r="L263" s="6" t="s">
        <v>2667</v>
      </c>
      <c r="M263" s="6" t="s">
        <v>43</v>
      </c>
      <c r="N263" s="6" t="s">
        <v>31</v>
      </c>
      <c r="O263" s="6">
        <v>80</v>
      </c>
      <c r="P263" s="6">
        <v>46.12</v>
      </c>
      <c r="Q263" s="6">
        <v>29.84</v>
      </c>
      <c r="R263" s="6">
        <v>3689.25</v>
      </c>
      <c r="S263" s="6">
        <v>0.15</v>
      </c>
      <c r="T263" s="6">
        <v>553.39</v>
      </c>
      <c r="U263" s="6">
        <v>3135.86</v>
      </c>
      <c r="V263" s="6">
        <v>2387.37</v>
      </c>
      <c r="W263" s="6">
        <v>748.49</v>
      </c>
      <c r="X263" s="6" t="s">
        <v>45</v>
      </c>
    </row>
    <row r="264" spans="1:24" x14ac:dyDescent="0.25">
      <c r="A264" s="5" t="s">
        <v>620</v>
      </c>
      <c r="B264" s="18">
        <v>45591</v>
      </c>
      <c r="C264" s="7" t="s">
        <v>395</v>
      </c>
      <c r="D264" s="7" t="s">
        <v>221</v>
      </c>
      <c r="E264" s="7" t="s">
        <v>36</v>
      </c>
      <c r="F264" s="7" t="s">
        <v>37</v>
      </c>
      <c r="G264" s="7" t="s">
        <v>38</v>
      </c>
      <c r="H264" s="7" t="s">
        <v>39</v>
      </c>
      <c r="I264" s="7" t="s">
        <v>27</v>
      </c>
      <c r="J264" s="7" t="s">
        <v>28</v>
      </c>
      <c r="K264" s="7" t="s">
        <v>111</v>
      </c>
      <c r="L264" s="7" t="s">
        <v>2667</v>
      </c>
      <c r="M264" s="7" t="s">
        <v>153</v>
      </c>
      <c r="N264" s="7" t="s">
        <v>31</v>
      </c>
      <c r="O264" s="7">
        <v>70</v>
      </c>
      <c r="P264" s="7">
        <v>173.34</v>
      </c>
      <c r="Q264" s="7">
        <v>94.64</v>
      </c>
      <c r="R264" s="7">
        <v>12133.66</v>
      </c>
      <c r="S264" s="7">
        <v>0.02</v>
      </c>
      <c r="T264" s="7">
        <v>242.67</v>
      </c>
      <c r="U264" s="7">
        <v>11890.99</v>
      </c>
      <c r="V264" s="7">
        <v>6624.46</v>
      </c>
      <c r="W264" s="7">
        <v>5266.53</v>
      </c>
      <c r="X264" s="7" t="s">
        <v>45</v>
      </c>
    </row>
    <row r="265" spans="1:24" x14ac:dyDescent="0.25">
      <c r="A265" s="16" t="s">
        <v>621</v>
      </c>
      <c r="B265" s="17">
        <v>45385</v>
      </c>
      <c r="C265" s="6" t="s">
        <v>295</v>
      </c>
      <c r="D265" s="6" t="s">
        <v>22</v>
      </c>
      <c r="E265" s="6" t="s">
        <v>250</v>
      </c>
      <c r="F265" s="6" t="s">
        <v>251</v>
      </c>
      <c r="G265" s="6" t="s">
        <v>51</v>
      </c>
      <c r="H265" s="6" t="s">
        <v>252</v>
      </c>
      <c r="I265" s="6" t="s">
        <v>58</v>
      </c>
      <c r="J265" s="6" t="s">
        <v>345</v>
      </c>
      <c r="K265" s="6" t="s">
        <v>74</v>
      </c>
      <c r="L265" s="6" t="s">
        <v>2664</v>
      </c>
      <c r="M265" s="6" t="s">
        <v>30</v>
      </c>
      <c r="N265" s="6" t="s">
        <v>31</v>
      </c>
      <c r="O265" s="6">
        <v>48</v>
      </c>
      <c r="P265" s="6">
        <v>65.209999999999994</v>
      </c>
      <c r="Q265" s="6">
        <v>40.14</v>
      </c>
      <c r="R265" s="6">
        <v>3130.07</v>
      </c>
      <c r="S265" s="6">
        <v>0.2</v>
      </c>
      <c r="T265" s="6">
        <v>626.01</v>
      </c>
      <c r="U265" s="6">
        <v>2504.0500000000002</v>
      </c>
      <c r="V265" s="6">
        <v>1926.78</v>
      </c>
      <c r="W265" s="6">
        <v>577.27</v>
      </c>
      <c r="X265" s="6" t="s">
        <v>32</v>
      </c>
    </row>
    <row r="266" spans="1:24" x14ac:dyDescent="0.25">
      <c r="A266" s="5" t="s">
        <v>622</v>
      </c>
      <c r="B266" s="18">
        <v>45640</v>
      </c>
      <c r="C266" s="7" t="s">
        <v>623</v>
      </c>
      <c r="D266" s="7" t="s">
        <v>156</v>
      </c>
      <c r="E266" s="7" t="s">
        <v>126</v>
      </c>
      <c r="F266" s="7" t="s">
        <v>127</v>
      </c>
      <c r="G266" s="7" t="s">
        <v>95</v>
      </c>
      <c r="H266" s="7" t="s">
        <v>128</v>
      </c>
      <c r="I266" s="7" t="s">
        <v>88</v>
      </c>
      <c r="J266" s="7" t="s">
        <v>173</v>
      </c>
      <c r="K266" s="7" t="s">
        <v>90</v>
      </c>
      <c r="L266" s="7" t="s">
        <v>2666</v>
      </c>
      <c r="M266" s="7" t="s">
        <v>30</v>
      </c>
      <c r="N266" s="7" t="s">
        <v>44</v>
      </c>
      <c r="O266" s="7">
        <v>3</v>
      </c>
      <c r="P266" s="7">
        <v>94.79</v>
      </c>
      <c r="Q266" s="7">
        <v>55.59</v>
      </c>
      <c r="R266" s="7">
        <v>284.36</v>
      </c>
      <c r="S266" s="7">
        <v>0</v>
      </c>
      <c r="T266" s="7">
        <v>0</v>
      </c>
      <c r="U266" s="7">
        <v>284.36</v>
      </c>
      <c r="V266" s="7">
        <v>166.78</v>
      </c>
      <c r="W266" s="7">
        <v>117.58</v>
      </c>
      <c r="X266" s="7" t="s">
        <v>45</v>
      </c>
    </row>
    <row r="267" spans="1:24" x14ac:dyDescent="0.25">
      <c r="A267" s="16" t="s">
        <v>624</v>
      </c>
      <c r="B267" s="17">
        <v>45549</v>
      </c>
      <c r="C267" s="6"/>
      <c r="D267" s="6"/>
      <c r="E267" s="6" t="s">
        <v>222</v>
      </c>
      <c r="F267" s="6" t="s">
        <v>223</v>
      </c>
      <c r="G267" s="6" t="s">
        <v>101</v>
      </c>
      <c r="H267" s="6" t="s">
        <v>68</v>
      </c>
      <c r="I267" s="6" t="s">
        <v>53</v>
      </c>
      <c r="J267" s="6" t="s">
        <v>143</v>
      </c>
      <c r="K267" s="6" t="s">
        <v>152</v>
      </c>
      <c r="L267" s="6" t="s">
        <v>2670</v>
      </c>
      <c r="M267" s="6" t="s">
        <v>61</v>
      </c>
      <c r="N267" s="6" t="s">
        <v>368</v>
      </c>
      <c r="O267" s="6">
        <v>74</v>
      </c>
      <c r="P267" s="6">
        <v>116.86</v>
      </c>
      <c r="Q267" s="6">
        <v>73.44</v>
      </c>
      <c r="R267" s="6">
        <v>8647.85</v>
      </c>
      <c r="S267" s="6">
        <v>0.15</v>
      </c>
      <c r="T267" s="6">
        <v>1297.18</v>
      </c>
      <c r="U267" s="6">
        <v>7350.67</v>
      </c>
      <c r="V267" s="6">
        <v>5434.37</v>
      </c>
      <c r="W267" s="6">
        <v>1916.3</v>
      </c>
      <c r="X267" s="6" t="s">
        <v>45</v>
      </c>
    </row>
    <row r="268" spans="1:24" x14ac:dyDescent="0.25">
      <c r="A268" s="5" t="s">
        <v>625</v>
      </c>
      <c r="B268" s="18">
        <v>45515</v>
      </c>
      <c r="C268" s="7" t="s">
        <v>626</v>
      </c>
      <c r="D268" s="7" t="s">
        <v>163</v>
      </c>
      <c r="E268" s="7" t="s">
        <v>49</v>
      </c>
      <c r="F268" s="7" t="s">
        <v>50</v>
      </c>
      <c r="G268" s="7" t="s">
        <v>51</v>
      </c>
      <c r="H268" s="7" t="s">
        <v>52</v>
      </c>
      <c r="I268" s="7" t="s">
        <v>40</v>
      </c>
      <c r="J268" s="7" t="s">
        <v>41</v>
      </c>
      <c r="K268" s="7" t="s">
        <v>184</v>
      </c>
      <c r="L268" s="7" t="s">
        <v>2672</v>
      </c>
      <c r="M268" s="7" t="s">
        <v>30</v>
      </c>
      <c r="N268" s="7" t="s">
        <v>44</v>
      </c>
      <c r="O268" s="7">
        <v>74</v>
      </c>
      <c r="P268" s="7">
        <v>27</v>
      </c>
      <c r="Q268" s="7">
        <v>12.64</v>
      </c>
      <c r="R268" s="7">
        <v>1997.67</v>
      </c>
      <c r="S268" s="7">
        <v>0</v>
      </c>
      <c r="T268" s="7">
        <v>0</v>
      </c>
      <c r="U268" s="7">
        <v>1997.67</v>
      </c>
      <c r="V268" s="7">
        <v>935.32</v>
      </c>
      <c r="W268" s="7">
        <v>1062.3599999999999</v>
      </c>
      <c r="X268" s="7" t="s">
        <v>129</v>
      </c>
    </row>
    <row r="269" spans="1:24" x14ac:dyDescent="0.25">
      <c r="A269" s="16" t="s">
        <v>627</v>
      </c>
      <c r="B269" s="17">
        <v>45536</v>
      </c>
      <c r="C269" s="6" t="s">
        <v>461</v>
      </c>
      <c r="D269" s="6" t="s">
        <v>87</v>
      </c>
      <c r="E269" s="6" t="s">
        <v>150</v>
      </c>
      <c r="F269" s="6" t="s">
        <v>151</v>
      </c>
      <c r="G269" s="6" t="s">
        <v>101</v>
      </c>
      <c r="H269" s="6" t="s">
        <v>134</v>
      </c>
      <c r="I269" s="6" t="s">
        <v>53</v>
      </c>
      <c r="J269" s="6" t="s">
        <v>122</v>
      </c>
      <c r="K269" s="6" t="s">
        <v>60</v>
      </c>
      <c r="L269" s="6" t="s">
        <v>2662</v>
      </c>
      <c r="M269" s="6" t="s">
        <v>153</v>
      </c>
      <c r="N269" s="6" t="s">
        <v>44</v>
      </c>
      <c r="O269" s="6">
        <v>61</v>
      </c>
      <c r="P269" s="6">
        <v>81.55</v>
      </c>
      <c r="Q269" s="6">
        <v>50.76</v>
      </c>
      <c r="R269" s="6">
        <v>4974.83</v>
      </c>
      <c r="S269" s="6">
        <v>0.05</v>
      </c>
      <c r="T269" s="6">
        <v>248.74</v>
      </c>
      <c r="U269" s="6">
        <v>4726.09</v>
      </c>
      <c r="V269" s="6">
        <v>3096.55</v>
      </c>
      <c r="W269" s="6">
        <v>1629.54</v>
      </c>
      <c r="X269" s="6" t="s">
        <v>45</v>
      </c>
    </row>
    <row r="270" spans="1:24" x14ac:dyDescent="0.25">
      <c r="A270" s="5" t="s">
        <v>628</v>
      </c>
      <c r="B270" s="18">
        <v>45592</v>
      </c>
      <c r="C270" s="7" t="s">
        <v>569</v>
      </c>
      <c r="D270" s="7" t="s">
        <v>121</v>
      </c>
      <c r="E270" s="7" t="s">
        <v>150</v>
      </c>
      <c r="F270" s="7" t="s">
        <v>151</v>
      </c>
      <c r="G270" s="7" t="s">
        <v>101</v>
      </c>
      <c r="H270" s="7" t="s">
        <v>134</v>
      </c>
      <c r="I270" s="7" t="s">
        <v>58</v>
      </c>
      <c r="J270" s="7" t="s">
        <v>323</v>
      </c>
      <c r="K270" s="7" t="s">
        <v>29</v>
      </c>
      <c r="L270" s="7" t="s">
        <v>2660</v>
      </c>
      <c r="M270" s="7" t="s">
        <v>30</v>
      </c>
      <c r="N270" s="7" t="s">
        <v>31</v>
      </c>
      <c r="O270" s="7">
        <v>65</v>
      </c>
      <c r="P270" s="7">
        <v>82.07</v>
      </c>
      <c r="Q270" s="7">
        <v>48.01</v>
      </c>
      <c r="R270" s="7">
        <v>5334.3</v>
      </c>
      <c r="S270" s="7">
        <v>0.05</v>
      </c>
      <c r="T270" s="7">
        <v>266.70999999999998</v>
      </c>
      <c r="U270" s="7">
        <v>5067.58</v>
      </c>
      <c r="V270" s="7">
        <v>3120.78</v>
      </c>
      <c r="W270" s="7">
        <v>1946.8</v>
      </c>
      <c r="X270" s="7" t="s">
        <v>129</v>
      </c>
    </row>
    <row r="271" spans="1:24" x14ac:dyDescent="0.25">
      <c r="A271" s="16" t="s">
        <v>629</v>
      </c>
      <c r="B271" s="17">
        <v>45622</v>
      </c>
      <c r="C271" s="6" t="s">
        <v>447</v>
      </c>
      <c r="D271" s="6" t="s">
        <v>48</v>
      </c>
      <c r="E271" s="6" t="s">
        <v>93</v>
      </c>
      <c r="F271" s="6" t="s">
        <v>94</v>
      </c>
      <c r="G271" s="6" t="s">
        <v>95</v>
      </c>
      <c r="H271" s="6" t="s">
        <v>96</v>
      </c>
      <c r="I271" s="6" t="s">
        <v>88</v>
      </c>
      <c r="J271" s="6" t="s">
        <v>183</v>
      </c>
      <c r="K271" s="6" t="s">
        <v>152</v>
      </c>
      <c r="L271" s="6" t="s">
        <v>2670</v>
      </c>
      <c r="M271" s="6" t="s">
        <v>153</v>
      </c>
      <c r="N271" s="6" t="s">
        <v>70</v>
      </c>
      <c r="O271" s="6">
        <v>11</v>
      </c>
      <c r="P271" s="6">
        <v>58.49</v>
      </c>
      <c r="Q271" s="6">
        <v>31.87</v>
      </c>
      <c r="R271" s="6">
        <v>643.41</v>
      </c>
      <c r="S271" s="6">
        <v>0.02</v>
      </c>
      <c r="T271" s="6">
        <v>12.87</v>
      </c>
      <c r="U271" s="6">
        <v>630.54</v>
      </c>
      <c r="V271" s="6">
        <v>350.53</v>
      </c>
      <c r="W271" s="6">
        <v>280.01</v>
      </c>
      <c r="X271" s="6" t="s">
        <v>129</v>
      </c>
    </row>
    <row r="272" spans="1:24" x14ac:dyDescent="0.25">
      <c r="A272" s="5" t="s">
        <v>630</v>
      </c>
      <c r="B272" s="18">
        <v>45387</v>
      </c>
      <c r="C272" s="7" t="s">
        <v>631</v>
      </c>
      <c r="D272" s="7" t="s">
        <v>105</v>
      </c>
      <c r="E272" s="7" t="s">
        <v>176</v>
      </c>
      <c r="F272" s="7" t="s">
        <v>177</v>
      </c>
      <c r="G272" s="7" t="s">
        <v>101</v>
      </c>
      <c r="H272" s="7" t="s">
        <v>39</v>
      </c>
      <c r="I272" s="7" t="s">
        <v>288</v>
      </c>
      <c r="J272" s="7" t="s">
        <v>41</v>
      </c>
      <c r="K272" s="7" t="s">
        <v>265</v>
      </c>
      <c r="L272" s="7" t="s">
        <v>2678</v>
      </c>
      <c r="M272" s="7" t="s">
        <v>30</v>
      </c>
      <c r="N272" s="7" t="s">
        <v>44</v>
      </c>
      <c r="O272" s="7">
        <v>10</v>
      </c>
      <c r="P272" s="7">
        <v>99.61</v>
      </c>
      <c r="Q272" s="7">
        <v>65.069999999999993</v>
      </c>
      <c r="R272" s="7">
        <v>996.13</v>
      </c>
      <c r="S272" s="7">
        <v>0</v>
      </c>
      <c r="T272" s="7">
        <v>0</v>
      </c>
      <c r="U272" s="7">
        <v>996.13</v>
      </c>
      <c r="V272" s="7">
        <v>650.67999999999995</v>
      </c>
      <c r="W272" s="7">
        <v>345.45</v>
      </c>
      <c r="X272" s="7" t="s">
        <v>32</v>
      </c>
    </row>
    <row r="273" spans="1:24" x14ac:dyDescent="0.25">
      <c r="A273" s="16" t="s">
        <v>632</v>
      </c>
      <c r="B273" s="17">
        <v>45312</v>
      </c>
      <c r="C273" s="6" t="s">
        <v>344</v>
      </c>
      <c r="D273" s="6" t="s">
        <v>87</v>
      </c>
      <c r="E273" s="6" t="s">
        <v>165</v>
      </c>
      <c r="F273" s="6" t="s">
        <v>166</v>
      </c>
      <c r="G273" s="6" t="s">
        <v>95</v>
      </c>
      <c r="H273" s="6" t="s">
        <v>167</v>
      </c>
      <c r="I273" s="6" t="s">
        <v>53</v>
      </c>
      <c r="J273" s="6" t="s">
        <v>143</v>
      </c>
      <c r="K273" s="6" t="s">
        <v>218</v>
      </c>
      <c r="L273" s="6" t="s">
        <v>2674</v>
      </c>
      <c r="M273" s="6" t="s">
        <v>61</v>
      </c>
      <c r="N273" s="6" t="s">
        <v>31</v>
      </c>
      <c r="O273" s="6">
        <v>26</v>
      </c>
      <c r="P273" s="6">
        <v>41.89</v>
      </c>
      <c r="Q273" s="6">
        <v>26.35</v>
      </c>
      <c r="R273" s="6">
        <v>1089.06</v>
      </c>
      <c r="S273" s="6">
        <v>0</v>
      </c>
      <c r="T273" s="6">
        <v>0</v>
      </c>
      <c r="U273" s="6">
        <v>1089.06</v>
      </c>
      <c r="V273" s="6">
        <v>685.18</v>
      </c>
      <c r="W273" s="6">
        <v>403.89</v>
      </c>
      <c r="X273" s="6" t="s">
        <v>129</v>
      </c>
    </row>
    <row r="274" spans="1:24" x14ac:dyDescent="0.25">
      <c r="A274" s="5" t="s">
        <v>633</v>
      </c>
      <c r="B274" s="18">
        <v>45458</v>
      </c>
      <c r="C274" s="7" t="s">
        <v>322</v>
      </c>
      <c r="D274" s="7" t="s">
        <v>65</v>
      </c>
      <c r="E274" s="7" t="s">
        <v>109</v>
      </c>
      <c r="F274" s="7" t="s">
        <v>110</v>
      </c>
      <c r="G274" s="7" t="s">
        <v>80</v>
      </c>
      <c r="H274" s="7" t="s">
        <v>81</v>
      </c>
      <c r="I274" s="7" t="s">
        <v>40</v>
      </c>
      <c r="J274" s="7" t="s">
        <v>289</v>
      </c>
      <c r="K274" s="7" t="s">
        <v>118</v>
      </c>
      <c r="L274" s="7" t="s">
        <v>2668</v>
      </c>
      <c r="M274" s="7" t="s">
        <v>61</v>
      </c>
      <c r="N274" s="7" t="s">
        <v>75</v>
      </c>
      <c r="O274" s="7">
        <v>76</v>
      </c>
      <c r="P274" s="7">
        <v>122.36</v>
      </c>
      <c r="Q274" s="7">
        <v>72.98</v>
      </c>
      <c r="R274" s="7">
        <v>9298.99</v>
      </c>
      <c r="S274" s="7">
        <v>0</v>
      </c>
      <c r="T274" s="7">
        <v>0</v>
      </c>
      <c r="U274" s="7">
        <v>9298.99</v>
      </c>
      <c r="V274" s="7">
        <v>5546.73</v>
      </c>
      <c r="W274" s="7">
        <v>3752.26</v>
      </c>
      <c r="X274" s="7" t="s">
        <v>45</v>
      </c>
    </row>
    <row r="275" spans="1:24" x14ac:dyDescent="0.25">
      <c r="A275" s="16" t="s">
        <v>634</v>
      </c>
      <c r="B275" s="17">
        <v>45418</v>
      </c>
      <c r="C275" s="6" t="s">
        <v>471</v>
      </c>
      <c r="D275" s="6" t="s">
        <v>125</v>
      </c>
      <c r="E275" s="6" t="s">
        <v>209</v>
      </c>
      <c r="F275" s="6" t="s">
        <v>210</v>
      </c>
      <c r="G275" s="6" t="s">
        <v>51</v>
      </c>
      <c r="H275" s="6" t="s">
        <v>116</v>
      </c>
      <c r="I275" s="6" t="s">
        <v>53</v>
      </c>
      <c r="J275" s="6" t="s">
        <v>232</v>
      </c>
      <c r="K275" s="6" t="s">
        <v>195</v>
      </c>
      <c r="L275" s="6" t="s">
        <v>2673</v>
      </c>
      <c r="M275" s="6" t="s">
        <v>61</v>
      </c>
      <c r="N275" s="6" t="s">
        <v>44</v>
      </c>
      <c r="O275" s="6">
        <v>42</v>
      </c>
      <c r="P275" s="6">
        <v>16.649999999999999</v>
      </c>
      <c r="Q275" s="6">
        <v>10.7</v>
      </c>
      <c r="R275" s="6">
        <v>699.34</v>
      </c>
      <c r="S275" s="6">
        <v>0.1</v>
      </c>
      <c r="T275" s="6">
        <v>69.930000000000007</v>
      </c>
      <c r="U275" s="6">
        <v>629.41</v>
      </c>
      <c r="V275" s="6">
        <v>449.31</v>
      </c>
      <c r="W275" s="6">
        <v>180.09</v>
      </c>
      <c r="X275" s="6" t="s">
        <v>45</v>
      </c>
    </row>
    <row r="276" spans="1:24" x14ac:dyDescent="0.25">
      <c r="A276" s="5" t="s">
        <v>635</v>
      </c>
      <c r="B276" s="18">
        <v>45501</v>
      </c>
      <c r="C276" s="7" t="s">
        <v>636</v>
      </c>
      <c r="D276" s="7" t="s">
        <v>87</v>
      </c>
      <c r="E276" s="7" t="s">
        <v>109</v>
      </c>
      <c r="F276" s="7" t="s">
        <v>110</v>
      </c>
      <c r="G276" s="7" t="s">
        <v>80</v>
      </c>
      <c r="H276" s="7" t="s">
        <v>81</v>
      </c>
      <c r="I276" s="7" t="s">
        <v>88</v>
      </c>
      <c r="J276" s="7" t="s">
        <v>183</v>
      </c>
      <c r="K276" s="7" t="s">
        <v>111</v>
      </c>
      <c r="L276" s="7" t="s">
        <v>2667</v>
      </c>
      <c r="M276" s="7" t="s">
        <v>153</v>
      </c>
      <c r="N276" s="7" t="s">
        <v>84</v>
      </c>
      <c r="O276" s="7">
        <v>47</v>
      </c>
      <c r="P276" s="7">
        <v>126.04</v>
      </c>
      <c r="Q276" s="7">
        <v>73.239999999999995</v>
      </c>
      <c r="R276" s="7">
        <v>5923.92</v>
      </c>
      <c r="S276" s="7">
        <v>0</v>
      </c>
      <c r="T276" s="7">
        <v>0</v>
      </c>
      <c r="U276" s="7">
        <v>5923.92</v>
      </c>
      <c r="V276" s="7">
        <v>3442.46</v>
      </c>
      <c r="W276" s="7">
        <v>2481.4699999999998</v>
      </c>
      <c r="X276" s="7" t="s">
        <v>32</v>
      </c>
    </row>
    <row r="277" spans="1:24" x14ac:dyDescent="0.25">
      <c r="A277" s="16" t="s">
        <v>637</v>
      </c>
      <c r="B277" s="17">
        <v>45528</v>
      </c>
      <c r="C277" s="6" t="s">
        <v>638</v>
      </c>
      <c r="D277" s="6" t="s">
        <v>87</v>
      </c>
      <c r="E277" s="6" t="s">
        <v>141</v>
      </c>
      <c r="F277" s="6" t="s">
        <v>142</v>
      </c>
      <c r="G277" s="6" t="s">
        <v>25</v>
      </c>
      <c r="H277" s="6" t="s">
        <v>26</v>
      </c>
      <c r="I277" s="6" t="s">
        <v>40</v>
      </c>
      <c r="J277" s="6" t="s">
        <v>82</v>
      </c>
      <c r="K277" s="6" t="s">
        <v>144</v>
      </c>
      <c r="L277" s="6" t="s">
        <v>2669</v>
      </c>
      <c r="M277" s="6" t="s">
        <v>61</v>
      </c>
      <c r="N277" s="6" t="s">
        <v>31</v>
      </c>
      <c r="O277" s="6">
        <v>30</v>
      </c>
      <c r="P277" s="6">
        <v>101.9</v>
      </c>
      <c r="Q277" s="6">
        <v>58.99</v>
      </c>
      <c r="R277" s="6">
        <v>3057.05</v>
      </c>
      <c r="S277" s="6">
        <v>0.1</v>
      </c>
      <c r="T277" s="6">
        <v>305.7</v>
      </c>
      <c r="U277" s="6">
        <v>2751.34</v>
      </c>
      <c r="V277" s="6">
        <v>1769.56</v>
      </c>
      <c r="W277" s="6">
        <v>981.78</v>
      </c>
      <c r="X277" s="6" t="s">
        <v>45</v>
      </c>
    </row>
    <row r="278" spans="1:24" x14ac:dyDescent="0.25">
      <c r="A278" s="5" t="s">
        <v>639</v>
      </c>
      <c r="B278" s="18">
        <v>45480</v>
      </c>
      <c r="C278" s="7" t="s">
        <v>552</v>
      </c>
      <c r="D278" s="7" t="s">
        <v>163</v>
      </c>
      <c r="E278" s="7" t="s">
        <v>132</v>
      </c>
      <c r="F278" s="7" t="s">
        <v>133</v>
      </c>
      <c r="G278" s="7" t="s">
        <v>51</v>
      </c>
      <c r="H278" s="7" t="s">
        <v>134</v>
      </c>
      <c r="I278" s="7" t="s">
        <v>88</v>
      </c>
      <c r="J278" s="7" t="s">
        <v>135</v>
      </c>
      <c r="K278" s="7" t="s">
        <v>118</v>
      </c>
      <c r="L278" s="7" t="s">
        <v>2668</v>
      </c>
      <c r="M278" s="7" t="s">
        <v>43</v>
      </c>
      <c r="N278" s="7" t="s">
        <v>84</v>
      </c>
      <c r="O278" s="7">
        <v>79</v>
      </c>
      <c r="P278" s="7">
        <v>57.54</v>
      </c>
      <c r="Q278" s="7">
        <v>34.31</v>
      </c>
      <c r="R278" s="7">
        <v>4545.3900000000003</v>
      </c>
      <c r="S278" s="7">
        <v>0.05</v>
      </c>
      <c r="T278" s="7">
        <v>227.27</v>
      </c>
      <c r="U278" s="7">
        <v>4318.12</v>
      </c>
      <c r="V278" s="7">
        <v>2710.64</v>
      </c>
      <c r="W278" s="7">
        <v>1607.48</v>
      </c>
      <c r="X278" s="7" t="s">
        <v>32</v>
      </c>
    </row>
    <row r="279" spans="1:24" x14ac:dyDescent="0.25">
      <c r="A279" s="16" t="s">
        <v>640</v>
      </c>
      <c r="B279" s="17">
        <v>45652</v>
      </c>
      <c r="C279" s="6" t="s">
        <v>234</v>
      </c>
      <c r="D279" s="6" t="s">
        <v>159</v>
      </c>
      <c r="E279" s="6" t="s">
        <v>216</v>
      </c>
      <c r="F279" s="6" t="s">
        <v>217</v>
      </c>
      <c r="G279" s="6" t="s">
        <v>38</v>
      </c>
      <c r="H279" s="6" t="s">
        <v>134</v>
      </c>
      <c r="I279" s="6" t="s">
        <v>53</v>
      </c>
      <c r="J279" s="6" t="s">
        <v>54</v>
      </c>
      <c r="K279" s="6" t="s">
        <v>60</v>
      </c>
      <c r="L279" s="6" t="s">
        <v>2662</v>
      </c>
      <c r="M279" s="6" t="s">
        <v>61</v>
      </c>
      <c r="N279" s="6" t="s">
        <v>75</v>
      </c>
      <c r="O279" s="6">
        <v>49</v>
      </c>
      <c r="P279" s="6">
        <v>118.53</v>
      </c>
      <c r="Q279" s="6">
        <v>71.69</v>
      </c>
      <c r="R279" s="6">
        <v>5807.98</v>
      </c>
      <c r="S279" s="6">
        <v>0</v>
      </c>
      <c r="T279" s="6">
        <v>0</v>
      </c>
      <c r="U279" s="6">
        <v>5807.98</v>
      </c>
      <c r="V279" s="6">
        <v>3512.75</v>
      </c>
      <c r="W279" s="6">
        <v>2295.23</v>
      </c>
      <c r="X279" s="6" t="s">
        <v>129</v>
      </c>
    </row>
    <row r="280" spans="1:24" x14ac:dyDescent="0.25">
      <c r="A280" s="5" t="s">
        <v>641</v>
      </c>
      <c r="B280" s="18">
        <v>45602</v>
      </c>
      <c r="C280" s="7" t="s">
        <v>389</v>
      </c>
      <c r="D280" s="7" t="s">
        <v>264</v>
      </c>
      <c r="E280" s="7" t="s">
        <v>165</v>
      </c>
      <c r="F280" s="7" t="s">
        <v>166</v>
      </c>
      <c r="G280" s="7" t="s">
        <v>95</v>
      </c>
      <c r="H280" s="7" t="s">
        <v>167</v>
      </c>
      <c r="I280" s="7" t="s">
        <v>88</v>
      </c>
      <c r="J280" s="7" t="s">
        <v>135</v>
      </c>
      <c r="K280" s="7" t="s">
        <v>69</v>
      </c>
      <c r="L280" s="7" t="s">
        <v>2663</v>
      </c>
      <c r="M280" s="7" t="s">
        <v>61</v>
      </c>
      <c r="N280" s="7" t="s">
        <v>70</v>
      </c>
      <c r="O280" s="7">
        <v>16</v>
      </c>
      <c r="P280" s="7">
        <v>43.98</v>
      </c>
      <c r="Q280" s="7">
        <v>25.83</v>
      </c>
      <c r="R280" s="7">
        <v>703.67</v>
      </c>
      <c r="S280" s="7">
        <v>0</v>
      </c>
      <c r="T280" s="7">
        <v>0</v>
      </c>
      <c r="U280" s="7">
        <v>703.67</v>
      </c>
      <c r="V280" s="7">
        <v>413.25</v>
      </c>
      <c r="W280" s="7">
        <v>290.41000000000003</v>
      </c>
      <c r="X280" s="7" t="s">
        <v>32</v>
      </c>
    </row>
    <row r="281" spans="1:24" x14ac:dyDescent="0.25">
      <c r="A281" s="16" t="s">
        <v>642</v>
      </c>
      <c r="B281" s="17">
        <v>45559</v>
      </c>
      <c r="C281" s="6" t="s">
        <v>643</v>
      </c>
      <c r="D281" s="6" t="s">
        <v>359</v>
      </c>
      <c r="E281" s="6" t="s">
        <v>99</v>
      </c>
      <c r="F281" s="6" t="s">
        <v>100</v>
      </c>
      <c r="G281" s="6" t="s">
        <v>101</v>
      </c>
      <c r="H281" s="6" t="s">
        <v>102</v>
      </c>
      <c r="I281" s="6" t="s">
        <v>27</v>
      </c>
      <c r="J281" s="6" t="s">
        <v>28</v>
      </c>
      <c r="K281" s="6" t="s">
        <v>83</v>
      </c>
      <c r="L281" s="6" t="s">
        <v>2665</v>
      </c>
      <c r="M281" s="6" t="s">
        <v>153</v>
      </c>
      <c r="N281" s="6" t="s">
        <v>44</v>
      </c>
      <c r="O281" s="6">
        <v>76</v>
      </c>
      <c r="P281" s="6">
        <v>67.3</v>
      </c>
      <c r="Q281" s="6">
        <v>39</v>
      </c>
      <c r="R281" s="6">
        <v>5115.1499999999996</v>
      </c>
      <c r="S281" s="6">
        <v>0.2</v>
      </c>
      <c r="T281" s="6">
        <v>1023.03</v>
      </c>
      <c r="U281" s="6">
        <v>4092.12</v>
      </c>
      <c r="V281" s="6">
        <v>2963.75</v>
      </c>
      <c r="W281" s="6">
        <v>1128.3699999999999</v>
      </c>
      <c r="X281" s="6" t="s">
        <v>129</v>
      </c>
    </row>
    <row r="282" spans="1:24" x14ac:dyDescent="0.25">
      <c r="A282" s="5" t="s">
        <v>644</v>
      </c>
      <c r="B282" s="18">
        <v>45452</v>
      </c>
      <c r="C282" s="7" t="s">
        <v>645</v>
      </c>
      <c r="D282" s="7" t="s">
        <v>149</v>
      </c>
      <c r="E282" s="7" t="s">
        <v>114</v>
      </c>
      <c r="F282" s="7" t="s">
        <v>115</v>
      </c>
      <c r="G282" s="7" t="s">
        <v>95</v>
      </c>
      <c r="H282" s="7" t="s">
        <v>116</v>
      </c>
      <c r="I282" s="7" t="s">
        <v>40</v>
      </c>
      <c r="J282" s="7" t="s">
        <v>117</v>
      </c>
      <c r="K282" s="7" t="s">
        <v>184</v>
      </c>
      <c r="L282" s="7" t="s">
        <v>2672</v>
      </c>
      <c r="M282" s="7" t="s">
        <v>61</v>
      </c>
      <c r="N282" s="7" t="s">
        <v>70</v>
      </c>
      <c r="O282" s="7">
        <v>8</v>
      </c>
      <c r="P282" s="7">
        <v>37.630000000000003</v>
      </c>
      <c r="Q282" s="7">
        <v>21.92</v>
      </c>
      <c r="R282" s="7">
        <v>301.04000000000002</v>
      </c>
      <c r="S282" s="7">
        <v>0</v>
      </c>
      <c r="T282" s="7">
        <v>0</v>
      </c>
      <c r="U282" s="7">
        <v>301.04000000000002</v>
      </c>
      <c r="V282" s="7">
        <v>175.4</v>
      </c>
      <c r="W282" s="7">
        <v>125.64</v>
      </c>
      <c r="X282" s="7" t="s">
        <v>32</v>
      </c>
    </row>
    <row r="283" spans="1:24" x14ac:dyDescent="0.25">
      <c r="A283" s="16" t="s">
        <v>646</v>
      </c>
      <c r="B283" s="17">
        <v>45497</v>
      </c>
      <c r="C283" s="6" t="s">
        <v>647</v>
      </c>
      <c r="D283" s="6" t="s">
        <v>159</v>
      </c>
      <c r="E283" s="6" t="s">
        <v>222</v>
      </c>
      <c r="F283" s="6" t="s">
        <v>223</v>
      </c>
      <c r="G283" s="6" t="s">
        <v>101</v>
      </c>
      <c r="H283" s="6" t="s">
        <v>68</v>
      </c>
      <c r="I283" s="6" t="s">
        <v>88</v>
      </c>
      <c r="J283" s="6" t="s">
        <v>183</v>
      </c>
      <c r="K283" s="6" t="s">
        <v>265</v>
      </c>
      <c r="L283" s="6" t="s">
        <v>2678</v>
      </c>
      <c r="M283" s="6" t="s">
        <v>153</v>
      </c>
      <c r="N283" s="6" t="s">
        <v>31</v>
      </c>
      <c r="O283" s="6">
        <v>26</v>
      </c>
      <c r="P283" s="6">
        <v>-25</v>
      </c>
      <c r="Q283" s="6">
        <v>74.22</v>
      </c>
      <c r="R283" s="6">
        <v>3349.94</v>
      </c>
      <c r="S283" s="6">
        <v>0.02</v>
      </c>
      <c r="T283" s="6">
        <v>67</v>
      </c>
      <c r="U283" s="6">
        <v>3282.95</v>
      </c>
      <c r="V283" s="6">
        <v>1929.66</v>
      </c>
      <c r="W283" s="6">
        <v>1353.29</v>
      </c>
      <c r="X283" s="6" t="s">
        <v>45</v>
      </c>
    </row>
    <row r="284" spans="1:24" x14ac:dyDescent="0.25">
      <c r="A284" s="5" t="s">
        <v>648</v>
      </c>
      <c r="B284" s="18">
        <v>45293</v>
      </c>
      <c r="C284" s="7" t="s">
        <v>649</v>
      </c>
      <c r="D284" s="7" t="s">
        <v>87</v>
      </c>
      <c r="E284" s="7" t="s">
        <v>165</v>
      </c>
      <c r="F284" s="7" t="s">
        <v>166</v>
      </c>
      <c r="G284" s="7" t="s">
        <v>95</v>
      </c>
      <c r="H284" s="7" t="s">
        <v>167</v>
      </c>
      <c r="I284" s="7" t="s">
        <v>27</v>
      </c>
      <c r="J284" s="7" t="s">
        <v>28</v>
      </c>
      <c r="K284" s="7" t="s">
        <v>184</v>
      </c>
      <c r="L284" s="7" t="s">
        <v>2672</v>
      </c>
      <c r="M284" s="7" t="s">
        <v>138</v>
      </c>
      <c r="N284" s="7" t="s">
        <v>70</v>
      </c>
      <c r="O284" s="7">
        <v>53</v>
      </c>
      <c r="P284" s="7">
        <v>43.16</v>
      </c>
      <c r="Q284" s="7">
        <v>26.05</v>
      </c>
      <c r="R284" s="7">
        <v>2287.31</v>
      </c>
      <c r="S284" s="7">
        <v>0.1</v>
      </c>
      <c r="T284" s="7">
        <v>228.73</v>
      </c>
      <c r="U284" s="7">
        <v>2058.58</v>
      </c>
      <c r="V284" s="7">
        <v>1380.46</v>
      </c>
      <c r="W284" s="7">
        <v>678.11</v>
      </c>
      <c r="X284" s="7" t="s">
        <v>45</v>
      </c>
    </row>
    <row r="285" spans="1:24" x14ac:dyDescent="0.25">
      <c r="A285" s="16" t="s">
        <v>650</v>
      </c>
      <c r="B285" s="17">
        <v>45561</v>
      </c>
      <c r="C285" s="6" t="s">
        <v>651</v>
      </c>
      <c r="D285" s="6" t="s">
        <v>105</v>
      </c>
      <c r="E285" s="6" t="s">
        <v>150</v>
      </c>
      <c r="F285" s="6" t="s">
        <v>151</v>
      </c>
      <c r="G285" s="6" t="s">
        <v>101</v>
      </c>
      <c r="H285" s="6" t="s">
        <v>134</v>
      </c>
      <c r="I285" s="6" t="s">
        <v>58</v>
      </c>
      <c r="J285" s="6" t="s">
        <v>59</v>
      </c>
      <c r="K285" s="6" t="s">
        <v>184</v>
      </c>
      <c r="L285" s="6" t="s">
        <v>2672</v>
      </c>
      <c r="M285" s="6" t="s">
        <v>153</v>
      </c>
      <c r="N285" s="6" t="s">
        <v>44</v>
      </c>
      <c r="O285" s="6">
        <v>62</v>
      </c>
      <c r="P285" s="6">
        <v>78.989999999999995</v>
      </c>
      <c r="Q285" s="6">
        <v>55.04</v>
      </c>
      <c r="R285" s="6">
        <v>4897.4399999999996</v>
      </c>
      <c r="S285" s="6">
        <v>0.2</v>
      </c>
      <c r="T285" s="6">
        <v>979.49</v>
      </c>
      <c r="U285" s="6">
        <v>3917.95</v>
      </c>
      <c r="V285" s="6">
        <v>3412.36</v>
      </c>
      <c r="W285" s="6">
        <v>505.59</v>
      </c>
      <c r="X285" s="6" t="s">
        <v>45</v>
      </c>
    </row>
    <row r="286" spans="1:24" x14ac:dyDescent="0.25">
      <c r="A286" s="5" t="s">
        <v>652</v>
      </c>
      <c r="B286" s="18">
        <v>45643</v>
      </c>
      <c r="C286" s="7" t="s">
        <v>653</v>
      </c>
      <c r="D286" s="7" t="s">
        <v>87</v>
      </c>
      <c r="E286" s="7" t="s">
        <v>216</v>
      </c>
      <c r="F286" s="7" t="s">
        <v>217</v>
      </c>
      <c r="G286" s="7" t="s">
        <v>38</v>
      </c>
      <c r="H286" s="7" t="s">
        <v>134</v>
      </c>
      <c r="I286" s="7" t="s">
        <v>58</v>
      </c>
      <c r="J286" s="7" t="s">
        <v>323</v>
      </c>
      <c r="K286" s="7" t="s">
        <v>261</v>
      </c>
      <c r="L286" s="7" t="s">
        <v>2677</v>
      </c>
      <c r="M286" s="7" t="s">
        <v>43</v>
      </c>
      <c r="N286" s="7" t="s">
        <v>70</v>
      </c>
      <c r="O286" s="7">
        <v>34</v>
      </c>
      <c r="P286" s="7">
        <v>106.14</v>
      </c>
      <c r="Q286" s="7">
        <v>67.459999999999994</v>
      </c>
      <c r="R286" s="7">
        <v>3608.91</v>
      </c>
      <c r="S286" s="7">
        <v>0.15</v>
      </c>
      <c r="T286" s="7">
        <v>541.34</v>
      </c>
      <c r="U286" s="7">
        <v>3067.57</v>
      </c>
      <c r="V286" s="7">
        <v>2293.56</v>
      </c>
      <c r="W286" s="7">
        <v>774.01</v>
      </c>
      <c r="X286" s="7" t="s">
        <v>129</v>
      </c>
    </row>
    <row r="287" spans="1:24" x14ac:dyDescent="0.25">
      <c r="A287" s="16" t="s">
        <v>654</v>
      </c>
      <c r="B287" s="17">
        <v>45642</v>
      </c>
      <c r="C287" s="6" t="s">
        <v>655</v>
      </c>
      <c r="D287" s="6" t="s">
        <v>57</v>
      </c>
      <c r="E287" s="6" t="s">
        <v>78</v>
      </c>
      <c r="F287" s="6" t="s">
        <v>79</v>
      </c>
      <c r="G287" s="6" t="s">
        <v>80</v>
      </c>
      <c r="H287" s="6" t="s">
        <v>81</v>
      </c>
      <c r="I287" s="6" t="s">
        <v>40</v>
      </c>
      <c r="J287" s="6" t="s">
        <v>117</v>
      </c>
      <c r="K287" s="6" t="s">
        <v>90</v>
      </c>
      <c r="L287" s="6" t="s">
        <v>2666</v>
      </c>
      <c r="M287" s="6" t="s">
        <v>30</v>
      </c>
      <c r="N287" s="6" t="s">
        <v>31</v>
      </c>
      <c r="O287" s="6">
        <v>17</v>
      </c>
      <c r="P287" s="6">
        <v>139.15</v>
      </c>
      <c r="Q287" s="6">
        <v>87.87</v>
      </c>
      <c r="R287" s="6">
        <v>2365.5300000000002</v>
      </c>
      <c r="S287" s="6">
        <v>0.1</v>
      </c>
      <c r="T287" s="6">
        <v>236.55</v>
      </c>
      <c r="U287" s="6">
        <v>2128.98</v>
      </c>
      <c r="V287" s="6">
        <v>1493.76</v>
      </c>
      <c r="W287" s="6">
        <v>635.22</v>
      </c>
      <c r="X287" s="6" t="s">
        <v>45</v>
      </c>
    </row>
    <row r="288" spans="1:24" x14ac:dyDescent="0.25">
      <c r="A288" s="5" t="s">
        <v>656</v>
      </c>
      <c r="B288" s="18">
        <v>45518</v>
      </c>
      <c r="C288" s="7" t="s">
        <v>643</v>
      </c>
      <c r="D288" s="7" t="s">
        <v>359</v>
      </c>
      <c r="E288" s="7" t="s">
        <v>222</v>
      </c>
      <c r="F288" s="7" t="s">
        <v>223</v>
      </c>
      <c r="G288" s="7" t="s">
        <v>101</v>
      </c>
      <c r="H288" s="7" t="s">
        <v>68</v>
      </c>
      <c r="I288" s="7" t="s">
        <v>53</v>
      </c>
      <c r="J288" s="7" t="s">
        <v>122</v>
      </c>
      <c r="K288" s="7" t="s">
        <v>152</v>
      </c>
      <c r="L288" s="7" t="s">
        <v>2670</v>
      </c>
      <c r="M288" s="7" t="s">
        <v>30</v>
      </c>
      <c r="N288" s="7" t="s">
        <v>70</v>
      </c>
      <c r="O288" s="7">
        <v>20</v>
      </c>
      <c r="P288" s="7">
        <v>112.18</v>
      </c>
      <c r="Q288" s="7">
        <v>81.099999999999994</v>
      </c>
      <c r="R288" s="7">
        <v>2243.5700000000002</v>
      </c>
      <c r="S288" s="7">
        <v>0.2</v>
      </c>
      <c r="T288" s="7">
        <v>448.71</v>
      </c>
      <c r="U288" s="7">
        <v>1794.85</v>
      </c>
      <c r="V288" s="7">
        <v>1622</v>
      </c>
      <c r="W288" s="7">
        <v>172.86</v>
      </c>
      <c r="X288" s="7" t="s">
        <v>32</v>
      </c>
    </row>
    <row r="289" spans="1:24" x14ac:dyDescent="0.25">
      <c r="A289" s="16" t="s">
        <v>657</v>
      </c>
      <c r="B289" s="17">
        <v>45536</v>
      </c>
      <c r="C289" s="6" t="s">
        <v>658</v>
      </c>
      <c r="D289" s="6" t="s">
        <v>264</v>
      </c>
      <c r="E289" s="6" t="s">
        <v>165</v>
      </c>
      <c r="F289" s="6" t="s">
        <v>166</v>
      </c>
      <c r="G289" s="6" t="s">
        <v>95</v>
      </c>
      <c r="H289" s="6" t="s">
        <v>167</v>
      </c>
      <c r="I289" s="6" t="s">
        <v>27</v>
      </c>
      <c r="J289" s="6" t="s">
        <v>211</v>
      </c>
      <c r="K289" s="6" t="s">
        <v>218</v>
      </c>
      <c r="L289" s="6" t="s">
        <v>2674</v>
      </c>
      <c r="M289" s="6" t="s">
        <v>61</v>
      </c>
      <c r="N289" s="6" t="s">
        <v>70</v>
      </c>
      <c r="O289" s="6">
        <v>39</v>
      </c>
      <c r="P289" s="6">
        <v>40.299999999999997</v>
      </c>
      <c r="Q289" s="6">
        <v>26.28</v>
      </c>
      <c r="R289" s="6">
        <v>1571.54</v>
      </c>
      <c r="S289" s="6">
        <v>0</v>
      </c>
      <c r="T289" s="6">
        <v>0</v>
      </c>
      <c r="U289" s="6">
        <v>1571.54</v>
      </c>
      <c r="V289" s="6">
        <v>1024.78</v>
      </c>
      <c r="W289" s="6">
        <v>546.76</v>
      </c>
      <c r="X289" s="6" t="s">
        <v>32</v>
      </c>
    </row>
    <row r="290" spans="1:24" x14ac:dyDescent="0.25">
      <c r="A290" s="5" t="s">
        <v>659</v>
      </c>
      <c r="B290" s="18">
        <v>45596</v>
      </c>
      <c r="C290" s="7" t="s">
        <v>660</v>
      </c>
      <c r="D290" s="7" t="s">
        <v>264</v>
      </c>
      <c r="E290" s="7" t="s">
        <v>141</v>
      </c>
      <c r="F290" s="7" t="s">
        <v>142</v>
      </c>
      <c r="G290" s="7" t="s">
        <v>25</v>
      </c>
      <c r="H290" s="7" t="s">
        <v>26</v>
      </c>
      <c r="I290" s="7" t="s">
        <v>27</v>
      </c>
      <c r="J290" s="7" t="s">
        <v>28</v>
      </c>
      <c r="K290" s="7" t="s">
        <v>178</v>
      </c>
      <c r="L290" s="7" t="s">
        <v>256</v>
      </c>
      <c r="M290" s="7" t="s">
        <v>61</v>
      </c>
      <c r="N290" s="7" t="s">
        <v>31</v>
      </c>
      <c r="O290" s="7">
        <v>20</v>
      </c>
      <c r="P290" s="7">
        <v>-25</v>
      </c>
      <c r="Q290" s="7">
        <v>62.12</v>
      </c>
      <c r="R290" s="7">
        <v>1879.43</v>
      </c>
      <c r="S290" s="7">
        <v>0.1</v>
      </c>
      <c r="T290" s="7">
        <v>187.94</v>
      </c>
      <c r="U290" s="7">
        <v>1691.49</v>
      </c>
      <c r="V290" s="7">
        <v>1242.3399999999999</v>
      </c>
      <c r="W290" s="7">
        <v>449.15</v>
      </c>
      <c r="X290" s="7" t="s">
        <v>129</v>
      </c>
    </row>
    <row r="291" spans="1:24" x14ac:dyDescent="0.25">
      <c r="A291" s="16" t="s">
        <v>661</v>
      </c>
      <c r="B291" s="17">
        <v>45468</v>
      </c>
      <c r="C291" s="6" t="s">
        <v>662</v>
      </c>
      <c r="D291" s="6" t="s">
        <v>156</v>
      </c>
      <c r="E291" s="6" t="s">
        <v>209</v>
      </c>
      <c r="F291" s="6" t="s">
        <v>210</v>
      </c>
      <c r="G291" s="6" t="s">
        <v>51</v>
      </c>
      <c r="H291" s="6" t="s">
        <v>116</v>
      </c>
      <c r="I291" s="6" t="s">
        <v>58</v>
      </c>
      <c r="J291" s="6" t="s">
        <v>345</v>
      </c>
      <c r="K291" s="6" t="s">
        <v>90</v>
      </c>
      <c r="L291" s="6" t="s">
        <v>2666</v>
      </c>
      <c r="M291" s="6" t="s">
        <v>153</v>
      </c>
      <c r="N291" s="6" t="s">
        <v>75</v>
      </c>
      <c r="O291" s="6">
        <v>31</v>
      </c>
      <c r="P291" s="6">
        <v>18.16</v>
      </c>
      <c r="Q291" s="6">
        <v>10.18</v>
      </c>
      <c r="R291" s="6">
        <v>562.85</v>
      </c>
      <c r="S291" s="6">
        <v>0.2</v>
      </c>
      <c r="T291" s="6">
        <v>112.57</v>
      </c>
      <c r="U291" s="6">
        <v>450.28</v>
      </c>
      <c r="V291" s="6">
        <v>315.54000000000002</v>
      </c>
      <c r="W291" s="6">
        <v>134.74</v>
      </c>
      <c r="X291" s="6" t="s">
        <v>45</v>
      </c>
    </row>
    <row r="292" spans="1:24" x14ac:dyDescent="0.25">
      <c r="A292" s="5" t="s">
        <v>663</v>
      </c>
      <c r="B292" s="18">
        <v>45354</v>
      </c>
      <c r="C292" s="7" t="s">
        <v>664</v>
      </c>
      <c r="D292" s="7" t="s">
        <v>125</v>
      </c>
      <c r="E292" s="7" t="s">
        <v>165</v>
      </c>
      <c r="F292" s="7" t="s">
        <v>166</v>
      </c>
      <c r="G292" s="7" t="s">
        <v>95</v>
      </c>
      <c r="H292" s="7" t="s">
        <v>167</v>
      </c>
      <c r="I292" s="7" t="s">
        <v>58</v>
      </c>
      <c r="J292" s="7" t="s">
        <v>59</v>
      </c>
      <c r="K292" s="7" t="s">
        <v>178</v>
      </c>
      <c r="L292" s="7" t="s">
        <v>256</v>
      </c>
      <c r="M292" s="7" t="s">
        <v>30</v>
      </c>
      <c r="N292" s="7" t="s">
        <v>84</v>
      </c>
      <c r="O292" s="7">
        <v>74</v>
      </c>
      <c r="P292" s="7">
        <v>41.26</v>
      </c>
      <c r="Q292" s="7">
        <v>23.04</v>
      </c>
      <c r="R292" s="7">
        <v>3052.9</v>
      </c>
      <c r="S292" s="7">
        <v>0.2</v>
      </c>
      <c r="T292" s="7">
        <v>610.58000000000004</v>
      </c>
      <c r="U292" s="7">
        <v>2442.3200000000002</v>
      </c>
      <c r="V292" s="7">
        <v>1705.21</v>
      </c>
      <c r="W292" s="7">
        <v>737.11</v>
      </c>
      <c r="X292" s="7" t="s">
        <v>45</v>
      </c>
    </row>
    <row r="293" spans="1:24" x14ac:dyDescent="0.25">
      <c r="A293" s="16" t="s">
        <v>665</v>
      </c>
      <c r="B293" s="17">
        <v>45293</v>
      </c>
      <c r="C293" s="6" t="s">
        <v>666</v>
      </c>
      <c r="D293" s="6" t="s">
        <v>156</v>
      </c>
      <c r="E293" s="6" t="s">
        <v>78</v>
      </c>
      <c r="F293" s="6" t="s">
        <v>79</v>
      </c>
      <c r="G293" s="6" t="s">
        <v>80</v>
      </c>
      <c r="H293" s="6" t="s">
        <v>81</v>
      </c>
      <c r="I293" s="6" t="s">
        <v>58</v>
      </c>
      <c r="J293" s="6" t="s">
        <v>345</v>
      </c>
      <c r="K293" s="6" t="s">
        <v>83</v>
      </c>
      <c r="L293" s="6" t="s">
        <v>2665</v>
      </c>
      <c r="M293" s="6" t="s">
        <v>61</v>
      </c>
      <c r="N293" s="6" t="s">
        <v>31</v>
      </c>
      <c r="O293" s="6">
        <v>20</v>
      </c>
      <c r="P293" s="6"/>
      <c r="Q293" s="6">
        <v>80.83</v>
      </c>
      <c r="R293" s="6">
        <v>2814.52</v>
      </c>
      <c r="S293" s="6">
        <v>0.2</v>
      </c>
      <c r="T293" s="6">
        <v>562.9</v>
      </c>
      <c r="U293" s="6">
        <v>2251.62</v>
      </c>
      <c r="V293" s="6">
        <v>1616.67</v>
      </c>
      <c r="W293" s="6">
        <v>634.95000000000005</v>
      </c>
      <c r="X293" s="6" t="s">
        <v>45</v>
      </c>
    </row>
    <row r="294" spans="1:24" x14ac:dyDescent="0.25">
      <c r="A294" s="5" t="s">
        <v>667</v>
      </c>
      <c r="B294" s="18">
        <v>45641</v>
      </c>
      <c r="C294" s="7" t="s">
        <v>602</v>
      </c>
      <c r="D294" s="7" t="s">
        <v>159</v>
      </c>
      <c r="E294" s="7" t="s">
        <v>176</v>
      </c>
      <c r="F294" s="7" t="s">
        <v>177</v>
      </c>
      <c r="G294" s="7" t="s">
        <v>101</v>
      </c>
      <c r="H294" s="7" t="s">
        <v>39</v>
      </c>
      <c r="I294" s="7" t="s">
        <v>27</v>
      </c>
      <c r="J294" s="7" t="s">
        <v>211</v>
      </c>
      <c r="K294" s="7" t="s">
        <v>253</v>
      </c>
      <c r="L294" s="7" t="s">
        <v>2676</v>
      </c>
      <c r="M294" s="7" t="s">
        <v>30</v>
      </c>
      <c r="N294" s="7" t="s">
        <v>75</v>
      </c>
      <c r="O294" s="7">
        <v>8</v>
      </c>
      <c r="P294" s="7">
        <v>102.31</v>
      </c>
      <c r="Q294" s="7">
        <v>58.76</v>
      </c>
      <c r="R294" s="7">
        <v>818.49</v>
      </c>
      <c r="S294" s="7">
        <v>0.02</v>
      </c>
      <c r="T294" s="7">
        <v>16.37</v>
      </c>
      <c r="U294" s="7">
        <v>802.12</v>
      </c>
      <c r="V294" s="7">
        <v>470.05</v>
      </c>
      <c r="W294" s="7">
        <v>332.08</v>
      </c>
      <c r="X294" s="7" t="s">
        <v>45</v>
      </c>
    </row>
    <row r="295" spans="1:24" x14ac:dyDescent="0.25">
      <c r="A295" s="16" t="s">
        <v>668</v>
      </c>
      <c r="B295" s="17">
        <v>45362</v>
      </c>
      <c r="C295" s="6" t="s">
        <v>180</v>
      </c>
      <c r="D295" s="6" t="s">
        <v>163</v>
      </c>
      <c r="E295" s="6" t="s">
        <v>209</v>
      </c>
      <c r="F295" s="6" t="s">
        <v>210</v>
      </c>
      <c r="G295" s="6" t="s">
        <v>51</v>
      </c>
      <c r="H295" s="6" t="s">
        <v>116</v>
      </c>
      <c r="I295" s="6" t="s">
        <v>40</v>
      </c>
      <c r="J295" s="6" t="s">
        <v>41</v>
      </c>
      <c r="K295" s="6" t="s">
        <v>265</v>
      </c>
      <c r="L295" s="6" t="s">
        <v>2678</v>
      </c>
      <c r="M295" s="6" t="s">
        <v>30</v>
      </c>
      <c r="N295" s="6" t="s">
        <v>70</v>
      </c>
      <c r="O295" s="6">
        <v>79</v>
      </c>
      <c r="P295" s="6">
        <v>17.73</v>
      </c>
      <c r="Q295" s="6">
        <v>10.65</v>
      </c>
      <c r="R295" s="6">
        <v>1400.41</v>
      </c>
      <c r="S295" s="6">
        <v>0.15</v>
      </c>
      <c r="T295" s="6">
        <v>210.06</v>
      </c>
      <c r="U295" s="6">
        <v>1190.3499999999999</v>
      </c>
      <c r="V295" s="6">
        <v>841.33</v>
      </c>
      <c r="W295" s="6">
        <v>349.02</v>
      </c>
      <c r="X295" s="6" t="s">
        <v>45</v>
      </c>
    </row>
    <row r="296" spans="1:24" x14ac:dyDescent="0.25">
      <c r="A296" s="5" t="s">
        <v>669</v>
      </c>
      <c r="B296" s="18">
        <v>45401</v>
      </c>
      <c r="C296" s="7" t="s">
        <v>347</v>
      </c>
      <c r="D296" s="7" t="s">
        <v>163</v>
      </c>
      <c r="E296" s="7" t="s">
        <v>109</v>
      </c>
      <c r="F296" s="7" t="s">
        <v>110</v>
      </c>
      <c r="G296" s="7" t="s">
        <v>80</v>
      </c>
      <c r="H296" s="7" t="s">
        <v>81</v>
      </c>
      <c r="I296" s="7" t="s">
        <v>27</v>
      </c>
      <c r="J296" s="7" t="s">
        <v>189</v>
      </c>
      <c r="K296" s="7" t="s">
        <v>60</v>
      </c>
      <c r="L296" s="7" t="s">
        <v>2662</v>
      </c>
      <c r="M296" s="7" t="s">
        <v>30</v>
      </c>
      <c r="N296" s="7" t="s">
        <v>70</v>
      </c>
      <c r="O296" s="7">
        <v>73</v>
      </c>
      <c r="P296" s="7">
        <v>119.37</v>
      </c>
      <c r="Q296" s="7">
        <v>70.239999999999995</v>
      </c>
      <c r="R296" s="7">
        <v>8714.32</v>
      </c>
      <c r="S296" s="7">
        <v>0.15</v>
      </c>
      <c r="T296" s="7">
        <v>1307.1500000000001</v>
      </c>
      <c r="U296" s="7">
        <v>7407.17</v>
      </c>
      <c r="V296" s="7">
        <v>5127.87</v>
      </c>
      <c r="W296" s="7">
        <v>2279.3000000000002</v>
      </c>
      <c r="X296" s="7" t="s">
        <v>45</v>
      </c>
    </row>
    <row r="297" spans="1:24" x14ac:dyDescent="0.25">
      <c r="A297" s="16" t="s">
        <v>670</v>
      </c>
      <c r="B297" s="17">
        <v>45311</v>
      </c>
      <c r="C297" s="6" t="s">
        <v>511</v>
      </c>
      <c r="D297" s="6" t="s">
        <v>163</v>
      </c>
      <c r="E297" s="6" t="s">
        <v>141</v>
      </c>
      <c r="F297" s="6" t="s">
        <v>142</v>
      </c>
      <c r="G297" s="6" t="s">
        <v>25</v>
      </c>
      <c r="H297" s="6" t="s">
        <v>26</v>
      </c>
      <c r="I297" s="6" t="s">
        <v>40</v>
      </c>
      <c r="J297" s="6" t="s">
        <v>82</v>
      </c>
      <c r="K297" s="6" t="s">
        <v>261</v>
      </c>
      <c r="L297" s="6" t="s">
        <v>2677</v>
      </c>
      <c r="M297" s="6" t="s">
        <v>153</v>
      </c>
      <c r="N297" s="6" t="s">
        <v>44</v>
      </c>
      <c r="O297" s="6">
        <v>79</v>
      </c>
      <c r="P297" s="6">
        <v>93.81</v>
      </c>
      <c r="Q297" s="6">
        <v>57.17</v>
      </c>
      <c r="R297" s="6">
        <v>7411.13</v>
      </c>
      <c r="S297" s="6">
        <v>0.05</v>
      </c>
      <c r="T297" s="6">
        <v>370.56</v>
      </c>
      <c r="U297" s="6">
        <v>7040.57</v>
      </c>
      <c r="V297" s="6">
        <v>4516.7700000000004</v>
      </c>
      <c r="W297" s="6">
        <v>2523.81</v>
      </c>
      <c r="X297" s="6" t="s">
        <v>45</v>
      </c>
    </row>
    <row r="298" spans="1:24" x14ac:dyDescent="0.25">
      <c r="A298" s="5" t="s">
        <v>671</v>
      </c>
      <c r="B298" s="18">
        <v>45636</v>
      </c>
      <c r="C298" s="7" t="s">
        <v>458</v>
      </c>
      <c r="D298" s="7" t="s">
        <v>163</v>
      </c>
      <c r="E298" s="7" t="s">
        <v>176</v>
      </c>
      <c r="F298" s="7" t="s">
        <v>177</v>
      </c>
      <c r="G298" s="7" t="s">
        <v>101</v>
      </c>
      <c r="H298" s="7" t="s">
        <v>39</v>
      </c>
      <c r="I298" s="7" t="s">
        <v>27</v>
      </c>
      <c r="J298" s="7" t="s">
        <v>189</v>
      </c>
      <c r="K298" s="7" t="s">
        <v>184</v>
      </c>
      <c r="L298" s="7" t="s">
        <v>2672</v>
      </c>
      <c r="M298" s="7" t="s">
        <v>30</v>
      </c>
      <c r="N298" s="7" t="s">
        <v>44</v>
      </c>
      <c r="O298" s="7">
        <v>23</v>
      </c>
      <c r="P298" s="7">
        <v>109.74</v>
      </c>
      <c r="Q298" s="7">
        <v>65.099999999999994</v>
      </c>
      <c r="R298" s="7">
        <v>2523.98</v>
      </c>
      <c r="S298" s="7">
        <v>0.1</v>
      </c>
      <c r="T298" s="7">
        <v>252.4</v>
      </c>
      <c r="U298" s="7">
        <v>2271.58</v>
      </c>
      <c r="V298" s="7">
        <v>1497.4</v>
      </c>
      <c r="W298" s="7">
        <v>774.18</v>
      </c>
      <c r="X298" s="7" t="s">
        <v>45</v>
      </c>
    </row>
    <row r="299" spans="1:24" x14ac:dyDescent="0.25">
      <c r="A299" s="16" t="s">
        <v>672</v>
      </c>
      <c r="B299" s="17">
        <v>45544</v>
      </c>
      <c r="C299" s="6" t="s">
        <v>229</v>
      </c>
      <c r="D299" s="6" t="s">
        <v>87</v>
      </c>
      <c r="E299" s="6" t="s">
        <v>49</v>
      </c>
      <c r="F299" s="6" t="s">
        <v>50</v>
      </c>
      <c r="G299" s="6" t="s">
        <v>51</v>
      </c>
      <c r="H299" s="6" t="s">
        <v>52</v>
      </c>
      <c r="I299" s="6" t="s">
        <v>40</v>
      </c>
      <c r="J299" s="6" t="s">
        <v>289</v>
      </c>
      <c r="K299" s="6" t="s">
        <v>184</v>
      </c>
      <c r="L299" s="6" t="s">
        <v>2672</v>
      </c>
      <c r="M299" s="6" t="s">
        <v>153</v>
      </c>
      <c r="N299" s="6" t="s">
        <v>84</v>
      </c>
      <c r="O299" s="6">
        <v>23</v>
      </c>
      <c r="P299" s="6">
        <v>26.37</v>
      </c>
      <c r="Q299" s="6">
        <v>12.61</v>
      </c>
      <c r="R299" s="6">
        <v>606.53</v>
      </c>
      <c r="S299" s="6">
        <v>0.05</v>
      </c>
      <c r="T299" s="6">
        <v>30.33</v>
      </c>
      <c r="U299" s="6">
        <v>576.20000000000005</v>
      </c>
      <c r="V299" s="6">
        <v>290.07</v>
      </c>
      <c r="W299" s="6">
        <v>286.13</v>
      </c>
      <c r="X299" s="6" t="s">
        <v>45</v>
      </c>
    </row>
    <row r="300" spans="1:24" x14ac:dyDescent="0.25">
      <c r="A300" s="5" t="s">
        <v>673</v>
      </c>
      <c r="B300" s="18">
        <v>45587</v>
      </c>
      <c r="C300" s="7" t="s">
        <v>674</v>
      </c>
      <c r="D300" s="7" t="s">
        <v>264</v>
      </c>
      <c r="E300" s="7" t="s">
        <v>150</v>
      </c>
      <c r="F300" s="7" t="s">
        <v>151</v>
      </c>
      <c r="G300" s="7" t="s">
        <v>101</v>
      </c>
      <c r="H300" s="7" t="s">
        <v>134</v>
      </c>
      <c r="I300" s="7" t="s">
        <v>53</v>
      </c>
      <c r="J300" s="7" t="s">
        <v>143</v>
      </c>
      <c r="K300" s="7" t="s">
        <v>74</v>
      </c>
      <c r="L300" s="7" t="s">
        <v>2664</v>
      </c>
      <c r="M300" s="7" t="s">
        <v>153</v>
      </c>
      <c r="N300" s="7" t="s">
        <v>31</v>
      </c>
      <c r="O300" s="7">
        <v>64</v>
      </c>
      <c r="P300" s="7">
        <v>84.85</v>
      </c>
      <c r="Q300" s="7">
        <v>53.21</v>
      </c>
      <c r="R300" s="7">
        <v>5430.12</v>
      </c>
      <c r="S300" s="7">
        <v>0.2</v>
      </c>
      <c r="T300" s="7">
        <v>1086.02</v>
      </c>
      <c r="U300" s="7">
        <v>4344.09</v>
      </c>
      <c r="V300" s="7">
        <v>3405.22</v>
      </c>
      <c r="W300" s="7">
        <v>938.87</v>
      </c>
      <c r="X300" s="7" t="s">
        <v>32</v>
      </c>
    </row>
    <row r="301" spans="1:24" x14ac:dyDescent="0.25">
      <c r="A301" s="16" t="s">
        <v>675</v>
      </c>
      <c r="B301" s="17">
        <v>45425</v>
      </c>
      <c r="C301" s="6" t="s">
        <v>676</v>
      </c>
      <c r="D301" s="6" t="s">
        <v>359</v>
      </c>
      <c r="E301" s="6" t="s">
        <v>66</v>
      </c>
      <c r="F301" s="6" t="s">
        <v>67</v>
      </c>
      <c r="G301" s="6" t="s">
        <v>38</v>
      </c>
      <c r="H301" s="6" t="s">
        <v>68</v>
      </c>
      <c r="I301" s="6" t="s">
        <v>53</v>
      </c>
      <c r="J301" s="6" t="s">
        <v>54</v>
      </c>
      <c r="K301" s="6" t="s">
        <v>253</v>
      </c>
      <c r="L301" s="6" t="s">
        <v>2676</v>
      </c>
      <c r="M301" s="6" t="s">
        <v>153</v>
      </c>
      <c r="N301" s="6" t="s">
        <v>84</v>
      </c>
      <c r="O301" s="6">
        <v>47</v>
      </c>
      <c r="P301" s="6">
        <v>154.59</v>
      </c>
      <c r="Q301" s="6">
        <v>101.6</v>
      </c>
      <c r="R301" s="6">
        <v>7265.76</v>
      </c>
      <c r="S301" s="6">
        <v>0.05</v>
      </c>
      <c r="T301" s="6">
        <v>363.29</v>
      </c>
      <c r="U301" s="6">
        <v>6902.47</v>
      </c>
      <c r="V301" s="6">
        <v>4775.12</v>
      </c>
      <c r="W301" s="6">
        <v>2127.34</v>
      </c>
      <c r="X301" s="6" t="s">
        <v>45</v>
      </c>
    </row>
    <row r="302" spans="1:24" x14ac:dyDescent="0.25">
      <c r="A302" s="5" t="s">
        <v>677</v>
      </c>
      <c r="B302" s="18">
        <v>45321</v>
      </c>
      <c r="C302" s="7" t="s">
        <v>182</v>
      </c>
      <c r="D302" s="7" t="s">
        <v>35</v>
      </c>
      <c r="E302" s="7" t="s">
        <v>36</v>
      </c>
      <c r="F302" s="7" t="s">
        <v>37</v>
      </c>
      <c r="G302" s="7" t="s">
        <v>38</v>
      </c>
      <c r="H302" s="7" t="s">
        <v>39</v>
      </c>
      <c r="I302" s="7" t="s">
        <v>27</v>
      </c>
      <c r="J302" s="7" t="s">
        <v>211</v>
      </c>
      <c r="K302" s="7" t="s">
        <v>144</v>
      </c>
      <c r="L302" s="7" t="s">
        <v>2669</v>
      </c>
      <c r="M302" s="7" t="s">
        <v>153</v>
      </c>
      <c r="N302" s="7" t="s">
        <v>31</v>
      </c>
      <c r="O302" s="7">
        <v>48</v>
      </c>
      <c r="P302" s="7">
        <v>152.31</v>
      </c>
      <c r="Q302" s="7">
        <v>95.2</v>
      </c>
      <c r="R302" s="7">
        <v>7310.72</v>
      </c>
      <c r="S302" s="7">
        <v>0.15</v>
      </c>
      <c r="T302" s="7">
        <v>1096.6099999999999</v>
      </c>
      <c r="U302" s="7">
        <v>6214.11</v>
      </c>
      <c r="V302" s="7">
        <v>4569.38</v>
      </c>
      <c r="W302" s="7">
        <v>1644.73</v>
      </c>
      <c r="X302" s="7" t="s">
        <v>45</v>
      </c>
    </row>
    <row r="303" spans="1:24" x14ac:dyDescent="0.25">
      <c r="A303" s="16" t="s">
        <v>678</v>
      </c>
      <c r="B303" s="17">
        <v>45526</v>
      </c>
      <c r="C303" s="6" t="s">
        <v>679</v>
      </c>
      <c r="D303" s="6" t="s">
        <v>105</v>
      </c>
      <c r="E303" s="6" t="s">
        <v>114</v>
      </c>
      <c r="F303" s="6" t="s">
        <v>115</v>
      </c>
      <c r="G303" s="6" t="s">
        <v>95</v>
      </c>
      <c r="H303" s="6" t="s">
        <v>116</v>
      </c>
      <c r="I303" s="6" t="s">
        <v>88</v>
      </c>
      <c r="J303" s="6" t="s">
        <v>173</v>
      </c>
      <c r="K303" s="6" t="s">
        <v>265</v>
      </c>
      <c r="L303" s="6" t="s">
        <v>2678</v>
      </c>
      <c r="M303" s="6" t="s">
        <v>61</v>
      </c>
      <c r="N303" s="6" t="s">
        <v>31</v>
      </c>
      <c r="O303" s="6">
        <v>24</v>
      </c>
      <c r="P303" s="6">
        <v>35.36</v>
      </c>
      <c r="Q303" s="6">
        <v>21.91</v>
      </c>
      <c r="R303" s="6">
        <v>848.75</v>
      </c>
      <c r="S303" s="6">
        <v>0.02</v>
      </c>
      <c r="T303" s="6">
        <v>16.97</v>
      </c>
      <c r="U303" s="6">
        <v>831.77</v>
      </c>
      <c r="V303" s="6">
        <v>525.9</v>
      </c>
      <c r="W303" s="6">
        <v>305.87</v>
      </c>
      <c r="X303" s="6" t="s">
        <v>45</v>
      </c>
    </row>
    <row r="304" spans="1:24" x14ac:dyDescent="0.25">
      <c r="A304" s="5" t="s">
        <v>680</v>
      </c>
      <c r="B304" s="18">
        <v>45376</v>
      </c>
      <c r="C304" s="7" t="s">
        <v>681</v>
      </c>
      <c r="D304" s="7" t="s">
        <v>105</v>
      </c>
      <c r="E304" s="7" t="s">
        <v>216</v>
      </c>
      <c r="F304" s="7" t="s">
        <v>217</v>
      </c>
      <c r="G304" s="7" t="s">
        <v>38</v>
      </c>
      <c r="H304" s="7" t="s">
        <v>134</v>
      </c>
      <c r="I304" s="7" t="s">
        <v>40</v>
      </c>
      <c r="J304" s="7" t="s">
        <v>41</v>
      </c>
      <c r="K304" s="7" t="s">
        <v>90</v>
      </c>
      <c r="L304" s="7" t="s">
        <v>2666</v>
      </c>
      <c r="M304" s="7" t="s">
        <v>61</v>
      </c>
      <c r="N304" s="7" t="s">
        <v>44</v>
      </c>
      <c r="O304" s="7">
        <v>42</v>
      </c>
      <c r="P304" s="7">
        <v>102.48</v>
      </c>
      <c r="Q304" s="7">
        <v>70.45</v>
      </c>
      <c r="R304" s="7">
        <v>4304.1899999999996</v>
      </c>
      <c r="S304" s="7">
        <v>0.15</v>
      </c>
      <c r="T304" s="7">
        <v>645.63</v>
      </c>
      <c r="U304" s="7">
        <v>3658.56</v>
      </c>
      <c r="V304" s="7">
        <v>2958.91</v>
      </c>
      <c r="W304" s="7">
        <v>699.64</v>
      </c>
      <c r="X304" s="7" t="s">
        <v>45</v>
      </c>
    </row>
    <row r="305" spans="1:24" x14ac:dyDescent="0.25">
      <c r="A305" s="16" t="s">
        <v>682</v>
      </c>
      <c r="B305" s="17">
        <v>45461</v>
      </c>
      <c r="C305" s="6" t="s">
        <v>466</v>
      </c>
      <c r="D305" s="6" t="s">
        <v>221</v>
      </c>
      <c r="E305" s="6" t="s">
        <v>99</v>
      </c>
      <c r="F305" s="6" t="s">
        <v>100</v>
      </c>
      <c r="G305" s="6" t="s">
        <v>101</v>
      </c>
      <c r="H305" s="6" t="s">
        <v>102</v>
      </c>
      <c r="I305" s="6" t="s">
        <v>58</v>
      </c>
      <c r="J305" s="6" t="s">
        <v>73</v>
      </c>
      <c r="K305" s="6" t="s">
        <v>261</v>
      </c>
      <c r="L305" s="6" t="s">
        <v>2677</v>
      </c>
      <c r="M305" s="6" t="s">
        <v>153</v>
      </c>
      <c r="N305" s="6" t="s">
        <v>75</v>
      </c>
      <c r="O305" s="6">
        <v>59</v>
      </c>
      <c r="P305" s="6">
        <v>64.53</v>
      </c>
      <c r="Q305" s="6">
        <v>42.89</v>
      </c>
      <c r="R305" s="6">
        <v>3807.07</v>
      </c>
      <c r="S305" s="6">
        <v>0.1</v>
      </c>
      <c r="T305" s="6">
        <v>380.71</v>
      </c>
      <c r="U305" s="6">
        <v>3426.36</v>
      </c>
      <c r="V305" s="6">
        <v>2530.2199999999998</v>
      </c>
      <c r="W305" s="6">
        <v>896.14</v>
      </c>
      <c r="X305" s="6" t="s">
        <v>45</v>
      </c>
    </row>
    <row r="306" spans="1:24" x14ac:dyDescent="0.25">
      <c r="A306" s="5" t="s">
        <v>683</v>
      </c>
      <c r="B306" s="18">
        <v>45449</v>
      </c>
      <c r="C306" s="7" t="s">
        <v>636</v>
      </c>
      <c r="D306" s="7" t="s">
        <v>87</v>
      </c>
      <c r="E306" s="7" t="s">
        <v>99</v>
      </c>
      <c r="F306" s="7" t="s">
        <v>100</v>
      </c>
      <c r="G306" s="7" t="s">
        <v>101</v>
      </c>
      <c r="H306" s="7" t="s">
        <v>102</v>
      </c>
      <c r="I306" s="7" t="s">
        <v>53</v>
      </c>
      <c r="J306" s="7" t="s">
        <v>232</v>
      </c>
      <c r="K306" s="7" t="s">
        <v>195</v>
      </c>
      <c r="L306" s="7" t="s">
        <v>2673</v>
      </c>
      <c r="M306" s="7" t="s">
        <v>43</v>
      </c>
      <c r="N306" s="7" t="s">
        <v>44</v>
      </c>
      <c r="O306" s="7">
        <v>43</v>
      </c>
      <c r="P306" s="7">
        <v>74.55</v>
      </c>
      <c r="Q306" s="7">
        <v>39.36</v>
      </c>
      <c r="R306" s="7">
        <v>3205.65</v>
      </c>
      <c r="S306" s="7">
        <v>0.1</v>
      </c>
      <c r="T306" s="7">
        <v>320.57</v>
      </c>
      <c r="U306" s="7">
        <v>2885.09</v>
      </c>
      <c r="V306" s="7">
        <v>1692.35</v>
      </c>
      <c r="W306" s="7">
        <v>1192.73</v>
      </c>
      <c r="X306" s="7" t="s">
        <v>129</v>
      </c>
    </row>
    <row r="307" spans="1:24" x14ac:dyDescent="0.25">
      <c r="A307" s="16" t="s">
        <v>684</v>
      </c>
      <c r="B307" s="17">
        <v>45644</v>
      </c>
      <c r="C307" s="6" t="s">
        <v>258</v>
      </c>
      <c r="D307" s="6" t="s">
        <v>259</v>
      </c>
      <c r="E307" s="6" t="s">
        <v>250</v>
      </c>
      <c r="F307" s="6" t="s">
        <v>251</v>
      </c>
      <c r="G307" s="6" t="s">
        <v>51</v>
      </c>
      <c r="H307" s="6" t="s">
        <v>252</v>
      </c>
      <c r="I307" s="6" t="s">
        <v>53</v>
      </c>
      <c r="J307" s="6" t="s">
        <v>232</v>
      </c>
      <c r="K307" s="6" t="s">
        <v>261</v>
      </c>
      <c r="L307" s="6" t="s">
        <v>2677</v>
      </c>
      <c r="M307" s="6" t="s">
        <v>61</v>
      </c>
      <c r="N307" s="6" t="s">
        <v>31</v>
      </c>
      <c r="O307" s="6">
        <v>36</v>
      </c>
      <c r="P307" s="6">
        <v>64.489999999999995</v>
      </c>
      <c r="Q307" s="6">
        <v>36.08</v>
      </c>
      <c r="R307" s="6">
        <v>2321.7600000000002</v>
      </c>
      <c r="S307" s="6">
        <v>0.1</v>
      </c>
      <c r="T307" s="6">
        <v>232.18</v>
      </c>
      <c r="U307" s="6">
        <v>2089.59</v>
      </c>
      <c r="V307" s="6">
        <v>1298.71</v>
      </c>
      <c r="W307" s="6">
        <v>790.88</v>
      </c>
      <c r="X307" s="6" t="s">
        <v>45</v>
      </c>
    </row>
    <row r="308" spans="1:24" x14ac:dyDescent="0.25">
      <c r="A308" s="5" t="s">
        <v>685</v>
      </c>
      <c r="B308" s="18">
        <v>45301</v>
      </c>
      <c r="C308" s="7" t="s">
        <v>466</v>
      </c>
      <c r="D308" s="7" t="s">
        <v>221</v>
      </c>
      <c r="E308" s="7" t="s">
        <v>209</v>
      </c>
      <c r="F308" s="7" t="s">
        <v>210</v>
      </c>
      <c r="G308" s="7" t="s">
        <v>51</v>
      </c>
      <c r="H308" s="7" t="s">
        <v>116</v>
      </c>
      <c r="I308" s="7" t="s">
        <v>53</v>
      </c>
      <c r="J308" s="7" t="s">
        <v>232</v>
      </c>
      <c r="K308" s="7" t="s">
        <v>90</v>
      </c>
      <c r="L308" s="7" t="s">
        <v>2666</v>
      </c>
      <c r="M308" s="7" t="s">
        <v>61</v>
      </c>
      <c r="N308" s="7" t="s">
        <v>44</v>
      </c>
      <c r="O308" s="7">
        <v>35</v>
      </c>
      <c r="P308" s="7">
        <v>19.23</v>
      </c>
      <c r="Q308" s="7">
        <v>9.58</v>
      </c>
      <c r="R308" s="7">
        <v>673.06</v>
      </c>
      <c r="S308" s="7">
        <v>0.15</v>
      </c>
      <c r="T308" s="7">
        <v>100.96</v>
      </c>
      <c r="U308" s="7">
        <v>572.1</v>
      </c>
      <c r="V308" s="7">
        <v>335.14</v>
      </c>
      <c r="W308" s="7">
        <v>236.96</v>
      </c>
      <c r="X308" s="7" t="s">
        <v>129</v>
      </c>
    </row>
    <row r="309" spans="1:24" x14ac:dyDescent="0.25">
      <c r="A309" s="16" t="s">
        <v>686</v>
      </c>
      <c r="B309" s="17">
        <v>45615</v>
      </c>
      <c r="C309" s="6" t="s">
        <v>337</v>
      </c>
      <c r="D309" s="6" t="s">
        <v>87</v>
      </c>
      <c r="E309" s="6" t="s">
        <v>93</v>
      </c>
      <c r="F309" s="6" t="s">
        <v>94</v>
      </c>
      <c r="G309" s="6" t="s">
        <v>95</v>
      </c>
      <c r="H309" s="6" t="s">
        <v>96</v>
      </c>
      <c r="I309" s="6" t="s">
        <v>288</v>
      </c>
      <c r="J309" s="6" t="s">
        <v>82</v>
      </c>
      <c r="K309" s="6" t="s">
        <v>170</v>
      </c>
      <c r="L309" s="6" t="s">
        <v>2671</v>
      </c>
      <c r="M309" s="6" t="s">
        <v>61</v>
      </c>
      <c r="N309" s="6" t="s">
        <v>70</v>
      </c>
      <c r="O309" s="6">
        <v>26</v>
      </c>
      <c r="P309" s="6">
        <v>56.2</v>
      </c>
      <c r="Q309" s="6">
        <v>34.119999999999997</v>
      </c>
      <c r="R309" s="6">
        <v>1461.14</v>
      </c>
      <c r="S309" s="6">
        <v>0.02</v>
      </c>
      <c r="T309" s="6">
        <v>29.22</v>
      </c>
      <c r="U309" s="6">
        <v>1431.92</v>
      </c>
      <c r="V309" s="6">
        <v>887.02</v>
      </c>
      <c r="W309" s="6">
        <v>544.9</v>
      </c>
      <c r="X309" s="6" t="s">
        <v>45</v>
      </c>
    </row>
    <row r="310" spans="1:24" x14ac:dyDescent="0.25">
      <c r="A310" s="5" t="s">
        <v>687</v>
      </c>
      <c r="B310" s="18">
        <v>45418</v>
      </c>
      <c r="C310" s="7" t="s">
        <v>688</v>
      </c>
      <c r="D310" s="7" t="s">
        <v>156</v>
      </c>
      <c r="E310" s="7" t="s">
        <v>222</v>
      </c>
      <c r="F310" s="7" t="s">
        <v>223</v>
      </c>
      <c r="G310" s="7" t="s">
        <v>101</v>
      </c>
      <c r="H310" s="7" t="s">
        <v>68</v>
      </c>
      <c r="I310" s="7" t="s">
        <v>27</v>
      </c>
      <c r="J310" s="7" t="s">
        <v>189</v>
      </c>
      <c r="K310" s="7" t="s">
        <v>60</v>
      </c>
      <c r="L310" s="7" t="s">
        <v>2662</v>
      </c>
      <c r="M310" s="7" t="s">
        <v>61</v>
      </c>
      <c r="N310" s="7" t="s">
        <v>75</v>
      </c>
      <c r="O310" s="7">
        <v>26</v>
      </c>
      <c r="P310" s="7">
        <v>127.54</v>
      </c>
      <c r="Q310" s="7">
        <v>78.489999999999995</v>
      </c>
      <c r="R310" s="7">
        <v>3315.97</v>
      </c>
      <c r="S310" s="7">
        <v>0</v>
      </c>
      <c r="T310" s="7">
        <v>0</v>
      </c>
      <c r="U310" s="7">
        <v>3315.97</v>
      </c>
      <c r="V310" s="7">
        <v>2040.77</v>
      </c>
      <c r="W310" s="7">
        <v>1275.2</v>
      </c>
      <c r="X310" s="7" t="s">
        <v>45</v>
      </c>
    </row>
    <row r="311" spans="1:24" x14ac:dyDescent="0.25">
      <c r="A311" s="16" t="s">
        <v>689</v>
      </c>
      <c r="B311" s="17">
        <v>45340</v>
      </c>
      <c r="C311" s="6" t="s">
        <v>158</v>
      </c>
      <c r="D311" s="6" t="s">
        <v>159</v>
      </c>
      <c r="E311" s="6" t="s">
        <v>109</v>
      </c>
      <c r="F311" s="6" t="s">
        <v>110</v>
      </c>
      <c r="G311" s="6" t="s">
        <v>80</v>
      </c>
      <c r="H311" s="6" t="s">
        <v>81</v>
      </c>
      <c r="I311" s="6" t="s">
        <v>53</v>
      </c>
      <c r="J311" s="6" t="s">
        <v>232</v>
      </c>
      <c r="K311" s="6" t="s">
        <v>90</v>
      </c>
      <c r="L311" s="6" t="s">
        <v>2666</v>
      </c>
      <c r="M311" s="6" t="s">
        <v>43</v>
      </c>
      <c r="N311" s="6" t="s">
        <v>70</v>
      </c>
      <c r="O311" s="6">
        <v>60</v>
      </c>
      <c r="P311" s="6">
        <v>119.23</v>
      </c>
      <c r="Q311" s="6">
        <v>71.959999999999994</v>
      </c>
      <c r="R311" s="6">
        <v>7153.74</v>
      </c>
      <c r="S311" s="6">
        <v>0</v>
      </c>
      <c r="T311" s="6">
        <v>0</v>
      </c>
      <c r="U311" s="6">
        <v>7153.74</v>
      </c>
      <c r="V311" s="6">
        <v>4317.45</v>
      </c>
      <c r="W311" s="6">
        <v>2836.28</v>
      </c>
      <c r="X311" s="6" t="s">
        <v>45</v>
      </c>
    </row>
    <row r="312" spans="1:24" x14ac:dyDescent="0.25">
      <c r="A312" s="5" t="s">
        <v>690</v>
      </c>
      <c r="B312" s="18">
        <v>45514</v>
      </c>
      <c r="C312" s="7" t="s">
        <v>691</v>
      </c>
      <c r="D312" s="7" t="s">
        <v>35</v>
      </c>
      <c r="E312" s="7" t="s">
        <v>109</v>
      </c>
      <c r="F312" s="7" t="s">
        <v>110</v>
      </c>
      <c r="G312" s="7" t="s">
        <v>80</v>
      </c>
      <c r="H312" s="7" t="s">
        <v>81</v>
      </c>
      <c r="I312" s="7" t="s">
        <v>27</v>
      </c>
      <c r="J312" s="7" t="s">
        <v>189</v>
      </c>
      <c r="K312" s="7" t="s">
        <v>261</v>
      </c>
      <c r="L312" s="7" t="s">
        <v>2677</v>
      </c>
      <c r="M312" s="7" t="s">
        <v>153</v>
      </c>
      <c r="N312" s="7" t="s">
        <v>31</v>
      </c>
      <c r="O312" s="7">
        <v>17</v>
      </c>
      <c r="P312" s="7">
        <v>125.23</v>
      </c>
      <c r="Q312" s="7">
        <v>74.38</v>
      </c>
      <c r="R312" s="7">
        <v>2128.9699999999998</v>
      </c>
      <c r="S312" s="7">
        <v>0.02</v>
      </c>
      <c r="T312" s="7">
        <v>42.58</v>
      </c>
      <c r="U312" s="7">
        <v>2086.39</v>
      </c>
      <c r="V312" s="7">
        <v>1264.46</v>
      </c>
      <c r="W312" s="7">
        <v>821.93</v>
      </c>
      <c r="X312" s="7" t="s">
        <v>129</v>
      </c>
    </row>
    <row r="313" spans="1:24" x14ac:dyDescent="0.25">
      <c r="A313" s="16" t="s">
        <v>692</v>
      </c>
      <c r="B313" s="17">
        <v>45618</v>
      </c>
      <c r="C313" s="6" t="s">
        <v>693</v>
      </c>
      <c r="D313" s="6" t="s">
        <v>57</v>
      </c>
      <c r="E313" s="6" t="s">
        <v>165</v>
      </c>
      <c r="F313" s="6" t="s">
        <v>166</v>
      </c>
      <c r="G313" s="6" t="s">
        <v>95</v>
      </c>
      <c r="H313" s="6" t="s">
        <v>167</v>
      </c>
      <c r="I313" s="6" t="s">
        <v>58</v>
      </c>
      <c r="J313" s="6" t="s">
        <v>323</v>
      </c>
      <c r="K313" s="6" t="s">
        <v>42</v>
      </c>
      <c r="L313" s="6" t="s">
        <v>2661</v>
      </c>
      <c r="M313" s="6" t="s">
        <v>694</v>
      </c>
      <c r="N313" s="6" t="s">
        <v>31</v>
      </c>
      <c r="O313" s="6">
        <v>63</v>
      </c>
      <c r="P313" s="6">
        <v>42.74</v>
      </c>
      <c r="Q313" s="6">
        <v>25.01</v>
      </c>
      <c r="R313" s="6">
        <v>2692.39</v>
      </c>
      <c r="S313" s="6">
        <v>0</v>
      </c>
      <c r="T313" s="6">
        <v>0</v>
      </c>
      <c r="U313" s="6">
        <v>2692.39</v>
      </c>
      <c r="V313" s="6">
        <v>1575.68</v>
      </c>
      <c r="W313" s="6">
        <v>1116.71</v>
      </c>
      <c r="X313" s="6" t="s">
        <v>45</v>
      </c>
    </row>
    <row r="314" spans="1:24" x14ac:dyDescent="0.25">
      <c r="A314" s="5" t="s">
        <v>695</v>
      </c>
      <c r="B314" s="18">
        <v>45491</v>
      </c>
      <c r="C314" s="7" t="s">
        <v>696</v>
      </c>
      <c r="D314" s="7" t="s">
        <v>105</v>
      </c>
      <c r="E314" s="7" t="s">
        <v>165</v>
      </c>
      <c r="F314" s="7" t="s">
        <v>166</v>
      </c>
      <c r="G314" s="7" t="s">
        <v>95</v>
      </c>
      <c r="H314" s="7" t="s">
        <v>167</v>
      </c>
      <c r="I314" s="7" t="s">
        <v>40</v>
      </c>
      <c r="J314" s="7" t="s">
        <v>117</v>
      </c>
      <c r="K314" s="7" t="s">
        <v>178</v>
      </c>
      <c r="L314" s="7" t="s">
        <v>256</v>
      </c>
      <c r="M314" s="7" t="s">
        <v>153</v>
      </c>
      <c r="N314" s="7" t="s">
        <v>84</v>
      </c>
      <c r="O314" s="7">
        <v>61</v>
      </c>
      <c r="P314" s="7">
        <v>45.06</v>
      </c>
      <c r="Q314" s="7">
        <v>25.95</v>
      </c>
      <c r="R314" s="7">
        <v>2748.46</v>
      </c>
      <c r="S314" s="7">
        <v>0</v>
      </c>
      <c r="T314" s="7">
        <v>0</v>
      </c>
      <c r="U314" s="7">
        <v>2748.46</v>
      </c>
      <c r="V314" s="7">
        <v>1583.05</v>
      </c>
      <c r="W314" s="7">
        <v>1165.4100000000001</v>
      </c>
      <c r="X314" s="7" t="s">
        <v>129</v>
      </c>
    </row>
    <row r="315" spans="1:24" x14ac:dyDescent="0.25">
      <c r="A315" s="16" t="s">
        <v>697</v>
      </c>
      <c r="B315" s="17">
        <v>45294</v>
      </c>
      <c r="C315" s="6" t="s">
        <v>649</v>
      </c>
      <c r="D315" s="6" t="s">
        <v>87</v>
      </c>
      <c r="E315" s="6" t="s">
        <v>109</v>
      </c>
      <c r="F315" s="6" t="s">
        <v>110</v>
      </c>
      <c r="G315" s="6" t="s">
        <v>80</v>
      </c>
      <c r="H315" s="6" t="s">
        <v>81</v>
      </c>
      <c r="I315" s="6" t="s">
        <v>40</v>
      </c>
      <c r="J315" s="6" t="s">
        <v>117</v>
      </c>
      <c r="K315" s="6" t="s">
        <v>265</v>
      </c>
      <c r="L315" s="6" t="s">
        <v>2678</v>
      </c>
      <c r="M315" s="6" t="s">
        <v>153</v>
      </c>
      <c r="N315" s="6" t="s">
        <v>31</v>
      </c>
      <c r="O315" s="6">
        <v>40</v>
      </c>
      <c r="P315" s="6">
        <v>132.44</v>
      </c>
      <c r="Q315" s="6">
        <v>68.430000000000007</v>
      </c>
      <c r="R315" s="6">
        <v>5297.47</v>
      </c>
      <c r="S315" s="6">
        <v>0</v>
      </c>
      <c r="T315" s="6">
        <v>0</v>
      </c>
      <c r="U315" s="6">
        <v>5297.47</v>
      </c>
      <c r="V315" s="6">
        <v>2737.05</v>
      </c>
      <c r="W315" s="6">
        <v>2560.42</v>
      </c>
      <c r="X315" s="6" t="s">
        <v>45</v>
      </c>
    </row>
    <row r="316" spans="1:24" x14ac:dyDescent="0.25">
      <c r="A316" s="5" t="s">
        <v>698</v>
      </c>
      <c r="B316" s="18">
        <v>45379</v>
      </c>
      <c r="C316" s="7" t="s">
        <v>623</v>
      </c>
      <c r="D316" s="7" t="s">
        <v>156</v>
      </c>
      <c r="E316" s="7" t="s">
        <v>23</v>
      </c>
      <c r="F316" s="7" t="s">
        <v>24</v>
      </c>
      <c r="G316" s="7" t="s">
        <v>25</v>
      </c>
      <c r="H316" s="7" t="s">
        <v>26</v>
      </c>
      <c r="I316" s="7" t="s">
        <v>58</v>
      </c>
      <c r="J316" s="7" t="s">
        <v>345</v>
      </c>
      <c r="K316" s="7" t="s">
        <v>195</v>
      </c>
      <c r="L316" s="7" t="s">
        <v>2673</v>
      </c>
      <c r="M316" s="7" t="s">
        <v>153</v>
      </c>
      <c r="N316" s="7" t="s">
        <v>70</v>
      </c>
      <c r="O316" s="7">
        <v>29</v>
      </c>
      <c r="P316" s="7">
        <v>71.23</v>
      </c>
      <c r="Q316" s="7">
        <v>46.13</v>
      </c>
      <c r="R316" s="7">
        <v>2065.7600000000002</v>
      </c>
      <c r="S316" s="7">
        <v>0</v>
      </c>
      <c r="T316" s="7">
        <v>0</v>
      </c>
      <c r="U316" s="7">
        <v>2065.7600000000002</v>
      </c>
      <c r="V316" s="7">
        <v>1337.79</v>
      </c>
      <c r="W316" s="7">
        <v>727.98</v>
      </c>
      <c r="X316" s="7" t="s">
        <v>129</v>
      </c>
    </row>
    <row r="317" spans="1:24" x14ac:dyDescent="0.25">
      <c r="A317" s="16" t="s">
        <v>699</v>
      </c>
      <c r="B317" s="17">
        <v>45446</v>
      </c>
      <c r="C317" s="6" t="s">
        <v>307</v>
      </c>
      <c r="D317" s="6" t="s">
        <v>105</v>
      </c>
      <c r="E317" s="6" t="s">
        <v>250</v>
      </c>
      <c r="F317" s="6" t="s">
        <v>251</v>
      </c>
      <c r="G317" s="6" t="s">
        <v>51</v>
      </c>
      <c r="H317" s="6" t="s">
        <v>252</v>
      </c>
      <c r="I317" s="6" t="s">
        <v>58</v>
      </c>
      <c r="J317" s="6" t="s">
        <v>73</v>
      </c>
      <c r="K317" s="6" t="s">
        <v>144</v>
      </c>
      <c r="L317" s="6" t="s">
        <v>2669</v>
      </c>
      <c r="M317" s="6" t="s">
        <v>43</v>
      </c>
      <c r="N317" s="6" t="s">
        <v>84</v>
      </c>
      <c r="O317" s="6">
        <v>28</v>
      </c>
      <c r="P317" s="6">
        <v>67.05</v>
      </c>
      <c r="Q317" s="6">
        <v>39.1</v>
      </c>
      <c r="R317" s="6">
        <v>1877.5</v>
      </c>
      <c r="S317" s="6">
        <v>0.15</v>
      </c>
      <c r="T317" s="6">
        <v>281.63</v>
      </c>
      <c r="U317" s="6">
        <v>1595.88</v>
      </c>
      <c r="V317" s="6">
        <v>1094.67</v>
      </c>
      <c r="W317" s="6">
        <v>501.21</v>
      </c>
      <c r="X317" s="6" t="s">
        <v>45</v>
      </c>
    </row>
    <row r="318" spans="1:24" x14ac:dyDescent="0.25">
      <c r="A318" s="5" t="s">
        <v>700</v>
      </c>
      <c r="B318" s="18">
        <v>45333</v>
      </c>
      <c r="C318" s="7" t="s">
        <v>701</v>
      </c>
      <c r="D318" s="7" t="s">
        <v>48</v>
      </c>
      <c r="E318" s="7" t="s">
        <v>99</v>
      </c>
      <c r="F318" s="7" t="s">
        <v>100</v>
      </c>
      <c r="G318" s="7" t="s">
        <v>101</v>
      </c>
      <c r="H318" s="7" t="s">
        <v>102</v>
      </c>
      <c r="I318" s="7" t="s">
        <v>40</v>
      </c>
      <c r="J318" s="7" t="s">
        <v>41</v>
      </c>
      <c r="K318" s="7" t="s">
        <v>42</v>
      </c>
      <c r="L318" s="7" t="s">
        <v>2661</v>
      </c>
      <c r="M318" s="7" t="s">
        <v>43</v>
      </c>
      <c r="N318" s="7" t="s">
        <v>70</v>
      </c>
      <c r="O318" s="7">
        <v>43</v>
      </c>
      <c r="P318" s="7">
        <v>72.150000000000006</v>
      </c>
      <c r="Q318" s="7">
        <v>39.07</v>
      </c>
      <c r="R318" s="7">
        <v>3102.5</v>
      </c>
      <c r="S318" s="7">
        <v>0.02</v>
      </c>
      <c r="T318" s="7">
        <v>62.05</v>
      </c>
      <c r="U318" s="7">
        <v>3040.45</v>
      </c>
      <c r="V318" s="7">
        <v>1680.14</v>
      </c>
      <c r="W318" s="7">
        <v>1360.31</v>
      </c>
      <c r="X318" s="7" t="s">
        <v>45</v>
      </c>
    </row>
    <row r="319" spans="1:24" x14ac:dyDescent="0.25">
      <c r="A319" s="16" t="s">
        <v>702</v>
      </c>
      <c r="B319" s="17">
        <v>45560</v>
      </c>
      <c r="C319" s="6" t="s">
        <v>420</v>
      </c>
      <c r="D319" s="6" t="s">
        <v>156</v>
      </c>
      <c r="E319" s="6" t="s">
        <v>209</v>
      </c>
      <c r="F319" s="6" t="s">
        <v>210</v>
      </c>
      <c r="G319" s="6" t="s">
        <v>51</v>
      </c>
      <c r="H319" s="6" t="s">
        <v>116</v>
      </c>
      <c r="I319" s="6" t="s">
        <v>53</v>
      </c>
      <c r="J319" s="6" t="s">
        <v>143</v>
      </c>
      <c r="K319" s="6" t="s">
        <v>29</v>
      </c>
      <c r="L319" s="6" t="s">
        <v>2660</v>
      </c>
      <c r="M319" s="6" t="s">
        <v>61</v>
      </c>
      <c r="N319" s="6" t="s">
        <v>84</v>
      </c>
      <c r="O319" s="6">
        <v>14</v>
      </c>
      <c r="P319" s="6">
        <v>18.440000000000001</v>
      </c>
      <c r="Q319" s="6">
        <v>9.7899999999999991</v>
      </c>
      <c r="R319" s="6">
        <v>258.12</v>
      </c>
      <c r="S319" s="6">
        <v>0.2</v>
      </c>
      <c r="T319" s="6">
        <v>51.62</v>
      </c>
      <c r="U319" s="6">
        <v>206.49</v>
      </c>
      <c r="V319" s="6">
        <v>137.05000000000001</v>
      </c>
      <c r="W319" s="6">
        <v>69.44</v>
      </c>
      <c r="X319" s="6" t="s">
        <v>45</v>
      </c>
    </row>
    <row r="320" spans="1:24" x14ac:dyDescent="0.25">
      <c r="A320" s="5" t="s">
        <v>703</v>
      </c>
      <c r="B320" s="18">
        <v>45373</v>
      </c>
      <c r="C320" s="7" t="s">
        <v>704</v>
      </c>
      <c r="D320" s="7" t="s">
        <v>105</v>
      </c>
      <c r="E320" s="7" t="s">
        <v>99</v>
      </c>
      <c r="F320" s="7" t="s">
        <v>100</v>
      </c>
      <c r="G320" s="7" t="s">
        <v>101</v>
      </c>
      <c r="H320" s="7" t="s">
        <v>102</v>
      </c>
      <c r="I320" s="7" t="s">
        <v>40</v>
      </c>
      <c r="J320" s="7" t="s">
        <v>82</v>
      </c>
      <c r="K320" s="7" t="s">
        <v>170</v>
      </c>
      <c r="L320" s="7" t="s">
        <v>2671</v>
      </c>
      <c r="M320" s="7" t="s">
        <v>61</v>
      </c>
      <c r="N320" s="7" t="s">
        <v>44</v>
      </c>
      <c r="O320" s="7">
        <v>50</v>
      </c>
      <c r="P320" s="7">
        <v>67.31</v>
      </c>
      <c r="Q320" s="7">
        <v>44.08</v>
      </c>
      <c r="R320" s="7">
        <v>3365.42</v>
      </c>
      <c r="S320" s="7">
        <v>0.15</v>
      </c>
      <c r="T320" s="7">
        <v>504.81</v>
      </c>
      <c r="U320" s="7">
        <v>2860.6</v>
      </c>
      <c r="V320" s="7">
        <v>2204.0700000000002</v>
      </c>
      <c r="W320" s="7">
        <v>656.53</v>
      </c>
      <c r="X320" s="7" t="s">
        <v>45</v>
      </c>
    </row>
    <row r="321" spans="1:24" x14ac:dyDescent="0.25">
      <c r="A321" s="16" t="s">
        <v>705</v>
      </c>
      <c r="B321" s="17">
        <v>45518</v>
      </c>
      <c r="C321" s="6" t="s">
        <v>301</v>
      </c>
      <c r="D321" s="6" t="s">
        <v>259</v>
      </c>
      <c r="E321" s="6" t="s">
        <v>132</v>
      </c>
      <c r="F321" s="6" t="s">
        <v>133</v>
      </c>
      <c r="G321" s="6" t="s">
        <v>51</v>
      </c>
      <c r="H321" s="6" t="s">
        <v>134</v>
      </c>
      <c r="I321" s="6" t="s">
        <v>58</v>
      </c>
      <c r="J321" s="6" t="s">
        <v>73</v>
      </c>
      <c r="K321" s="6" t="s">
        <v>74</v>
      </c>
      <c r="L321" s="6" t="s">
        <v>2664</v>
      </c>
      <c r="M321" s="6" t="s">
        <v>30</v>
      </c>
      <c r="N321" s="6" t="s">
        <v>75</v>
      </c>
      <c r="O321" s="6">
        <v>57</v>
      </c>
      <c r="P321" s="6">
        <v>56.35</v>
      </c>
      <c r="Q321" s="6">
        <v>35.159999999999997</v>
      </c>
      <c r="R321" s="6">
        <v>3211.84</v>
      </c>
      <c r="S321" s="6">
        <v>0.2</v>
      </c>
      <c r="T321" s="6">
        <v>642.37</v>
      </c>
      <c r="U321" s="6">
        <v>2569.4699999999998</v>
      </c>
      <c r="V321" s="6">
        <v>2004.12</v>
      </c>
      <c r="W321" s="6">
        <v>565.35</v>
      </c>
      <c r="X321" s="6" t="s">
        <v>129</v>
      </c>
    </row>
    <row r="322" spans="1:24" x14ac:dyDescent="0.25">
      <c r="A322" s="5" t="s">
        <v>706</v>
      </c>
      <c r="B322" s="18">
        <v>45296</v>
      </c>
      <c r="C322" s="7" t="s">
        <v>707</v>
      </c>
      <c r="D322" s="7" t="s">
        <v>65</v>
      </c>
      <c r="E322" s="7" t="s">
        <v>93</v>
      </c>
      <c r="F322" s="7" t="s">
        <v>94</v>
      </c>
      <c r="G322" s="7" t="s">
        <v>95</v>
      </c>
      <c r="H322" s="7" t="s">
        <v>96</v>
      </c>
      <c r="I322" s="7" t="s">
        <v>40</v>
      </c>
      <c r="J322" s="7" t="s">
        <v>117</v>
      </c>
      <c r="K322" s="7" t="s">
        <v>265</v>
      </c>
      <c r="L322" s="7" t="s">
        <v>2678</v>
      </c>
      <c r="M322" s="7" t="s">
        <v>61</v>
      </c>
      <c r="N322" s="7" t="s">
        <v>75</v>
      </c>
      <c r="O322" s="7">
        <v>14</v>
      </c>
      <c r="P322" s="7">
        <v>52.9</v>
      </c>
      <c r="Q322" s="7">
        <v>30.7</v>
      </c>
      <c r="R322" s="7">
        <v>740.64</v>
      </c>
      <c r="S322" s="7">
        <v>0.15</v>
      </c>
      <c r="T322" s="7">
        <v>111.1</v>
      </c>
      <c r="U322" s="7">
        <v>629.54999999999995</v>
      </c>
      <c r="V322" s="7">
        <v>429.86</v>
      </c>
      <c r="W322" s="7">
        <v>199.68</v>
      </c>
      <c r="X322" s="7" t="s">
        <v>45</v>
      </c>
    </row>
    <row r="323" spans="1:24" x14ac:dyDescent="0.25">
      <c r="A323" s="16" t="s">
        <v>708</v>
      </c>
      <c r="B323" s="17">
        <v>45362</v>
      </c>
      <c r="C323" s="6" t="s">
        <v>631</v>
      </c>
      <c r="D323" s="6" t="s">
        <v>105</v>
      </c>
      <c r="E323" s="6" t="s">
        <v>109</v>
      </c>
      <c r="F323" s="6" t="s">
        <v>110</v>
      </c>
      <c r="G323" s="6" t="s">
        <v>80</v>
      </c>
      <c r="H323" s="6" t="s">
        <v>81</v>
      </c>
      <c r="I323" s="6" t="s">
        <v>40</v>
      </c>
      <c r="J323" s="6" t="s">
        <v>41</v>
      </c>
      <c r="K323" s="6" t="s">
        <v>265</v>
      </c>
      <c r="L323" s="6" t="s">
        <v>2678</v>
      </c>
      <c r="M323" s="6" t="s">
        <v>61</v>
      </c>
      <c r="N323" s="6" t="s">
        <v>75</v>
      </c>
      <c r="O323" s="6">
        <v>16</v>
      </c>
      <c r="P323" s="6">
        <v>123.45</v>
      </c>
      <c r="Q323" s="6">
        <v>72.180000000000007</v>
      </c>
      <c r="R323" s="6">
        <v>1975.27</v>
      </c>
      <c r="S323" s="6">
        <v>0</v>
      </c>
      <c r="T323" s="6">
        <v>0</v>
      </c>
      <c r="U323" s="6">
        <v>1975.27</v>
      </c>
      <c r="V323" s="6">
        <v>1154.93</v>
      </c>
      <c r="W323" s="6">
        <v>820.35</v>
      </c>
      <c r="X323" s="6" t="s">
        <v>45</v>
      </c>
    </row>
    <row r="324" spans="1:24" x14ac:dyDescent="0.25">
      <c r="A324" s="5" t="s">
        <v>709</v>
      </c>
      <c r="B324" s="18">
        <v>45375</v>
      </c>
      <c r="C324" s="7" t="s">
        <v>361</v>
      </c>
      <c r="D324" s="7" t="s">
        <v>35</v>
      </c>
      <c r="E324" s="7" t="s">
        <v>150</v>
      </c>
      <c r="F324" s="7" t="s">
        <v>151</v>
      </c>
      <c r="G324" s="7" t="s">
        <v>101</v>
      </c>
      <c r="H324" s="7" t="s">
        <v>134</v>
      </c>
      <c r="I324" s="7" t="s">
        <v>58</v>
      </c>
      <c r="J324" s="7" t="s">
        <v>345</v>
      </c>
      <c r="K324" s="7" t="s">
        <v>218</v>
      </c>
      <c r="L324" s="7" t="s">
        <v>2674</v>
      </c>
      <c r="M324" s="7" t="s">
        <v>30</v>
      </c>
      <c r="N324" s="7" t="s">
        <v>84</v>
      </c>
      <c r="O324" s="7">
        <v>4</v>
      </c>
      <c r="P324" s="7">
        <v>82.79</v>
      </c>
      <c r="Q324" s="7">
        <v>47.08</v>
      </c>
      <c r="R324" s="7">
        <v>331.15</v>
      </c>
      <c r="S324" s="7">
        <v>0.1</v>
      </c>
      <c r="T324" s="7">
        <v>33.119999999999997</v>
      </c>
      <c r="U324" s="7">
        <v>298.04000000000002</v>
      </c>
      <c r="V324" s="7">
        <v>188.31</v>
      </c>
      <c r="W324" s="7">
        <v>109.73</v>
      </c>
      <c r="X324" s="7" t="s">
        <v>45</v>
      </c>
    </row>
    <row r="325" spans="1:24" x14ac:dyDescent="0.25">
      <c r="A325" s="16" t="s">
        <v>710</v>
      </c>
      <c r="B325" s="17">
        <v>45534</v>
      </c>
      <c r="C325" s="6" t="s">
        <v>711</v>
      </c>
      <c r="D325" s="6" t="s">
        <v>57</v>
      </c>
      <c r="E325" s="6" t="s">
        <v>141</v>
      </c>
      <c r="F325" s="6" t="s">
        <v>142</v>
      </c>
      <c r="G325" s="6" t="s">
        <v>25</v>
      </c>
      <c r="H325" s="6" t="s">
        <v>26</v>
      </c>
      <c r="I325" s="6" t="s">
        <v>712</v>
      </c>
      <c r="J325" s="6" t="s">
        <v>73</v>
      </c>
      <c r="K325" s="6" t="s">
        <v>184</v>
      </c>
      <c r="L325" s="6" t="s">
        <v>2672</v>
      </c>
      <c r="M325" s="6" t="s">
        <v>61</v>
      </c>
      <c r="N325" s="6" t="s">
        <v>31</v>
      </c>
      <c r="O325" s="6">
        <v>5</v>
      </c>
      <c r="P325" s="6">
        <v>91.46</v>
      </c>
      <c r="Q325" s="6">
        <v>61.51</v>
      </c>
      <c r="R325" s="6">
        <v>457.29</v>
      </c>
      <c r="S325" s="6">
        <v>0.2</v>
      </c>
      <c r="T325" s="6">
        <v>91.46</v>
      </c>
      <c r="U325" s="6">
        <v>365.84</v>
      </c>
      <c r="V325" s="6">
        <v>307.57</v>
      </c>
      <c r="W325" s="6">
        <v>58.27</v>
      </c>
      <c r="X325" s="6" t="s">
        <v>32</v>
      </c>
    </row>
    <row r="326" spans="1:24" x14ac:dyDescent="0.25">
      <c r="A326" s="5" t="s">
        <v>713</v>
      </c>
      <c r="B326" s="18">
        <v>45559</v>
      </c>
      <c r="C326" s="7" t="s">
        <v>681</v>
      </c>
      <c r="D326" s="7" t="s">
        <v>105</v>
      </c>
      <c r="E326" s="7" t="s">
        <v>132</v>
      </c>
      <c r="F326" s="7" t="s">
        <v>133</v>
      </c>
      <c r="G326" s="7" t="s">
        <v>51</v>
      </c>
      <c r="H326" s="7" t="s">
        <v>134</v>
      </c>
      <c r="I326" s="7" t="s">
        <v>40</v>
      </c>
      <c r="J326" s="7" t="s">
        <v>41</v>
      </c>
      <c r="K326" s="7" t="s">
        <v>218</v>
      </c>
      <c r="L326" s="7" t="s">
        <v>2674</v>
      </c>
      <c r="M326" s="7" t="s">
        <v>30</v>
      </c>
      <c r="N326" s="7" t="s">
        <v>84</v>
      </c>
      <c r="O326" s="7">
        <v>49</v>
      </c>
      <c r="P326" s="7">
        <v>56.59</v>
      </c>
      <c r="Q326" s="7">
        <v>33.94</v>
      </c>
      <c r="R326" s="7">
        <v>2772.96</v>
      </c>
      <c r="S326" s="7">
        <v>0.1</v>
      </c>
      <c r="T326" s="7">
        <v>277.3</v>
      </c>
      <c r="U326" s="7">
        <v>2495.66</v>
      </c>
      <c r="V326" s="7">
        <v>1663.19</v>
      </c>
      <c r="W326" s="7">
        <v>832.47</v>
      </c>
      <c r="X326" s="7" t="s">
        <v>32</v>
      </c>
    </row>
    <row r="327" spans="1:24" x14ac:dyDescent="0.25">
      <c r="A327" s="16" t="s">
        <v>714</v>
      </c>
      <c r="B327" s="17">
        <v>45474</v>
      </c>
      <c r="C327" s="6" t="s">
        <v>715</v>
      </c>
      <c r="D327" s="6" t="s">
        <v>264</v>
      </c>
      <c r="E327" s="6" t="s">
        <v>126</v>
      </c>
      <c r="F327" s="6" t="s">
        <v>127</v>
      </c>
      <c r="G327" s="6" t="s">
        <v>95</v>
      </c>
      <c r="H327" s="6" t="s">
        <v>128</v>
      </c>
      <c r="I327" s="6" t="s">
        <v>53</v>
      </c>
      <c r="J327" s="6" t="s">
        <v>122</v>
      </c>
      <c r="K327" s="6" t="s">
        <v>152</v>
      </c>
      <c r="L327" s="6" t="s">
        <v>2670</v>
      </c>
      <c r="M327" s="6" t="s">
        <v>61</v>
      </c>
      <c r="N327" s="6" t="s">
        <v>75</v>
      </c>
      <c r="O327" s="6">
        <v>51</v>
      </c>
      <c r="P327" s="6"/>
      <c r="Q327" s="6">
        <v>53.39</v>
      </c>
      <c r="R327" s="6">
        <v>4448.42</v>
      </c>
      <c r="S327" s="6">
        <v>0.15</v>
      </c>
      <c r="T327" s="6">
        <v>667.26</v>
      </c>
      <c r="U327" s="6">
        <v>3781.16</v>
      </c>
      <c r="V327" s="6">
        <v>2723.09</v>
      </c>
      <c r="W327" s="6">
        <v>1058.06</v>
      </c>
      <c r="X327" s="6" t="s">
        <v>45</v>
      </c>
    </row>
    <row r="328" spans="1:24" x14ac:dyDescent="0.25">
      <c r="A328" s="5" t="s">
        <v>716</v>
      </c>
      <c r="B328" s="18">
        <v>45332</v>
      </c>
      <c r="C328" s="7" t="s">
        <v>717</v>
      </c>
      <c r="D328" s="7" t="s">
        <v>35</v>
      </c>
      <c r="E328" s="7" t="s">
        <v>250</v>
      </c>
      <c r="F328" s="7" t="s">
        <v>251</v>
      </c>
      <c r="G328" s="7" t="s">
        <v>51</v>
      </c>
      <c r="H328" s="7" t="s">
        <v>252</v>
      </c>
      <c r="I328" s="7" t="s">
        <v>88</v>
      </c>
      <c r="J328" s="7" t="s">
        <v>173</v>
      </c>
      <c r="K328" s="7" t="s">
        <v>74</v>
      </c>
      <c r="L328" s="7" t="s">
        <v>2664</v>
      </c>
      <c r="M328" s="7" t="s">
        <v>61</v>
      </c>
      <c r="N328" s="7" t="s">
        <v>31</v>
      </c>
      <c r="O328" s="7">
        <v>50</v>
      </c>
      <c r="P328" s="7">
        <v>61.13</v>
      </c>
      <c r="Q328" s="7">
        <v>39.61</v>
      </c>
      <c r="R328" s="7">
        <v>3056.49</v>
      </c>
      <c r="S328" s="7">
        <v>0.05</v>
      </c>
      <c r="T328" s="7">
        <v>152.82</v>
      </c>
      <c r="U328" s="7">
        <v>2903.67</v>
      </c>
      <c r="V328" s="7">
        <v>1980.73</v>
      </c>
      <c r="W328" s="7">
        <v>922.94</v>
      </c>
      <c r="X328" s="7" t="s">
        <v>45</v>
      </c>
    </row>
    <row r="329" spans="1:24" x14ac:dyDescent="0.25">
      <c r="A329" s="16" t="s">
        <v>718</v>
      </c>
      <c r="B329" s="17">
        <v>45612</v>
      </c>
      <c r="C329" s="6"/>
      <c r="D329" s="6"/>
      <c r="E329" s="6" t="s">
        <v>93</v>
      </c>
      <c r="F329" s="6" t="s">
        <v>94</v>
      </c>
      <c r="G329" s="6" t="s">
        <v>95</v>
      </c>
      <c r="H329" s="6" t="s">
        <v>96</v>
      </c>
      <c r="I329" s="6" t="s">
        <v>88</v>
      </c>
      <c r="J329" s="6" t="s">
        <v>135</v>
      </c>
      <c r="K329" s="6" t="s">
        <v>218</v>
      </c>
      <c r="L329" s="6" t="s">
        <v>2674</v>
      </c>
      <c r="M329" s="6" t="s">
        <v>30</v>
      </c>
      <c r="N329" s="6" t="s">
        <v>75</v>
      </c>
      <c r="O329" s="6">
        <v>69</v>
      </c>
      <c r="P329" s="6">
        <v>55.59</v>
      </c>
      <c r="Q329" s="6">
        <v>30.75</v>
      </c>
      <c r="R329" s="6">
        <v>3835.87</v>
      </c>
      <c r="S329" s="6">
        <v>0.02</v>
      </c>
      <c r="T329" s="6">
        <v>76.72</v>
      </c>
      <c r="U329" s="6">
        <v>3759.15</v>
      </c>
      <c r="V329" s="6">
        <v>2122</v>
      </c>
      <c r="W329" s="6">
        <v>1637.16</v>
      </c>
      <c r="X329" s="6" t="s">
        <v>45</v>
      </c>
    </row>
    <row r="330" spans="1:24" x14ac:dyDescent="0.25">
      <c r="A330" s="5" t="s">
        <v>719</v>
      </c>
      <c r="B330" s="18">
        <v>45524</v>
      </c>
      <c r="C330" s="7" t="s">
        <v>572</v>
      </c>
      <c r="D330" s="7" t="s">
        <v>57</v>
      </c>
      <c r="E330" s="7" t="s">
        <v>126</v>
      </c>
      <c r="F330" s="7" t="s">
        <v>127</v>
      </c>
      <c r="G330" s="7" t="s">
        <v>95</v>
      </c>
      <c r="H330" s="7" t="s">
        <v>128</v>
      </c>
      <c r="I330" s="7" t="s">
        <v>53</v>
      </c>
      <c r="J330" s="7" t="s">
        <v>232</v>
      </c>
      <c r="K330" s="7" t="s">
        <v>60</v>
      </c>
      <c r="L330" s="7" t="s">
        <v>2662</v>
      </c>
      <c r="M330" s="7" t="s">
        <v>153</v>
      </c>
      <c r="N330" s="7" t="s">
        <v>75</v>
      </c>
      <c r="O330" s="7">
        <v>69</v>
      </c>
      <c r="P330" s="7">
        <v>90.92</v>
      </c>
      <c r="Q330" s="7">
        <v>51.8</v>
      </c>
      <c r="R330" s="7">
        <v>6273.66</v>
      </c>
      <c r="S330" s="7">
        <v>0.05</v>
      </c>
      <c r="T330" s="7">
        <v>313.68</v>
      </c>
      <c r="U330" s="7">
        <v>6117.86</v>
      </c>
      <c r="V330" s="7">
        <v>3574.25</v>
      </c>
      <c r="W330" s="7">
        <v>2385.73</v>
      </c>
      <c r="X330" s="7" t="s">
        <v>45</v>
      </c>
    </row>
    <row r="331" spans="1:24" x14ac:dyDescent="0.25">
      <c r="A331" s="16" t="s">
        <v>720</v>
      </c>
      <c r="B331" s="17">
        <v>45639</v>
      </c>
      <c r="C331" s="6" t="s">
        <v>721</v>
      </c>
      <c r="D331" s="6" t="s">
        <v>359</v>
      </c>
      <c r="E331" s="6" t="s">
        <v>49</v>
      </c>
      <c r="F331" s="6" t="s">
        <v>50</v>
      </c>
      <c r="G331" s="6" t="s">
        <v>51</v>
      </c>
      <c r="H331" s="6" t="s">
        <v>52</v>
      </c>
      <c r="I331" s="6" t="s">
        <v>27</v>
      </c>
      <c r="J331" s="6" t="s">
        <v>106</v>
      </c>
      <c r="K331" s="6" t="s">
        <v>42</v>
      </c>
      <c r="L331" s="6" t="s">
        <v>2661</v>
      </c>
      <c r="M331" s="6" t="s">
        <v>61</v>
      </c>
      <c r="N331" s="6" t="s">
        <v>84</v>
      </c>
      <c r="O331" s="6">
        <v>78</v>
      </c>
      <c r="P331" s="6">
        <v>25.88</v>
      </c>
      <c r="Q331" s="6">
        <v>12.58</v>
      </c>
      <c r="R331" s="6">
        <v>2018.34</v>
      </c>
      <c r="S331" s="6">
        <v>0.02</v>
      </c>
      <c r="T331" s="6">
        <v>40.369999999999997</v>
      </c>
      <c r="U331" s="6">
        <v>1977.98</v>
      </c>
      <c r="V331" s="6">
        <v>981.09</v>
      </c>
      <c r="W331" s="6">
        <v>996.89</v>
      </c>
      <c r="X331" s="6" t="s">
        <v>45</v>
      </c>
    </row>
    <row r="332" spans="1:24" x14ac:dyDescent="0.25">
      <c r="A332" s="5" t="s">
        <v>722</v>
      </c>
      <c r="B332" s="18">
        <v>45402</v>
      </c>
      <c r="C332" s="7" t="s">
        <v>723</v>
      </c>
      <c r="D332" s="7" t="s">
        <v>156</v>
      </c>
      <c r="E332" s="7" t="s">
        <v>216</v>
      </c>
      <c r="F332" s="7" t="s">
        <v>217</v>
      </c>
      <c r="G332" s="7" t="s">
        <v>38</v>
      </c>
      <c r="H332" s="7" t="s">
        <v>134</v>
      </c>
      <c r="I332" s="7" t="s">
        <v>88</v>
      </c>
      <c r="J332" s="7" t="s">
        <v>183</v>
      </c>
      <c r="K332" s="7" t="s">
        <v>69</v>
      </c>
      <c r="L332" s="7" t="s">
        <v>2663</v>
      </c>
      <c r="M332" s="7" t="s">
        <v>153</v>
      </c>
      <c r="N332" s="7" t="s">
        <v>84</v>
      </c>
      <c r="O332" s="7">
        <v>18</v>
      </c>
      <c r="P332" s="7">
        <v>112.04</v>
      </c>
      <c r="Q332" s="7">
        <v>63.66</v>
      </c>
      <c r="R332" s="7">
        <v>2016.74</v>
      </c>
      <c r="S332" s="7">
        <v>0.15</v>
      </c>
      <c r="T332" s="7">
        <v>302.51</v>
      </c>
      <c r="U332" s="7">
        <v>1714.23</v>
      </c>
      <c r="V332" s="7">
        <v>1145.8</v>
      </c>
      <c r="W332" s="7">
        <v>568.42999999999995</v>
      </c>
      <c r="X332" s="7" t="s">
        <v>45</v>
      </c>
    </row>
    <row r="333" spans="1:24" x14ac:dyDescent="0.25">
      <c r="A333" s="16" t="s">
        <v>724</v>
      </c>
      <c r="B333" s="17">
        <v>45356</v>
      </c>
      <c r="C333" s="6" t="s">
        <v>653</v>
      </c>
      <c r="D333" s="6" t="s">
        <v>87</v>
      </c>
      <c r="E333" s="6" t="s">
        <v>250</v>
      </c>
      <c r="F333" s="6" t="s">
        <v>251</v>
      </c>
      <c r="G333" s="6" t="s">
        <v>51</v>
      </c>
      <c r="H333" s="6" t="s">
        <v>252</v>
      </c>
      <c r="I333" s="6" t="s">
        <v>27</v>
      </c>
      <c r="J333" s="6" t="s">
        <v>106</v>
      </c>
      <c r="K333" s="6" t="s">
        <v>69</v>
      </c>
      <c r="L333" s="6" t="s">
        <v>2663</v>
      </c>
      <c r="M333" s="6" t="s">
        <v>43</v>
      </c>
      <c r="N333" s="6" t="s">
        <v>31</v>
      </c>
      <c r="O333" s="6">
        <v>66</v>
      </c>
      <c r="P333" s="6">
        <v>61.38</v>
      </c>
      <c r="Q333" s="6">
        <v>35.33</v>
      </c>
      <c r="R333" s="6">
        <v>4051.15</v>
      </c>
      <c r="S333" s="6">
        <v>0.15</v>
      </c>
      <c r="T333" s="6">
        <v>607.66999999999996</v>
      </c>
      <c r="U333" s="6">
        <v>3443.48</v>
      </c>
      <c r="V333" s="6">
        <v>2331.98</v>
      </c>
      <c r="W333" s="6">
        <v>1111.5</v>
      </c>
      <c r="X333" s="6" t="s">
        <v>129</v>
      </c>
    </row>
    <row r="334" spans="1:24" x14ac:dyDescent="0.25">
      <c r="A334" s="5" t="s">
        <v>329</v>
      </c>
      <c r="B334" s="18">
        <v>45372</v>
      </c>
      <c r="C334" s="7" t="s">
        <v>307</v>
      </c>
      <c r="D334" s="7" t="s">
        <v>105</v>
      </c>
      <c r="E334" s="7" t="s">
        <v>250</v>
      </c>
      <c r="F334" s="7" t="s">
        <v>251</v>
      </c>
      <c r="G334" s="7" t="s">
        <v>51</v>
      </c>
      <c r="H334" s="7" t="s">
        <v>252</v>
      </c>
      <c r="I334" s="7" t="s">
        <v>58</v>
      </c>
      <c r="J334" s="7" t="s">
        <v>59</v>
      </c>
      <c r="K334" s="7" t="s">
        <v>152</v>
      </c>
      <c r="L334" s="7" t="s">
        <v>2670</v>
      </c>
      <c r="M334" s="7" t="s">
        <v>43</v>
      </c>
      <c r="N334" s="7" t="s">
        <v>44</v>
      </c>
      <c r="O334" s="7">
        <v>57</v>
      </c>
      <c r="P334" s="7">
        <v>63.84</v>
      </c>
      <c r="Q334" s="7">
        <v>36.61</v>
      </c>
      <c r="R334" s="7">
        <v>3639.01</v>
      </c>
      <c r="S334" s="7">
        <v>0.15</v>
      </c>
      <c r="T334" s="7">
        <v>545.85</v>
      </c>
      <c r="U334" s="7">
        <v>3093.16</v>
      </c>
      <c r="V334" s="7">
        <v>2086.7600000000002</v>
      </c>
      <c r="W334" s="7">
        <v>1006.4</v>
      </c>
      <c r="X334" s="7" t="s">
        <v>45</v>
      </c>
    </row>
    <row r="335" spans="1:24" x14ac:dyDescent="0.25">
      <c r="A335" s="16" t="s">
        <v>725</v>
      </c>
      <c r="B335" s="17">
        <v>45302</v>
      </c>
      <c r="C335" s="6" t="s">
        <v>140</v>
      </c>
      <c r="D335" s="6" t="s">
        <v>87</v>
      </c>
      <c r="E335" s="6" t="s">
        <v>109</v>
      </c>
      <c r="F335" s="6" t="s">
        <v>110</v>
      </c>
      <c r="G335" s="6" t="s">
        <v>80</v>
      </c>
      <c r="H335" s="6" t="s">
        <v>81</v>
      </c>
      <c r="I335" s="6" t="s">
        <v>58</v>
      </c>
      <c r="J335" s="6" t="s">
        <v>323</v>
      </c>
      <c r="K335" s="6" t="s">
        <v>261</v>
      </c>
      <c r="L335" s="6" t="s">
        <v>2677</v>
      </c>
      <c r="M335" s="6" t="s">
        <v>30</v>
      </c>
      <c r="N335" s="6" t="s">
        <v>44</v>
      </c>
      <c r="O335" s="6">
        <v>74</v>
      </c>
      <c r="P335" s="6">
        <v>130.54</v>
      </c>
      <c r="Q335" s="6">
        <v>78.290000000000006</v>
      </c>
      <c r="R335" s="6">
        <v>9660.0300000000007</v>
      </c>
      <c r="S335" s="6">
        <v>0.05</v>
      </c>
      <c r="T335" s="6">
        <v>483</v>
      </c>
      <c r="U335" s="6">
        <v>9177.0300000000007</v>
      </c>
      <c r="V335" s="6">
        <v>5793.35</v>
      </c>
      <c r="W335" s="6">
        <v>3383.68</v>
      </c>
      <c r="X335" s="6" t="s">
        <v>129</v>
      </c>
    </row>
    <row r="336" spans="1:24" x14ac:dyDescent="0.25">
      <c r="A336" s="5" t="s">
        <v>726</v>
      </c>
      <c r="B336" s="18">
        <v>45515</v>
      </c>
      <c r="C336" s="7" t="s">
        <v>727</v>
      </c>
      <c r="D336" s="7" t="s">
        <v>65</v>
      </c>
      <c r="E336" s="7" t="s">
        <v>187</v>
      </c>
      <c r="F336" s="7" t="s">
        <v>188</v>
      </c>
      <c r="G336" s="7" t="s">
        <v>25</v>
      </c>
      <c r="H336" s="7" t="s">
        <v>26</v>
      </c>
      <c r="I336" s="7" t="s">
        <v>88</v>
      </c>
      <c r="J336" s="7" t="s">
        <v>135</v>
      </c>
      <c r="K336" s="7" t="s">
        <v>170</v>
      </c>
      <c r="L336" s="7" t="s">
        <v>2671</v>
      </c>
      <c r="M336" s="7" t="s">
        <v>30</v>
      </c>
      <c r="N336" s="7" t="s">
        <v>44</v>
      </c>
      <c r="O336" s="7">
        <v>68</v>
      </c>
      <c r="P336" s="7">
        <v>51.18</v>
      </c>
      <c r="Q336" s="7">
        <v>28.69</v>
      </c>
      <c r="R336" s="7">
        <v>3480.49</v>
      </c>
      <c r="S336" s="7">
        <v>0.05</v>
      </c>
      <c r="T336" s="7">
        <v>174.02</v>
      </c>
      <c r="U336" s="7">
        <v>3306.47</v>
      </c>
      <c r="V336" s="7">
        <v>1951.18</v>
      </c>
      <c r="W336" s="7">
        <v>1355.29</v>
      </c>
      <c r="X336" s="7" t="s">
        <v>32</v>
      </c>
    </row>
    <row r="337" spans="1:24" x14ac:dyDescent="0.25">
      <c r="A337" s="16" t="s">
        <v>728</v>
      </c>
      <c r="B337" s="17">
        <v>45576</v>
      </c>
      <c r="C337" s="6" t="s">
        <v>255</v>
      </c>
      <c r="D337" s="6" t="s">
        <v>256</v>
      </c>
      <c r="E337" s="6" t="s">
        <v>150</v>
      </c>
      <c r="F337" s="6" t="s">
        <v>151</v>
      </c>
      <c r="G337" s="6" t="s">
        <v>101</v>
      </c>
      <c r="H337" s="6" t="s">
        <v>134</v>
      </c>
      <c r="I337" s="6" t="s">
        <v>88</v>
      </c>
      <c r="J337" s="6" t="s">
        <v>135</v>
      </c>
      <c r="K337" s="6"/>
      <c r="L337" s="6"/>
      <c r="M337" s="6" t="s">
        <v>153</v>
      </c>
      <c r="N337" s="6" t="s">
        <v>75</v>
      </c>
      <c r="O337" s="6">
        <v>58</v>
      </c>
      <c r="P337" s="6">
        <v>91.7</v>
      </c>
      <c r="Q337" s="6">
        <v>54.48</v>
      </c>
      <c r="R337" s="6">
        <v>5318.47</v>
      </c>
      <c r="S337" s="6">
        <v>0</v>
      </c>
      <c r="T337" s="6">
        <v>0</v>
      </c>
      <c r="U337" s="6">
        <v>5318.47</v>
      </c>
      <c r="V337" s="6">
        <v>3160.09</v>
      </c>
      <c r="W337" s="6">
        <v>2158.38</v>
      </c>
      <c r="X337" s="6" t="s">
        <v>45</v>
      </c>
    </row>
    <row r="338" spans="1:24" x14ac:dyDescent="0.25">
      <c r="A338" s="5" t="s">
        <v>729</v>
      </c>
      <c r="B338" s="18">
        <v>45539</v>
      </c>
      <c r="C338" s="7" t="s">
        <v>428</v>
      </c>
      <c r="D338" s="7" t="s">
        <v>57</v>
      </c>
      <c r="E338" s="7" t="s">
        <v>209</v>
      </c>
      <c r="F338" s="7" t="s">
        <v>210</v>
      </c>
      <c r="G338" s="7" t="s">
        <v>51</v>
      </c>
      <c r="H338" s="7" t="s">
        <v>116</v>
      </c>
      <c r="I338" s="7" t="s">
        <v>40</v>
      </c>
      <c r="J338" s="7" t="s">
        <v>82</v>
      </c>
      <c r="K338" s="7" t="s">
        <v>42</v>
      </c>
      <c r="L338" s="7" t="s">
        <v>2661</v>
      </c>
      <c r="M338" s="7" t="s">
        <v>30</v>
      </c>
      <c r="N338" s="7" t="s">
        <v>31</v>
      </c>
      <c r="O338" s="7">
        <v>45</v>
      </c>
      <c r="P338" s="7">
        <v>16.920000000000002</v>
      </c>
      <c r="Q338" s="7">
        <v>9.23</v>
      </c>
      <c r="R338" s="7">
        <v>761.47</v>
      </c>
      <c r="S338" s="7">
        <v>0.02</v>
      </c>
      <c r="T338" s="7">
        <v>15.23</v>
      </c>
      <c r="U338" s="7">
        <v>746.24</v>
      </c>
      <c r="V338" s="7">
        <v>415.22</v>
      </c>
      <c r="W338" s="7">
        <v>331.02</v>
      </c>
      <c r="X338" s="7" t="s">
        <v>45</v>
      </c>
    </row>
    <row r="339" spans="1:24" x14ac:dyDescent="0.25">
      <c r="A339" s="16" t="s">
        <v>730</v>
      </c>
      <c r="B339" s="17">
        <v>45325</v>
      </c>
      <c r="C339" s="6" t="s">
        <v>237</v>
      </c>
      <c r="D339" s="6" t="s">
        <v>105</v>
      </c>
      <c r="E339" s="6" t="s">
        <v>23</v>
      </c>
      <c r="F339" s="6" t="s">
        <v>24</v>
      </c>
      <c r="G339" s="6" t="s">
        <v>25</v>
      </c>
      <c r="H339" s="6" t="s">
        <v>26</v>
      </c>
      <c r="I339" s="6" t="s">
        <v>40</v>
      </c>
      <c r="J339" s="6" t="s">
        <v>82</v>
      </c>
      <c r="K339" s="6" t="s">
        <v>253</v>
      </c>
      <c r="L339" s="6" t="s">
        <v>2676</v>
      </c>
      <c r="M339" s="6" t="s">
        <v>43</v>
      </c>
      <c r="N339" s="6" t="s">
        <v>84</v>
      </c>
      <c r="O339" s="6">
        <v>14</v>
      </c>
      <c r="P339" s="6">
        <v>69.97</v>
      </c>
      <c r="Q339" s="6">
        <v>43.32</v>
      </c>
      <c r="R339" s="6">
        <v>979.59</v>
      </c>
      <c r="S339" s="6">
        <v>0.2</v>
      </c>
      <c r="T339" s="6">
        <v>195.92</v>
      </c>
      <c r="U339" s="6">
        <v>783.68</v>
      </c>
      <c r="V339" s="6">
        <v>606.44000000000005</v>
      </c>
      <c r="W339" s="6">
        <v>177.24</v>
      </c>
      <c r="X339" s="6" t="s">
        <v>45</v>
      </c>
    </row>
    <row r="340" spans="1:24" x14ac:dyDescent="0.25">
      <c r="A340" s="5" t="s">
        <v>492</v>
      </c>
      <c r="B340" s="18">
        <v>45567</v>
      </c>
      <c r="C340" s="7" t="s">
        <v>493</v>
      </c>
      <c r="D340" s="7" t="s">
        <v>121</v>
      </c>
      <c r="E340" s="7" t="s">
        <v>49</v>
      </c>
      <c r="F340" s="7" t="s">
        <v>50</v>
      </c>
      <c r="G340" s="7" t="s">
        <v>51</v>
      </c>
      <c r="H340" s="7" t="s">
        <v>52</v>
      </c>
      <c r="I340" s="7" t="s">
        <v>27</v>
      </c>
      <c r="J340" s="7" t="s">
        <v>106</v>
      </c>
      <c r="K340" s="7" t="s">
        <v>83</v>
      </c>
      <c r="L340" s="7" t="s">
        <v>2665</v>
      </c>
      <c r="M340" s="7" t="s">
        <v>43</v>
      </c>
      <c r="N340" s="7" t="s">
        <v>70</v>
      </c>
      <c r="O340" s="7">
        <v>63</v>
      </c>
      <c r="P340" s="7">
        <v>24.48</v>
      </c>
      <c r="Q340" s="7">
        <v>12.07</v>
      </c>
      <c r="R340" s="7">
        <v>1542.19</v>
      </c>
      <c r="S340" s="7">
        <v>0.05</v>
      </c>
      <c r="T340" s="7">
        <v>77.11</v>
      </c>
      <c r="U340" s="7">
        <v>1465.08</v>
      </c>
      <c r="V340" s="7">
        <v>760.34</v>
      </c>
      <c r="W340" s="7">
        <v>704.74</v>
      </c>
      <c r="X340" s="7" t="s">
        <v>32</v>
      </c>
    </row>
    <row r="341" spans="1:24" x14ac:dyDescent="0.25">
      <c r="A341" s="16" t="s">
        <v>731</v>
      </c>
      <c r="B341" s="17">
        <v>45589</v>
      </c>
      <c r="C341" s="6" t="s">
        <v>732</v>
      </c>
      <c r="D341" s="6" t="s">
        <v>35</v>
      </c>
      <c r="E341" s="6" t="s">
        <v>78</v>
      </c>
      <c r="F341" s="6" t="s">
        <v>79</v>
      </c>
      <c r="G341" s="6" t="s">
        <v>80</v>
      </c>
      <c r="H341" s="6" t="s">
        <v>81</v>
      </c>
      <c r="I341" s="6" t="s">
        <v>53</v>
      </c>
      <c r="J341" s="6" t="s">
        <v>232</v>
      </c>
      <c r="K341" s="6" t="s">
        <v>29</v>
      </c>
      <c r="L341" s="6" t="s">
        <v>2660</v>
      </c>
      <c r="M341" s="6" t="s">
        <v>153</v>
      </c>
      <c r="N341" s="6" t="s">
        <v>75</v>
      </c>
      <c r="O341" s="6">
        <v>52</v>
      </c>
      <c r="P341" s="6">
        <v>141.61000000000001</v>
      </c>
      <c r="Q341" s="6">
        <v>86.37</v>
      </c>
      <c r="R341" s="6">
        <v>7363.57</v>
      </c>
      <c r="S341" s="6">
        <v>0.05</v>
      </c>
      <c r="T341" s="6">
        <v>368.18</v>
      </c>
      <c r="U341" s="6">
        <v>6995.39</v>
      </c>
      <c r="V341" s="6">
        <v>4491.07</v>
      </c>
      <c r="W341" s="6">
        <v>2504.3200000000002</v>
      </c>
      <c r="X341" s="6" t="s">
        <v>129</v>
      </c>
    </row>
    <row r="342" spans="1:24" x14ac:dyDescent="0.25">
      <c r="A342" s="5" t="s">
        <v>733</v>
      </c>
      <c r="B342" s="18">
        <v>45575</v>
      </c>
      <c r="C342" s="7" t="s">
        <v>477</v>
      </c>
      <c r="D342" s="7" t="s">
        <v>221</v>
      </c>
      <c r="E342" s="7" t="s">
        <v>176</v>
      </c>
      <c r="F342" s="7" t="s">
        <v>177</v>
      </c>
      <c r="G342" s="7" t="s">
        <v>101</v>
      </c>
      <c r="H342" s="7" t="s">
        <v>39</v>
      </c>
      <c r="I342" s="7" t="s">
        <v>88</v>
      </c>
      <c r="J342" s="7" t="s">
        <v>89</v>
      </c>
      <c r="K342" s="7" t="s">
        <v>253</v>
      </c>
      <c r="L342" s="7" t="s">
        <v>2676</v>
      </c>
      <c r="M342" s="7" t="s">
        <v>61</v>
      </c>
      <c r="N342" s="7" t="s">
        <v>31</v>
      </c>
      <c r="O342" s="7">
        <v>60</v>
      </c>
      <c r="P342" s="7">
        <v>110.1</v>
      </c>
      <c r="Q342" s="7">
        <v>59.34</v>
      </c>
      <c r="R342" s="7">
        <v>6606.24</v>
      </c>
      <c r="S342" s="7">
        <v>0.05</v>
      </c>
      <c r="T342" s="7">
        <v>330.31</v>
      </c>
      <c r="U342" s="7">
        <v>6275.92</v>
      </c>
      <c r="V342" s="7">
        <v>3560.55</v>
      </c>
      <c r="W342" s="7">
        <v>2715.38</v>
      </c>
      <c r="X342" s="7" t="s">
        <v>45</v>
      </c>
    </row>
    <row r="343" spans="1:24" x14ac:dyDescent="0.25">
      <c r="A343" s="16" t="s">
        <v>734</v>
      </c>
      <c r="B343" s="17">
        <v>45427</v>
      </c>
      <c r="C343" s="6" t="s">
        <v>735</v>
      </c>
      <c r="D343" s="6" t="s">
        <v>22</v>
      </c>
      <c r="E343" s="6" t="s">
        <v>99</v>
      </c>
      <c r="F343" s="6" t="s">
        <v>100</v>
      </c>
      <c r="G343" s="6" t="s">
        <v>101</v>
      </c>
      <c r="H343" s="6" t="s">
        <v>102</v>
      </c>
      <c r="I343" s="6" t="s">
        <v>58</v>
      </c>
      <c r="J343" s="6" t="s">
        <v>73</v>
      </c>
      <c r="K343" s="6" t="s">
        <v>118</v>
      </c>
      <c r="L343" s="6" t="s">
        <v>2668</v>
      </c>
      <c r="M343" s="6" t="s">
        <v>61</v>
      </c>
      <c r="N343" s="6" t="s">
        <v>31</v>
      </c>
      <c r="O343" s="6">
        <v>1</v>
      </c>
      <c r="P343" s="6">
        <v>66.41</v>
      </c>
      <c r="Q343" s="6">
        <v>42.27</v>
      </c>
      <c r="R343" s="6">
        <v>66.41</v>
      </c>
      <c r="S343" s="6">
        <v>0.15</v>
      </c>
      <c r="T343" s="6">
        <v>9.9600000000000009</v>
      </c>
      <c r="U343" s="6">
        <v>56.45</v>
      </c>
      <c r="V343" s="6">
        <v>42.27</v>
      </c>
      <c r="W343" s="6">
        <v>14.17</v>
      </c>
      <c r="X343" s="6" t="s">
        <v>45</v>
      </c>
    </row>
    <row r="344" spans="1:24" x14ac:dyDescent="0.25">
      <c r="A344" s="5" t="s">
        <v>736</v>
      </c>
      <c r="B344" s="18">
        <v>45649</v>
      </c>
      <c r="C344" s="7" t="s">
        <v>737</v>
      </c>
      <c r="D344" s="7" t="s">
        <v>22</v>
      </c>
      <c r="E344" s="7" t="s">
        <v>250</v>
      </c>
      <c r="F344" s="7" t="s">
        <v>251</v>
      </c>
      <c r="G344" s="7" t="s">
        <v>51</v>
      </c>
      <c r="H344" s="7" t="s">
        <v>252</v>
      </c>
      <c r="I344" s="7" t="s">
        <v>58</v>
      </c>
      <c r="J344" s="7" t="s">
        <v>59</v>
      </c>
      <c r="K344" s="7" t="s">
        <v>170</v>
      </c>
      <c r="L344" s="7" t="s">
        <v>2671</v>
      </c>
      <c r="M344" s="7" t="s">
        <v>43</v>
      </c>
      <c r="N344" s="7" t="s">
        <v>75</v>
      </c>
      <c r="O344" s="7">
        <v>11</v>
      </c>
      <c r="P344" s="7">
        <v>64.099999999999994</v>
      </c>
      <c r="Q344" s="7">
        <v>39.07</v>
      </c>
      <c r="R344" s="7">
        <v>705.07</v>
      </c>
      <c r="S344" s="7">
        <v>0.2</v>
      </c>
      <c r="T344" s="7">
        <v>141.01</v>
      </c>
      <c r="U344" s="7">
        <v>564.04999999999995</v>
      </c>
      <c r="V344" s="7">
        <v>429.76</v>
      </c>
      <c r="W344" s="7">
        <v>134.29</v>
      </c>
      <c r="X344" s="7" t="s">
        <v>45</v>
      </c>
    </row>
    <row r="345" spans="1:24" x14ac:dyDescent="0.25">
      <c r="A345" s="16" t="s">
        <v>738</v>
      </c>
      <c r="B345" s="17">
        <v>45325</v>
      </c>
      <c r="C345" s="6" t="s">
        <v>739</v>
      </c>
      <c r="D345" s="6" t="s">
        <v>48</v>
      </c>
      <c r="E345" s="6" t="s">
        <v>66</v>
      </c>
      <c r="F345" s="6" t="s">
        <v>67</v>
      </c>
      <c r="G345" s="6" t="s">
        <v>38</v>
      </c>
      <c r="H345" s="6" t="s">
        <v>68</v>
      </c>
      <c r="I345" s="6" t="s">
        <v>27</v>
      </c>
      <c r="J345" s="6" t="s">
        <v>28</v>
      </c>
      <c r="K345" s="6" t="s">
        <v>248</v>
      </c>
      <c r="L345" s="6" t="s">
        <v>2675</v>
      </c>
      <c r="M345" s="6" t="s">
        <v>153</v>
      </c>
      <c r="N345" s="6" t="s">
        <v>70</v>
      </c>
      <c r="O345" s="6">
        <v>35</v>
      </c>
      <c r="P345" s="6">
        <v>151.44</v>
      </c>
      <c r="Q345" s="6">
        <v>110.5</v>
      </c>
      <c r="R345" s="6">
        <v>5300.51</v>
      </c>
      <c r="S345" s="6">
        <v>0.02</v>
      </c>
      <c r="T345" s="6">
        <v>106.01</v>
      </c>
      <c r="U345" s="6">
        <v>5194.5</v>
      </c>
      <c r="V345" s="6">
        <v>3867.63</v>
      </c>
      <c r="W345" s="6">
        <v>1326.87</v>
      </c>
      <c r="X345" s="6" t="s">
        <v>32</v>
      </c>
    </row>
    <row r="346" spans="1:24" x14ac:dyDescent="0.25">
      <c r="A346" s="5" t="s">
        <v>740</v>
      </c>
      <c r="B346" s="18">
        <v>45630</v>
      </c>
      <c r="C346" s="7" t="s">
        <v>674</v>
      </c>
      <c r="D346" s="7" t="s">
        <v>264</v>
      </c>
      <c r="E346" s="7" t="s">
        <v>165</v>
      </c>
      <c r="F346" s="7" t="s">
        <v>166</v>
      </c>
      <c r="G346" s="7" t="s">
        <v>95</v>
      </c>
      <c r="H346" s="7" t="s">
        <v>167</v>
      </c>
      <c r="I346" s="7" t="s">
        <v>40</v>
      </c>
      <c r="J346" s="7" t="s">
        <v>289</v>
      </c>
      <c r="K346" s="7" t="s">
        <v>90</v>
      </c>
      <c r="L346" s="7" t="s">
        <v>2666</v>
      </c>
      <c r="M346" s="7" t="s">
        <v>43</v>
      </c>
      <c r="N346" s="7" t="s">
        <v>31</v>
      </c>
      <c r="O346" s="7">
        <v>37</v>
      </c>
      <c r="P346" s="7">
        <v>43.81</v>
      </c>
      <c r="Q346" s="7">
        <v>23.75</v>
      </c>
      <c r="R346" s="7">
        <v>1621.01</v>
      </c>
      <c r="S346" s="7">
        <v>0.05</v>
      </c>
      <c r="T346" s="7">
        <v>81.05</v>
      </c>
      <c r="U346" s="7">
        <v>1539.96</v>
      </c>
      <c r="V346" s="7">
        <v>878.68</v>
      </c>
      <c r="W346" s="7">
        <v>661.27</v>
      </c>
      <c r="X346" s="7" t="s">
        <v>32</v>
      </c>
    </row>
    <row r="347" spans="1:24" x14ac:dyDescent="0.25">
      <c r="A347" s="16" t="s">
        <v>741</v>
      </c>
      <c r="B347" s="17">
        <v>45499</v>
      </c>
      <c r="C347" s="6" t="s">
        <v>408</v>
      </c>
      <c r="D347" s="6" t="s">
        <v>65</v>
      </c>
      <c r="E347" s="6" t="s">
        <v>150</v>
      </c>
      <c r="F347" s="6" t="s">
        <v>151</v>
      </c>
      <c r="G347" s="6" t="s">
        <v>101</v>
      </c>
      <c r="H347" s="6" t="s">
        <v>134</v>
      </c>
      <c r="I347" s="6" t="s">
        <v>40</v>
      </c>
      <c r="J347" s="6" t="s">
        <v>289</v>
      </c>
      <c r="K347" s="6" t="s">
        <v>218</v>
      </c>
      <c r="L347" s="6" t="s">
        <v>2674</v>
      </c>
      <c r="M347" s="6" t="s">
        <v>61</v>
      </c>
      <c r="N347" s="6" t="s">
        <v>31</v>
      </c>
      <c r="O347" s="6">
        <v>-2</v>
      </c>
      <c r="P347" s="6">
        <v>90.27</v>
      </c>
      <c r="Q347" s="6">
        <v>50.77</v>
      </c>
      <c r="R347" s="6">
        <v>6408.89</v>
      </c>
      <c r="S347" s="6">
        <v>0</v>
      </c>
      <c r="T347" s="6">
        <v>0</v>
      </c>
      <c r="U347" s="6">
        <v>6408.89</v>
      </c>
      <c r="V347" s="6">
        <v>3604.9</v>
      </c>
      <c r="W347" s="6">
        <v>2803.99</v>
      </c>
      <c r="X347" s="6" t="s">
        <v>32</v>
      </c>
    </row>
    <row r="348" spans="1:24" x14ac:dyDescent="0.25">
      <c r="A348" s="5" t="s">
        <v>742</v>
      </c>
      <c r="B348" s="18">
        <v>45365</v>
      </c>
      <c r="C348" s="7" t="s">
        <v>239</v>
      </c>
      <c r="D348" s="7" t="s">
        <v>65</v>
      </c>
      <c r="E348" s="7" t="s">
        <v>141</v>
      </c>
      <c r="F348" s="7" t="s">
        <v>142</v>
      </c>
      <c r="G348" s="7" t="s">
        <v>25</v>
      </c>
      <c r="H348" s="7" t="s">
        <v>26</v>
      </c>
      <c r="I348" s="7" t="s">
        <v>53</v>
      </c>
      <c r="J348" s="7" t="s">
        <v>54</v>
      </c>
      <c r="K348" s="7" t="s">
        <v>152</v>
      </c>
      <c r="L348" s="7" t="s">
        <v>2670</v>
      </c>
      <c r="M348" s="7" t="s">
        <v>30</v>
      </c>
      <c r="N348" s="7" t="s">
        <v>84</v>
      </c>
      <c r="O348" s="7">
        <v>19</v>
      </c>
      <c r="P348" s="7">
        <v>98.12</v>
      </c>
      <c r="Q348" s="7">
        <v>57.33</v>
      </c>
      <c r="R348" s="7">
        <v>1864.34</v>
      </c>
      <c r="S348" s="7">
        <v>0.02</v>
      </c>
      <c r="T348" s="7">
        <v>37.29</v>
      </c>
      <c r="U348" s="7">
        <v>1827.05</v>
      </c>
      <c r="V348" s="7">
        <v>1089.23</v>
      </c>
      <c r="W348" s="7">
        <v>737.82</v>
      </c>
      <c r="X348" s="7" t="s">
        <v>45</v>
      </c>
    </row>
    <row r="349" spans="1:24" x14ac:dyDescent="0.25">
      <c r="A349" s="16" t="s">
        <v>743</v>
      </c>
      <c r="B349" s="17">
        <v>45332</v>
      </c>
      <c r="C349" s="6" t="s">
        <v>744</v>
      </c>
      <c r="D349" s="6" t="s">
        <v>65</v>
      </c>
      <c r="E349" s="6" t="s">
        <v>187</v>
      </c>
      <c r="F349" s="6" t="s">
        <v>188</v>
      </c>
      <c r="G349" s="6" t="s">
        <v>25</v>
      </c>
      <c r="H349" s="6" t="s">
        <v>26</v>
      </c>
      <c r="I349" s="6" t="s">
        <v>27</v>
      </c>
      <c r="J349" s="6" t="s">
        <v>211</v>
      </c>
      <c r="K349" s="6" t="s">
        <v>253</v>
      </c>
      <c r="L349" s="6" t="s">
        <v>2676</v>
      </c>
      <c r="M349" s="6" t="s">
        <v>153</v>
      </c>
      <c r="N349" s="6" t="s">
        <v>84</v>
      </c>
      <c r="O349" s="6">
        <v>56</v>
      </c>
      <c r="P349" s="6">
        <v>50.73</v>
      </c>
      <c r="Q349" s="6">
        <v>29.94</v>
      </c>
      <c r="R349" s="6">
        <v>2840.88</v>
      </c>
      <c r="S349" s="6">
        <v>0.15</v>
      </c>
      <c r="T349" s="6">
        <v>426.13</v>
      </c>
      <c r="U349" s="6">
        <v>2414.75</v>
      </c>
      <c r="V349" s="6">
        <v>1676.92</v>
      </c>
      <c r="W349" s="6">
        <v>737.83</v>
      </c>
      <c r="X349" s="6" t="s">
        <v>45</v>
      </c>
    </row>
    <row r="350" spans="1:24" x14ac:dyDescent="0.25">
      <c r="A350" s="5" t="s">
        <v>745</v>
      </c>
      <c r="B350" s="18">
        <v>45450</v>
      </c>
      <c r="C350" s="7" t="s">
        <v>243</v>
      </c>
      <c r="D350" s="7" t="s">
        <v>35</v>
      </c>
      <c r="E350" s="7" t="s">
        <v>141</v>
      </c>
      <c r="F350" s="7" t="s">
        <v>142</v>
      </c>
      <c r="G350" s="7" t="s">
        <v>25</v>
      </c>
      <c r="H350" s="7" t="s">
        <v>26</v>
      </c>
      <c r="I350" s="7" t="s">
        <v>53</v>
      </c>
      <c r="J350" s="7" t="s">
        <v>143</v>
      </c>
      <c r="K350" s="7" t="s">
        <v>118</v>
      </c>
      <c r="L350" s="7" t="s">
        <v>2668</v>
      </c>
      <c r="M350" s="7" t="s">
        <v>61</v>
      </c>
      <c r="N350" s="7" t="s">
        <v>70</v>
      </c>
      <c r="O350" s="7">
        <v>56</v>
      </c>
      <c r="P350" s="7">
        <v>90.54</v>
      </c>
      <c r="Q350" s="7">
        <v>56.74</v>
      </c>
      <c r="R350" s="7">
        <v>5070.03</v>
      </c>
      <c r="S350" s="7">
        <v>0.2</v>
      </c>
      <c r="T350" s="7">
        <v>1014.01</v>
      </c>
      <c r="U350" s="7">
        <v>4056.03</v>
      </c>
      <c r="V350" s="7">
        <v>3177.46</v>
      </c>
      <c r="W350" s="7">
        <v>878.56</v>
      </c>
      <c r="X350" s="7" t="s">
        <v>45</v>
      </c>
    </row>
    <row r="351" spans="1:24" x14ac:dyDescent="0.25">
      <c r="A351" s="16" t="s">
        <v>746</v>
      </c>
      <c r="B351" s="17">
        <v>45559</v>
      </c>
      <c r="C351" s="6" t="s">
        <v>365</v>
      </c>
      <c r="D351" s="6" t="s">
        <v>22</v>
      </c>
      <c r="E351" s="6" t="s">
        <v>165</v>
      </c>
      <c r="F351" s="6" t="s">
        <v>166</v>
      </c>
      <c r="G351" s="6" t="s">
        <v>95</v>
      </c>
      <c r="H351" s="6" t="s">
        <v>167</v>
      </c>
      <c r="I351" s="6" t="s">
        <v>27</v>
      </c>
      <c r="J351" s="6" t="s">
        <v>211</v>
      </c>
      <c r="K351" s="6" t="s">
        <v>42</v>
      </c>
      <c r="L351" s="6" t="s">
        <v>2661</v>
      </c>
      <c r="M351" s="6" t="s">
        <v>61</v>
      </c>
      <c r="N351" s="6" t="s">
        <v>31</v>
      </c>
      <c r="O351" s="6">
        <v>54</v>
      </c>
      <c r="P351" s="6">
        <v>42.22</v>
      </c>
      <c r="Q351" s="6">
        <v>23.21</v>
      </c>
      <c r="R351" s="6">
        <v>2279.83</v>
      </c>
      <c r="S351" s="6">
        <v>0.15</v>
      </c>
      <c r="T351" s="6">
        <v>341.97</v>
      </c>
      <c r="U351" s="6">
        <v>1937.85</v>
      </c>
      <c r="V351" s="6">
        <v>1253.19</v>
      </c>
      <c r="W351" s="6">
        <v>684.66</v>
      </c>
      <c r="X351" s="6" t="s">
        <v>45</v>
      </c>
    </row>
    <row r="352" spans="1:24" x14ac:dyDescent="0.25">
      <c r="A352" s="5" t="s">
        <v>747</v>
      </c>
      <c r="B352" s="18">
        <v>45356</v>
      </c>
      <c r="C352" s="7" t="s">
        <v>287</v>
      </c>
      <c r="D352" s="7" t="s">
        <v>65</v>
      </c>
      <c r="E352" s="7" t="s">
        <v>209</v>
      </c>
      <c r="F352" s="7" t="s">
        <v>210</v>
      </c>
      <c r="G352" s="7" t="s">
        <v>51</v>
      </c>
      <c r="H352" s="7" t="s">
        <v>116</v>
      </c>
      <c r="I352" s="7" t="s">
        <v>40</v>
      </c>
      <c r="J352" s="7" t="s">
        <v>41</v>
      </c>
      <c r="K352" s="7" t="s">
        <v>118</v>
      </c>
      <c r="L352" s="7" t="s">
        <v>2668</v>
      </c>
      <c r="M352" s="7" t="s">
        <v>43</v>
      </c>
      <c r="N352" s="7" t="s">
        <v>31</v>
      </c>
      <c r="O352" s="7">
        <v>9</v>
      </c>
      <c r="P352" s="7">
        <v>0</v>
      </c>
      <c r="Q352" s="7">
        <v>10.01</v>
      </c>
      <c r="R352" s="7">
        <v>172.57</v>
      </c>
      <c r="S352" s="7">
        <v>0</v>
      </c>
      <c r="T352" s="7">
        <v>0</v>
      </c>
      <c r="U352" s="7">
        <v>172.57</v>
      </c>
      <c r="V352" s="7">
        <v>90.1</v>
      </c>
      <c r="W352" s="7">
        <v>82.47</v>
      </c>
      <c r="X352" s="7" t="s">
        <v>45</v>
      </c>
    </row>
    <row r="353" spans="1:24" x14ac:dyDescent="0.25">
      <c r="A353" s="16" t="s">
        <v>748</v>
      </c>
      <c r="B353" s="17">
        <v>45467</v>
      </c>
      <c r="C353" s="6" t="s">
        <v>727</v>
      </c>
      <c r="D353" s="6" t="s">
        <v>65</v>
      </c>
      <c r="E353" s="6" t="s">
        <v>216</v>
      </c>
      <c r="F353" s="6" t="s">
        <v>217</v>
      </c>
      <c r="G353" s="6" t="s">
        <v>38</v>
      </c>
      <c r="H353" s="6" t="s">
        <v>134</v>
      </c>
      <c r="I353" s="6" t="s">
        <v>53</v>
      </c>
      <c r="J353" s="6" t="s">
        <v>232</v>
      </c>
      <c r="K353" s="6" t="s">
        <v>261</v>
      </c>
      <c r="L353" s="6" t="s">
        <v>2677</v>
      </c>
      <c r="M353" s="6" t="s">
        <v>61</v>
      </c>
      <c r="N353" s="6" t="s">
        <v>70</v>
      </c>
      <c r="O353" s="6">
        <v>72</v>
      </c>
      <c r="P353" s="6">
        <v>118.35</v>
      </c>
      <c r="Q353" s="6">
        <v>63.09</v>
      </c>
      <c r="R353" s="6">
        <v>8521.5300000000007</v>
      </c>
      <c r="S353" s="6">
        <v>0.2</v>
      </c>
      <c r="T353" s="6">
        <v>1704.31</v>
      </c>
      <c r="U353" s="6">
        <v>6817.22</v>
      </c>
      <c r="V353" s="6">
        <v>4542.63</v>
      </c>
      <c r="W353" s="6">
        <v>2274.59</v>
      </c>
      <c r="X353" s="6" t="s">
        <v>129</v>
      </c>
    </row>
    <row r="354" spans="1:24" x14ac:dyDescent="0.25">
      <c r="A354" s="5" t="s">
        <v>749</v>
      </c>
      <c r="B354" s="18">
        <v>45344</v>
      </c>
      <c r="C354" s="7" t="s">
        <v>750</v>
      </c>
      <c r="D354" s="7" t="s">
        <v>121</v>
      </c>
      <c r="E354" s="7" t="s">
        <v>49</v>
      </c>
      <c r="F354" s="7" t="s">
        <v>50</v>
      </c>
      <c r="G354" s="7" t="s">
        <v>51</v>
      </c>
      <c r="H354" s="7" t="s">
        <v>52</v>
      </c>
      <c r="I354" s="7" t="s">
        <v>58</v>
      </c>
      <c r="J354" s="7" t="s">
        <v>73</v>
      </c>
      <c r="K354" s="7" t="s">
        <v>261</v>
      </c>
      <c r="L354" s="7" t="s">
        <v>2677</v>
      </c>
      <c r="M354" s="7" t="s">
        <v>43</v>
      </c>
      <c r="N354" s="7" t="s">
        <v>44</v>
      </c>
      <c r="O354" s="7">
        <v>69</v>
      </c>
      <c r="P354" s="7">
        <v>25.64</v>
      </c>
      <c r="Q354" s="7">
        <v>13.82</v>
      </c>
      <c r="R354" s="7">
        <v>1768.98</v>
      </c>
      <c r="S354" s="7">
        <v>0.15</v>
      </c>
      <c r="T354" s="7">
        <v>265.35000000000002</v>
      </c>
      <c r="U354" s="7">
        <v>1503.63</v>
      </c>
      <c r="V354" s="7">
        <v>953.71</v>
      </c>
      <c r="W354" s="7">
        <v>549.92999999999995</v>
      </c>
      <c r="X354" s="7" t="s">
        <v>45</v>
      </c>
    </row>
    <row r="355" spans="1:24" x14ac:dyDescent="0.25">
      <c r="A355" s="16" t="s">
        <v>751</v>
      </c>
      <c r="B355" s="17">
        <v>45584</v>
      </c>
      <c r="C355" s="6" t="s">
        <v>511</v>
      </c>
      <c r="D355" s="6" t="s">
        <v>163</v>
      </c>
      <c r="E355" s="6" t="s">
        <v>109</v>
      </c>
      <c r="F355" s="6" t="s">
        <v>110</v>
      </c>
      <c r="G355" s="6" t="s">
        <v>80</v>
      </c>
      <c r="H355" s="6" t="s">
        <v>81</v>
      </c>
      <c r="I355" s="6" t="s">
        <v>88</v>
      </c>
      <c r="J355" s="6" t="s">
        <v>173</v>
      </c>
      <c r="K355" s="6" t="s">
        <v>29</v>
      </c>
      <c r="L355" s="6" t="s">
        <v>2660</v>
      </c>
      <c r="M355" s="6" t="s">
        <v>43</v>
      </c>
      <c r="N355" s="6" t="s">
        <v>84</v>
      </c>
      <c r="O355" s="6">
        <v>66</v>
      </c>
      <c r="P355" s="6">
        <v>117</v>
      </c>
      <c r="Q355" s="6">
        <v>68.28</v>
      </c>
      <c r="R355" s="6">
        <v>7722.32</v>
      </c>
      <c r="S355" s="6">
        <v>0.1</v>
      </c>
      <c r="T355" s="6">
        <v>772.23</v>
      </c>
      <c r="U355" s="6">
        <v>6950.09</v>
      </c>
      <c r="V355" s="6">
        <v>4506.25</v>
      </c>
      <c r="W355" s="6">
        <v>2443.85</v>
      </c>
      <c r="X355" s="6" t="s">
        <v>32</v>
      </c>
    </row>
    <row r="356" spans="1:24" x14ac:dyDescent="0.25">
      <c r="A356" s="5" t="s">
        <v>752</v>
      </c>
      <c r="B356" s="18">
        <v>45338</v>
      </c>
      <c r="C356" s="7" t="s">
        <v>344</v>
      </c>
      <c r="D356" s="7" t="s">
        <v>87</v>
      </c>
      <c r="E356" s="7" t="s">
        <v>150</v>
      </c>
      <c r="F356" s="7" t="s">
        <v>151</v>
      </c>
      <c r="G356" s="7" t="s">
        <v>101</v>
      </c>
      <c r="H356" s="7" t="s">
        <v>134</v>
      </c>
      <c r="I356" s="7" t="s">
        <v>58</v>
      </c>
      <c r="J356" s="7" t="s">
        <v>345</v>
      </c>
      <c r="K356" s="7" t="s">
        <v>42</v>
      </c>
      <c r="L356" s="7" t="s">
        <v>2661</v>
      </c>
      <c r="M356" s="7" t="s">
        <v>153</v>
      </c>
      <c r="N356" s="7" t="s">
        <v>84</v>
      </c>
      <c r="O356" s="7">
        <v>19</v>
      </c>
      <c r="P356" s="7">
        <v>88.72</v>
      </c>
      <c r="Q356" s="7">
        <v>47.99</v>
      </c>
      <c r="R356" s="7">
        <v>1685.67</v>
      </c>
      <c r="S356" s="7">
        <v>0.2</v>
      </c>
      <c r="T356" s="7">
        <v>337.13</v>
      </c>
      <c r="U356" s="7">
        <v>1348.53</v>
      </c>
      <c r="V356" s="7">
        <v>911.77</v>
      </c>
      <c r="W356" s="7">
        <v>436.76</v>
      </c>
      <c r="X356" s="7" t="s">
        <v>45</v>
      </c>
    </row>
    <row r="357" spans="1:24" x14ac:dyDescent="0.25">
      <c r="A357" s="16" t="s">
        <v>469</v>
      </c>
      <c r="B357" s="17">
        <v>45487</v>
      </c>
      <c r="C357" s="6" t="s">
        <v>104</v>
      </c>
      <c r="D357" s="6" t="s">
        <v>105</v>
      </c>
      <c r="E357" s="6" t="s">
        <v>36</v>
      </c>
      <c r="F357" s="6" t="s">
        <v>37</v>
      </c>
      <c r="G357" s="6" t="s">
        <v>38</v>
      </c>
      <c r="H357" s="6" t="s">
        <v>39</v>
      </c>
      <c r="I357" s="6" t="s">
        <v>27</v>
      </c>
      <c r="J357" s="6" t="s">
        <v>189</v>
      </c>
      <c r="K357" s="6" t="s">
        <v>118</v>
      </c>
      <c r="L357" s="6" t="s">
        <v>2668</v>
      </c>
      <c r="M357" s="6" t="s">
        <v>61</v>
      </c>
      <c r="N357" s="6" t="s">
        <v>368</v>
      </c>
      <c r="O357" s="6">
        <v>19</v>
      </c>
      <c r="P357" s="6">
        <v>160.6</v>
      </c>
      <c r="Q357" s="6">
        <v>97.39</v>
      </c>
      <c r="R357" s="6">
        <v>3051.48</v>
      </c>
      <c r="S357" s="6">
        <v>0</v>
      </c>
      <c r="T357" s="6">
        <v>0</v>
      </c>
      <c r="U357" s="6">
        <v>3051.48</v>
      </c>
      <c r="V357" s="6">
        <v>1850.35</v>
      </c>
      <c r="W357" s="6">
        <v>1201.1300000000001</v>
      </c>
      <c r="X357" s="6" t="s">
        <v>45</v>
      </c>
    </row>
    <row r="358" spans="1:24" x14ac:dyDescent="0.25">
      <c r="A358" s="5" t="s">
        <v>753</v>
      </c>
      <c r="B358" s="18">
        <v>45571</v>
      </c>
      <c r="C358" s="7" t="s">
        <v>464</v>
      </c>
      <c r="D358" s="7" t="s">
        <v>754</v>
      </c>
      <c r="E358" s="7" t="s">
        <v>250</v>
      </c>
      <c r="F358" s="7" t="s">
        <v>251</v>
      </c>
      <c r="G358" s="7" t="s">
        <v>51</v>
      </c>
      <c r="H358" s="7" t="s">
        <v>252</v>
      </c>
      <c r="I358" s="7" t="s">
        <v>88</v>
      </c>
      <c r="J358" s="7" t="s">
        <v>135</v>
      </c>
      <c r="K358" s="7" t="s">
        <v>218</v>
      </c>
      <c r="L358" s="7" t="s">
        <v>2674</v>
      </c>
      <c r="M358" s="7" t="s">
        <v>153</v>
      </c>
      <c r="N358" s="7" t="s">
        <v>70</v>
      </c>
      <c r="O358" s="7">
        <v>38</v>
      </c>
      <c r="P358" s="7">
        <v>65.67</v>
      </c>
      <c r="Q358" s="7">
        <v>35.36</v>
      </c>
      <c r="R358" s="7">
        <v>2495.63</v>
      </c>
      <c r="S358" s="7">
        <v>0.2</v>
      </c>
      <c r="T358" s="7">
        <v>499.13</v>
      </c>
      <c r="U358" s="7">
        <v>1996.5</v>
      </c>
      <c r="V358" s="7">
        <v>1343.66</v>
      </c>
      <c r="W358" s="7">
        <v>652.84</v>
      </c>
      <c r="X358" s="7" t="s">
        <v>32</v>
      </c>
    </row>
    <row r="359" spans="1:24" x14ac:dyDescent="0.25">
      <c r="A359" s="16" t="s">
        <v>755</v>
      </c>
      <c r="B359" s="17">
        <v>45419</v>
      </c>
      <c r="C359" s="6" t="s">
        <v>491</v>
      </c>
      <c r="D359" s="6" t="s">
        <v>57</v>
      </c>
      <c r="E359" s="6" t="s">
        <v>99</v>
      </c>
      <c r="F359" s="6" t="s">
        <v>100</v>
      </c>
      <c r="G359" s="6" t="s">
        <v>101</v>
      </c>
      <c r="H359" s="6" t="s">
        <v>102</v>
      </c>
      <c r="I359" s="6" t="s">
        <v>88</v>
      </c>
      <c r="J359" s="6" t="s">
        <v>89</v>
      </c>
      <c r="K359" s="6" t="s">
        <v>170</v>
      </c>
      <c r="L359" s="6" t="s">
        <v>2671</v>
      </c>
      <c r="M359" s="6" t="s">
        <v>153</v>
      </c>
      <c r="N359" s="6" t="s">
        <v>44</v>
      </c>
      <c r="O359" s="6">
        <v>63</v>
      </c>
      <c r="P359" s="6">
        <v>73.14</v>
      </c>
      <c r="Q359" s="6">
        <v>41.55</v>
      </c>
      <c r="R359" s="6">
        <v>4608.01</v>
      </c>
      <c r="S359" s="6">
        <v>0.15</v>
      </c>
      <c r="T359" s="6">
        <v>691.2</v>
      </c>
      <c r="U359" s="6">
        <v>3916.81</v>
      </c>
      <c r="V359" s="6">
        <v>2617.62</v>
      </c>
      <c r="W359" s="6">
        <v>1299.19</v>
      </c>
      <c r="X359" s="6" t="s">
        <v>45</v>
      </c>
    </row>
    <row r="360" spans="1:24" x14ac:dyDescent="0.25">
      <c r="A360" s="5" t="s">
        <v>756</v>
      </c>
      <c r="B360" s="18">
        <v>45629</v>
      </c>
      <c r="C360" s="7" t="s">
        <v>757</v>
      </c>
      <c r="D360" s="7" t="s">
        <v>163</v>
      </c>
      <c r="E360" s="7" t="s">
        <v>78</v>
      </c>
      <c r="F360" s="7" t="s">
        <v>79</v>
      </c>
      <c r="G360" s="7" t="s">
        <v>80</v>
      </c>
      <c r="H360" s="7" t="s">
        <v>81</v>
      </c>
      <c r="I360" s="7" t="s">
        <v>27</v>
      </c>
      <c r="J360" s="7" t="s">
        <v>211</v>
      </c>
      <c r="K360" s="7" t="s">
        <v>265</v>
      </c>
      <c r="L360" s="7" t="s">
        <v>2678</v>
      </c>
      <c r="M360" s="7" t="s">
        <v>153</v>
      </c>
      <c r="N360" s="7" t="s">
        <v>44</v>
      </c>
      <c r="O360" s="7">
        <v>76</v>
      </c>
      <c r="P360" s="7">
        <v>149.94</v>
      </c>
      <c r="Q360" s="7">
        <v>88.04</v>
      </c>
      <c r="R360" s="7">
        <v>11395.36</v>
      </c>
      <c r="S360" s="7">
        <v>0</v>
      </c>
      <c r="T360" s="7">
        <v>0</v>
      </c>
      <c r="U360" s="7">
        <v>11395.36</v>
      </c>
      <c r="V360" s="7">
        <v>6690.81</v>
      </c>
      <c r="W360" s="7">
        <v>4704.55</v>
      </c>
      <c r="X360" s="7" t="s">
        <v>32</v>
      </c>
    </row>
    <row r="361" spans="1:24" x14ac:dyDescent="0.25">
      <c r="A361" s="16" t="s">
        <v>758</v>
      </c>
      <c r="B361" s="17">
        <v>45459</v>
      </c>
      <c r="C361" s="6" t="s">
        <v>759</v>
      </c>
      <c r="D361" s="6" t="s">
        <v>35</v>
      </c>
      <c r="E361" s="6" t="s">
        <v>36</v>
      </c>
      <c r="F361" s="6" t="s">
        <v>37</v>
      </c>
      <c r="G361" s="6" t="s">
        <v>38</v>
      </c>
      <c r="H361" s="6" t="s">
        <v>39</v>
      </c>
      <c r="I361" s="6" t="s">
        <v>27</v>
      </c>
      <c r="J361" s="6" t="s">
        <v>189</v>
      </c>
      <c r="K361" s="6" t="s">
        <v>42</v>
      </c>
      <c r="L361" s="6" t="s">
        <v>2661</v>
      </c>
      <c r="M361" s="6" t="s">
        <v>153</v>
      </c>
      <c r="N361" s="6" t="s">
        <v>70</v>
      </c>
      <c r="O361" s="6">
        <v>50</v>
      </c>
      <c r="P361" s="6">
        <v>170.59</v>
      </c>
      <c r="Q361" s="6">
        <v>106.62</v>
      </c>
      <c r="R361" s="6">
        <v>8529.4699999999993</v>
      </c>
      <c r="S361" s="6">
        <v>0.05</v>
      </c>
      <c r="T361" s="6">
        <v>426.47</v>
      </c>
      <c r="U361" s="6">
        <v>8103</v>
      </c>
      <c r="V361" s="6">
        <v>5331.07</v>
      </c>
      <c r="W361" s="6">
        <v>2771.93</v>
      </c>
      <c r="X361" s="6" t="s">
        <v>45</v>
      </c>
    </row>
    <row r="362" spans="1:24" x14ac:dyDescent="0.25">
      <c r="A362" s="5" t="s">
        <v>760</v>
      </c>
      <c r="B362" s="18">
        <v>45493</v>
      </c>
      <c r="C362" s="7" t="s">
        <v>64</v>
      </c>
      <c r="D362" s="7" t="s">
        <v>65</v>
      </c>
      <c r="E362" s="7" t="s">
        <v>250</v>
      </c>
      <c r="F362" s="7" t="s">
        <v>251</v>
      </c>
      <c r="G362" s="7" t="s">
        <v>51</v>
      </c>
      <c r="H362" s="7" t="s">
        <v>252</v>
      </c>
      <c r="I362" s="7" t="s">
        <v>58</v>
      </c>
      <c r="J362" s="7" t="s">
        <v>345</v>
      </c>
      <c r="K362" s="7" t="s">
        <v>184</v>
      </c>
      <c r="L362" s="7" t="s">
        <v>2672</v>
      </c>
      <c r="M362" s="7" t="s">
        <v>30</v>
      </c>
      <c r="N362" s="7" t="s">
        <v>84</v>
      </c>
      <c r="O362" s="7">
        <v>44</v>
      </c>
      <c r="P362" s="7">
        <v>63.51</v>
      </c>
      <c r="Q362" s="7">
        <v>37.11</v>
      </c>
      <c r="R362" s="7">
        <v>2794.51</v>
      </c>
      <c r="S362" s="7">
        <v>0.2</v>
      </c>
      <c r="T362" s="7">
        <v>558.9</v>
      </c>
      <c r="U362" s="7">
        <v>2235.61</v>
      </c>
      <c r="V362" s="7">
        <v>1632.89</v>
      </c>
      <c r="W362" s="7">
        <v>602.72</v>
      </c>
      <c r="X362" s="7" t="s">
        <v>32</v>
      </c>
    </row>
    <row r="363" spans="1:24" x14ac:dyDescent="0.25">
      <c r="A363" s="16" t="s">
        <v>761</v>
      </c>
      <c r="B363" s="17">
        <v>45455</v>
      </c>
      <c r="C363" s="6" t="s">
        <v>392</v>
      </c>
      <c r="D363" s="6" t="s">
        <v>393</v>
      </c>
      <c r="E363" s="6" t="s">
        <v>93</v>
      </c>
      <c r="F363" s="6" t="s">
        <v>94</v>
      </c>
      <c r="G363" s="6" t="s">
        <v>95</v>
      </c>
      <c r="H363" s="6" t="s">
        <v>96</v>
      </c>
      <c r="I363" s="6" t="s">
        <v>40</v>
      </c>
      <c r="J363" s="6" t="s">
        <v>289</v>
      </c>
      <c r="K363" s="6" t="s">
        <v>253</v>
      </c>
      <c r="L363" s="6" t="s">
        <v>2676</v>
      </c>
      <c r="M363" s="6" t="s">
        <v>30</v>
      </c>
      <c r="N363" s="6" t="s">
        <v>44</v>
      </c>
      <c r="O363" s="6">
        <v>9</v>
      </c>
      <c r="P363" s="6">
        <v>53.44</v>
      </c>
      <c r="Q363" s="6">
        <v>33.590000000000003</v>
      </c>
      <c r="R363" s="6">
        <v>480.93</v>
      </c>
      <c r="S363" s="6">
        <v>0</v>
      </c>
      <c r="T363" s="6">
        <v>0</v>
      </c>
      <c r="U363" s="6">
        <v>480.93</v>
      </c>
      <c r="V363" s="6">
        <v>302.27999999999997</v>
      </c>
      <c r="W363" s="6">
        <v>178.65</v>
      </c>
      <c r="X363" s="6" t="s">
        <v>45</v>
      </c>
    </row>
    <row r="364" spans="1:24" x14ac:dyDescent="0.25">
      <c r="A364" s="5" t="s">
        <v>762</v>
      </c>
      <c r="B364" s="18">
        <v>45346</v>
      </c>
      <c r="C364" s="7" t="s">
        <v>763</v>
      </c>
      <c r="D364" s="7" t="s">
        <v>105</v>
      </c>
      <c r="E364" s="7" t="s">
        <v>176</v>
      </c>
      <c r="F364" s="7" t="s">
        <v>177</v>
      </c>
      <c r="G364" s="7" t="s">
        <v>101</v>
      </c>
      <c r="H364" s="7" t="s">
        <v>39</v>
      </c>
      <c r="I364" s="7" t="s">
        <v>27</v>
      </c>
      <c r="J364" s="7" t="s">
        <v>106</v>
      </c>
      <c r="K364" s="7" t="s">
        <v>152</v>
      </c>
      <c r="L364" s="7" t="s">
        <v>2670</v>
      </c>
      <c r="M364" s="7" t="s">
        <v>153</v>
      </c>
      <c r="N364" s="7" t="s">
        <v>75</v>
      </c>
      <c r="O364" s="7">
        <v>9</v>
      </c>
      <c r="P364" s="7">
        <v>110.15</v>
      </c>
      <c r="Q364" s="7">
        <v>67.89</v>
      </c>
      <c r="R364" s="7">
        <v>991.37</v>
      </c>
      <c r="S364" s="7">
        <v>0.05</v>
      </c>
      <c r="T364" s="7">
        <v>49.57</v>
      </c>
      <c r="U364" s="7">
        <v>941.8</v>
      </c>
      <c r="V364" s="7">
        <v>610.99</v>
      </c>
      <c r="W364" s="7">
        <v>330.82</v>
      </c>
      <c r="X364" s="7" t="s">
        <v>45</v>
      </c>
    </row>
    <row r="365" spans="1:24" x14ac:dyDescent="0.25">
      <c r="A365" s="16" t="s">
        <v>764</v>
      </c>
      <c r="B365" s="17">
        <v>45502</v>
      </c>
      <c r="C365" s="6" t="s">
        <v>295</v>
      </c>
      <c r="D365" s="6" t="s">
        <v>22</v>
      </c>
      <c r="E365" s="6" t="s">
        <v>36</v>
      </c>
      <c r="F365" s="6" t="s">
        <v>37</v>
      </c>
      <c r="G365" s="6" t="s">
        <v>38</v>
      </c>
      <c r="H365" s="6" t="s">
        <v>39</v>
      </c>
      <c r="I365" s="6" t="s">
        <v>27</v>
      </c>
      <c r="J365" s="6" t="s">
        <v>28</v>
      </c>
      <c r="K365" s="6" t="s">
        <v>29</v>
      </c>
      <c r="L365" s="6" t="s">
        <v>2660</v>
      </c>
      <c r="M365" s="6" t="s">
        <v>30</v>
      </c>
      <c r="N365" s="6" t="s">
        <v>70</v>
      </c>
      <c r="O365" s="6">
        <v>29</v>
      </c>
      <c r="P365" s="6">
        <v>171.33</v>
      </c>
      <c r="Q365" s="6">
        <v>105.62</v>
      </c>
      <c r="R365" s="6">
        <v>4968.67</v>
      </c>
      <c r="S365" s="6">
        <v>0.2</v>
      </c>
      <c r="T365" s="6">
        <v>993.73</v>
      </c>
      <c r="U365" s="6">
        <v>3974.94</v>
      </c>
      <c r="V365" s="6">
        <v>3063.05</v>
      </c>
      <c r="W365" s="6">
        <v>911.89</v>
      </c>
      <c r="X365" s="6" t="s">
        <v>45</v>
      </c>
    </row>
    <row r="366" spans="1:24" x14ac:dyDescent="0.25">
      <c r="A366" s="5" t="s">
        <v>765</v>
      </c>
      <c r="B366" s="18">
        <v>45572</v>
      </c>
      <c r="C366" s="7" t="s">
        <v>213</v>
      </c>
      <c r="D366" s="7" t="s">
        <v>87</v>
      </c>
      <c r="E366" s="7" t="s">
        <v>176</v>
      </c>
      <c r="F366" s="7" t="s">
        <v>177</v>
      </c>
      <c r="G366" s="7" t="s">
        <v>101</v>
      </c>
      <c r="H366" s="7" t="s">
        <v>39</v>
      </c>
      <c r="I366" s="7" t="s">
        <v>40</v>
      </c>
      <c r="J366" s="7" t="s">
        <v>117</v>
      </c>
      <c r="K366" s="7" t="s">
        <v>178</v>
      </c>
      <c r="L366" s="7" t="s">
        <v>256</v>
      </c>
      <c r="M366" s="7" t="s">
        <v>30</v>
      </c>
      <c r="N366" s="7" t="s">
        <v>75</v>
      </c>
      <c r="O366" s="7">
        <v>52</v>
      </c>
      <c r="P366" s="7">
        <v>111.28</v>
      </c>
      <c r="Q366" s="7">
        <v>67.88</v>
      </c>
      <c r="R366" s="7">
        <v>5786.44</v>
      </c>
      <c r="S366" s="7">
        <v>0.05</v>
      </c>
      <c r="T366" s="7">
        <v>289.32</v>
      </c>
      <c r="U366" s="7">
        <v>5497.12</v>
      </c>
      <c r="V366" s="7">
        <v>3529.74</v>
      </c>
      <c r="W366" s="7">
        <v>1967.38</v>
      </c>
      <c r="X366" s="7" t="s">
        <v>45</v>
      </c>
    </row>
    <row r="367" spans="1:24" x14ac:dyDescent="0.25">
      <c r="A367" s="16" t="s">
        <v>766</v>
      </c>
      <c r="B367" s="17">
        <v>45329</v>
      </c>
      <c r="C367" s="6" t="s">
        <v>617</v>
      </c>
      <c r="D367" s="6" t="s">
        <v>22</v>
      </c>
      <c r="E367" s="6" t="s">
        <v>109</v>
      </c>
      <c r="F367" s="6" t="s">
        <v>110</v>
      </c>
      <c r="G367" s="6" t="s">
        <v>80</v>
      </c>
      <c r="H367" s="6" t="s">
        <v>81</v>
      </c>
      <c r="I367" s="6" t="s">
        <v>58</v>
      </c>
      <c r="J367" s="6" t="s">
        <v>73</v>
      </c>
      <c r="K367" s="6" t="s">
        <v>111</v>
      </c>
      <c r="L367" s="6" t="s">
        <v>2667</v>
      </c>
      <c r="M367" s="6" t="s">
        <v>30</v>
      </c>
      <c r="N367" s="6" t="s">
        <v>31</v>
      </c>
      <c r="O367" s="6">
        <v>8</v>
      </c>
      <c r="P367" s="6">
        <v>117.02</v>
      </c>
      <c r="Q367" s="6">
        <v>68.3</v>
      </c>
      <c r="R367" s="6">
        <v>936.12</v>
      </c>
      <c r="S367" s="6">
        <v>0.02</v>
      </c>
      <c r="T367" s="6">
        <v>18.72</v>
      </c>
      <c r="U367" s="6">
        <v>917.4</v>
      </c>
      <c r="V367" s="6">
        <v>546.37</v>
      </c>
      <c r="W367" s="6">
        <v>371.04</v>
      </c>
      <c r="X367" s="6" t="s">
        <v>45</v>
      </c>
    </row>
    <row r="368" spans="1:24" x14ac:dyDescent="0.25">
      <c r="A368" s="5" t="s">
        <v>767</v>
      </c>
      <c r="B368" s="18">
        <v>45390</v>
      </c>
      <c r="C368" s="7" t="s">
        <v>408</v>
      </c>
      <c r="D368" s="7" t="s">
        <v>65</v>
      </c>
      <c r="E368" s="7" t="s">
        <v>222</v>
      </c>
      <c r="F368" s="7" t="s">
        <v>223</v>
      </c>
      <c r="G368" s="7" t="s">
        <v>101</v>
      </c>
      <c r="H368" s="7" t="s">
        <v>68</v>
      </c>
      <c r="I368" s="7" t="s">
        <v>520</v>
      </c>
      <c r="J368" s="7" t="s">
        <v>143</v>
      </c>
      <c r="K368" s="7" t="s">
        <v>152</v>
      </c>
      <c r="L368" s="7" t="s">
        <v>2670</v>
      </c>
      <c r="M368" s="7" t="s">
        <v>61</v>
      </c>
      <c r="N368" s="7" t="s">
        <v>70</v>
      </c>
      <c r="O368" s="7">
        <v>74</v>
      </c>
      <c r="P368" s="7">
        <v>126.64</v>
      </c>
      <c r="Q368" s="7">
        <v>79.42</v>
      </c>
      <c r="R368" s="7">
        <v>9371.49</v>
      </c>
      <c r="S368" s="7">
        <v>0.05</v>
      </c>
      <c r="T368" s="7">
        <v>468.57</v>
      </c>
      <c r="U368" s="7">
        <v>8902.91</v>
      </c>
      <c r="V368" s="7">
        <v>5876.92</v>
      </c>
      <c r="W368" s="7">
        <v>3026</v>
      </c>
      <c r="X368" s="7" t="s">
        <v>45</v>
      </c>
    </row>
    <row r="369" spans="1:24" x14ac:dyDescent="0.25">
      <c r="A369" s="16" t="s">
        <v>768</v>
      </c>
      <c r="B369" s="17">
        <v>45433</v>
      </c>
      <c r="C369" s="6" t="s">
        <v>314</v>
      </c>
      <c r="D369" s="6" t="s">
        <v>163</v>
      </c>
      <c r="E369" s="6" t="s">
        <v>216</v>
      </c>
      <c r="F369" s="6" t="s">
        <v>217</v>
      </c>
      <c r="G369" s="6" t="s">
        <v>38</v>
      </c>
      <c r="H369" s="6" t="s">
        <v>134</v>
      </c>
      <c r="I369" s="6" t="s">
        <v>27</v>
      </c>
      <c r="J369" s="6" t="s">
        <v>211</v>
      </c>
      <c r="K369" s="6" t="s">
        <v>83</v>
      </c>
      <c r="L369" s="6" t="s">
        <v>2665</v>
      </c>
      <c r="M369" s="6" t="s">
        <v>43</v>
      </c>
      <c r="N369" s="6" t="s">
        <v>75</v>
      </c>
      <c r="O369" s="6">
        <v>60</v>
      </c>
      <c r="P369" s="6">
        <v>115.67</v>
      </c>
      <c r="Q369" s="6">
        <v>70.760000000000005</v>
      </c>
      <c r="R369" s="6">
        <v>6940.22</v>
      </c>
      <c r="S369" s="6">
        <v>0.1</v>
      </c>
      <c r="T369" s="6">
        <v>694.02</v>
      </c>
      <c r="U369" s="6">
        <v>6246.2</v>
      </c>
      <c r="V369" s="6">
        <v>4245.34</v>
      </c>
      <c r="W369" s="6">
        <v>2000.86</v>
      </c>
      <c r="X369" s="6" t="s">
        <v>129</v>
      </c>
    </row>
    <row r="370" spans="1:24" x14ac:dyDescent="0.25">
      <c r="A370" s="5" t="s">
        <v>769</v>
      </c>
      <c r="B370" s="18">
        <v>45325</v>
      </c>
      <c r="C370" s="7" t="s">
        <v>679</v>
      </c>
      <c r="D370" s="7" t="s">
        <v>105</v>
      </c>
      <c r="E370" s="7" t="s">
        <v>176</v>
      </c>
      <c r="F370" s="7" t="s">
        <v>177</v>
      </c>
      <c r="G370" s="7" t="s">
        <v>101</v>
      </c>
      <c r="H370" s="7" t="s">
        <v>39</v>
      </c>
      <c r="I370" s="7" t="s">
        <v>88</v>
      </c>
      <c r="J370" s="7" t="s">
        <v>89</v>
      </c>
      <c r="K370" s="7" t="s">
        <v>248</v>
      </c>
      <c r="L370" s="7" t="s">
        <v>2675</v>
      </c>
      <c r="M370" s="7" t="s">
        <v>61</v>
      </c>
      <c r="N370" s="7" t="s">
        <v>70</v>
      </c>
      <c r="O370" s="7">
        <v>40</v>
      </c>
      <c r="P370" s="7">
        <v>104.87</v>
      </c>
      <c r="Q370" s="7">
        <v>62.42</v>
      </c>
      <c r="R370" s="7">
        <v>4194.9799999999996</v>
      </c>
      <c r="S370" s="7">
        <v>0.02</v>
      </c>
      <c r="T370" s="7">
        <v>83.9</v>
      </c>
      <c r="U370" s="7">
        <v>4111.08</v>
      </c>
      <c r="V370" s="7">
        <v>2496.66</v>
      </c>
      <c r="W370" s="7">
        <v>1614.43</v>
      </c>
      <c r="X370" s="7" t="s">
        <v>45</v>
      </c>
    </row>
    <row r="371" spans="1:24" x14ac:dyDescent="0.25">
      <c r="A371" s="16" t="s">
        <v>770</v>
      </c>
      <c r="B371" s="17">
        <v>45311</v>
      </c>
      <c r="C371" s="6" t="s">
        <v>499</v>
      </c>
      <c r="D371" s="6" t="s">
        <v>87</v>
      </c>
      <c r="E371" s="6" t="s">
        <v>176</v>
      </c>
      <c r="F371" s="6" t="s">
        <v>177</v>
      </c>
      <c r="G371" s="6" t="s">
        <v>101</v>
      </c>
      <c r="H371" s="6" t="s">
        <v>39</v>
      </c>
      <c r="I371" s="6" t="s">
        <v>40</v>
      </c>
      <c r="J371" s="6" t="s">
        <v>117</v>
      </c>
      <c r="K371" s="6" t="s">
        <v>60</v>
      </c>
      <c r="L371" s="6" t="s">
        <v>2662</v>
      </c>
      <c r="M371" s="6" t="s">
        <v>61</v>
      </c>
      <c r="N371" s="6" t="s">
        <v>75</v>
      </c>
      <c r="O371" s="6">
        <v>48</v>
      </c>
      <c r="P371" s="6">
        <v>103.24</v>
      </c>
      <c r="Q371" s="6">
        <v>58.36</v>
      </c>
      <c r="R371" s="6">
        <v>4955.4399999999996</v>
      </c>
      <c r="S371" s="6">
        <v>0</v>
      </c>
      <c r="T371" s="6">
        <v>0</v>
      </c>
      <c r="U371" s="6">
        <v>4955.4399999999996</v>
      </c>
      <c r="V371" s="6">
        <v>2801.17</v>
      </c>
      <c r="W371" s="6">
        <v>2154.27</v>
      </c>
      <c r="X371" s="6" t="s">
        <v>45</v>
      </c>
    </row>
    <row r="372" spans="1:24" x14ac:dyDescent="0.25">
      <c r="A372" s="5" t="s">
        <v>771</v>
      </c>
      <c r="B372" s="18">
        <v>45533</v>
      </c>
      <c r="C372" s="7" t="s">
        <v>466</v>
      </c>
      <c r="D372" s="7" t="s">
        <v>221</v>
      </c>
      <c r="E372" s="7" t="s">
        <v>78</v>
      </c>
      <c r="F372" s="7" t="s">
        <v>79</v>
      </c>
      <c r="G372" s="7" t="s">
        <v>80</v>
      </c>
      <c r="H372" s="7" t="s">
        <v>81</v>
      </c>
      <c r="I372" s="7" t="s">
        <v>40</v>
      </c>
      <c r="J372" s="7" t="s">
        <v>41</v>
      </c>
      <c r="K372" s="7" t="s">
        <v>265</v>
      </c>
      <c r="L372" s="7" t="s">
        <v>2678</v>
      </c>
      <c r="M372" s="7" t="s">
        <v>43</v>
      </c>
      <c r="N372" s="7" t="s">
        <v>84</v>
      </c>
      <c r="O372" s="7">
        <v>10</v>
      </c>
      <c r="P372" s="7">
        <v>132.58000000000001</v>
      </c>
      <c r="Q372" s="7">
        <v>79.099999999999994</v>
      </c>
      <c r="R372" s="7">
        <v>1325.84</v>
      </c>
      <c r="S372" s="7">
        <v>0</v>
      </c>
      <c r="T372" s="7">
        <v>0</v>
      </c>
      <c r="U372" s="7">
        <v>1325.84</v>
      </c>
      <c r="V372" s="7">
        <v>790.95</v>
      </c>
      <c r="W372" s="7">
        <v>534.89</v>
      </c>
      <c r="X372" s="7" t="s">
        <v>45</v>
      </c>
    </row>
    <row r="373" spans="1:24" x14ac:dyDescent="0.25">
      <c r="A373" s="16" t="s">
        <v>772</v>
      </c>
      <c r="B373" s="17">
        <v>45586</v>
      </c>
      <c r="C373" s="6" t="s">
        <v>307</v>
      </c>
      <c r="D373" s="6" t="s">
        <v>105</v>
      </c>
      <c r="E373" s="6" t="s">
        <v>93</v>
      </c>
      <c r="F373" s="6" t="s">
        <v>94</v>
      </c>
      <c r="G373" s="6" t="s">
        <v>95</v>
      </c>
      <c r="H373" s="6" t="s">
        <v>96</v>
      </c>
      <c r="I373" s="6" t="s">
        <v>58</v>
      </c>
      <c r="J373" s="6" t="s">
        <v>59</v>
      </c>
      <c r="K373" s="6" t="s">
        <v>248</v>
      </c>
      <c r="L373" s="6" t="s">
        <v>2675</v>
      </c>
      <c r="M373" s="6" t="s">
        <v>61</v>
      </c>
      <c r="N373" s="6" t="s">
        <v>70</v>
      </c>
      <c r="O373" s="6">
        <v>49</v>
      </c>
      <c r="P373" s="6">
        <v>53.02</v>
      </c>
      <c r="Q373" s="6">
        <v>33.07</v>
      </c>
      <c r="R373" s="6">
        <v>2598.08</v>
      </c>
      <c r="S373" s="6">
        <v>0.1</v>
      </c>
      <c r="T373" s="6">
        <v>259.81</v>
      </c>
      <c r="U373" s="6">
        <v>2338.27</v>
      </c>
      <c r="V373" s="6">
        <v>1620.54</v>
      </c>
      <c r="W373" s="6">
        <v>717.73</v>
      </c>
      <c r="X373" s="6" t="s">
        <v>45</v>
      </c>
    </row>
    <row r="374" spans="1:24" x14ac:dyDescent="0.25">
      <c r="A374" s="5" t="s">
        <v>773</v>
      </c>
      <c r="B374" s="18">
        <v>45330</v>
      </c>
      <c r="C374" s="7" t="s">
        <v>172</v>
      </c>
      <c r="D374" s="7" t="s">
        <v>22</v>
      </c>
      <c r="E374" s="7" t="s">
        <v>250</v>
      </c>
      <c r="F374" s="7" t="s">
        <v>251</v>
      </c>
      <c r="G374" s="7" t="s">
        <v>51</v>
      </c>
      <c r="H374" s="7" t="s">
        <v>252</v>
      </c>
      <c r="I374" s="7" t="s">
        <v>88</v>
      </c>
      <c r="J374" s="7" t="s">
        <v>173</v>
      </c>
      <c r="K374" s="7" t="s">
        <v>170</v>
      </c>
      <c r="L374" s="7" t="s">
        <v>2671</v>
      </c>
      <c r="M374" s="7" t="s">
        <v>61</v>
      </c>
      <c r="N374" s="7" t="s">
        <v>31</v>
      </c>
      <c r="O374" s="7">
        <v>64</v>
      </c>
      <c r="P374" s="7">
        <v>66.94</v>
      </c>
      <c r="Q374" s="7">
        <v>35.380000000000003</v>
      </c>
      <c r="R374" s="7">
        <v>4284.0200000000004</v>
      </c>
      <c r="S374" s="7">
        <v>0</v>
      </c>
      <c r="T374" s="7">
        <v>0</v>
      </c>
      <c r="U374" s="7">
        <v>4284.0200000000004</v>
      </c>
      <c r="V374" s="7">
        <v>2264.54</v>
      </c>
      <c r="W374" s="7">
        <v>2019.48</v>
      </c>
      <c r="X374" s="7" t="s">
        <v>45</v>
      </c>
    </row>
    <row r="375" spans="1:24" x14ac:dyDescent="0.25">
      <c r="A375" s="16" t="s">
        <v>774</v>
      </c>
      <c r="B375" s="17">
        <v>45542</v>
      </c>
      <c r="C375" s="6" t="s">
        <v>284</v>
      </c>
      <c r="D375" s="6" t="s">
        <v>57</v>
      </c>
      <c r="E375" s="6" t="s">
        <v>165</v>
      </c>
      <c r="F375" s="6" t="s">
        <v>166</v>
      </c>
      <c r="G375" s="6" t="s">
        <v>95</v>
      </c>
      <c r="H375" s="6" t="s">
        <v>167</v>
      </c>
      <c r="I375" s="6" t="s">
        <v>88</v>
      </c>
      <c r="J375" s="6" t="s">
        <v>89</v>
      </c>
      <c r="K375" s="6" t="s">
        <v>60</v>
      </c>
      <c r="L375" s="6" t="s">
        <v>2662</v>
      </c>
      <c r="M375" s="6" t="s">
        <v>30</v>
      </c>
      <c r="N375" s="6" t="s">
        <v>44</v>
      </c>
      <c r="O375" s="6">
        <v>76</v>
      </c>
      <c r="P375" s="6">
        <v>39.72</v>
      </c>
      <c r="Q375" s="6">
        <v>23.09</v>
      </c>
      <c r="R375" s="6">
        <v>3018.37</v>
      </c>
      <c r="S375" s="6">
        <v>0.02</v>
      </c>
      <c r="T375" s="6">
        <v>60.37</v>
      </c>
      <c r="U375" s="6">
        <v>2958</v>
      </c>
      <c r="V375" s="6">
        <v>1755.1</v>
      </c>
      <c r="W375" s="6">
        <v>1202.9000000000001</v>
      </c>
      <c r="X375" s="6" t="s">
        <v>45</v>
      </c>
    </row>
    <row r="376" spans="1:24" x14ac:dyDescent="0.25">
      <c r="A376" s="5" t="s">
        <v>775</v>
      </c>
      <c r="B376" s="18">
        <v>45299</v>
      </c>
      <c r="C376" s="7" t="s">
        <v>776</v>
      </c>
      <c r="D376" s="7" t="s">
        <v>57</v>
      </c>
      <c r="E376" s="7" t="s">
        <v>187</v>
      </c>
      <c r="F376" s="7" t="s">
        <v>188</v>
      </c>
      <c r="G376" s="7" t="s">
        <v>25</v>
      </c>
      <c r="H376" s="7" t="s">
        <v>26</v>
      </c>
      <c r="I376" s="7" t="s">
        <v>88</v>
      </c>
      <c r="J376" s="7" t="s">
        <v>135</v>
      </c>
      <c r="K376" s="7" t="s">
        <v>42</v>
      </c>
      <c r="L376" s="7" t="s">
        <v>2661</v>
      </c>
      <c r="M376" s="7" t="s">
        <v>30</v>
      </c>
      <c r="N376" s="7" t="s">
        <v>84</v>
      </c>
      <c r="O376" s="7">
        <v>61</v>
      </c>
      <c r="P376" s="7">
        <v>46.72</v>
      </c>
      <c r="Q376" s="7">
        <v>30.35</v>
      </c>
      <c r="R376" s="7">
        <v>2850.06</v>
      </c>
      <c r="S376" s="7">
        <v>0.15</v>
      </c>
      <c r="T376" s="7">
        <v>427.51</v>
      </c>
      <c r="U376" s="7">
        <v>2422.5500000000002</v>
      </c>
      <c r="V376" s="7">
        <v>1851.52</v>
      </c>
      <c r="W376" s="7">
        <v>571.03</v>
      </c>
      <c r="X376" s="7" t="s">
        <v>45</v>
      </c>
    </row>
    <row r="377" spans="1:24" x14ac:dyDescent="0.25">
      <c r="A377" s="16" t="s">
        <v>777</v>
      </c>
      <c r="B377" s="17">
        <v>45567</v>
      </c>
      <c r="C377" s="6" t="s">
        <v>466</v>
      </c>
      <c r="D377" s="6" t="s">
        <v>221</v>
      </c>
      <c r="E377" s="6" t="s">
        <v>222</v>
      </c>
      <c r="F377" s="6" t="s">
        <v>223</v>
      </c>
      <c r="G377" s="6" t="s">
        <v>101</v>
      </c>
      <c r="H377" s="6" t="s">
        <v>68</v>
      </c>
      <c r="I377" s="6" t="s">
        <v>53</v>
      </c>
      <c r="J377" s="6" t="s">
        <v>143</v>
      </c>
      <c r="K377" s="6" t="s">
        <v>218</v>
      </c>
      <c r="L377" s="6" t="s">
        <v>2674</v>
      </c>
      <c r="M377" s="6" t="s">
        <v>43</v>
      </c>
      <c r="N377" s="6" t="s">
        <v>70</v>
      </c>
      <c r="O377" s="6">
        <v>65</v>
      </c>
      <c r="P377" s="6">
        <v>120.98</v>
      </c>
      <c r="Q377" s="6">
        <v>77.23</v>
      </c>
      <c r="R377" s="6">
        <v>7863.85</v>
      </c>
      <c r="S377" s="6">
        <v>0.2</v>
      </c>
      <c r="T377" s="6">
        <v>1572.77</v>
      </c>
      <c r="U377" s="6">
        <v>6291.08</v>
      </c>
      <c r="V377" s="6">
        <v>5019.8500000000004</v>
      </c>
      <c r="W377" s="6">
        <v>1271.23</v>
      </c>
      <c r="X377" s="6" t="s">
        <v>32</v>
      </c>
    </row>
    <row r="378" spans="1:24" x14ac:dyDescent="0.25">
      <c r="A378" s="5" t="s">
        <v>778</v>
      </c>
      <c r="B378" s="18">
        <v>45332</v>
      </c>
      <c r="C378" s="7" t="s">
        <v>131</v>
      </c>
      <c r="D378" s="7" t="s">
        <v>65</v>
      </c>
      <c r="E378" s="7" t="s">
        <v>216</v>
      </c>
      <c r="F378" s="7" t="s">
        <v>217</v>
      </c>
      <c r="G378" s="7" t="s">
        <v>38</v>
      </c>
      <c r="H378" s="7" t="s">
        <v>134</v>
      </c>
      <c r="I378" s="7" t="s">
        <v>58</v>
      </c>
      <c r="J378" s="7" t="s">
        <v>323</v>
      </c>
      <c r="K378" s="7" t="s">
        <v>29</v>
      </c>
      <c r="L378" s="7" t="s">
        <v>2660</v>
      </c>
      <c r="M378" s="7" t="s">
        <v>43</v>
      </c>
      <c r="N378" s="7" t="s">
        <v>44</v>
      </c>
      <c r="O378" s="7">
        <v>23</v>
      </c>
      <c r="P378" s="7">
        <v>111.55</v>
      </c>
      <c r="Q378" s="7">
        <v>65.900000000000006</v>
      </c>
      <c r="R378" s="7">
        <v>2565.7600000000002</v>
      </c>
      <c r="S378" s="7">
        <v>0.05</v>
      </c>
      <c r="T378" s="7">
        <v>128.29</v>
      </c>
      <c r="U378" s="7">
        <v>2437.48</v>
      </c>
      <c r="V378" s="7">
        <v>1515.77</v>
      </c>
      <c r="W378" s="7">
        <v>921.7</v>
      </c>
      <c r="X378" s="7" t="s">
        <v>129</v>
      </c>
    </row>
    <row r="379" spans="1:24" x14ac:dyDescent="0.25">
      <c r="A379" s="16" t="s">
        <v>779</v>
      </c>
      <c r="B379" s="17">
        <v>45395</v>
      </c>
      <c r="C379" s="6" t="s">
        <v>199</v>
      </c>
      <c r="D379" s="6" t="s">
        <v>105</v>
      </c>
      <c r="E379" s="6" t="s">
        <v>141</v>
      </c>
      <c r="F379" s="6" t="s">
        <v>142</v>
      </c>
      <c r="G379" s="6" t="s">
        <v>25</v>
      </c>
      <c r="H379" s="6" t="s">
        <v>26</v>
      </c>
      <c r="I379" s="6" t="s">
        <v>712</v>
      </c>
      <c r="J379" s="6" t="s">
        <v>323</v>
      </c>
      <c r="K379" s="6" t="s">
        <v>248</v>
      </c>
      <c r="L379" s="6" t="s">
        <v>2675</v>
      </c>
      <c r="M379" s="6" t="s">
        <v>43</v>
      </c>
      <c r="N379" s="6" t="s">
        <v>31</v>
      </c>
      <c r="O379" s="6">
        <v>45</v>
      </c>
      <c r="P379" s="6">
        <v>97.7</v>
      </c>
      <c r="Q379" s="6">
        <v>56.82</v>
      </c>
      <c r="R379" s="6">
        <v>4396.43</v>
      </c>
      <c r="S379" s="6">
        <v>0.1</v>
      </c>
      <c r="T379" s="6">
        <v>439.64</v>
      </c>
      <c r="U379" s="6">
        <v>3956.79</v>
      </c>
      <c r="V379" s="6">
        <v>2557.02</v>
      </c>
      <c r="W379" s="6">
        <v>1399.77</v>
      </c>
      <c r="X379" s="6" t="s">
        <v>45</v>
      </c>
    </row>
    <row r="380" spans="1:24" x14ac:dyDescent="0.25">
      <c r="A380" s="5" t="s">
        <v>780</v>
      </c>
      <c r="B380" s="18">
        <v>45522</v>
      </c>
      <c r="C380" s="7" t="s">
        <v>197</v>
      </c>
      <c r="D380" s="7" t="s">
        <v>159</v>
      </c>
      <c r="E380" s="7" t="s">
        <v>109</v>
      </c>
      <c r="F380" s="7" t="s">
        <v>110</v>
      </c>
      <c r="G380" s="7" t="s">
        <v>80</v>
      </c>
      <c r="H380" s="7" t="s">
        <v>81</v>
      </c>
      <c r="I380" s="7" t="s">
        <v>58</v>
      </c>
      <c r="J380" s="7" t="s">
        <v>73</v>
      </c>
      <c r="K380" s="7" t="s">
        <v>152</v>
      </c>
      <c r="L380" s="7" t="s">
        <v>2670</v>
      </c>
      <c r="M380" s="7" t="s">
        <v>153</v>
      </c>
      <c r="N380" s="7" t="s">
        <v>84</v>
      </c>
      <c r="O380" s="7">
        <v>31</v>
      </c>
      <c r="P380" s="7">
        <v>130.75</v>
      </c>
      <c r="Q380" s="7">
        <v>71.05</v>
      </c>
      <c r="R380" s="7">
        <v>4053.28</v>
      </c>
      <c r="S380" s="7">
        <v>0.2</v>
      </c>
      <c r="T380" s="7">
        <v>810.66</v>
      </c>
      <c r="U380" s="7">
        <v>3242.62</v>
      </c>
      <c r="V380" s="7">
        <v>2202.61</v>
      </c>
      <c r="W380" s="7">
        <v>1040.02</v>
      </c>
      <c r="X380" s="7" t="s">
        <v>129</v>
      </c>
    </row>
    <row r="381" spans="1:24" x14ac:dyDescent="0.25">
      <c r="A381" s="16" t="s">
        <v>781</v>
      </c>
      <c r="B381" s="17">
        <v>45361</v>
      </c>
      <c r="C381" s="6" t="s">
        <v>537</v>
      </c>
      <c r="D381" s="6" t="s">
        <v>359</v>
      </c>
      <c r="E381" s="6" t="s">
        <v>176</v>
      </c>
      <c r="F381" s="6" t="s">
        <v>177</v>
      </c>
      <c r="G381" s="6" t="s">
        <v>101</v>
      </c>
      <c r="H381" s="6" t="s">
        <v>39</v>
      </c>
      <c r="I381" s="6" t="s">
        <v>88</v>
      </c>
      <c r="J381" s="6" t="s">
        <v>173</v>
      </c>
      <c r="K381" s="6" t="s">
        <v>248</v>
      </c>
      <c r="L381" s="6" t="s">
        <v>2675</v>
      </c>
      <c r="M381" s="6" t="s">
        <v>43</v>
      </c>
      <c r="N381" s="6" t="s">
        <v>84</v>
      </c>
      <c r="O381" s="6">
        <v>10</v>
      </c>
      <c r="P381" s="6">
        <v>105.05</v>
      </c>
      <c r="Q381" s="6">
        <v>66.59</v>
      </c>
      <c r="R381" s="6">
        <v>1050.53</v>
      </c>
      <c r="S381" s="6">
        <v>0.1</v>
      </c>
      <c r="T381" s="6">
        <v>105.05</v>
      </c>
      <c r="U381" s="6">
        <v>945.47</v>
      </c>
      <c r="V381" s="6">
        <v>665.93</v>
      </c>
      <c r="W381" s="6">
        <v>279.54000000000002</v>
      </c>
      <c r="X381" s="6" t="s">
        <v>129</v>
      </c>
    </row>
    <row r="382" spans="1:24" x14ac:dyDescent="0.25">
      <c r="A382" s="5" t="s">
        <v>782</v>
      </c>
      <c r="B382" s="18">
        <v>45558</v>
      </c>
      <c r="C382" s="7" t="s">
        <v>524</v>
      </c>
      <c r="D382" s="7" t="s">
        <v>125</v>
      </c>
      <c r="E382" s="7" t="s">
        <v>132</v>
      </c>
      <c r="F382" s="7" t="s">
        <v>133</v>
      </c>
      <c r="G382" s="7" t="s">
        <v>51</v>
      </c>
      <c r="H382" s="7" t="s">
        <v>134</v>
      </c>
      <c r="I382" s="7" t="s">
        <v>58</v>
      </c>
      <c r="J382" s="7" t="s">
        <v>323</v>
      </c>
      <c r="K382" s="7" t="s">
        <v>170</v>
      </c>
      <c r="L382" s="7" t="s">
        <v>2671</v>
      </c>
      <c r="M382" s="7" t="s">
        <v>153</v>
      </c>
      <c r="N382" s="7" t="s">
        <v>70</v>
      </c>
      <c r="O382" s="7">
        <v>18</v>
      </c>
      <c r="P382" s="7">
        <v>63.24</v>
      </c>
      <c r="Q382" s="7">
        <v>34.65</v>
      </c>
      <c r="R382" s="7">
        <v>1138.25</v>
      </c>
      <c r="S382" s="7">
        <v>0.2</v>
      </c>
      <c r="T382" s="7">
        <v>227.65</v>
      </c>
      <c r="U382" s="7">
        <v>910.6</v>
      </c>
      <c r="V382" s="7">
        <v>623.70000000000005</v>
      </c>
      <c r="W382" s="7">
        <v>286.89999999999998</v>
      </c>
      <c r="X382" s="7" t="s">
        <v>45</v>
      </c>
    </row>
    <row r="383" spans="1:24" x14ac:dyDescent="0.25">
      <c r="A383" s="16" t="s">
        <v>783</v>
      </c>
      <c r="B383" s="17">
        <v>45322</v>
      </c>
      <c r="C383" s="6" t="s">
        <v>312</v>
      </c>
      <c r="D383" s="6" t="s">
        <v>57</v>
      </c>
      <c r="E383" s="6" t="s">
        <v>126</v>
      </c>
      <c r="F383" s="6" t="s">
        <v>127</v>
      </c>
      <c r="G383" s="6" t="s">
        <v>95</v>
      </c>
      <c r="H383" s="6" t="s">
        <v>128</v>
      </c>
      <c r="I383" s="6" t="s">
        <v>58</v>
      </c>
      <c r="J383" s="6" t="s">
        <v>59</v>
      </c>
      <c r="K383" s="6" t="s">
        <v>118</v>
      </c>
      <c r="L383" s="6" t="s">
        <v>2668</v>
      </c>
      <c r="M383" s="6" t="s">
        <v>43</v>
      </c>
      <c r="N383" s="6" t="s">
        <v>84</v>
      </c>
      <c r="O383" s="6">
        <v>2</v>
      </c>
      <c r="P383" s="6">
        <v>92.28</v>
      </c>
      <c r="Q383" s="6">
        <v>49.35</v>
      </c>
      <c r="R383" s="6">
        <v>184.56</v>
      </c>
      <c r="S383" s="6">
        <v>0.02</v>
      </c>
      <c r="T383" s="6">
        <v>3.69</v>
      </c>
      <c r="U383" s="6">
        <v>180.86</v>
      </c>
      <c r="V383" s="6">
        <v>98.71</v>
      </c>
      <c r="W383" s="6">
        <v>82.15</v>
      </c>
      <c r="X383" s="6" t="s">
        <v>550</v>
      </c>
    </row>
    <row r="384" spans="1:24" x14ac:dyDescent="0.25">
      <c r="A384" s="5" t="s">
        <v>784</v>
      </c>
      <c r="B384" s="18">
        <v>45353</v>
      </c>
      <c r="C384" s="7" t="s">
        <v>785</v>
      </c>
      <c r="D384" s="7" t="s">
        <v>264</v>
      </c>
      <c r="E384" s="7" t="s">
        <v>187</v>
      </c>
      <c r="F384" s="7" t="s">
        <v>188</v>
      </c>
      <c r="G384" s="7" t="s">
        <v>25</v>
      </c>
      <c r="H384" s="7" t="s">
        <v>26</v>
      </c>
      <c r="I384" s="7" t="s">
        <v>27</v>
      </c>
      <c r="J384" s="7" t="s">
        <v>211</v>
      </c>
      <c r="K384" s="7" t="s">
        <v>248</v>
      </c>
      <c r="L384" s="7" t="s">
        <v>2675</v>
      </c>
      <c r="M384" s="7" t="s">
        <v>61</v>
      </c>
      <c r="N384" s="7" t="s">
        <v>70</v>
      </c>
      <c r="O384" s="7">
        <v>36</v>
      </c>
      <c r="P384" s="7">
        <v>47.49</v>
      </c>
      <c r="Q384" s="7">
        <v>31.31</v>
      </c>
      <c r="R384" s="7">
        <v>1709.61</v>
      </c>
      <c r="S384" s="7">
        <v>0.2</v>
      </c>
      <c r="T384" s="7">
        <v>341.92</v>
      </c>
      <c r="U384" s="7">
        <v>1367.69</v>
      </c>
      <c r="V384" s="7">
        <v>1127.05</v>
      </c>
      <c r="W384" s="7">
        <v>240.64</v>
      </c>
      <c r="X384" s="7" t="s">
        <v>45</v>
      </c>
    </row>
    <row r="385" spans="1:24" x14ac:dyDescent="0.25">
      <c r="A385" s="16" t="s">
        <v>786</v>
      </c>
      <c r="B385" s="17">
        <v>45452</v>
      </c>
      <c r="C385" s="6" t="s">
        <v>519</v>
      </c>
      <c r="D385" s="6" t="s">
        <v>787</v>
      </c>
      <c r="E385" s="6" t="s">
        <v>66</v>
      </c>
      <c r="F385" s="6" t="s">
        <v>67</v>
      </c>
      <c r="G385" s="6" t="s">
        <v>38</v>
      </c>
      <c r="H385" s="6" t="s">
        <v>68</v>
      </c>
      <c r="I385" s="6" t="s">
        <v>58</v>
      </c>
      <c r="J385" s="6" t="s">
        <v>73</v>
      </c>
      <c r="K385" s="6" t="s">
        <v>184</v>
      </c>
      <c r="L385" s="6" t="s">
        <v>2672</v>
      </c>
      <c r="M385" s="6" t="s">
        <v>43</v>
      </c>
      <c r="N385" s="6" t="s">
        <v>70</v>
      </c>
      <c r="O385" s="6">
        <v>33</v>
      </c>
      <c r="P385" s="6">
        <v>158.16</v>
      </c>
      <c r="Q385" s="6">
        <v>111.77</v>
      </c>
      <c r="R385" s="6">
        <v>5219.33</v>
      </c>
      <c r="S385" s="6">
        <v>0.05</v>
      </c>
      <c r="T385" s="6">
        <v>260.97000000000003</v>
      </c>
      <c r="U385" s="6">
        <v>4958.3599999999997</v>
      </c>
      <c r="V385" s="6">
        <v>3688.25</v>
      </c>
      <c r="W385" s="6">
        <v>1270.1099999999999</v>
      </c>
      <c r="X385" s="6" t="s">
        <v>45</v>
      </c>
    </row>
    <row r="386" spans="1:24" x14ac:dyDescent="0.25">
      <c r="A386" s="5" t="s">
        <v>788</v>
      </c>
      <c r="B386" s="18">
        <v>45553</v>
      </c>
      <c r="C386" s="7" t="s">
        <v>704</v>
      </c>
      <c r="D386" s="7" t="s">
        <v>105</v>
      </c>
      <c r="E386" s="7" t="s">
        <v>126</v>
      </c>
      <c r="F386" s="7" t="s">
        <v>127</v>
      </c>
      <c r="G386" s="7" t="s">
        <v>95</v>
      </c>
      <c r="H386" s="7" t="s">
        <v>128</v>
      </c>
      <c r="I386" s="7" t="s">
        <v>58</v>
      </c>
      <c r="J386" s="7" t="s">
        <v>59</v>
      </c>
      <c r="K386" s="7" t="s">
        <v>184</v>
      </c>
      <c r="L386" s="7" t="s">
        <v>2672</v>
      </c>
      <c r="M386" s="7" t="s">
        <v>30</v>
      </c>
      <c r="N386" s="7" t="s">
        <v>84</v>
      </c>
      <c r="O386" s="7">
        <v>41</v>
      </c>
      <c r="P386" s="7">
        <v>86.44</v>
      </c>
      <c r="Q386" s="7">
        <v>53.66</v>
      </c>
      <c r="R386" s="7">
        <v>3544.09</v>
      </c>
      <c r="S386" s="7">
        <v>0</v>
      </c>
      <c r="T386" s="7">
        <v>0</v>
      </c>
      <c r="U386" s="7">
        <v>3544.09</v>
      </c>
      <c r="V386" s="7">
        <v>2199.9899999999998</v>
      </c>
      <c r="W386" s="7">
        <v>1344.1</v>
      </c>
      <c r="X386" s="7" t="s">
        <v>129</v>
      </c>
    </row>
    <row r="387" spans="1:24" x14ac:dyDescent="0.25">
      <c r="A387" s="16" t="s">
        <v>789</v>
      </c>
      <c r="B387" s="17">
        <v>45591</v>
      </c>
      <c r="C387" s="6" t="s">
        <v>489</v>
      </c>
      <c r="D387" s="6" t="s">
        <v>105</v>
      </c>
      <c r="E387" s="6" t="s">
        <v>209</v>
      </c>
      <c r="F387" s="6" t="s">
        <v>210</v>
      </c>
      <c r="G387" s="6" t="s">
        <v>51</v>
      </c>
      <c r="H387" s="6" t="s">
        <v>116</v>
      </c>
      <c r="I387" s="6" t="s">
        <v>40</v>
      </c>
      <c r="J387" s="6" t="s">
        <v>117</v>
      </c>
      <c r="K387" s="6" t="s">
        <v>29</v>
      </c>
      <c r="L387" s="6" t="s">
        <v>2660</v>
      </c>
      <c r="M387" s="6" t="s">
        <v>43</v>
      </c>
      <c r="N387" s="6" t="s">
        <v>84</v>
      </c>
      <c r="O387" s="6">
        <v>6</v>
      </c>
      <c r="P387" s="6">
        <v>17.149999999999999</v>
      </c>
      <c r="Q387" s="6">
        <v>9.51</v>
      </c>
      <c r="R387" s="6">
        <v>102.9</v>
      </c>
      <c r="S387" s="6">
        <v>0.2</v>
      </c>
      <c r="T387" s="6">
        <v>20.58</v>
      </c>
      <c r="U387" s="6">
        <v>82.32</v>
      </c>
      <c r="V387" s="6">
        <v>57.03</v>
      </c>
      <c r="W387" s="6">
        <v>25.29</v>
      </c>
      <c r="X387" s="6" t="s">
        <v>129</v>
      </c>
    </row>
    <row r="388" spans="1:24" x14ac:dyDescent="0.25">
      <c r="A388" s="5" t="s">
        <v>181</v>
      </c>
      <c r="B388" s="18">
        <v>45590</v>
      </c>
      <c r="C388" s="7" t="s">
        <v>182</v>
      </c>
      <c r="D388" s="7" t="s">
        <v>35</v>
      </c>
      <c r="E388" s="7" t="s">
        <v>126</v>
      </c>
      <c r="F388" s="7" t="s">
        <v>127</v>
      </c>
      <c r="G388" s="7" t="s">
        <v>95</v>
      </c>
      <c r="H388" s="7" t="s">
        <v>128</v>
      </c>
      <c r="I388" s="7" t="s">
        <v>88</v>
      </c>
      <c r="J388" s="7" t="s">
        <v>183</v>
      </c>
      <c r="K388" s="7" t="s">
        <v>184</v>
      </c>
      <c r="L388" s="7" t="s">
        <v>2672</v>
      </c>
      <c r="M388" s="7" t="s">
        <v>61</v>
      </c>
      <c r="N388" s="7" t="s">
        <v>84</v>
      </c>
      <c r="O388" s="7">
        <v>59</v>
      </c>
      <c r="P388" s="7">
        <v>88.4</v>
      </c>
      <c r="Q388" s="7">
        <v>52.56</v>
      </c>
      <c r="R388" s="7">
        <v>5215.32</v>
      </c>
      <c r="S388" s="7">
        <v>0</v>
      </c>
      <c r="T388" s="7">
        <v>0</v>
      </c>
      <c r="U388" s="7">
        <v>5215.32</v>
      </c>
      <c r="V388" s="7">
        <v>3101.33</v>
      </c>
      <c r="W388" s="7">
        <v>2113.9899999999998</v>
      </c>
      <c r="X388" s="7" t="s">
        <v>129</v>
      </c>
    </row>
    <row r="389" spans="1:24" x14ac:dyDescent="0.25">
      <c r="A389" s="16" t="s">
        <v>790</v>
      </c>
      <c r="B389" s="17">
        <v>45471</v>
      </c>
      <c r="C389" s="6" t="s">
        <v>791</v>
      </c>
      <c r="D389" s="6" t="s">
        <v>163</v>
      </c>
      <c r="E389" s="6" t="s">
        <v>187</v>
      </c>
      <c r="F389" s="6" t="s">
        <v>188</v>
      </c>
      <c r="G389" s="6" t="s">
        <v>25</v>
      </c>
      <c r="H389" s="6" t="s">
        <v>26</v>
      </c>
      <c r="I389" s="6" t="s">
        <v>27</v>
      </c>
      <c r="J389" s="6" t="s">
        <v>106</v>
      </c>
      <c r="K389" s="6" t="s">
        <v>253</v>
      </c>
      <c r="L389" s="6" t="s">
        <v>2676</v>
      </c>
      <c r="M389" s="6" t="s">
        <v>153</v>
      </c>
      <c r="N389" s="6" t="s">
        <v>70</v>
      </c>
      <c r="O389" s="6">
        <v>66</v>
      </c>
      <c r="P389" s="6">
        <v>46.91</v>
      </c>
      <c r="Q389" s="6">
        <v>27.22</v>
      </c>
      <c r="R389" s="6">
        <v>3096.26</v>
      </c>
      <c r="S389" s="6">
        <v>0.1</v>
      </c>
      <c r="T389" s="6">
        <v>309.63</v>
      </c>
      <c r="U389" s="6">
        <v>2786.63</v>
      </c>
      <c r="V389" s="6">
        <v>1796.36</v>
      </c>
      <c r="W389" s="6">
        <v>990.27</v>
      </c>
      <c r="X389" s="6" t="s">
        <v>45</v>
      </c>
    </row>
    <row r="390" spans="1:24" x14ac:dyDescent="0.25">
      <c r="A390" s="5" t="s">
        <v>792</v>
      </c>
      <c r="B390" s="18">
        <v>45555</v>
      </c>
      <c r="C390" s="7" t="s">
        <v>655</v>
      </c>
      <c r="D390" s="7" t="s">
        <v>57</v>
      </c>
      <c r="E390" s="7" t="s">
        <v>23</v>
      </c>
      <c r="F390" s="7" t="s">
        <v>24</v>
      </c>
      <c r="G390" s="7" t="s">
        <v>25</v>
      </c>
      <c r="H390" s="7" t="s">
        <v>26</v>
      </c>
      <c r="I390" s="7" t="s">
        <v>27</v>
      </c>
      <c r="J390" s="7" t="s">
        <v>106</v>
      </c>
      <c r="K390" s="7" t="s">
        <v>118</v>
      </c>
      <c r="L390" s="7" t="s">
        <v>2668</v>
      </c>
      <c r="M390" s="7" t="s">
        <v>153</v>
      </c>
      <c r="N390" s="7" t="s">
        <v>75</v>
      </c>
      <c r="O390" s="7">
        <v>66</v>
      </c>
      <c r="P390" s="7">
        <v>70.78</v>
      </c>
      <c r="Q390" s="7">
        <v>43.4</v>
      </c>
      <c r="R390" s="7">
        <v>4671.74</v>
      </c>
      <c r="S390" s="7">
        <v>0.1</v>
      </c>
      <c r="T390" s="7">
        <v>467.17</v>
      </c>
      <c r="U390" s="7">
        <v>4204.57</v>
      </c>
      <c r="V390" s="7">
        <v>2864.33</v>
      </c>
      <c r="W390" s="7">
        <v>1340.24</v>
      </c>
      <c r="X390" s="7" t="s">
        <v>45</v>
      </c>
    </row>
    <row r="391" spans="1:24" x14ac:dyDescent="0.25">
      <c r="A391" s="16" t="s">
        <v>793</v>
      </c>
      <c r="B391" s="17">
        <v>45333</v>
      </c>
      <c r="C391" s="6" t="s">
        <v>794</v>
      </c>
      <c r="D391" s="6" t="s">
        <v>65</v>
      </c>
      <c r="E391" s="6" t="s">
        <v>109</v>
      </c>
      <c r="F391" s="6" t="s">
        <v>110</v>
      </c>
      <c r="G391" s="6" t="s">
        <v>80</v>
      </c>
      <c r="H391" s="6" t="s">
        <v>81</v>
      </c>
      <c r="I391" s="6" t="s">
        <v>88</v>
      </c>
      <c r="J391" s="6" t="s">
        <v>183</v>
      </c>
      <c r="K391" s="6" t="s">
        <v>152</v>
      </c>
      <c r="L391" s="6" t="s">
        <v>2670</v>
      </c>
      <c r="M391" s="6" t="s">
        <v>153</v>
      </c>
      <c r="N391" s="6" t="s">
        <v>70</v>
      </c>
      <c r="O391" s="6">
        <v>68</v>
      </c>
      <c r="P391" s="6">
        <v>134.04</v>
      </c>
      <c r="Q391" s="6">
        <v>68.58</v>
      </c>
      <c r="R391" s="6">
        <v>9115.02</v>
      </c>
      <c r="S391" s="6">
        <v>0.1</v>
      </c>
      <c r="T391" s="6">
        <v>911.5</v>
      </c>
      <c r="U391" s="6">
        <v>8203.52</v>
      </c>
      <c r="V391" s="6">
        <v>4663.6000000000004</v>
      </c>
      <c r="W391" s="6">
        <v>3539.92</v>
      </c>
      <c r="X391" s="6" t="s">
        <v>45</v>
      </c>
    </row>
    <row r="392" spans="1:24" x14ac:dyDescent="0.25">
      <c r="A392" s="5" t="s">
        <v>795</v>
      </c>
      <c r="B392" s="18">
        <v>45580</v>
      </c>
      <c r="C392" s="7"/>
      <c r="D392" s="7"/>
      <c r="E392" s="7" t="s">
        <v>209</v>
      </c>
      <c r="F392" s="7" t="s">
        <v>210</v>
      </c>
      <c r="G392" s="7" t="s">
        <v>51</v>
      </c>
      <c r="H392" s="7" t="s">
        <v>116</v>
      </c>
      <c r="I392" s="7" t="s">
        <v>58</v>
      </c>
      <c r="J392" s="7" t="s">
        <v>323</v>
      </c>
      <c r="K392" s="7" t="s">
        <v>218</v>
      </c>
      <c r="L392" s="7" t="s">
        <v>2674</v>
      </c>
      <c r="M392" s="7" t="s">
        <v>61</v>
      </c>
      <c r="N392" s="7" t="s">
        <v>31</v>
      </c>
      <c r="O392" s="7">
        <v>25</v>
      </c>
      <c r="P392" s="7">
        <v>18.3</v>
      </c>
      <c r="Q392" s="7">
        <v>9.58</v>
      </c>
      <c r="R392" s="7">
        <v>457.62</v>
      </c>
      <c r="S392" s="7">
        <v>0.1</v>
      </c>
      <c r="T392" s="7">
        <v>45.76</v>
      </c>
      <c r="U392" s="7">
        <v>411.85</v>
      </c>
      <c r="V392" s="7">
        <v>239.49</v>
      </c>
      <c r="W392" s="7">
        <v>172.37</v>
      </c>
      <c r="X392" s="7" t="s">
        <v>45</v>
      </c>
    </row>
    <row r="393" spans="1:24" x14ac:dyDescent="0.25">
      <c r="A393" s="16" t="s">
        <v>796</v>
      </c>
      <c r="B393" s="17">
        <v>45357</v>
      </c>
      <c r="C393" s="6" t="s">
        <v>596</v>
      </c>
      <c r="D393" s="6" t="s">
        <v>597</v>
      </c>
      <c r="E393" s="6" t="s">
        <v>114</v>
      </c>
      <c r="F393" s="6" t="s">
        <v>115</v>
      </c>
      <c r="G393" s="6" t="s">
        <v>95</v>
      </c>
      <c r="H393" s="6" t="s">
        <v>116</v>
      </c>
      <c r="I393" s="6" t="s">
        <v>27</v>
      </c>
      <c r="J393" s="6" t="s">
        <v>189</v>
      </c>
      <c r="K393" s="6" t="s">
        <v>170</v>
      </c>
      <c r="L393" s="6" t="s">
        <v>2671</v>
      </c>
      <c r="M393" s="6" t="s">
        <v>153</v>
      </c>
      <c r="N393" s="6" t="s">
        <v>31</v>
      </c>
      <c r="O393" s="6">
        <v>47</v>
      </c>
      <c r="P393" s="6">
        <v>32.43</v>
      </c>
      <c r="Q393" s="6">
        <v>19.82</v>
      </c>
      <c r="R393" s="6">
        <v>1524.34</v>
      </c>
      <c r="S393" s="6">
        <v>0.05</v>
      </c>
      <c r="T393" s="6">
        <v>76.22</v>
      </c>
      <c r="U393" s="6">
        <v>1448.12</v>
      </c>
      <c r="V393" s="6">
        <v>931.47</v>
      </c>
      <c r="W393" s="6">
        <v>516.66</v>
      </c>
      <c r="X393" s="6" t="s">
        <v>45</v>
      </c>
    </row>
    <row r="394" spans="1:24" x14ac:dyDescent="0.25">
      <c r="A394" s="5" t="s">
        <v>797</v>
      </c>
      <c r="B394" s="18">
        <v>45548</v>
      </c>
      <c r="C394" s="7" t="s">
        <v>798</v>
      </c>
      <c r="D394" s="7" t="s">
        <v>259</v>
      </c>
      <c r="E394" s="7" t="s">
        <v>132</v>
      </c>
      <c r="F394" s="7" t="s">
        <v>133</v>
      </c>
      <c r="G394" s="7" t="s">
        <v>51</v>
      </c>
      <c r="H394" s="7" t="s">
        <v>134</v>
      </c>
      <c r="I394" s="7" t="s">
        <v>40</v>
      </c>
      <c r="J394" s="7" t="s">
        <v>82</v>
      </c>
      <c r="K394" s="7" t="s">
        <v>60</v>
      </c>
      <c r="L394" s="7" t="s">
        <v>2662</v>
      </c>
      <c r="M394" s="7" t="s">
        <v>153</v>
      </c>
      <c r="N394" s="7" t="s">
        <v>62</v>
      </c>
      <c r="O394" s="7">
        <v>6</v>
      </c>
      <c r="P394" s="7">
        <v>62.41</v>
      </c>
      <c r="Q394" s="7">
        <v>35.67</v>
      </c>
      <c r="R394" s="7">
        <v>374.44</v>
      </c>
      <c r="S394" s="7">
        <v>0</v>
      </c>
      <c r="T394" s="7">
        <v>0</v>
      </c>
      <c r="U394" s="7">
        <v>374.44</v>
      </c>
      <c r="V394" s="7">
        <v>214.02</v>
      </c>
      <c r="W394" s="7">
        <v>160.41999999999999</v>
      </c>
      <c r="X394" s="7" t="s">
        <v>32</v>
      </c>
    </row>
    <row r="395" spans="1:24" x14ac:dyDescent="0.25">
      <c r="A395" s="16" t="s">
        <v>799</v>
      </c>
      <c r="B395" s="17">
        <v>45494</v>
      </c>
      <c r="C395" s="6" t="s">
        <v>800</v>
      </c>
      <c r="D395" s="6" t="s">
        <v>264</v>
      </c>
      <c r="E395" s="6" t="s">
        <v>141</v>
      </c>
      <c r="F395" s="6" t="s">
        <v>142</v>
      </c>
      <c r="G395" s="6" t="s">
        <v>25</v>
      </c>
      <c r="H395" s="6" t="s">
        <v>26</v>
      </c>
      <c r="I395" s="6" t="s">
        <v>27</v>
      </c>
      <c r="J395" s="6" t="s">
        <v>28</v>
      </c>
      <c r="K395" s="6" t="s">
        <v>90</v>
      </c>
      <c r="L395" s="6" t="s">
        <v>2666</v>
      </c>
      <c r="M395" s="6" t="s">
        <v>30</v>
      </c>
      <c r="N395" s="6" t="s">
        <v>84</v>
      </c>
      <c r="O395" s="6">
        <v>38</v>
      </c>
      <c r="P395" s="6">
        <v>91.58</v>
      </c>
      <c r="Q395" s="6">
        <v>54.81</v>
      </c>
      <c r="R395" s="6">
        <v>3480.21</v>
      </c>
      <c r="S395" s="6">
        <v>0.15</v>
      </c>
      <c r="T395" s="6">
        <v>522.03</v>
      </c>
      <c r="U395" s="6">
        <v>2958.18</v>
      </c>
      <c r="V395" s="6">
        <v>2082.7600000000002</v>
      </c>
      <c r="W395" s="6">
        <v>875.41</v>
      </c>
      <c r="X395" s="6" t="s">
        <v>45</v>
      </c>
    </row>
    <row r="396" spans="1:24" x14ac:dyDescent="0.25">
      <c r="A396" s="5" t="s">
        <v>801</v>
      </c>
      <c r="B396" s="18">
        <v>45506</v>
      </c>
      <c r="C396" s="7" t="s">
        <v>802</v>
      </c>
      <c r="D396" s="7" t="s">
        <v>22</v>
      </c>
      <c r="E396" s="7" t="s">
        <v>150</v>
      </c>
      <c r="F396" s="7" t="s">
        <v>151</v>
      </c>
      <c r="G396" s="7" t="s">
        <v>101</v>
      </c>
      <c r="H396" s="7" t="s">
        <v>134</v>
      </c>
      <c r="I396" s="7" t="s">
        <v>27</v>
      </c>
      <c r="J396" s="7" t="s">
        <v>28</v>
      </c>
      <c r="K396" s="7" t="s">
        <v>111</v>
      </c>
      <c r="L396" s="7" t="s">
        <v>2667</v>
      </c>
      <c r="M396" s="7" t="s">
        <v>61</v>
      </c>
      <c r="N396" s="7" t="s">
        <v>70</v>
      </c>
      <c r="O396" s="7">
        <v>17</v>
      </c>
      <c r="P396" s="7">
        <v>89.03</v>
      </c>
      <c r="Q396" s="7">
        <v>49.14</v>
      </c>
      <c r="R396" s="7">
        <v>1513.49</v>
      </c>
      <c r="S396" s="7">
        <v>0.05</v>
      </c>
      <c r="T396" s="7">
        <v>75.67</v>
      </c>
      <c r="U396" s="7">
        <v>1437.82</v>
      </c>
      <c r="V396" s="7">
        <v>835.36</v>
      </c>
      <c r="W396" s="7">
        <v>602.45000000000005</v>
      </c>
      <c r="X396" s="7" t="s">
        <v>45</v>
      </c>
    </row>
    <row r="397" spans="1:24" x14ac:dyDescent="0.25">
      <c r="A397" s="16" t="s">
        <v>803</v>
      </c>
      <c r="B397" s="17">
        <v>45541</v>
      </c>
      <c r="C397" s="6" t="s">
        <v>572</v>
      </c>
      <c r="D397" s="6" t="s">
        <v>57</v>
      </c>
      <c r="E397" s="6" t="s">
        <v>141</v>
      </c>
      <c r="F397" s="6" t="s">
        <v>142</v>
      </c>
      <c r="G397" s="6" t="s">
        <v>25</v>
      </c>
      <c r="H397" s="6" t="s">
        <v>26</v>
      </c>
      <c r="I397" s="6" t="s">
        <v>27</v>
      </c>
      <c r="J397" s="6" t="s">
        <v>106</v>
      </c>
      <c r="K397" s="6" t="s">
        <v>170</v>
      </c>
      <c r="L397" s="6" t="s">
        <v>2671</v>
      </c>
      <c r="M397" s="6" t="s">
        <v>61</v>
      </c>
      <c r="N397" s="6" t="s">
        <v>84</v>
      </c>
      <c r="O397" s="6">
        <v>37</v>
      </c>
      <c r="P397" s="6">
        <v>102.23</v>
      </c>
      <c r="Q397" s="6">
        <v>60.94</v>
      </c>
      <c r="R397" s="6">
        <v>3782.33</v>
      </c>
      <c r="S397" s="6">
        <v>0.05</v>
      </c>
      <c r="T397" s="6">
        <v>189.12</v>
      </c>
      <c r="U397" s="6">
        <v>3593.22</v>
      </c>
      <c r="V397" s="6">
        <v>2254.84</v>
      </c>
      <c r="W397" s="6">
        <v>1338.38</v>
      </c>
      <c r="X397" s="6" t="s">
        <v>129</v>
      </c>
    </row>
    <row r="398" spans="1:24" x14ac:dyDescent="0.25">
      <c r="A398" s="5" t="s">
        <v>804</v>
      </c>
      <c r="B398" s="18">
        <v>45482</v>
      </c>
      <c r="C398" s="7" t="s">
        <v>466</v>
      </c>
      <c r="D398" s="7" t="s">
        <v>221</v>
      </c>
      <c r="E398" s="7" t="s">
        <v>93</v>
      </c>
      <c r="F398" s="7" t="s">
        <v>94</v>
      </c>
      <c r="G398" s="7" t="s">
        <v>95</v>
      </c>
      <c r="H398" s="7" t="s">
        <v>96</v>
      </c>
      <c r="I398" s="7" t="s">
        <v>88</v>
      </c>
      <c r="J398" s="7" t="s">
        <v>135</v>
      </c>
      <c r="K398" s="7" t="s">
        <v>261</v>
      </c>
      <c r="L398" s="7" t="s">
        <v>2677</v>
      </c>
      <c r="M398" s="7" t="s">
        <v>43</v>
      </c>
      <c r="N398" s="7" t="s">
        <v>70</v>
      </c>
      <c r="O398" s="7">
        <v>11</v>
      </c>
      <c r="P398" s="7">
        <v>51.65</v>
      </c>
      <c r="Q398" s="7">
        <v>34</v>
      </c>
      <c r="R398" s="7">
        <v>568.19000000000005</v>
      </c>
      <c r="S398" s="7">
        <v>1.1000000000000001</v>
      </c>
      <c r="T398" s="7">
        <v>85.23</v>
      </c>
      <c r="U398" s="7">
        <v>482.96</v>
      </c>
      <c r="V398" s="7">
        <v>373.99</v>
      </c>
      <c r="W398" s="7">
        <v>108.97</v>
      </c>
      <c r="X398" s="7" t="s">
        <v>45</v>
      </c>
    </row>
    <row r="399" spans="1:24" x14ac:dyDescent="0.25">
      <c r="A399" s="16" t="s">
        <v>805</v>
      </c>
      <c r="B399" s="17">
        <v>45415</v>
      </c>
      <c r="C399" s="6" t="s">
        <v>399</v>
      </c>
      <c r="D399" s="6" t="s">
        <v>48</v>
      </c>
      <c r="E399" s="6" t="s">
        <v>23</v>
      </c>
      <c r="F399" s="6" t="s">
        <v>24</v>
      </c>
      <c r="G399" s="6" t="s">
        <v>25</v>
      </c>
      <c r="H399" s="6" t="s">
        <v>26</v>
      </c>
      <c r="I399" s="6" t="s">
        <v>40</v>
      </c>
      <c r="J399" s="6" t="s">
        <v>117</v>
      </c>
      <c r="K399" s="6" t="s">
        <v>178</v>
      </c>
      <c r="L399" s="6" t="s">
        <v>256</v>
      </c>
      <c r="M399" s="6" t="s">
        <v>30</v>
      </c>
      <c r="N399" s="6" t="s">
        <v>84</v>
      </c>
      <c r="O399" s="6">
        <v>72</v>
      </c>
      <c r="P399" s="6">
        <v>75.69</v>
      </c>
      <c r="Q399" s="6">
        <v>42.92</v>
      </c>
      <c r="R399" s="6">
        <v>5449.86</v>
      </c>
      <c r="S399" s="6">
        <v>0.1</v>
      </c>
      <c r="T399" s="6">
        <v>544.99</v>
      </c>
      <c r="U399" s="6">
        <v>4904.87</v>
      </c>
      <c r="V399" s="6">
        <v>3090.59</v>
      </c>
      <c r="W399" s="6">
        <v>1814.29</v>
      </c>
      <c r="X399" s="6" t="s">
        <v>45</v>
      </c>
    </row>
    <row r="400" spans="1:24" x14ac:dyDescent="0.25">
      <c r="A400" s="5" t="s">
        <v>806</v>
      </c>
      <c r="B400" s="18">
        <v>45520</v>
      </c>
      <c r="C400" s="7" t="s">
        <v>580</v>
      </c>
      <c r="D400" s="7" t="s">
        <v>156</v>
      </c>
      <c r="E400" s="7" t="s">
        <v>36</v>
      </c>
      <c r="F400" s="7" t="s">
        <v>37</v>
      </c>
      <c r="G400" s="7" t="s">
        <v>38</v>
      </c>
      <c r="H400" s="7" t="s">
        <v>39</v>
      </c>
      <c r="I400" s="7" t="s">
        <v>40</v>
      </c>
      <c r="J400" s="7" t="s">
        <v>41</v>
      </c>
      <c r="K400" s="7" t="s">
        <v>42</v>
      </c>
      <c r="L400" s="7" t="s">
        <v>2661</v>
      </c>
      <c r="M400" s="7" t="s">
        <v>61</v>
      </c>
      <c r="N400" s="7" t="s">
        <v>84</v>
      </c>
      <c r="O400" s="7">
        <v>48</v>
      </c>
      <c r="P400" s="7">
        <v>178.11</v>
      </c>
      <c r="Q400" s="7">
        <v>99.88</v>
      </c>
      <c r="R400" s="7">
        <v>8549.34</v>
      </c>
      <c r="S400" s="7">
        <v>0.1</v>
      </c>
      <c r="T400" s="7">
        <v>854.93</v>
      </c>
      <c r="U400" s="7">
        <v>7694.4</v>
      </c>
      <c r="V400" s="7">
        <v>4794.1499999999996</v>
      </c>
      <c r="W400" s="7">
        <v>2900.26</v>
      </c>
      <c r="X400" s="7" t="s">
        <v>45</v>
      </c>
    </row>
    <row r="401" spans="1:24" x14ac:dyDescent="0.25">
      <c r="A401" s="16" t="s">
        <v>807</v>
      </c>
      <c r="B401" s="17">
        <v>45360</v>
      </c>
      <c r="C401" s="6" t="s">
        <v>533</v>
      </c>
      <c r="D401" s="6" t="s">
        <v>163</v>
      </c>
      <c r="E401" s="6" t="s">
        <v>165</v>
      </c>
      <c r="F401" s="6" t="s">
        <v>166</v>
      </c>
      <c r="G401" s="6" t="s">
        <v>95</v>
      </c>
      <c r="H401" s="6" t="s">
        <v>167</v>
      </c>
      <c r="I401" s="6" t="s">
        <v>58</v>
      </c>
      <c r="J401" s="6" t="s">
        <v>323</v>
      </c>
      <c r="K401" s="6" t="s">
        <v>29</v>
      </c>
      <c r="L401" s="6" t="s">
        <v>2660</v>
      </c>
      <c r="M401" s="6" t="s">
        <v>43</v>
      </c>
      <c r="N401" s="6" t="s">
        <v>84</v>
      </c>
      <c r="O401" s="6">
        <v>37</v>
      </c>
      <c r="P401" s="6">
        <v>38.979999999999997</v>
      </c>
      <c r="Q401" s="6">
        <v>23.16</v>
      </c>
      <c r="R401" s="6">
        <v>1442.27</v>
      </c>
      <c r="S401" s="6">
        <v>0.1</v>
      </c>
      <c r="T401" s="6">
        <v>144.22999999999999</v>
      </c>
      <c r="U401" s="6">
        <v>1298.04</v>
      </c>
      <c r="V401" s="6">
        <v>856.83</v>
      </c>
      <c r="W401" s="6">
        <v>441.21</v>
      </c>
      <c r="X401" s="6" t="s">
        <v>32</v>
      </c>
    </row>
    <row r="402" spans="1:24" x14ac:dyDescent="0.25">
      <c r="A402" s="5" t="s">
        <v>808</v>
      </c>
      <c r="B402" s="18">
        <v>45301</v>
      </c>
      <c r="C402" s="7" t="s">
        <v>312</v>
      </c>
      <c r="D402" s="7" t="s">
        <v>57</v>
      </c>
      <c r="E402" s="7" t="s">
        <v>99</v>
      </c>
      <c r="F402" s="7" t="s">
        <v>100</v>
      </c>
      <c r="G402" s="7" t="s">
        <v>101</v>
      </c>
      <c r="H402" s="7" t="s">
        <v>102</v>
      </c>
      <c r="I402" s="7" t="s">
        <v>53</v>
      </c>
      <c r="J402" s="7" t="s">
        <v>143</v>
      </c>
      <c r="K402" s="7" t="s">
        <v>195</v>
      </c>
      <c r="L402" s="7" t="s">
        <v>2673</v>
      </c>
      <c r="M402" s="7" t="s">
        <v>61</v>
      </c>
      <c r="N402" s="7" t="s">
        <v>84</v>
      </c>
      <c r="O402" s="7">
        <v>58</v>
      </c>
      <c r="P402" s="7">
        <v>65.28</v>
      </c>
      <c r="Q402" s="7">
        <v>41.29</v>
      </c>
      <c r="R402" s="7">
        <v>3786.16</v>
      </c>
      <c r="S402" s="7">
        <v>0.05</v>
      </c>
      <c r="T402" s="7">
        <v>189.31</v>
      </c>
      <c r="U402" s="7">
        <v>3596.86</v>
      </c>
      <c r="V402" s="7">
        <v>2394.9299999999998</v>
      </c>
      <c r="W402" s="7">
        <v>1201.93</v>
      </c>
      <c r="X402" s="7" t="s">
        <v>129</v>
      </c>
    </row>
    <row r="403" spans="1:24" x14ac:dyDescent="0.25">
      <c r="A403" s="16" t="s">
        <v>809</v>
      </c>
      <c r="B403" s="17">
        <v>45292</v>
      </c>
      <c r="C403" s="6" t="s">
        <v>458</v>
      </c>
      <c r="D403" s="6" t="s">
        <v>163</v>
      </c>
      <c r="E403" s="6" t="s">
        <v>141</v>
      </c>
      <c r="F403" s="6" t="s">
        <v>142</v>
      </c>
      <c r="G403" s="6" t="s">
        <v>25</v>
      </c>
      <c r="H403" s="6" t="s">
        <v>26</v>
      </c>
      <c r="I403" s="6" t="s">
        <v>88</v>
      </c>
      <c r="J403" s="6" t="s">
        <v>183</v>
      </c>
      <c r="K403" s="6" t="s">
        <v>218</v>
      </c>
      <c r="L403" s="6" t="s">
        <v>2674</v>
      </c>
      <c r="M403" s="6" t="s">
        <v>61</v>
      </c>
      <c r="N403" s="6" t="s">
        <v>44</v>
      </c>
      <c r="O403" s="6">
        <v>10</v>
      </c>
      <c r="P403" s="6">
        <v>100.28</v>
      </c>
      <c r="Q403" s="6">
        <v>53.58</v>
      </c>
      <c r="R403" s="6">
        <v>1002.75</v>
      </c>
      <c r="S403" s="6">
        <v>0.05</v>
      </c>
      <c r="T403" s="6">
        <v>50.14</v>
      </c>
      <c r="U403" s="6">
        <v>952.62</v>
      </c>
      <c r="V403" s="6">
        <v>535.79</v>
      </c>
      <c r="W403" s="6">
        <v>416.83</v>
      </c>
      <c r="X403" s="6" t="s">
        <v>32</v>
      </c>
    </row>
    <row r="404" spans="1:24" x14ac:dyDescent="0.25">
      <c r="A404" s="5" t="s">
        <v>810</v>
      </c>
      <c r="B404" s="18">
        <v>45576</v>
      </c>
      <c r="C404" s="7" t="s">
        <v>811</v>
      </c>
      <c r="D404" s="7" t="s">
        <v>359</v>
      </c>
      <c r="E404" s="7" t="s">
        <v>187</v>
      </c>
      <c r="F404" s="7" t="s">
        <v>188</v>
      </c>
      <c r="G404" s="7" t="s">
        <v>25</v>
      </c>
      <c r="H404" s="7" t="s">
        <v>26</v>
      </c>
      <c r="I404" s="7" t="s">
        <v>40</v>
      </c>
      <c r="J404" s="7" t="s">
        <v>289</v>
      </c>
      <c r="K404" s="7" t="s">
        <v>265</v>
      </c>
      <c r="L404" s="7" t="s">
        <v>2678</v>
      </c>
      <c r="M404" s="7" t="s">
        <v>61</v>
      </c>
      <c r="N404" s="7" t="s">
        <v>31</v>
      </c>
      <c r="O404" s="7">
        <v>2</v>
      </c>
      <c r="P404" s="7">
        <v>51.4</v>
      </c>
      <c r="Q404" s="7">
        <v>28.18</v>
      </c>
      <c r="R404" s="7">
        <v>102.8</v>
      </c>
      <c r="S404" s="7">
        <v>0.15</v>
      </c>
      <c r="T404" s="7">
        <v>15.42</v>
      </c>
      <c r="U404" s="7">
        <v>87.38</v>
      </c>
      <c r="V404" s="7">
        <v>56.36</v>
      </c>
      <c r="W404" s="7">
        <v>31.02</v>
      </c>
      <c r="X404" s="7" t="s">
        <v>45</v>
      </c>
    </row>
    <row r="405" spans="1:24" x14ac:dyDescent="0.25">
      <c r="A405" s="16" t="s">
        <v>812</v>
      </c>
      <c r="B405" s="17">
        <v>45612</v>
      </c>
      <c r="C405" s="6" t="s">
        <v>531</v>
      </c>
      <c r="D405" s="6" t="s">
        <v>264</v>
      </c>
      <c r="E405" s="6" t="s">
        <v>23</v>
      </c>
      <c r="F405" s="6" t="s">
        <v>24</v>
      </c>
      <c r="G405" s="6" t="s">
        <v>25</v>
      </c>
      <c r="H405" s="6" t="s">
        <v>26</v>
      </c>
      <c r="I405" s="6" t="s">
        <v>58</v>
      </c>
      <c r="J405" s="6" t="s">
        <v>345</v>
      </c>
      <c r="K405" s="6" t="s">
        <v>261</v>
      </c>
      <c r="L405" s="6" t="s">
        <v>2677</v>
      </c>
      <c r="M405" s="6" t="s">
        <v>138</v>
      </c>
      <c r="N405" s="6" t="s">
        <v>84</v>
      </c>
      <c r="O405" s="6">
        <v>2</v>
      </c>
      <c r="P405" s="6">
        <v>77.739999999999995</v>
      </c>
      <c r="Q405" s="6">
        <v>43.98</v>
      </c>
      <c r="R405" s="6">
        <v>155.47</v>
      </c>
      <c r="S405" s="6">
        <v>0.05</v>
      </c>
      <c r="T405" s="6">
        <v>7.77</v>
      </c>
      <c r="U405" s="6">
        <v>147.69999999999999</v>
      </c>
      <c r="V405" s="6">
        <v>87.95</v>
      </c>
      <c r="W405" s="6">
        <v>59.75</v>
      </c>
      <c r="X405" s="6" t="s">
        <v>45</v>
      </c>
    </row>
    <row r="406" spans="1:24" x14ac:dyDescent="0.25">
      <c r="A406" s="5" t="s">
        <v>813</v>
      </c>
      <c r="B406" s="18">
        <v>45415</v>
      </c>
      <c r="C406" s="7" t="s">
        <v>814</v>
      </c>
      <c r="D406" s="7" t="s">
        <v>22</v>
      </c>
      <c r="E406" s="7" t="s">
        <v>141</v>
      </c>
      <c r="F406" s="7" t="s">
        <v>142</v>
      </c>
      <c r="G406" s="7" t="s">
        <v>25</v>
      </c>
      <c r="H406" s="7" t="s">
        <v>26</v>
      </c>
      <c r="I406" s="7" t="s">
        <v>58</v>
      </c>
      <c r="J406" s="7" t="s">
        <v>73</v>
      </c>
      <c r="K406" s="7" t="s">
        <v>195</v>
      </c>
      <c r="L406" s="7" t="s">
        <v>2673</v>
      </c>
      <c r="M406" s="7" t="s">
        <v>30</v>
      </c>
      <c r="N406" s="7" t="s">
        <v>44</v>
      </c>
      <c r="O406" s="7">
        <v>69</v>
      </c>
      <c r="P406" s="7">
        <v>102.11</v>
      </c>
      <c r="Q406" s="7">
        <v>53.98</v>
      </c>
      <c r="R406" s="7">
        <v>7045.91</v>
      </c>
      <c r="S406" s="7">
        <v>0.05</v>
      </c>
      <c r="T406" s="7">
        <v>352.3</v>
      </c>
      <c r="U406" s="7">
        <v>6693.61</v>
      </c>
      <c r="V406" s="7">
        <v>3724.46</v>
      </c>
      <c r="W406" s="7">
        <v>2969.15</v>
      </c>
      <c r="X406" s="7" t="s">
        <v>45</v>
      </c>
    </row>
    <row r="407" spans="1:24" x14ac:dyDescent="0.25">
      <c r="A407" s="16" t="s">
        <v>815</v>
      </c>
      <c r="B407" s="17">
        <v>45436</v>
      </c>
      <c r="C407" s="6" t="s">
        <v>239</v>
      </c>
      <c r="D407" s="6" t="s">
        <v>65</v>
      </c>
      <c r="E407" s="6" t="s">
        <v>66</v>
      </c>
      <c r="F407" s="6" t="s">
        <v>67</v>
      </c>
      <c r="G407" s="6" t="s">
        <v>38</v>
      </c>
      <c r="H407" s="6" t="s">
        <v>68</v>
      </c>
      <c r="I407" s="6" t="s">
        <v>27</v>
      </c>
      <c r="J407" s="6" t="s">
        <v>28</v>
      </c>
      <c r="K407" s="6" t="s">
        <v>265</v>
      </c>
      <c r="L407" s="6" t="s">
        <v>2678</v>
      </c>
      <c r="M407" s="6" t="s">
        <v>30</v>
      </c>
      <c r="N407" s="6" t="s">
        <v>84</v>
      </c>
      <c r="O407" s="6">
        <v>34</v>
      </c>
      <c r="P407" s="6">
        <v>171.96</v>
      </c>
      <c r="Q407" s="6">
        <v>102.63</v>
      </c>
      <c r="R407" s="6">
        <v>5846.59</v>
      </c>
      <c r="S407" s="6">
        <v>0.02</v>
      </c>
      <c r="T407" s="6">
        <v>116.93</v>
      </c>
      <c r="U407" s="6">
        <v>5729.66</v>
      </c>
      <c r="V407" s="6">
        <v>3489.47</v>
      </c>
      <c r="W407" s="6">
        <v>2240.1799999999998</v>
      </c>
      <c r="X407" s="6" t="s">
        <v>45</v>
      </c>
    </row>
    <row r="408" spans="1:24" x14ac:dyDescent="0.25">
      <c r="A408" s="5" t="s">
        <v>816</v>
      </c>
      <c r="B408" s="18">
        <v>45547</v>
      </c>
      <c r="C408" s="7" t="s">
        <v>817</v>
      </c>
      <c r="D408" s="7" t="s">
        <v>121</v>
      </c>
      <c r="E408" s="7" t="s">
        <v>66</v>
      </c>
      <c r="F408" s="7" t="s">
        <v>67</v>
      </c>
      <c r="G408" s="7" t="s">
        <v>38</v>
      </c>
      <c r="H408" s="7" t="s">
        <v>68</v>
      </c>
      <c r="I408" s="7" t="s">
        <v>27</v>
      </c>
      <c r="J408" s="7" t="s">
        <v>189</v>
      </c>
      <c r="K408" s="7" t="s">
        <v>152</v>
      </c>
      <c r="L408" s="7" t="s">
        <v>2670</v>
      </c>
      <c r="M408" s="7" t="s">
        <v>153</v>
      </c>
      <c r="N408" s="7" t="s">
        <v>75</v>
      </c>
      <c r="O408" s="7">
        <v>4</v>
      </c>
      <c r="P408" s="7">
        <v>152.47</v>
      </c>
      <c r="Q408" s="7">
        <v>97.54</v>
      </c>
      <c r="R408" s="7">
        <v>609.88</v>
      </c>
      <c r="S408" s="7">
        <v>0.02</v>
      </c>
      <c r="T408" s="7">
        <v>12.2</v>
      </c>
      <c r="U408" s="7">
        <v>597.67999999999995</v>
      </c>
      <c r="V408" s="7">
        <v>390.17</v>
      </c>
      <c r="W408" s="7">
        <v>207.51</v>
      </c>
      <c r="X408" s="7" t="s">
        <v>45</v>
      </c>
    </row>
    <row r="409" spans="1:24" x14ac:dyDescent="0.25">
      <c r="A409" s="16" t="s">
        <v>818</v>
      </c>
      <c r="B409" s="17">
        <v>45536</v>
      </c>
      <c r="C409" s="6" t="s">
        <v>701</v>
      </c>
      <c r="D409" s="6" t="s">
        <v>48</v>
      </c>
      <c r="E409" s="6" t="s">
        <v>165</v>
      </c>
      <c r="F409" s="6" t="s">
        <v>166</v>
      </c>
      <c r="G409" s="6" t="s">
        <v>95</v>
      </c>
      <c r="H409" s="6" t="s">
        <v>167</v>
      </c>
      <c r="I409" s="6" t="s">
        <v>58</v>
      </c>
      <c r="J409" s="6" t="s">
        <v>59</v>
      </c>
      <c r="K409" s="6" t="s">
        <v>42</v>
      </c>
      <c r="L409" s="6" t="s">
        <v>2661</v>
      </c>
      <c r="M409" s="6" t="s">
        <v>30</v>
      </c>
      <c r="N409" s="6" t="s">
        <v>70</v>
      </c>
      <c r="O409" s="6">
        <v>9</v>
      </c>
      <c r="P409" s="6">
        <v>41.31</v>
      </c>
      <c r="Q409" s="6">
        <v>24.06</v>
      </c>
      <c r="R409" s="6">
        <v>371.81</v>
      </c>
      <c r="S409" s="6">
        <v>0.2</v>
      </c>
      <c r="T409" s="6">
        <v>74.36</v>
      </c>
      <c r="U409" s="6">
        <v>297.45</v>
      </c>
      <c r="V409" s="6">
        <v>216.51</v>
      </c>
      <c r="W409" s="6">
        <v>80.930000000000007</v>
      </c>
      <c r="X409" s="6" t="s">
        <v>32</v>
      </c>
    </row>
    <row r="410" spans="1:24" x14ac:dyDescent="0.25">
      <c r="A410" s="5" t="s">
        <v>819</v>
      </c>
      <c r="B410" s="18">
        <v>45569</v>
      </c>
      <c r="C410" s="7" t="s">
        <v>477</v>
      </c>
      <c r="D410" s="7" t="s">
        <v>221</v>
      </c>
      <c r="E410" s="7" t="s">
        <v>109</v>
      </c>
      <c r="F410" s="7" t="s">
        <v>110</v>
      </c>
      <c r="G410" s="7" t="s">
        <v>80</v>
      </c>
      <c r="H410" s="7" t="s">
        <v>81</v>
      </c>
      <c r="I410" s="7" t="s">
        <v>58</v>
      </c>
      <c r="J410" s="7" t="s">
        <v>323</v>
      </c>
      <c r="K410" s="7" t="s">
        <v>170</v>
      </c>
      <c r="L410" s="7" t="s">
        <v>2671</v>
      </c>
      <c r="M410" s="7" t="s">
        <v>43</v>
      </c>
      <c r="N410" s="7" t="s">
        <v>84</v>
      </c>
      <c r="O410" s="7">
        <v>13</v>
      </c>
      <c r="P410" s="7">
        <v>116.37</v>
      </c>
      <c r="Q410" s="7">
        <v>77.36</v>
      </c>
      <c r="R410" s="7">
        <v>1512.77</v>
      </c>
      <c r="S410" s="7">
        <v>0.02</v>
      </c>
      <c r="T410" s="7">
        <v>30.26</v>
      </c>
      <c r="U410" s="7">
        <v>1482.52</v>
      </c>
      <c r="V410" s="7">
        <v>1005.68</v>
      </c>
      <c r="W410" s="7">
        <v>476.84</v>
      </c>
      <c r="X410" s="7" t="s">
        <v>45</v>
      </c>
    </row>
    <row r="411" spans="1:24" x14ac:dyDescent="0.25">
      <c r="A411" s="16" t="s">
        <v>820</v>
      </c>
      <c r="B411" s="17">
        <v>45382</v>
      </c>
      <c r="C411" s="6" t="s">
        <v>519</v>
      </c>
      <c r="D411" s="6" t="s">
        <v>121</v>
      </c>
      <c r="E411" s="6" t="s">
        <v>66</v>
      </c>
      <c r="F411" s="6" t="s">
        <v>67</v>
      </c>
      <c r="G411" s="6" t="s">
        <v>38</v>
      </c>
      <c r="H411" s="6" t="s">
        <v>68</v>
      </c>
      <c r="I411" s="6" t="s">
        <v>88</v>
      </c>
      <c r="J411" s="6" t="s">
        <v>173</v>
      </c>
      <c r="K411" s="6" t="s">
        <v>42</v>
      </c>
      <c r="L411" s="6" t="s">
        <v>2661</v>
      </c>
      <c r="M411" s="6" t="s">
        <v>61</v>
      </c>
      <c r="N411" s="6" t="s">
        <v>70</v>
      </c>
      <c r="O411" s="6">
        <v>48</v>
      </c>
      <c r="P411" s="6">
        <v>151.08000000000001</v>
      </c>
      <c r="Q411" s="6">
        <v>110.25</v>
      </c>
      <c r="R411" s="6">
        <v>7251.88</v>
      </c>
      <c r="S411" s="6">
        <v>0</v>
      </c>
      <c r="T411" s="6">
        <v>0</v>
      </c>
      <c r="U411" s="6">
        <v>7251.88</v>
      </c>
      <c r="V411" s="6">
        <v>5292.23</v>
      </c>
      <c r="W411" s="6">
        <v>1959.65</v>
      </c>
      <c r="X411" s="6" t="s">
        <v>45</v>
      </c>
    </row>
    <row r="412" spans="1:24" x14ac:dyDescent="0.25">
      <c r="A412" s="5" t="s">
        <v>821</v>
      </c>
      <c r="B412" s="18">
        <v>45476</v>
      </c>
      <c r="C412" s="7" t="s">
        <v>817</v>
      </c>
      <c r="D412" s="7" t="s">
        <v>121</v>
      </c>
      <c r="E412" s="7" t="s">
        <v>150</v>
      </c>
      <c r="F412" s="7" t="s">
        <v>151</v>
      </c>
      <c r="G412" s="7" t="s">
        <v>101</v>
      </c>
      <c r="H412" s="7" t="s">
        <v>134</v>
      </c>
      <c r="I412" s="7" t="s">
        <v>27</v>
      </c>
      <c r="J412" s="7" t="s">
        <v>211</v>
      </c>
      <c r="K412" s="7" t="s">
        <v>118</v>
      </c>
      <c r="L412" s="7" t="s">
        <v>2668</v>
      </c>
      <c r="M412" s="7" t="s">
        <v>153</v>
      </c>
      <c r="N412" s="7" t="s">
        <v>70</v>
      </c>
      <c r="O412" s="7">
        <v>32</v>
      </c>
      <c r="P412" s="7">
        <v>91.67</v>
      </c>
      <c r="Q412" s="7">
        <v>49.46</v>
      </c>
      <c r="R412" s="7">
        <v>2933.3</v>
      </c>
      <c r="S412" s="7">
        <v>0.2</v>
      </c>
      <c r="T412" s="7">
        <v>586.66</v>
      </c>
      <c r="U412" s="7">
        <v>2346.64</v>
      </c>
      <c r="V412" s="7">
        <v>1582.88</v>
      </c>
      <c r="W412" s="7">
        <v>763.76</v>
      </c>
      <c r="X412" s="7" t="s">
        <v>45</v>
      </c>
    </row>
    <row r="413" spans="1:24" x14ac:dyDescent="0.25">
      <c r="A413" s="16" t="s">
        <v>822</v>
      </c>
      <c r="B413" s="17">
        <v>45645</v>
      </c>
      <c r="C413" s="6" t="s">
        <v>823</v>
      </c>
      <c r="D413" s="6" t="s">
        <v>87</v>
      </c>
      <c r="E413" s="6" t="s">
        <v>216</v>
      </c>
      <c r="F413" s="6" t="s">
        <v>217</v>
      </c>
      <c r="G413" s="6" t="s">
        <v>38</v>
      </c>
      <c r="H413" s="6" t="s">
        <v>134</v>
      </c>
      <c r="I413" s="6" t="s">
        <v>27</v>
      </c>
      <c r="J413" s="6" t="s">
        <v>28</v>
      </c>
      <c r="K413" s="6" t="s">
        <v>218</v>
      </c>
      <c r="L413" s="6" t="s">
        <v>2674</v>
      </c>
      <c r="M413" s="6" t="s">
        <v>153</v>
      </c>
      <c r="N413" s="6" t="s">
        <v>44</v>
      </c>
      <c r="O413" s="6">
        <v>37</v>
      </c>
      <c r="P413" s="6">
        <v>115.71</v>
      </c>
      <c r="Q413" s="6">
        <v>65.37</v>
      </c>
      <c r="R413" s="6">
        <v>4281.43</v>
      </c>
      <c r="S413" s="6">
        <v>0.05</v>
      </c>
      <c r="T413" s="6">
        <v>214.07</v>
      </c>
      <c r="U413" s="6">
        <v>4067.36</v>
      </c>
      <c r="V413" s="6">
        <v>2418.64</v>
      </c>
      <c r="W413" s="6">
        <v>1648.73</v>
      </c>
      <c r="X413" s="6" t="s">
        <v>32</v>
      </c>
    </row>
    <row r="414" spans="1:24" x14ac:dyDescent="0.25">
      <c r="A414" s="5" t="s">
        <v>824</v>
      </c>
      <c r="B414" s="18">
        <v>45406</v>
      </c>
      <c r="C414" s="7" t="s">
        <v>776</v>
      </c>
      <c r="D414" s="7" t="s">
        <v>57</v>
      </c>
      <c r="E414" s="7" t="s">
        <v>176</v>
      </c>
      <c r="F414" s="7" t="s">
        <v>177</v>
      </c>
      <c r="G414" s="7" t="s">
        <v>101</v>
      </c>
      <c r="H414" s="7" t="s">
        <v>39</v>
      </c>
      <c r="I414" s="7" t="s">
        <v>27</v>
      </c>
      <c r="J414" s="7" t="s">
        <v>106</v>
      </c>
      <c r="K414" s="7" t="s">
        <v>83</v>
      </c>
      <c r="L414" s="7" t="s">
        <v>2665</v>
      </c>
      <c r="M414" s="7" t="s">
        <v>30</v>
      </c>
      <c r="N414" s="7" t="s">
        <v>31</v>
      </c>
      <c r="O414" s="7">
        <v>74</v>
      </c>
      <c r="P414" s="7">
        <v>111.07</v>
      </c>
      <c r="Q414" s="7">
        <v>66.489999999999995</v>
      </c>
      <c r="R414" s="7">
        <v>8219.26</v>
      </c>
      <c r="S414" s="7">
        <v>0.15</v>
      </c>
      <c r="T414" s="7">
        <v>1232.8900000000001</v>
      </c>
      <c r="U414" s="7">
        <v>6986.37</v>
      </c>
      <c r="V414" s="7">
        <v>4920.47</v>
      </c>
      <c r="W414" s="7">
        <v>2065.89</v>
      </c>
      <c r="X414" s="7" t="s">
        <v>129</v>
      </c>
    </row>
    <row r="415" spans="1:24" x14ac:dyDescent="0.25">
      <c r="A415" s="16" t="s">
        <v>825</v>
      </c>
      <c r="B415" s="17">
        <v>45571</v>
      </c>
      <c r="C415" s="6" t="s">
        <v>600</v>
      </c>
      <c r="D415" s="6" t="s">
        <v>87</v>
      </c>
      <c r="E415" s="6" t="s">
        <v>141</v>
      </c>
      <c r="F415" s="6" t="s">
        <v>142</v>
      </c>
      <c r="G415" s="6" t="s">
        <v>25</v>
      </c>
      <c r="H415" s="6" t="s">
        <v>26</v>
      </c>
      <c r="I415" s="6" t="s">
        <v>88</v>
      </c>
      <c r="J415" s="6" t="s">
        <v>173</v>
      </c>
      <c r="K415" s="6" t="s">
        <v>218</v>
      </c>
      <c r="L415" s="6" t="s">
        <v>2674</v>
      </c>
      <c r="M415" s="6" t="s">
        <v>30</v>
      </c>
      <c r="N415" s="6"/>
      <c r="O415" s="6">
        <v>65</v>
      </c>
      <c r="P415" s="6">
        <v>91.32</v>
      </c>
      <c r="Q415" s="6">
        <v>57.65</v>
      </c>
      <c r="R415" s="6">
        <v>5935.59</v>
      </c>
      <c r="S415" s="6">
        <v>0.05</v>
      </c>
      <c r="T415" s="6">
        <v>296.77999999999997</v>
      </c>
      <c r="U415" s="6">
        <v>5638.81</v>
      </c>
      <c r="V415" s="6">
        <v>3747.45</v>
      </c>
      <c r="W415" s="6">
        <v>1891.36</v>
      </c>
      <c r="X415" s="6" t="s">
        <v>32</v>
      </c>
    </row>
    <row r="416" spans="1:24" x14ac:dyDescent="0.25">
      <c r="A416" s="5" t="s">
        <v>826</v>
      </c>
      <c r="B416" s="18">
        <v>45481</v>
      </c>
      <c r="C416" s="7" t="s">
        <v>517</v>
      </c>
      <c r="D416" s="7" t="s">
        <v>163</v>
      </c>
      <c r="E416" s="7" t="s">
        <v>36</v>
      </c>
      <c r="F416" s="7" t="s">
        <v>37</v>
      </c>
      <c r="G416" s="7" t="s">
        <v>38</v>
      </c>
      <c r="H416" s="7" t="s">
        <v>39</v>
      </c>
      <c r="I416" s="7" t="s">
        <v>88</v>
      </c>
      <c r="J416" s="7" t="s">
        <v>183</v>
      </c>
      <c r="K416" s="7" t="s">
        <v>144</v>
      </c>
      <c r="L416" s="7" t="s">
        <v>2669</v>
      </c>
      <c r="M416" s="7" t="s">
        <v>30</v>
      </c>
      <c r="N416" s="7" t="s">
        <v>70</v>
      </c>
      <c r="O416" s="7">
        <v>7</v>
      </c>
      <c r="P416" s="7">
        <v>-25</v>
      </c>
      <c r="Q416" s="7">
        <v>94.91</v>
      </c>
      <c r="R416" s="7">
        <v>1120.5999999999999</v>
      </c>
      <c r="S416" s="7">
        <v>0.05</v>
      </c>
      <c r="T416" s="7">
        <v>56.03</v>
      </c>
      <c r="U416" s="7">
        <v>1064.57</v>
      </c>
      <c r="V416" s="7">
        <v>664.34</v>
      </c>
      <c r="W416" s="7">
        <v>400.23</v>
      </c>
      <c r="X416" s="7" t="s">
        <v>32</v>
      </c>
    </row>
    <row r="417" spans="1:24" x14ac:dyDescent="0.25">
      <c r="A417" s="16" t="s">
        <v>827</v>
      </c>
      <c r="B417" s="17">
        <v>45401</v>
      </c>
      <c r="C417" s="6" t="s">
        <v>811</v>
      </c>
      <c r="D417" s="6" t="s">
        <v>359</v>
      </c>
      <c r="E417" s="6" t="s">
        <v>126</v>
      </c>
      <c r="F417" s="6" t="s">
        <v>127</v>
      </c>
      <c r="G417" s="6" t="s">
        <v>95</v>
      </c>
      <c r="H417" s="6" t="s">
        <v>128</v>
      </c>
      <c r="I417" s="6" t="s">
        <v>58</v>
      </c>
      <c r="J417" s="6" t="s">
        <v>73</v>
      </c>
      <c r="K417" s="6" t="s">
        <v>178</v>
      </c>
      <c r="L417" s="6" t="s">
        <v>256</v>
      </c>
      <c r="M417" s="6" t="s">
        <v>153</v>
      </c>
      <c r="N417" s="6" t="s">
        <v>75</v>
      </c>
      <c r="O417" s="6">
        <v>79</v>
      </c>
      <c r="P417" s="6">
        <v>89.84</v>
      </c>
      <c r="Q417" s="6">
        <v>52.17</v>
      </c>
      <c r="R417" s="6">
        <v>7097.37</v>
      </c>
      <c r="S417" s="6">
        <v>0.15</v>
      </c>
      <c r="T417" s="6">
        <v>1064.6099999999999</v>
      </c>
      <c r="U417" s="6">
        <v>6032.76</v>
      </c>
      <c r="V417" s="6">
        <v>4121.2</v>
      </c>
      <c r="W417" s="6">
        <v>1911.56</v>
      </c>
      <c r="X417" s="6" t="s">
        <v>129</v>
      </c>
    </row>
    <row r="418" spans="1:24" x14ac:dyDescent="0.25">
      <c r="A418" s="5" t="s">
        <v>828</v>
      </c>
      <c r="B418" s="18">
        <v>45566</v>
      </c>
      <c r="C418" s="7" t="s">
        <v>638</v>
      </c>
      <c r="D418" s="7" t="s">
        <v>87</v>
      </c>
      <c r="E418" s="7" t="s">
        <v>187</v>
      </c>
      <c r="F418" s="7" t="s">
        <v>188</v>
      </c>
      <c r="G418" s="7" t="s">
        <v>25</v>
      </c>
      <c r="H418" s="7" t="s">
        <v>26</v>
      </c>
      <c r="I418" s="7" t="s">
        <v>53</v>
      </c>
      <c r="J418" s="7" t="s">
        <v>232</v>
      </c>
      <c r="K418" s="7" t="s">
        <v>261</v>
      </c>
      <c r="L418" s="7" t="s">
        <v>2677</v>
      </c>
      <c r="M418" s="7" t="s">
        <v>61</v>
      </c>
      <c r="N418" s="7" t="s">
        <v>84</v>
      </c>
      <c r="O418" s="7">
        <v>27</v>
      </c>
      <c r="P418" s="7">
        <v>48.42</v>
      </c>
      <c r="Q418" s="7">
        <v>0</v>
      </c>
      <c r="R418" s="7">
        <v>1307.24</v>
      </c>
      <c r="S418" s="7">
        <v>0</v>
      </c>
      <c r="T418" s="7">
        <v>0</v>
      </c>
      <c r="U418" s="7">
        <v>1307.24</v>
      </c>
      <c r="V418" s="7">
        <v>721.02</v>
      </c>
      <c r="W418" s="7">
        <v>586.23</v>
      </c>
      <c r="X418" s="7" t="s">
        <v>32</v>
      </c>
    </row>
    <row r="419" spans="1:24" x14ac:dyDescent="0.25">
      <c r="A419" s="16" t="s">
        <v>829</v>
      </c>
      <c r="B419" s="17">
        <v>45606</v>
      </c>
      <c r="C419" s="6" t="s">
        <v>382</v>
      </c>
      <c r="D419" s="6" t="s">
        <v>22</v>
      </c>
      <c r="E419" s="6" t="s">
        <v>36</v>
      </c>
      <c r="F419" s="6" t="s">
        <v>37</v>
      </c>
      <c r="G419" s="6" t="s">
        <v>38</v>
      </c>
      <c r="H419" s="6" t="s">
        <v>39</v>
      </c>
      <c r="I419" s="6" t="s">
        <v>40</v>
      </c>
      <c r="J419" s="6" t="s">
        <v>41</v>
      </c>
      <c r="K419" s="6" t="s">
        <v>29</v>
      </c>
      <c r="L419" s="6" t="s">
        <v>2660</v>
      </c>
      <c r="M419" s="6" t="s">
        <v>61</v>
      </c>
      <c r="N419" s="6" t="s">
        <v>70</v>
      </c>
      <c r="O419" s="6">
        <v>22</v>
      </c>
      <c r="P419" s="6">
        <v>168.52</v>
      </c>
      <c r="Q419" s="6">
        <v>95.16</v>
      </c>
      <c r="R419" s="6">
        <v>3707.52</v>
      </c>
      <c r="S419" s="6">
        <v>0.2</v>
      </c>
      <c r="T419" s="6">
        <v>741.5</v>
      </c>
      <c r="U419" s="6">
        <v>2966.02</v>
      </c>
      <c r="V419" s="6">
        <v>2093.63</v>
      </c>
      <c r="W419" s="6">
        <v>872.39</v>
      </c>
      <c r="X419" s="6" t="s">
        <v>45</v>
      </c>
    </row>
    <row r="420" spans="1:24" x14ac:dyDescent="0.25">
      <c r="A420" s="5" t="s">
        <v>830</v>
      </c>
      <c r="B420" s="18">
        <v>45635</v>
      </c>
      <c r="C420" s="7"/>
      <c r="D420" s="7"/>
      <c r="E420" s="7" t="s">
        <v>216</v>
      </c>
      <c r="F420" s="7" t="s">
        <v>217</v>
      </c>
      <c r="G420" s="7" t="s">
        <v>38</v>
      </c>
      <c r="H420" s="7" t="s">
        <v>134</v>
      </c>
      <c r="I420" s="7" t="s">
        <v>27</v>
      </c>
      <c r="J420" s="7" t="s">
        <v>28</v>
      </c>
      <c r="K420" s="7" t="s">
        <v>248</v>
      </c>
      <c r="L420" s="7" t="s">
        <v>2675</v>
      </c>
      <c r="M420" s="7" t="s">
        <v>43</v>
      </c>
      <c r="N420" s="7" t="s">
        <v>84</v>
      </c>
      <c r="O420" s="7">
        <v>73</v>
      </c>
      <c r="P420" s="7">
        <v>108.25</v>
      </c>
      <c r="Q420" s="7">
        <v>67.64</v>
      </c>
      <c r="R420" s="7">
        <v>7902.5</v>
      </c>
      <c r="S420" s="7">
        <v>0</v>
      </c>
      <c r="T420" s="7">
        <v>0</v>
      </c>
      <c r="U420" s="7">
        <v>7902.5</v>
      </c>
      <c r="V420" s="7">
        <v>4937.67</v>
      </c>
      <c r="W420" s="7">
        <v>2964.83</v>
      </c>
      <c r="X420" s="7" t="s">
        <v>129</v>
      </c>
    </row>
    <row r="421" spans="1:24" x14ac:dyDescent="0.25">
      <c r="A421" s="16" t="s">
        <v>831</v>
      </c>
      <c r="B421" s="17">
        <v>45622</v>
      </c>
      <c r="C421" s="6" t="s">
        <v>832</v>
      </c>
      <c r="D421" s="6" t="s">
        <v>833</v>
      </c>
      <c r="E421" s="6" t="s">
        <v>49</v>
      </c>
      <c r="F421" s="6" t="s">
        <v>50</v>
      </c>
      <c r="G421" s="6" t="s">
        <v>51</v>
      </c>
      <c r="H421" s="6" t="s">
        <v>52</v>
      </c>
      <c r="I421" s="6" t="s">
        <v>88</v>
      </c>
      <c r="J421" s="6" t="s">
        <v>135</v>
      </c>
      <c r="K421" s="6" t="s">
        <v>60</v>
      </c>
      <c r="L421" s="6" t="s">
        <v>2662</v>
      </c>
      <c r="M421" s="6" t="s">
        <v>43</v>
      </c>
      <c r="N421" s="6" t="s">
        <v>44</v>
      </c>
      <c r="O421" s="6">
        <v>52</v>
      </c>
      <c r="P421" s="6">
        <v>26.83</v>
      </c>
      <c r="Q421" s="6">
        <v>12.1</v>
      </c>
      <c r="R421" s="6">
        <v>1394.98</v>
      </c>
      <c r="S421" s="6">
        <v>0</v>
      </c>
      <c r="T421" s="6">
        <v>0</v>
      </c>
      <c r="U421" s="6">
        <v>1394.98</v>
      </c>
      <c r="V421" s="6">
        <v>629.38</v>
      </c>
      <c r="W421" s="6">
        <v>765.6</v>
      </c>
      <c r="X421" s="6" t="s">
        <v>45</v>
      </c>
    </row>
    <row r="422" spans="1:24" x14ac:dyDescent="0.25">
      <c r="A422" s="5" t="s">
        <v>834</v>
      </c>
      <c r="B422" s="18">
        <v>45417</v>
      </c>
      <c r="C422" s="7" t="s">
        <v>483</v>
      </c>
      <c r="D422" s="7" t="s">
        <v>159</v>
      </c>
      <c r="E422" s="7" t="s">
        <v>93</v>
      </c>
      <c r="F422" s="7" t="s">
        <v>94</v>
      </c>
      <c r="G422" s="7" t="s">
        <v>95</v>
      </c>
      <c r="H422" s="7" t="s">
        <v>96</v>
      </c>
      <c r="I422" s="7" t="s">
        <v>58</v>
      </c>
      <c r="J422" s="7" t="s">
        <v>73</v>
      </c>
      <c r="K422" s="7" t="s">
        <v>248</v>
      </c>
      <c r="L422" s="7" t="s">
        <v>2675</v>
      </c>
      <c r="M422" s="7" t="s">
        <v>153</v>
      </c>
      <c r="N422" s="7" t="s">
        <v>31</v>
      </c>
      <c r="O422" s="7">
        <v>19</v>
      </c>
      <c r="P422" s="7">
        <v>55.19</v>
      </c>
      <c r="Q422" s="7">
        <v>29.79</v>
      </c>
      <c r="R422" s="7">
        <v>1048.5899999999999</v>
      </c>
      <c r="S422" s="7">
        <v>0</v>
      </c>
      <c r="T422" s="7">
        <v>0</v>
      </c>
      <c r="U422" s="7">
        <v>1048.5899999999999</v>
      </c>
      <c r="V422" s="7">
        <v>566.02</v>
      </c>
      <c r="W422" s="7">
        <v>482.57</v>
      </c>
      <c r="X422" s="7" t="s">
        <v>45</v>
      </c>
    </row>
    <row r="423" spans="1:24" x14ac:dyDescent="0.25">
      <c r="A423" s="16" t="s">
        <v>835</v>
      </c>
      <c r="B423" s="17">
        <v>45300</v>
      </c>
      <c r="C423" s="6" t="s">
        <v>707</v>
      </c>
      <c r="D423" s="6" t="s">
        <v>65</v>
      </c>
      <c r="E423" s="6" t="s">
        <v>216</v>
      </c>
      <c r="F423" s="6" t="s">
        <v>217</v>
      </c>
      <c r="G423" s="6" t="s">
        <v>38</v>
      </c>
      <c r="H423" s="6" t="s">
        <v>134</v>
      </c>
      <c r="I423" s="6" t="s">
        <v>27</v>
      </c>
      <c r="J423" s="6" t="s">
        <v>106</v>
      </c>
      <c r="K423" s="6" t="s">
        <v>111</v>
      </c>
      <c r="L423" s="6" t="s">
        <v>2667</v>
      </c>
      <c r="M423" s="6" t="s">
        <v>43</v>
      </c>
      <c r="N423" s="6" t="s">
        <v>84</v>
      </c>
      <c r="O423" s="6">
        <v>48</v>
      </c>
      <c r="P423" s="6">
        <v>105.06</v>
      </c>
      <c r="Q423" s="6">
        <v>71.930000000000007</v>
      </c>
      <c r="R423" s="6">
        <v>5043.08</v>
      </c>
      <c r="S423" s="6">
        <v>0.2</v>
      </c>
      <c r="T423" s="6">
        <v>1008.62</v>
      </c>
      <c r="U423" s="6">
        <v>4034.46</v>
      </c>
      <c r="V423" s="6">
        <v>3452.63</v>
      </c>
      <c r="W423" s="6">
        <v>581.84</v>
      </c>
      <c r="X423" s="6" t="s">
        <v>45</v>
      </c>
    </row>
    <row r="424" spans="1:24" x14ac:dyDescent="0.25">
      <c r="A424" s="5" t="s">
        <v>836</v>
      </c>
      <c r="B424" s="18">
        <v>45400</v>
      </c>
      <c r="C424" s="7" t="s">
        <v>837</v>
      </c>
      <c r="D424" s="7" t="s">
        <v>65</v>
      </c>
      <c r="E424" s="7" t="s">
        <v>109</v>
      </c>
      <c r="F424" s="7" t="s">
        <v>110</v>
      </c>
      <c r="G424" s="7" t="s">
        <v>80</v>
      </c>
      <c r="H424" s="7" t="s">
        <v>81</v>
      </c>
      <c r="I424" s="7" t="s">
        <v>58</v>
      </c>
      <c r="J424" s="7" t="s">
        <v>323</v>
      </c>
      <c r="K424" s="7" t="s">
        <v>60</v>
      </c>
      <c r="L424" s="7" t="s">
        <v>2662</v>
      </c>
      <c r="M424" s="7" t="s">
        <v>43</v>
      </c>
      <c r="N424" s="7" t="s">
        <v>75</v>
      </c>
      <c r="O424" s="7">
        <v>4</v>
      </c>
      <c r="P424" s="7">
        <v>133.54</v>
      </c>
      <c r="Q424" s="7">
        <v>79.56</v>
      </c>
      <c r="R424" s="7">
        <v>534.16999999999996</v>
      </c>
      <c r="S424" s="7">
        <v>0.05</v>
      </c>
      <c r="T424" s="7">
        <v>26.71</v>
      </c>
      <c r="U424" s="7">
        <v>507.46</v>
      </c>
      <c r="V424" s="7">
        <v>318.26</v>
      </c>
      <c r="W424" s="7">
        <v>189.21</v>
      </c>
      <c r="X424" s="7" t="s">
        <v>45</v>
      </c>
    </row>
    <row r="425" spans="1:24" x14ac:dyDescent="0.25">
      <c r="A425" s="16" t="s">
        <v>838</v>
      </c>
      <c r="B425" s="17">
        <v>45343</v>
      </c>
      <c r="C425" s="6" t="s">
        <v>658</v>
      </c>
      <c r="D425" s="6" t="s">
        <v>264</v>
      </c>
      <c r="E425" s="6" t="s">
        <v>187</v>
      </c>
      <c r="F425" s="6" t="s">
        <v>188</v>
      </c>
      <c r="G425" s="6" t="s">
        <v>25</v>
      </c>
      <c r="H425" s="6" t="s">
        <v>26</v>
      </c>
      <c r="I425" s="6" t="s">
        <v>40</v>
      </c>
      <c r="J425" s="6" t="s">
        <v>82</v>
      </c>
      <c r="K425" s="6" t="s">
        <v>170</v>
      </c>
      <c r="L425" s="6" t="s">
        <v>2671</v>
      </c>
      <c r="M425" s="6" t="s">
        <v>61</v>
      </c>
      <c r="N425" s="6" t="s">
        <v>70</v>
      </c>
      <c r="O425" s="6">
        <v>17</v>
      </c>
      <c r="P425" s="6">
        <v>48.86</v>
      </c>
      <c r="Q425" s="6">
        <v>30.73</v>
      </c>
      <c r="R425" s="6">
        <v>830.7</v>
      </c>
      <c r="S425" s="6">
        <v>0</v>
      </c>
      <c r="T425" s="6">
        <v>0</v>
      </c>
      <c r="U425" s="6">
        <v>830.7</v>
      </c>
      <c r="V425" s="6">
        <v>522.48</v>
      </c>
      <c r="W425" s="6">
        <v>308.22000000000003</v>
      </c>
      <c r="X425" s="6" t="s">
        <v>45</v>
      </c>
    </row>
    <row r="426" spans="1:24" x14ac:dyDescent="0.25">
      <c r="A426" s="5" t="s">
        <v>839</v>
      </c>
      <c r="B426" s="18">
        <v>45543</v>
      </c>
      <c r="C426" s="7" t="s">
        <v>517</v>
      </c>
      <c r="D426" s="7" t="s">
        <v>163</v>
      </c>
      <c r="E426" s="7" t="s">
        <v>93</v>
      </c>
      <c r="F426" s="7" t="s">
        <v>94</v>
      </c>
      <c r="G426" s="7" t="s">
        <v>95</v>
      </c>
      <c r="H426" s="7" t="s">
        <v>96</v>
      </c>
      <c r="I426" s="7" t="s">
        <v>452</v>
      </c>
      <c r="J426" s="7" t="s">
        <v>106</v>
      </c>
      <c r="K426" s="7" t="s">
        <v>152</v>
      </c>
      <c r="L426" s="7" t="s">
        <v>2670</v>
      </c>
      <c r="M426" s="7" t="s">
        <v>61</v>
      </c>
      <c r="N426" s="7" t="s">
        <v>84</v>
      </c>
      <c r="O426" s="7">
        <v>56</v>
      </c>
      <c r="P426" s="7">
        <v>52.74</v>
      </c>
      <c r="Q426" s="7">
        <v>34.19</v>
      </c>
      <c r="R426" s="7">
        <v>2953.59</v>
      </c>
      <c r="S426" s="7">
        <v>0.2</v>
      </c>
      <c r="T426" s="7">
        <v>590.72</v>
      </c>
      <c r="U426" s="7">
        <v>2362.87</v>
      </c>
      <c r="V426" s="7">
        <v>1914.44</v>
      </c>
      <c r="W426" s="7">
        <v>448.43</v>
      </c>
      <c r="X426" s="7" t="s">
        <v>129</v>
      </c>
    </row>
    <row r="427" spans="1:24" x14ac:dyDescent="0.25">
      <c r="A427" s="16" t="s">
        <v>840</v>
      </c>
      <c r="B427" s="17">
        <v>45335</v>
      </c>
      <c r="C427" s="6" t="s">
        <v>800</v>
      </c>
      <c r="D427" s="6" t="s">
        <v>264</v>
      </c>
      <c r="E427" s="6" t="s">
        <v>114</v>
      </c>
      <c r="F427" s="6" t="s">
        <v>115</v>
      </c>
      <c r="G427" s="6" t="s">
        <v>95</v>
      </c>
      <c r="H427" s="6" t="s">
        <v>116</v>
      </c>
      <c r="I427" s="6" t="s">
        <v>88</v>
      </c>
      <c r="J427" s="6" t="s">
        <v>183</v>
      </c>
      <c r="K427" s="6" t="s">
        <v>42</v>
      </c>
      <c r="L427" s="6" t="s">
        <v>2661</v>
      </c>
      <c r="M427" s="6" t="s">
        <v>30</v>
      </c>
      <c r="N427" s="6" t="s">
        <v>70</v>
      </c>
      <c r="O427" s="6">
        <v>73</v>
      </c>
      <c r="P427" s="6">
        <v>32.58</v>
      </c>
      <c r="Q427" s="6">
        <v>21.7</v>
      </c>
      <c r="R427" s="6">
        <v>2378.2600000000002</v>
      </c>
      <c r="S427" s="6">
        <v>0.15</v>
      </c>
      <c r="T427" s="6">
        <v>356.74</v>
      </c>
      <c r="U427" s="6">
        <v>2021.52</v>
      </c>
      <c r="V427" s="6">
        <v>1583.98</v>
      </c>
      <c r="W427" s="6">
        <v>437.55</v>
      </c>
      <c r="X427" s="6" t="s">
        <v>45</v>
      </c>
    </row>
    <row r="428" spans="1:24" x14ac:dyDescent="0.25">
      <c r="A428" s="5" t="s">
        <v>841</v>
      </c>
      <c r="B428" s="18">
        <v>45605</v>
      </c>
      <c r="C428" s="7" t="s">
        <v>337</v>
      </c>
      <c r="D428" s="7" t="s">
        <v>87</v>
      </c>
      <c r="E428" s="7" t="s">
        <v>216</v>
      </c>
      <c r="F428" s="7" t="s">
        <v>217</v>
      </c>
      <c r="G428" s="7" t="s">
        <v>38</v>
      </c>
      <c r="H428" s="7" t="s">
        <v>134</v>
      </c>
      <c r="I428" s="7" t="s">
        <v>27</v>
      </c>
      <c r="J428" s="7" t="s">
        <v>106</v>
      </c>
      <c r="K428" s="7" t="s">
        <v>42</v>
      </c>
      <c r="L428" s="7" t="s">
        <v>2661</v>
      </c>
      <c r="M428" s="7" t="s">
        <v>153</v>
      </c>
      <c r="N428" s="7" t="s">
        <v>84</v>
      </c>
      <c r="O428" s="7">
        <v>16</v>
      </c>
      <c r="P428" s="7">
        <v>114.47</v>
      </c>
      <c r="Q428" s="7">
        <v>70.27</v>
      </c>
      <c r="R428" s="7">
        <v>1831.52</v>
      </c>
      <c r="S428" s="7">
        <v>0.1</v>
      </c>
      <c r="T428" s="7">
        <v>183.15</v>
      </c>
      <c r="U428" s="7">
        <v>1648.36</v>
      </c>
      <c r="V428" s="7">
        <v>1124.3</v>
      </c>
      <c r="W428" s="7">
        <v>524.07000000000005</v>
      </c>
      <c r="X428" s="7" t="s">
        <v>45</v>
      </c>
    </row>
    <row r="429" spans="1:24" x14ac:dyDescent="0.25">
      <c r="A429" s="16" t="s">
        <v>842</v>
      </c>
      <c r="B429" s="17">
        <v>45293</v>
      </c>
      <c r="C429" s="6" t="s">
        <v>843</v>
      </c>
      <c r="D429" s="6" t="s">
        <v>22</v>
      </c>
      <c r="E429" s="6" t="s">
        <v>126</v>
      </c>
      <c r="F429" s="6" t="s">
        <v>127</v>
      </c>
      <c r="G429" s="6" t="s">
        <v>95</v>
      </c>
      <c r="H429" s="6" t="s">
        <v>128</v>
      </c>
      <c r="I429" s="6" t="s">
        <v>88</v>
      </c>
      <c r="J429" s="6" t="s">
        <v>173</v>
      </c>
      <c r="K429" s="6" t="s">
        <v>184</v>
      </c>
      <c r="L429" s="6" t="s">
        <v>2672</v>
      </c>
      <c r="M429" s="6" t="s">
        <v>43</v>
      </c>
      <c r="N429" s="6" t="s">
        <v>84</v>
      </c>
      <c r="O429" s="6">
        <v>20</v>
      </c>
      <c r="P429" s="6">
        <v>95.94</v>
      </c>
      <c r="Q429" s="6">
        <v>50.55</v>
      </c>
      <c r="R429" s="6">
        <v>1918.76</v>
      </c>
      <c r="S429" s="6">
        <v>0.05</v>
      </c>
      <c r="T429" s="6">
        <v>95.94</v>
      </c>
      <c r="U429" s="6">
        <v>1822.82</v>
      </c>
      <c r="V429" s="6">
        <v>1010.93</v>
      </c>
      <c r="W429" s="6">
        <v>811.89</v>
      </c>
      <c r="X429" s="6" t="s">
        <v>45</v>
      </c>
    </row>
    <row r="430" spans="1:24" x14ac:dyDescent="0.25">
      <c r="A430" s="5" t="s">
        <v>844</v>
      </c>
      <c r="B430" s="18">
        <v>45564</v>
      </c>
      <c r="C430" s="7" t="s">
        <v>272</v>
      </c>
      <c r="D430" s="7" t="s">
        <v>105</v>
      </c>
      <c r="E430" s="7" t="s">
        <v>222</v>
      </c>
      <c r="F430" s="7" t="s">
        <v>223</v>
      </c>
      <c r="G430" s="7" t="s">
        <v>101</v>
      </c>
      <c r="H430" s="7" t="s">
        <v>68</v>
      </c>
      <c r="I430" s="7" t="s">
        <v>58</v>
      </c>
      <c r="J430" s="7" t="s">
        <v>345</v>
      </c>
      <c r="K430" s="7" t="s">
        <v>111</v>
      </c>
      <c r="L430" s="7" t="s">
        <v>2667</v>
      </c>
      <c r="M430" s="7" t="s">
        <v>43</v>
      </c>
      <c r="N430" s="7" t="s">
        <v>84</v>
      </c>
      <c r="O430" s="7">
        <v>15</v>
      </c>
      <c r="P430" s="7">
        <v>124.72</v>
      </c>
      <c r="Q430" s="7">
        <v>74.290000000000006</v>
      </c>
      <c r="R430" s="7">
        <v>1870.77</v>
      </c>
      <c r="S430" s="7">
        <v>0.2</v>
      </c>
      <c r="T430" s="7">
        <v>374.15</v>
      </c>
      <c r="U430" s="7">
        <v>1496.62</v>
      </c>
      <c r="V430" s="7">
        <v>1114.3</v>
      </c>
      <c r="W430" s="7">
        <v>382.31</v>
      </c>
      <c r="X430" s="7" t="s">
        <v>129</v>
      </c>
    </row>
    <row r="431" spans="1:24" x14ac:dyDescent="0.25">
      <c r="A431" s="16" t="s">
        <v>845</v>
      </c>
      <c r="B431" s="17">
        <v>45641</v>
      </c>
      <c r="C431" s="6" t="s">
        <v>794</v>
      </c>
      <c r="D431" s="6" t="s">
        <v>65</v>
      </c>
      <c r="E431" s="6" t="s">
        <v>99</v>
      </c>
      <c r="F431" s="6" t="s">
        <v>100</v>
      </c>
      <c r="G431" s="6" t="s">
        <v>101</v>
      </c>
      <c r="H431" s="6" t="s">
        <v>102</v>
      </c>
      <c r="I431" s="6" t="s">
        <v>88</v>
      </c>
      <c r="J431" s="6" t="s">
        <v>89</v>
      </c>
      <c r="K431" s="6" t="s">
        <v>69</v>
      </c>
      <c r="L431" s="6" t="s">
        <v>2663</v>
      </c>
      <c r="M431" s="6" t="s">
        <v>30</v>
      </c>
      <c r="N431" s="6" t="s">
        <v>84</v>
      </c>
      <c r="O431" s="6">
        <v>71</v>
      </c>
      <c r="P431" s="6">
        <v>75.260000000000005</v>
      </c>
      <c r="Q431" s="6">
        <v>43.24</v>
      </c>
      <c r="R431" s="6">
        <v>5343.68</v>
      </c>
      <c r="S431" s="6">
        <v>0</v>
      </c>
      <c r="T431" s="6">
        <v>0</v>
      </c>
      <c r="U431" s="6">
        <v>5343.68</v>
      </c>
      <c r="V431" s="6">
        <v>3070.35</v>
      </c>
      <c r="W431" s="6">
        <v>2273.33</v>
      </c>
      <c r="X431" s="6" t="s">
        <v>129</v>
      </c>
    </row>
    <row r="432" spans="1:24" x14ac:dyDescent="0.25">
      <c r="A432" s="5" t="s">
        <v>846</v>
      </c>
      <c r="B432" s="18">
        <v>45603</v>
      </c>
      <c r="C432" s="7" t="s">
        <v>832</v>
      </c>
      <c r="D432" s="7" t="s">
        <v>159</v>
      </c>
      <c r="E432" s="7" t="s">
        <v>132</v>
      </c>
      <c r="F432" s="7" t="s">
        <v>133</v>
      </c>
      <c r="G432" s="7" t="s">
        <v>51</v>
      </c>
      <c r="H432" s="7" t="s">
        <v>134</v>
      </c>
      <c r="I432" s="7" t="s">
        <v>58</v>
      </c>
      <c r="J432" s="7" t="s">
        <v>73</v>
      </c>
      <c r="K432" s="7" t="s">
        <v>42</v>
      </c>
      <c r="L432" s="7" t="s">
        <v>2661</v>
      </c>
      <c r="M432" s="7" t="s">
        <v>153</v>
      </c>
      <c r="N432" s="7" t="s">
        <v>75</v>
      </c>
      <c r="O432" s="7">
        <v>41</v>
      </c>
      <c r="P432" s="7">
        <v>61.76</v>
      </c>
      <c r="Q432" s="7">
        <v>31.69</v>
      </c>
      <c r="R432" s="7">
        <v>2532.13</v>
      </c>
      <c r="S432" s="7">
        <v>0.05</v>
      </c>
      <c r="T432" s="7">
        <v>126.61</v>
      </c>
      <c r="U432" s="7">
        <v>2405.52</v>
      </c>
      <c r="V432" s="7">
        <v>1299.46</v>
      </c>
      <c r="W432" s="7">
        <v>1106.06</v>
      </c>
      <c r="X432" s="7" t="s">
        <v>32</v>
      </c>
    </row>
    <row r="433" spans="1:24" x14ac:dyDescent="0.25">
      <c r="A433" s="16" t="s">
        <v>847</v>
      </c>
      <c r="B433" s="17">
        <v>45573</v>
      </c>
      <c r="C433" s="6" t="s">
        <v>623</v>
      </c>
      <c r="D433" s="6" t="s">
        <v>156</v>
      </c>
      <c r="E433" s="6" t="s">
        <v>250</v>
      </c>
      <c r="F433" s="6" t="s">
        <v>251</v>
      </c>
      <c r="G433" s="6" t="s">
        <v>51</v>
      </c>
      <c r="H433" s="6" t="s">
        <v>252</v>
      </c>
      <c r="I433" s="6" t="s">
        <v>53</v>
      </c>
      <c r="J433" s="6" t="s">
        <v>122</v>
      </c>
      <c r="K433" s="6" t="s">
        <v>184</v>
      </c>
      <c r="L433" s="6" t="s">
        <v>2672</v>
      </c>
      <c r="M433" s="6" t="s">
        <v>61</v>
      </c>
      <c r="N433" s="6" t="s">
        <v>31</v>
      </c>
      <c r="O433" s="6">
        <v>64</v>
      </c>
      <c r="P433" s="6">
        <v>69.819999999999993</v>
      </c>
      <c r="Q433" s="6">
        <v>38.369999999999997</v>
      </c>
      <c r="R433" s="6">
        <v>4468.4399999999996</v>
      </c>
      <c r="S433" s="6">
        <v>0.15</v>
      </c>
      <c r="T433" s="6">
        <v>670.27</v>
      </c>
      <c r="U433" s="6">
        <v>3798.17</v>
      </c>
      <c r="V433" s="6">
        <v>2455.41</v>
      </c>
      <c r="W433" s="6">
        <v>1342.76</v>
      </c>
      <c r="X433" s="6" t="s">
        <v>45</v>
      </c>
    </row>
    <row r="434" spans="1:24" x14ac:dyDescent="0.25">
      <c r="A434" s="5" t="s">
        <v>848</v>
      </c>
      <c r="B434" s="18">
        <v>45362</v>
      </c>
      <c r="C434" s="7" t="s">
        <v>314</v>
      </c>
      <c r="D434" s="7" t="s">
        <v>163</v>
      </c>
      <c r="E434" s="7" t="s">
        <v>114</v>
      </c>
      <c r="F434" s="7" t="s">
        <v>115</v>
      </c>
      <c r="G434" s="7" t="s">
        <v>95</v>
      </c>
      <c r="H434" s="7" t="s">
        <v>116</v>
      </c>
      <c r="I434" s="7" t="s">
        <v>27</v>
      </c>
      <c r="J434" s="7" t="s">
        <v>211</v>
      </c>
      <c r="K434" s="7" t="s">
        <v>170</v>
      </c>
      <c r="L434" s="7" t="s">
        <v>2671</v>
      </c>
      <c r="M434" s="7" t="s">
        <v>61</v>
      </c>
      <c r="N434" s="7" t="s">
        <v>44</v>
      </c>
      <c r="O434" s="7">
        <v>30</v>
      </c>
      <c r="P434" s="7">
        <v>35.72</v>
      </c>
      <c r="Q434" s="7">
        <v>21.66</v>
      </c>
      <c r="R434" s="7">
        <v>1071.74</v>
      </c>
      <c r="S434" s="7">
        <v>0</v>
      </c>
      <c r="T434" s="7">
        <v>0</v>
      </c>
      <c r="U434" s="7">
        <v>1071.74</v>
      </c>
      <c r="V434" s="7">
        <v>649.73</v>
      </c>
      <c r="W434" s="7">
        <v>422.01</v>
      </c>
      <c r="X434" s="7" t="s">
        <v>45</v>
      </c>
    </row>
    <row r="435" spans="1:24" x14ac:dyDescent="0.25">
      <c r="A435" s="16" t="s">
        <v>849</v>
      </c>
      <c r="B435" s="17">
        <v>45384</v>
      </c>
      <c r="C435" s="6" t="s">
        <v>397</v>
      </c>
      <c r="D435" s="6" t="s">
        <v>105</v>
      </c>
      <c r="E435" s="6" t="s">
        <v>141</v>
      </c>
      <c r="F435" s="6" t="s">
        <v>142</v>
      </c>
      <c r="G435" s="6" t="s">
        <v>25</v>
      </c>
      <c r="H435" s="6" t="s">
        <v>26</v>
      </c>
      <c r="I435" s="6" t="s">
        <v>53</v>
      </c>
      <c r="J435" s="6" t="s">
        <v>232</v>
      </c>
      <c r="K435" s="6" t="s">
        <v>42</v>
      </c>
      <c r="L435" s="6" t="s">
        <v>2661</v>
      </c>
      <c r="M435" s="6" t="s">
        <v>43</v>
      </c>
      <c r="N435" s="6" t="s">
        <v>70</v>
      </c>
      <c r="O435" s="6">
        <v>39</v>
      </c>
      <c r="P435" s="6">
        <v>97.05</v>
      </c>
      <c r="Q435" s="6">
        <v>54.9</v>
      </c>
      <c r="R435" s="6">
        <v>3784.83</v>
      </c>
      <c r="S435" s="6">
        <v>0</v>
      </c>
      <c r="T435" s="6">
        <v>0</v>
      </c>
      <c r="U435" s="6">
        <v>3784.83</v>
      </c>
      <c r="V435" s="6">
        <v>2141.1</v>
      </c>
      <c r="W435" s="6">
        <v>1643.73</v>
      </c>
      <c r="X435" s="6" t="s">
        <v>45</v>
      </c>
    </row>
    <row r="436" spans="1:24" x14ac:dyDescent="0.25">
      <c r="A436" s="5" t="s">
        <v>850</v>
      </c>
      <c r="B436" s="18">
        <v>45576</v>
      </c>
      <c r="C436" s="7" t="s">
        <v>513</v>
      </c>
      <c r="D436" s="7" t="s">
        <v>48</v>
      </c>
      <c r="E436" s="7" t="s">
        <v>222</v>
      </c>
      <c r="F436" s="7" t="s">
        <v>223</v>
      </c>
      <c r="G436" s="7" t="s">
        <v>101</v>
      </c>
      <c r="H436" s="7" t="s">
        <v>68</v>
      </c>
      <c r="I436" s="7" t="s">
        <v>58</v>
      </c>
      <c r="J436" s="7" t="s">
        <v>345</v>
      </c>
      <c r="K436" s="7" t="s">
        <v>248</v>
      </c>
      <c r="L436" s="7" t="s">
        <v>2675</v>
      </c>
      <c r="M436" s="7" t="s">
        <v>61</v>
      </c>
      <c r="N436" s="7" t="s">
        <v>44</v>
      </c>
      <c r="O436" s="7">
        <v>15</v>
      </c>
      <c r="P436" s="7">
        <v>128.88999999999999</v>
      </c>
      <c r="Q436" s="7">
        <v>78.62</v>
      </c>
      <c r="R436" s="7">
        <v>1933.38</v>
      </c>
      <c r="S436" s="7">
        <v>0.02</v>
      </c>
      <c r="T436" s="7">
        <v>38.67</v>
      </c>
      <c r="U436" s="7">
        <v>1894.71</v>
      </c>
      <c r="V436" s="7">
        <v>1179.27</v>
      </c>
      <c r="W436" s="7">
        <v>715.44</v>
      </c>
      <c r="X436" s="7" t="s">
        <v>45</v>
      </c>
    </row>
    <row r="437" spans="1:24" x14ac:dyDescent="0.25">
      <c r="A437" s="16" t="s">
        <v>851</v>
      </c>
      <c r="B437" s="17">
        <v>45618</v>
      </c>
      <c r="C437" s="6" t="s">
        <v>852</v>
      </c>
      <c r="D437" s="6" t="s">
        <v>57</v>
      </c>
      <c r="E437" s="6" t="s">
        <v>216</v>
      </c>
      <c r="F437" s="6" t="s">
        <v>217</v>
      </c>
      <c r="G437" s="6" t="s">
        <v>38</v>
      </c>
      <c r="H437" s="6" t="s">
        <v>134</v>
      </c>
      <c r="I437" s="6" t="s">
        <v>53</v>
      </c>
      <c r="J437" s="6" t="s">
        <v>54</v>
      </c>
      <c r="K437" s="6" t="s">
        <v>42</v>
      </c>
      <c r="L437" s="6" t="s">
        <v>2661</v>
      </c>
      <c r="M437" s="6" t="s">
        <v>43</v>
      </c>
      <c r="N437" s="6" t="s">
        <v>44</v>
      </c>
      <c r="O437" s="6">
        <v>69</v>
      </c>
      <c r="P437" s="6">
        <v>113.04</v>
      </c>
      <c r="Q437" s="6">
        <v>66.400000000000006</v>
      </c>
      <c r="R437" s="6">
        <v>7799.61</v>
      </c>
      <c r="S437" s="6">
        <v>0.15</v>
      </c>
      <c r="T437" s="6">
        <v>1169.94</v>
      </c>
      <c r="U437" s="6">
        <v>6629.67</v>
      </c>
      <c r="V437" s="6">
        <v>4581.3900000000003</v>
      </c>
      <c r="W437" s="6">
        <v>2048.27</v>
      </c>
      <c r="X437" s="6" t="s">
        <v>45</v>
      </c>
    </row>
    <row r="438" spans="1:24" x14ac:dyDescent="0.25">
      <c r="A438" s="5" t="s">
        <v>853</v>
      </c>
      <c r="B438" s="18">
        <v>45375</v>
      </c>
      <c r="C438" s="7" t="s">
        <v>454</v>
      </c>
      <c r="D438" s="7" t="s">
        <v>156</v>
      </c>
      <c r="E438" s="7" t="s">
        <v>132</v>
      </c>
      <c r="F438" s="7" t="s">
        <v>133</v>
      </c>
      <c r="G438" s="7" t="s">
        <v>51</v>
      </c>
      <c r="H438" s="7" t="s">
        <v>134</v>
      </c>
      <c r="I438" s="7" t="s">
        <v>53</v>
      </c>
      <c r="J438" s="7" t="s">
        <v>54</v>
      </c>
      <c r="K438" s="7" t="s">
        <v>170</v>
      </c>
      <c r="L438" s="7" t="s">
        <v>2671</v>
      </c>
      <c r="M438" s="7" t="s">
        <v>43</v>
      </c>
      <c r="N438" s="7" t="s">
        <v>70</v>
      </c>
      <c r="O438" s="7">
        <v>76</v>
      </c>
      <c r="P438" s="7">
        <v>62.06</v>
      </c>
      <c r="Q438" s="7">
        <v>33.79</v>
      </c>
      <c r="R438" s="7">
        <v>4716.37</v>
      </c>
      <c r="S438" s="7">
        <v>0.02</v>
      </c>
      <c r="T438" s="7">
        <v>94.33</v>
      </c>
      <c r="U438" s="7">
        <v>4622.05</v>
      </c>
      <c r="V438" s="7">
        <v>2568.17</v>
      </c>
      <c r="W438" s="7">
        <v>2053.87</v>
      </c>
      <c r="X438" s="7" t="s">
        <v>45</v>
      </c>
    </row>
    <row r="439" spans="1:24" x14ac:dyDescent="0.25">
      <c r="A439" s="16" t="s">
        <v>854</v>
      </c>
      <c r="B439" s="17">
        <v>45647</v>
      </c>
      <c r="C439" s="6" t="s">
        <v>855</v>
      </c>
      <c r="D439" s="6" t="s">
        <v>156</v>
      </c>
      <c r="E439" s="6" t="s">
        <v>66</v>
      </c>
      <c r="F439" s="6" t="s">
        <v>67</v>
      </c>
      <c r="G439" s="6" t="s">
        <v>38</v>
      </c>
      <c r="H439" s="6" t="s">
        <v>68</v>
      </c>
      <c r="I439" s="6" t="s">
        <v>88</v>
      </c>
      <c r="J439" s="6" t="s">
        <v>135</v>
      </c>
      <c r="K439" s="6" t="s">
        <v>248</v>
      </c>
      <c r="L439" s="6" t="s">
        <v>2675</v>
      </c>
      <c r="M439" s="6" t="s">
        <v>153</v>
      </c>
      <c r="N439" s="6" t="s">
        <v>31</v>
      </c>
      <c r="O439" s="6">
        <v>41</v>
      </c>
      <c r="P439" s="6">
        <v>154.91</v>
      </c>
      <c r="Q439" s="6">
        <v>105.64</v>
      </c>
      <c r="R439" s="6">
        <v>6351.41</v>
      </c>
      <c r="S439" s="6">
        <v>0.15</v>
      </c>
      <c r="T439" s="6">
        <v>952.71</v>
      </c>
      <c r="U439" s="6">
        <v>5398.7</v>
      </c>
      <c r="V439" s="6">
        <v>4331.1000000000004</v>
      </c>
      <c r="W439" s="6">
        <v>1067.5899999999999</v>
      </c>
      <c r="X439" s="6" t="s">
        <v>45</v>
      </c>
    </row>
    <row r="440" spans="1:24" x14ac:dyDescent="0.25">
      <c r="A440" s="5" t="s">
        <v>856</v>
      </c>
      <c r="B440" s="18">
        <v>45312</v>
      </c>
      <c r="C440" s="7" t="s">
        <v>339</v>
      </c>
      <c r="D440" s="7" t="s">
        <v>221</v>
      </c>
      <c r="E440" s="7" t="s">
        <v>109</v>
      </c>
      <c r="F440" s="7" t="s">
        <v>110</v>
      </c>
      <c r="G440" s="7" t="s">
        <v>80</v>
      </c>
      <c r="H440" s="7" t="s">
        <v>81</v>
      </c>
      <c r="I440" s="7" t="s">
        <v>58</v>
      </c>
      <c r="J440" s="7" t="s">
        <v>323</v>
      </c>
      <c r="K440" s="7" t="s">
        <v>265</v>
      </c>
      <c r="L440" s="7" t="s">
        <v>2678</v>
      </c>
      <c r="M440" s="7" t="s">
        <v>30</v>
      </c>
      <c r="N440" s="7" t="s">
        <v>84</v>
      </c>
      <c r="O440" s="7">
        <v>53</v>
      </c>
      <c r="P440" s="7">
        <v>116.77</v>
      </c>
      <c r="Q440" s="7">
        <v>76.36</v>
      </c>
      <c r="R440" s="7">
        <v>6188.69</v>
      </c>
      <c r="S440" s="7">
        <v>0</v>
      </c>
      <c r="T440" s="7">
        <v>0</v>
      </c>
      <c r="U440" s="7">
        <v>6188.69</v>
      </c>
      <c r="V440" s="7">
        <v>4046.84</v>
      </c>
      <c r="W440" s="7">
        <v>2141.84</v>
      </c>
      <c r="X440" s="7" t="s">
        <v>45</v>
      </c>
    </row>
    <row r="441" spans="1:24" x14ac:dyDescent="0.25">
      <c r="A441" s="16" t="s">
        <v>857</v>
      </c>
      <c r="B441" s="17">
        <v>45623</v>
      </c>
      <c r="C441" s="6" t="s">
        <v>263</v>
      </c>
      <c r="D441" s="6" t="s">
        <v>264</v>
      </c>
      <c r="E441" s="6" t="s">
        <v>209</v>
      </c>
      <c r="F441" s="6" t="s">
        <v>210</v>
      </c>
      <c r="G441" s="6" t="s">
        <v>51</v>
      </c>
      <c r="H441" s="6" t="s">
        <v>116</v>
      </c>
      <c r="I441" s="6" t="s">
        <v>53</v>
      </c>
      <c r="J441" s="6" t="s">
        <v>232</v>
      </c>
      <c r="K441" s="6" t="s">
        <v>195</v>
      </c>
      <c r="L441" s="6" t="s">
        <v>2673</v>
      </c>
      <c r="M441" s="6" t="s">
        <v>153</v>
      </c>
      <c r="N441" s="6" t="s">
        <v>44</v>
      </c>
      <c r="O441" s="6">
        <v>23</v>
      </c>
      <c r="P441" s="6">
        <v>17.03</v>
      </c>
      <c r="Q441" s="6">
        <v>10.5</v>
      </c>
      <c r="R441" s="6">
        <v>391.76</v>
      </c>
      <c r="S441" s="6">
        <v>0.15</v>
      </c>
      <c r="T441" s="6">
        <v>58.76</v>
      </c>
      <c r="U441" s="6">
        <v>333</v>
      </c>
      <c r="V441" s="6">
        <v>241.58</v>
      </c>
      <c r="W441" s="6">
        <v>91.42</v>
      </c>
      <c r="X441" s="6" t="s">
        <v>45</v>
      </c>
    </row>
    <row r="442" spans="1:24" x14ac:dyDescent="0.25">
      <c r="A442" s="5" t="s">
        <v>858</v>
      </c>
      <c r="B442" s="18">
        <v>45400</v>
      </c>
      <c r="C442" s="7" t="s">
        <v>859</v>
      </c>
      <c r="D442" s="7" t="s">
        <v>221</v>
      </c>
      <c r="E442" s="7" t="s">
        <v>36</v>
      </c>
      <c r="F442" s="7" t="s">
        <v>37</v>
      </c>
      <c r="G442" s="7" t="s">
        <v>38</v>
      </c>
      <c r="H442" s="7" t="s">
        <v>39</v>
      </c>
      <c r="I442" s="7" t="s">
        <v>88</v>
      </c>
      <c r="J442" s="7" t="s">
        <v>135</v>
      </c>
      <c r="K442" s="7" t="s">
        <v>152</v>
      </c>
      <c r="L442" s="7" t="s">
        <v>2670</v>
      </c>
      <c r="M442" s="7" t="s">
        <v>153</v>
      </c>
      <c r="N442" s="7" t="s">
        <v>84</v>
      </c>
      <c r="O442" s="7">
        <v>20</v>
      </c>
      <c r="P442" s="7">
        <v>172.56</v>
      </c>
      <c r="Q442" s="7">
        <v>102.71</v>
      </c>
      <c r="R442" s="7">
        <v>3451.12</v>
      </c>
      <c r="S442" s="7">
        <v>0.15</v>
      </c>
      <c r="T442" s="7">
        <v>517.66999999999996</v>
      </c>
      <c r="U442" s="7">
        <v>2933.45</v>
      </c>
      <c r="V442" s="7">
        <v>2054.27</v>
      </c>
      <c r="W442" s="7">
        <v>879.18</v>
      </c>
      <c r="X442" s="7" t="s">
        <v>32</v>
      </c>
    </row>
    <row r="443" spans="1:24" x14ac:dyDescent="0.25">
      <c r="A443" s="16" t="s">
        <v>860</v>
      </c>
      <c r="B443" s="17">
        <v>45464</v>
      </c>
      <c r="C443" s="6" t="s">
        <v>461</v>
      </c>
      <c r="D443" s="6" t="s">
        <v>87</v>
      </c>
      <c r="E443" s="6" t="s">
        <v>66</v>
      </c>
      <c r="F443" s="6" t="s">
        <v>67</v>
      </c>
      <c r="G443" s="6" t="s">
        <v>38</v>
      </c>
      <c r="H443" s="6" t="s">
        <v>68</v>
      </c>
      <c r="I443" s="6" t="s">
        <v>53</v>
      </c>
      <c r="J443" s="6" t="s">
        <v>143</v>
      </c>
      <c r="K443" s="6" t="s">
        <v>170</v>
      </c>
      <c r="L443" s="6" t="s">
        <v>2671</v>
      </c>
      <c r="M443" s="6" t="s">
        <v>61</v>
      </c>
      <c r="N443" s="6" t="s">
        <v>84</v>
      </c>
      <c r="O443" s="6">
        <v>39</v>
      </c>
      <c r="P443" s="6">
        <v>164.06</v>
      </c>
      <c r="Q443" s="6">
        <v>108.43</v>
      </c>
      <c r="R443" s="6">
        <v>6398.29</v>
      </c>
      <c r="S443" s="6">
        <v>0.1</v>
      </c>
      <c r="T443" s="6">
        <v>639.83000000000004</v>
      </c>
      <c r="U443" s="6">
        <v>5758.46</v>
      </c>
      <c r="V443" s="6">
        <v>4228.7</v>
      </c>
      <c r="W443" s="6">
        <v>1529.76</v>
      </c>
      <c r="X443" s="6" t="s">
        <v>129</v>
      </c>
    </row>
    <row r="444" spans="1:24" x14ac:dyDescent="0.25">
      <c r="A444" s="5" t="s">
        <v>861</v>
      </c>
      <c r="B444" s="18">
        <v>45563</v>
      </c>
      <c r="C444" s="7" t="s">
        <v>175</v>
      </c>
      <c r="D444" s="7" t="s">
        <v>65</v>
      </c>
      <c r="E444" s="7" t="s">
        <v>126</v>
      </c>
      <c r="F444" s="7" t="s">
        <v>127</v>
      </c>
      <c r="G444" s="7" t="s">
        <v>95</v>
      </c>
      <c r="H444" s="7" t="s">
        <v>128</v>
      </c>
      <c r="I444" s="7" t="s">
        <v>53</v>
      </c>
      <c r="J444" s="7" t="s">
        <v>54</v>
      </c>
      <c r="K444" s="7" t="s">
        <v>29</v>
      </c>
      <c r="L444" s="7" t="s">
        <v>2660</v>
      </c>
      <c r="M444" s="7" t="s">
        <v>30</v>
      </c>
      <c r="N444" s="7" t="s">
        <v>62</v>
      </c>
      <c r="O444" s="7">
        <v>6</v>
      </c>
      <c r="P444" s="7">
        <v>96.97</v>
      </c>
      <c r="Q444" s="7">
        <v>52.23</v>
      </c>
      <c r="R444" s="7">
        <v>581.82000000000005</v>
      </c>
      <c r="S444" s="7">
        <v>0</v>
      </c>
      <c r="T444" s="7">
        <v>0</v>
      </c>
      <c r="U444" s="7">
        <v>581.82000000000005</v>
      </c>
      <c r="V444" s="7">
        <v>313.39</v>
      </c>
      <c r="W444" s="7">
        <v>268.43</v>
      </c>
      <c r="X444" s="7" t="s">
        <v>129</v>
      </c>
    </row>
    <row r="445" spans="1:24" x14ac:dyDescent="0.25">
      <c r="A445" s="16" t="s">
        <v>862</v>
      </c>
      <c r="B445" s="17">
        <v>45560</v>
      </c>
      <c r="C445" s="6" t="s">
        <v>148</v>
      </c>
      <c r="D445" s="6" t="s">
        <v>149</v>
      </c>
      <c r="E445" s="6" t="s">
        <v>93</v>
      </c>
      <c r="F445" s="6" t="s">
        <v>94</v>
      </c>
      <c r="G445" s="6" t="s">
        <v>95</v>
      </c>
      <c r="H445" s="6" t="s">
        <v>96</v>
      </c>
      <c r="I445" s="6" t="s">
        <v>40</v>
      </c>
      <c r="J445" s="6" t="s">
        <v>41</v>
      </c>
      <c r="K445" s="6"/>
      <c r="L445" s="6"/>
      <c r="M445" s="6" t="s">
        <v>61</v>
      </c>
      <c r="N445" s="6" t="s">
        <v>84</v>
      </c>
      <c r="O445" s="6">
        <v>34</v>
      </c>
      <c r="P445" s="6">
        <v>57.18</v>
      </c>
      <c r="Q445" s="6">
        <v>33.57</v>
      </c>
      <c r="R445" s="6">
        <v>1944.26</v>
      </c>
      <c r="S445" s="6">
        <v>0.05</v>
      </c>
      <c r="T445" s="6">
        <v>97.21</v>
      </c>
      <c r="U445" s="6">
        <v>1847.04</v>
      </c>
      <c r="V445" s="6">
        <v>1141.3800000000001</v>
      </c>
      <c r="W445" s="6">
        <v>705.66</v>
      </c>
      <c r="X445" s="6" t="s">
        <v>32</v>
      </c>
    </row>
    <row r="446" spans="1:24" x14ac:dyDescent="0.25">
      <c r="A446" s="5" t="s">
        <v>863</v>
      </c>
      <c r="B446" s="18">
        <v>45626</v>
      </c>
      <c r="C446" s="7" t="s">
        <v>864</v>
      </c>
      <c r="D446" s="7" t="s">
        <v>22</v>
      </c>
      <c r="E446" s="7" t="s">
        <v>49</v>
      </c>
      <c r="F446" s="7" t="s">
        <v>50</v>
      </c>
      <c r="G446" s="7" t="s">
        <v>51</v>
      </c>
      <c r="H446" s="7" t="s">
        <v>52</v>
      </c>
      <c r="I446" s="7" t="s">
        <v>27</v>
      </c>
      <c r="J446" s="7" t="s">
        <v>28</v>
      </c>
      <c r="K446" s="7" t="s">
        <v>178</v>
      </c>
      <c r="L446" s="7" t="s">
        <v>256</v>
      </c>
      <c r="M446" s="7" t="s">
        <v>43</v>
      </c>
      <c r="N446" s="7" t="s">
        <v>84</v>
      </c>
      <c r="O446" s="7">
        <v>78</v>
      </c>
      <c r="P446" s="7">
        <v>26.99</v>
      </c>
      <c r="Q446" s="7">
        <v>12.69</v>
      </c>
      <c r="R446" s="7">
        <v>2105.36</v>
      </c>
      <c r="S446" s="7">
        <v>0</v>
      </c>
      <c r="T446" s="7">
        <v>0</v>
      </c>
      <c r="U446" s="7">
        <v>2105.36</v>
      </c>
      <c r="V446" s="7">
        <v>989.78</v>
      </c>
      <c r="W446" s="7">
        <v>1115.58</v>
      </c>
      <c r="X446" s="7" t="s">
        <v>32</v>
      </c>
    </row>
    <row r="447" spans="1:24" x14ac:dyDescent="0.25">
      <c r="A447" s="16" t="s">
        <v>865</v>
      </c>
      <c r="B447" s="17">
        <v>45375</v>
      </c>
      <c r="C447" s="6" t="s">
        <v>866</v>
      </c>
      <c r="D447" s="6" t="s">
        <v>156</v>
      </c>
      <c r="E447" s="6" t="s">
        <v>150</v>
      </c>
      <c r="F447" s="6" t="s">
        <v>151</v>
      </c>
      <c r="G447" s="6" t="s">
        <v>101</v>
      </c>
      <c r="H447" s="6" t="s">
        <v>134</v>
      </c>
      <c r="I447" s="6" t="s">
        <v>53</v>
      </c>
      <c r="J447" s="6" t="s">
        <v>232</v>
      </c>
      <c r="K447" s="6" t="s">
        <v>218</v>
      </c>
      <c r="L447" s="6" t="s">
        <v>2674</v>
      </c>
      <c r="M447" s="6" t="s">
        <v>43</v>
      </c>
      <c r="N447" s="6" t="s">
        <v>70</v>
      </c>
      <c r="O447" s="6">
        <v>47</v>
      </c>
      <c r="P447" s="6">
        <v>79.34</v>
      </c>
      <c r="Q447" s="6">
        <v>47.08</v>
      </c>
      <c r="R447" s="6">
        <v>3728.81</v>
      </c>
      <c r="S447" s="6">
        <v>0</v>
      </c>
      <c r="T447" s="6">
        <v>0</v>
      </c>
      <c r="U447" s="6">
        <v>3728.81</v>
      </c>
      <c r="V447" s="6">
        <v>2212.58</v>
      </c>
      <c r="W447" s="6">
        <v>1516.23</v>
      </c>
      <c r="X447" s="6" t="s">
        <v>45</v>
      </c>
    </row>
    <row r="448" spans="1:24" x14ac:dyDescent="0.25">
      <c r="A448" s="5" t="s">
        <v>867</v>
      </c>
      <c r="B448" s="18">
        <v>45539</v>
      </c>
      <c r="C448" s="7" t="s">
        <v>785</v>
      </c>
      <c r="D448" s="7" t="s">
        <v>264</v>
      </c>
      <c r="E448" s="7" t="s">
        <v>150</v>
      </c>
      <c r="F448" s="7" t="s">
        <v>151</v>
      </c>
      <c r="G448" s="7" t="s">
        <v>101</v>
      </c>
      <c r="H448" s="7" t="s">
        <v>134</v>
      </c>
      <c r="I448" s="7" t="s">
        <v>88</v>
      </c>
      <c r="J448" s="7" t="s">
        <v>89</v>
      </c>
      <c r="K448" s="7" t="s">
        <v>74</v>
      </c>
      <c r="L448" s="7" t="s">
        <v>2664</v>
      </c>
      <c r="M448" s="7" t="s">
        <v>153</v>
      </c>
      <c r="N448" s="7" t="s">
        <v>70</v>
      </c>
      <c r="O448" s="7">
        <v>36</v>
      </c>
      <c r="P448" s="7">
        <v>84.96</v>
      </c>
      <c r="Q448" s="7">
        <v>49.38</v>
      </c>
      <c r="R448" s="7">
        <v>3058.65</v>
      </c>
      <c r="S448" s="7">
        <v>0.2</v>
      </c>
      <c r="T448" s="7">
        <v>611.73</v>
      </c>
      <c r="U448" s="7">
        <v>2446.92</v>
      </c>
      <c r="V448" s="7">
        <v>1777.51</v>
      </c>
      <c r="W448" s="7">
        <v>669.42</v>
      </c>
      <c r="X448" s="7" t="s">
        <v>45</v>
      </c>
    </row>
    <row r="449" spans="1:24" x14ac:dyDescent="0.25">
      <c r="A449" s="16" t="s">
        <v>868</v>
      </c>
      <c r="B449" s="17">
        <v>45298</v>
      </c>
      <c r="C449" s="6" t="s">
        <v>449</v>
      </c>
      <c r="D449" s="6" t="s">
        <v>65</v>
      </c>
      <c r="E449" s="6" t="s">
        <v>78</v>
      </c>
      <c r="F449" s="6" t="s">
        <v>79</v>
      </c>
      <c r="G449" s="6" t="s">
        <v>80</v>
      </c>
      <c r="H449" s="6" t="s">
        <v>81</v>
      </c>
      <c r="I449" s="6" t="s">
        <v>27</v>
      </c>
      <c r="J449" s="6" t="s">
        <v>211</v>
      </c>
      <c r="K449" s="6" t="s">
        <v>42</v>
      </c>
      <c r="L449" s="6" t="s">
        <v>2661</v>
      </c>
      <c r="M449" s="6" t="s">
        <v>30</v>
      </c>
      <c r="N449" s="6" t="s">
        <v>31</v>
      </c>
      <c r="O449" s="6">
        <v>21</v>
      </c>
      <c r="P449" s="6">
        <v>135.51</v>
      </c>
      <c r="Q449" s="6">
        <v>80.150000000000006</v>
      </c>
      <c r="R449" s="6">
        <v>2845.64</v>
      </c>
      <c r="S449" s="6">
        <v>0.05</v>
      </c>
      <c r="T449" s="6">
        <v>142.28</v>
      </c>
      <c r="U449" s="6">
        <v>2703.35</v>
      </c>
      <c r="V449" s="6">
        <v>1683.07</v>
      </c>
      <c r="W449" s="6">
        <v>1020.28</v>
      </c>
      <c r="X449" s="6" t="s">
        <v>45</v>
      </c>
    </row>
    <row r="450" spans="1:24" x14ac:dyDescent="0.25">
      <c r="A450" s="5" t="s">
        <v>869</v>
      </c>
      <c r="B450" s="18">
        <v>45456</v>
      </c>
      <c r="C450" s="7" t="s">
        <v>559</v>
      </c>
      <c r="D450" s="7" t="s">
        <v>221</v>
      </c>
      <c r="E450" s="7" t="s">
        <v>132</v>
      </c>
      <c r="F450" s="7" t="s">
        <v>133</v>
      </c>
      <c r="G450" s="7" t="s">
        <v>51</v>
      </c>
      <c r="H450" s="7" t="s">
        <v>134</v>
      </c>
      <c r="I450" s="7" t="s">
        <v>88</v>
      </c>
      <c r="J450" s="7" t="s">
        <v>183</v>
      </c>
      <c r="K450" s="7" t="s">
        <v>184</v>
      </c>
      <c r="L450" s="7" t="s">
        <v>2672</v>
      </c>
      <c r="M450" s="7" t="s">
        <v>153</v>
      </c>
      <c r="N450" s="7" t="s">
        <v>75</v>
      </c>
      <c r="O450" s="7">
        <v>78</v>
      </c>
      <c r="P450" s="7">
        <v>64.680000000000007</v>
      </c>
      <c r="Q450" s="7">
        <v>32.1</v>
      </c>
      <c r="R450" s="7">
        <v>5044.87</v>
      </c>
      <c r="S450" s="7">
        <v>0.2</v>
      </c>
      <c r="T450" s="7">
        <v>1008.97</v>
      </c>
      <c r="U450" s="7">
        <v>4035.9</v>
      </c>
      <c r="V450" s="7">
        <v>2503.66</v>
      </c>
      <c r="W450" s="7">
        <v>1532.23</v>
      </c>
      <c r="X450" s="7" t="s">
        <v>45</v>
      </c>
    </row>
    <row r="451" spans="1:24" x14ac:dyDescent="0.25">
      <c r="A451" s="16" t="s">
        <v>870</v>
      </c>
      <c r="B451" s="17">
        <v>45331</v>
      </c>
      <c r="C451" s="6" t="s">
        <v>320</v>
      </c>
      <c r="D451" s="6" t="s">
        <v>264</v>
      </c>
      <c r="E451" s="6" t="s">
        <v>250</v>
      </c>
      <c r="F451" s="6" t="s">
        <v>251</v>
      </c>
      <c r="G451" s="6" t="s">
        <v>51</v>
      </c>
      <c r="H451" s="6" t="s">
        <v>252</v>
      </c>
      <c r="I451" s="6" t="s">
        <v>58</v>
      </c>
      <c r="J451" s="6" t="s">
        <v>73</v>
      </c>
      <c r="K451" s="6" t="s">
        <v>83</v>
      </c>
      <c r="L451" s="6" t="s">
        <v>2665</v>
      </c>
      <c r="M451" s="6" t="s">
        <v>153</v>
      </c>
      <c r="N451" s="6" t="s">
        <v>44</v>
      </c>
      <c r="O451" s="6">
        <v>37</v>
      </c>
      <c r="P451" s="6">
        <v>63.07</v>
      </c>
      <c r="Q451" s="6">
        <v>38.049999999999997</v>
      </c>
      <c r="R451" s="6">
        <v>2333.56</v>
      </c>
      <c r="S451" s="6">
        <v>0.02</v>
      </c>
      <c r="T451" s="6">
        <v>46.67</v>
      </c>
      <c r="U451" s="6">
        <v>2286.89</v>
      </c>
      <c r="V451" s="6">
        <v>1407.93</v>
      </c>
      <c r="W451" s="6">
        <v>878.96</v>
      </c>
      <c r="X451" s="6" t="s">
        <v>45</v>
      </c>
    </row>
    <row r="452" spans="1:24" x14ac:dyDescent="0.25">
      <c r="A452" s="5" t="s">
        <v>871</v>
      </c>
      <c r="B452" s="18">
        <v>45367</v>
      </c>
      <c r="C452" s="7" t="s">
        <v>354</v>
      </c>
      <c r="D452" s="7" t="s">
        <v>163</v>
      </c>
      <c r="E452" s="7" t="s">
        <v>176</v>
      </c>
      <c r="F452" s="7" t="s">
        <v>177</v>
      </c>
      <c r="G452" s="7" t="s">
        <v>101</v>
      </c>
      <c r="H452" s="7" t="s">
        <v>39</v>
      </c>
      <c r="I452" s="7" t="s">
        <v>88</v>
      </c>
      <c r="J452" s="7" t="s">
        <v>135</v>
      </c>
      <c r="K452" s="7" t="s">
        <v>90</v>
      </c>
      <c r="L452" s="7" t="s">
        <v>2666</v>
      </c>
      <c r="M452" s="7" t="s">
        <v>61</v>
      </c>
      <c r="N452" s="7" t="s">
        <v>70</v>
      </c>
      <c r="O452" s="7">
        <v>32</v>
      </c>
      <c r="P452" s="7">
        <v>111.02</v>
      </c>
      <c r="Q452" s="7">
        <v>62.28</v>
      </c>
      <c r="R452" s="7">
        <v>3552.68</v>
      </c>
      <c r="S452" s="7">
        <v>1.1000000000000001</v>
      </c>
      <c r="T452" s="7">
        <v>0</v>
      </c>
      <c r="U452" s="7">
        <v>3552.68</v>
      </c>
      <c r="V452" s="7">
        <v>1993.1</v>
      </c>
      <c r="W452" s="7">
        <v>1559.59</v>
      </c>
      <c r="X452" s="7" t="s">
        <v>45</v>
      </c>
    </row>
    <row r="453" spans="1:24" x14ac:dyDescent="0.25">
      <c r="A453" s="16" t="s">
        <v>872</v>
      </c>
      <c r="B453" s="17">
        <v>45509</v>
      </c>
      <c r="C453" s="6" t="s">
        <v>146</v>
      </c>
      <c r="D453" s="6" t="s">
        <v>105</v>
      </c>
      <c r="E453" s="6" t="s">
        <v>78</v>
      </c>
      <c r="F453" s="6" t="s">
        <v>79</v>
      </c>
      <c r="G453" s="6" t="s">
        <v>80</v>
      </c>
      <c r="H453" s="6" t="s">
        <v>81</v>
      </c>
      <c r="I453" s="6" t="s">
        <v>88</v>
      </c>
      <c r="J453" s="6" t="s">
        <v>135</v>
      </c>
      <c r="K453" s="6" t="s">
        <v>29</v>
      </c>
      <c r="L453" s="6" t="s">
        <v>2660</v>
      </c>
      <c r="M453" s="6" t="s">
        <v>30</v>
      </c>
      <c r="N453" s="6" t="s">
        <v>84</v>
      </c>
      <c r="O453" s="6">
        <v>27</v>
      </c>
      <c r="P453" s="6">
        <v>140.41999999999999</v>
      </c>
      <c r="Q453" s="6">
        <v>76.06</v>
      </c>
      <c r="R453" s="6">
        <v>3791.44</v>
      </c>
      <c r="S453" s="6"/>
      <c r="T453" s="6">
        <v>379.14</v>
      </c>
      <c r="U453" s="6">
        <v>3412.3</v>
      </c>
      <c r="V453" s="6">
        <v>2053.52</v>
      </c>
      <c r="W453" s="6">
        <v>1358.78</v>
      </c>
      <c r="X453" s="6" t="s">
        <v>45</v>
      </c>
    </row>
    <row r="454" spans="1:24" x14ac:dyDescent="0.25">
      <c r="A454" s="5" t="s">
        <v>873</v>
      </c>
      <c r="B454" s="18">
        <v>45619</v>
      </c>
      <c r="C454" s="7" t="s">
        <v>874</v>
      </c>
      <c r="D454" s="7" t="s">
        <v>159</v>
      </c>
      <c r="E454" s="7" t="s">
        <v>222</v>
      </c>
      <c r="F454" s="7" t="s">
        <v>223</v>
      </c>
      <c r="G454" s="7" t="s">
        <v>101</v>
      </c>
      <c r="H454" s="7" t="s">
        <v>68</v>
      </c>
      <c r="I454" s="7" t="s">
        <v>27</v>
      </c>
      <c r="J454" s="7" t="s">
        <v>211</v>
      </c>
      <c r="K454" s="7" t="s">
        <v>253</v>
      </c>
      <c r="L454" s="7" t="s">
        <v>2676</v>
      </c>
      <c r="M454" s="7" t="s">
        <v>30</v>
      </c>
      <c r="N454" s="7" t="s">
        <v>44</v>
      </c>
      <c r="O454" s="7">
        <v>35</v>
      </c>
      <c r="P454" s="7">
        <v>127.69</v>
      </c>
      <c r="Q454" s="7">
        <v>77.02</v>
      </c>
      <c r="R454" s="7">
        <v>4469.2700000000004</v>
      </c>
      <c r="S454" s="7">
        <v>0.1</v>
      </c>
      <c r="T454" s="7">
        <v>446.93</v>
      </c>
      <c r="U454" s="7">
        <v>4022.34</v>
      </c>
      <c r="V454" s="7">
        <v>2695.81</v>
      </c>
      <c r="W454" s="7">
        <v>1326.54</v>
      </c>
      <c r="X454" s="7" t="s">
        <v>45</v>
      </c>
    </row>
    <row r="455" spans="1:24" x14ac:dyDescent="0.25">
      <c r="A455" s="16" t="s">
        <v>875</v>
      </c>
      <c r="B455" s="17">
        <v>45600</v>
      </c>
      <c r="C455" s="6" t="s">
        <v>832</v>
      </c>
      <c r="D455" s="6" t="s">
        <v>159</v>
      </c>
      <c r="E455" s="6" t="s">
        <v>222</v>
      </c>
      <c r="F455" s="6" t="s">
        <v>223</v>
      </c>
      <c r="G455" s="6" t="s">
        <v>101</v>
      </c>
      <c r="H455" s="6" t="s">
        <v>68</v>
      </c>
      <c r="I455" s="6" t="s">
        <v>27</v>
      </c>
      <c r="J455" s="6" t="s">
        <v>28</v>
      </c>
      <c r="K455" s="6" t="s">
        <v>184</v>
      </c>
      <c r="L455" s="6" t="s">
        <v>2672</v>
      </c>
      <c r="M455" s="6" t="s">
        <v>43</v>
      </c>
      <c r="N455" s="6" t="s">
        <v>84</v>
      </c>
      <c r="O455" s="6">
        <v>29</v>
      </c>
      <c r="P455" s="6">
        <v>112.35</v>
      </c>
      <c r="Q455" s="6">
        <v>73.67</v>
      </c>
      <c r="R455" s="6">
        <v>3258.27</v>
      </c>
      <c r="S455" s="6">
        <v>0</v>
      </c>
      <c r="T455" s="6">
        <v>0</v>
      </c>
      <c r="U455" s="6">
        <v>3258.27</v>
      </c>
      <c r="V455" s="6">
        <v>2136.36</v>
      </c>
      <c r="W455" s="6">
        <v>1121.9100000000001</v>
      </c>
      <c r="X455" s="6" t="s">
        <v>32</v>
      </c>
    </row>
    <row r="456" spans="1:24" x14ac:dyDescent="0.25">
      <c r="A456" s="5" t="s">
        <v>876</v>
      </c>
      <c r="B456" s="18">
        <v>45586</v>
      </c>
      <c r="C456" s="7" t="s">
        <v>468</v>
      </c>
      <c r="D456" s="7" t="s">
        <v>65</v>
      </c>
      <c r="E456" s="7" t="s">
        <v>36</v>
      </c>
      <c r="F456" s="7" t="s">
        <v>37</v>
      </c>
      <c r="G456" s="7" t="s">
        <v>38</v>
      </c>
      <c r="H456" s="7" t="s">
        <v>39</v>
      </c>
      <c r="I456" s="7" t="s">
        <v>40</v>
      </c>
      <c r="J456" s="7" t="s">
        <v>41</v>
      </c>
      <c r="K456" s="7" t="s">
        <v>29</v>
      </c>
      <c r="L456" s="7" t="s">
        <v>2660</v>
      </c>
      <c r="M456" s="7" t="s">
        <v>153</v>
      </c>
      <c r="N456" s="7" t="s">
        <v>31</v>
      </c>
      <c r="O456" s="7">
        <v>36</v>
      </c>
      <c r="P456" s="7">
        <v>161.63</v>
      </c>
      <c r="Q456" s="7">
        <v>92.17</v>
      </c>
      <c r="R456" s="7">
        <v>5818.86</v>
      </c>
      <c r="S456" s="7">
        <v>0</v>
      </c>
      <c r="T456" s="7">
        <v>0</v>
      </c>
      <c r="U456" s="7">
        <v>5818.86</v>
      </c>
      <c r="V456" s="7">
        <v>3318.06</v>
      </c>
      <c r="W456" s="7">
        <v>2500.79</v>
      </c>
      <c r="X456" s="7" t="s">
        <v>32</v>
      </c>
    </row>
    <row r="457" spans="1:24" x14ac:dyDescent="0.25">
      <c r="A457" s="16" t="s">
        <v>877</v>
      </c>
      <c r="B457" s="17">
        <v>45628</v>
      </c>
      <c r="C457" s="6" t="s">
        <v>878</v>
      </c>
      <c r="D457" s="6" t="s">
        <v>65</v>
      </c>
      <c r="E457" s="6" t="s">
        <v>132</v>
      </c>
      <c r="F457" s="6" t="s">
        <v>133</v>
      </c>
      <c r="G457" s="6" t="s">
        <v>51</v>
      </c>
      <c r="H457" s="6" t="s">
        <v>134</v>
      </c>
      <c r="I457" s="6" t="s">
        <v>88</v>
      </c>
      <c r="J457" s="6" t="s">
        <v>135</v>
      </c>
      <c r="K457" s="6" t="s">
        <v>144</v>
      </c>
      <c r="L457" s="6" t="s">
        <v>2669</v>
      </c>
      <c r="M457" s="6" t="s">
        <v>153</v>
      </c>
      <c r="N457" s="6" t="s">
        <v>84</v>
      </c>
      <c r="O457" s="6">
        <v>73</v>
      </c>
      <c r="P457" s="6">
        <v>64.489999999999995</v>
      </c>
      <c r="Q457" s="6">
        <v>32.29</v>
      </c>
      <c r="R457" s="6">
        <v>4708.1099999999997</v>
      </c>
      <c r="S457" s="6">
        <v>0.02</v>
      </c>
      <c r="T457" s="6">
        <v>94.16</v>
      </c>
      <c r="U457" s="6">
        <v>4613.95</v>
      </c>
      <c r="V457" s="6">
        <v>2357.12</v>
      </c>
      <c r="W457" s="6">
        <v>2256.83</v>
      </c>
      <c r="X457" s="6" t="s">
        <v>45</v>
      </c>
    </row>
    <row r="458" spans="1:24" x14ac:dyDescent="0.25">
      <c r="A458" s="5" t="s">
        <v>879</v>
      </c>
      <c r="B458" s="18">
        <v>45613</v>
      </c>
      <c r="C458" s="7" t="s">
        <v>378</v>
      </c>
      <c r="D458" s="7" t="s">
        <v>833</v>
      </c>
      <c r="E458" s="7" t="s">
        <v>150</v>
      </c>
      <c r="F458" s="7" t="s">
        <v>151</v>
      </c>
      <c r="G458" s="7" t="s">
        <v>101</v>
      </c>
      <c r="H458" s="7" t="s">
        <v>134</v>
      </c>
      <c r="I458" s="7" t="s">
        <v>27</v>
      </c>
      <c r="J458" s="7" t="s">
        <v>189</v>
      </c>
      <c r="K458" s="7" t="s">
        <v>261</v>
      </c>
      <c r="L458" s="7" t="s">
        <v>2677</v>
      </c>
      <c r="M458" s="7" t="s">
        <v>61</v>
      </c>
      <c r="N458" s="7" t="s">
        <v>75</v>
      </c>
      <c r="O458" s="7">
        <v>74</v>
      </c>
      <c r="P458" s="7">
        <v>83.23</v>
      </c>
      <c r="Q458" s="7">
        <v>50.71</v>
      </c>
      <c r="R458" s="7">
        <v>6158.74</v>
      </c>
      <c r="S458" s="7">
        <v>0</v>
      </c>
      <c r="T458" s="7">
        <v>0</v>
      </c>
      <c r="U458" s="7">
        <v>6158.74</v>
      </c>
      <c r="V458" s="7">
        <v>3752.41</v>
      </c>
      <c r="W458" s="7">
        <v>2406.33</v>
      </c>
      <c r="X458" s="7" t="s">
        <v>45</v>
      </c>
    </row>
    <row r="459" spans="1:24" x14ac:dyDescent="0.25">
      <c r="A459" s="16" t="s">
        <v>880</v>
      </c>
      <c r="B459" s="17">
        <v>45609</v>
      </c>
      <c r="C459" s="6" t="s">
        <v>649</v>
      </c>
      <c r="D459" s="6" t="s">
        <v>87</v>
      </c>
      <c r="E459" s="6" t="s">
        <v>216</v>
      </c>
      <c r="F459" s="6" t="s">
        <v>217</v>
      </c>
      <c r="G459" s="6" t="s">
        <v>38</v>
      </c>
      <c r="H459" s="6" t="s">
        <v>134</v>
      </c>
      <c r="I459" s="6" t="s">
        <v>27</v>
      </c>
      <c r="J459" s="6" t="s">
        <v>189</v>
      </c>
      <c r="K459" s="6" t="s">
        <v>69</v>
      </c>
      <c r="L459" s="6" t="s">
        <v>2663</v>
      </c>
      <c r="M459" s="6" t="s">
        <v>43</v>
      </c>
      <c r="N459" s="6" t="s">
        <v>70</v>
      </c>
      <c r="O459" s="6">
        <v>12</v>
      </c>
      <c r="P459" s="6">
        <v>116.41</v>
      </c>
      <c r="Q459" s="6">
        <v>66.709999999999994</v>
      </c>
      <c r="R459" s="6">
        <v>1396.95</v>
      </c>
      <c r="S459" s="6">
        <v>0</v>
      </c>
      <c r="T459" s="6">
        <v>0</v>
      </c>
      <c r="U459" s="6">
        <v>1396.95</v>
      </c>
      <c r="V459" s="6">
        <v>800.55</v>
      </c>
      <c r="W459" s="6">
        <v>596.4</v>
      </c>
      <c r="X459" s="6" t="s">
        <v>45</v>
      </c>
    </row>
    <row r="460" spans="1:24" x14ac:dyDescent="0.25">
      <c r="A460" s="5" t="s">
        <v>881</v>
      </c>
      <c r="B460" s="18">
        <v>45386</v>
      </c>
      <c r="C460" s="7" t="s">
        <v>428</v>
      </c>
      <c r="D460" s="7" t="s">
        <v>57</v>
      </c>
      <c r="E460" s="7" t="s">
        <v>126</v>
      </c>
      <c r="F460" s="7" t="s">
        <v>127</v>
      </c>
      <c r="G460" s="7" t="s">
        <v>95</v>
      </c>
      <c r="H460" s="7" t="s">
        <v>128</v>
      </c>
      <c r="I460" s="7" t="s">
        <v>40</v>
      </c>
      <c r="J460" s="7" t="s">
        <v>289</v>
      </c>
      <c r="K460" s="7" t="s">
        <v>144</v>
      </c>
      <c r="L460" s="7" t="s">
        <v>2669</v>
      </c>
      <c r="M460" s="7" t="s">
        <v>61</v>
      </c>
      <c r="N460" s="7" t="s">
        <v>75</v>
      </c>
      <c r="O460" s="7">
        <v>75</v>
      </c>
      <c r="P460" s="7">
        <v>93.33</v>
      </c>
      <c r="Q460" s="7">
        <v>55.75</v>
      </c>
      <c r="R460" s="7">
        <v>7000.02</v>
      </c>
      <c r="S460" s="7">
        <v>0</v>
      </c>
      <c r="T460" s="7">
        <v>0</v>
      </c>
      <c r="U460" s="7">
        <v>7000.02</v>
      </c>
      <c r="V460" s="7">
        <v>4181.3599999999997</v>
      </c>
      <c r="W460" s="7">
        <v>2818.65</v>
      </c>
      <c r="X460" s="7" t="s">
        <v>550</v>
      </c>
    </row>
    <row r="461" spans="1:24" x14ac:dyDescent="0.25">
      <c r="A461" s="16" t="s">
        <v>882</v>
      </c>
      <c r="B461" s="17">
        <v>45605</v>
      </c>
      <c r="C461" s="6" t="s">
        <v>449</v>
      </c>
      <c r="D461" s="6" t="s">
        <v>65</v>
      </c>
      <c r="E461" s="6" t="s">
        <v>78</v>
      </c>
      <c r="F461" s="6" t="s">
        <v>79</v>
      </c>
      <c r="G461" s="6" t="s">
        <v>80</v>
      </c>
      <c r="H461" s="6" t="s">
        <v>81</v>
      </c>
      <c r="I461" s="6" t="s">
        <v>27</v>
      </c>
      <c r="J461" s="6" t="s">
        <v>883</v>
      </c>
      <c r="K461" s="6" t="s">
        <v>218</v>
      </c>
      <c r="L461" s="6" t="s">
        <v>2674</v>
      </c>
      <c r="M461" s="6" t="s">
        <v>43</v>
      </c>
      <c r="N461" s="6" t="s">
        <v>84</v>
      </c>
      <c r="O461" s="6">
        <v>66</v>
      </c>
      <c r="P461" s="6">
        <v>136.55000000000001</v>
      </c>
      <c r="Q461" s="6">
        <v>83.59</v>
      </c>
      <c r="R461" s="6">
        <v>9012.15</v>
      </c>
      <c r="S461" s="6">
        <v>0.1</v>
      </c>
      <c r="T461" s="6">
        <v>901.22</v>
      </c>
      <c r="U461" s="6">
        <v>8110.94</v>
      </c>
      <c r="V461" s="6">
        <v>5516.7</v>
      </c>
      <c r="W461" s="6">
        <v>2594.23</v>
      </c>
      <c r="X461" s="6" t="s">
        <v>32</v>
      </c>
    </row>
    <row r="462" spans="1:24" x14ac:dyDescent="0.25">
      <c r="A462" s="5" t="s">
        <v>884</v>
      </c>
      <c r="B462" s="18">
        <v>45595</v>
      </c>
      <c r="C462" s="7" t="s">
        <v>428</v>
      </c>
      <c r="D462" s="7" t="s">
        <v>57</v>
      </c>
      <c r="E462" s="7" t="s">
        <v>66</v>
      </c>
      <c r="F462" s="7" t="s">
        <v>67</v>
      </c>
      <c r="G462" s="7" t="s">
        <v>38</v>
      </c>
      <c r="H462" s="7" t="s">
        <v>68</v>
      </c>
      <c r="I462" s="7" t="s">
        <v>40</v>
      </c>
      <c r="J462" s="7" t="s">
        <v>289</v>
      </c>
      <c r="K462" s="7" t="s">
        <v>178</v>
      </c>
      <c r="L462" s="7" t="s">
        <v>256</v>
      </c>
      <c r="M462" s="7" t="s">
        <v>61</v>
      </c>
      <c r="N462" s="7" t="s">
        <v>70</v>
      </c>
      <c r="O462" s="7">
        <v>56</v>
      </c>
      <c r="P462" s="7">
        <v>162.31</v>
      </c>
      <c r="Q462" s="7">
        <v>104.14</v>
      </c>
      <c r="R462" s="7">
        <v>9089.52</v>
      </c>
      <c r="S462" s="7">
        <v>0.02</v>
      </c>
      <c r="T462" s="7">
        <v>181.79</v>
      </c>
      <c r="U462" s="7">
        <v>8907.73</v>
      </c>
      <c r="V462" s="7">
        <v>5831.79</v>
      </c>
      <c r="W462" s="7">
        <v>3075.94</v>
      </c>
      <c r="X462" s="7" t="s">
        <v>45</v>
      </c>
    </row>
    <row r="463" spans="1:24" x14ac:dyDescent="0.25">
      <c r="A463" s="16" t="s">
        <v>885</v>
      </c>
      <c r="B463" s="17">
        <v>45552</v>
      </c>
      <c r="C463" s="6" t="s">
        <v>258</v>
      </c>
      <c r="D463" s="6" t="s">
        <v>259</v>
      </c>
      <c r="E463" s="6" t="s">
        <v>222</v>
      </c>
      <c r="F463" s="6" t="s">
        <v>223</v>
      </c>
      <c r="G463" s="6" t="s">
        <v>101</v>
      </c>
      <c r="H463" s="6" t="s">
        <v>68</v>
      </c>
      <c r="I463" s="6" t="s">
        <v>88</v>
      </c>
      <c r="J463" s="6" t="s">
        <v>135</v>
      </c>
      <c r="K463" s="6" t="s">
        <v>178</v>
      </c>
      <c r="L463" s="6" t="s">
        <v>256</v>
      </c>
      <c r="M463" s="6" t="s">
        <v>153</v>
      </c>
      <c r="N463" s="6" t="s">
        <v>70</v>
      </c>
      <c r="O463" s="6">
        <v>50</v>
      </c>
      <c r="P463" s="6">
        <v>115.38</v>
      </c>
      <c r="Q463" s="6">
        <v>77.12</v>
      </c>
      <c r="R463" s="6">
        <v>5768.92</v>
      </c>
      <c r="S463" s="6">
        <v>0.15</v>
      </c>
      <c r="T463" s="6">
        <v>865.34</v>
      </c>
      <c r="U463" s="6">
        <v>4903.59</v>
      </c>
      <c r="V463" s="6">
        <v>3856.11</v>
      </c>
      <c r="W463" s="6">
        <v>1047.48</v>
      </c>
      <c r="X463" s="6" t="s">
        <v>45</v>
      </c>
    </row>
    <row r="464" spans="1:24" x14ac:dyDescent="0.25">
      <c r="A464" s="5" t="s">
        <v>886</v>
      </c>
      <c r="B464" s="18">
        <v>45377</v>
      </c>
      <c r="C464" s="7" t="s">
        <v>108</v>
      </c>
      <c r="D464" s="7" t="s">
        <v>105</v>
      </c>
      <c r="E464" s="7" t="s">
        <v>126</v>
      </c>
      <c r="F464" s="7" t="s">
        <v>127</v>
      </c>
      <c r="G464" s="7" t="s">
        <v>95</v>
      </c>
      <c r="H464" s="7" t="s">
        <v>128</v>
      </c>
      <c r="I464" s="7" t="s">
        <v>58</v>
      </c>
      <c r="J464" s="7" t="s">
        <v>59</v>
      </c>
      <c r="K464" s="7" t="s">
        <v>74</v>
      </c>
      <c r="L464" s="7" t="s">
        <v>2664</v>
      </c>
      <c r="M464" s="7" t="s">
        <v>153</v>
      </c>
      <c r="N464" s="7" t="s">
        <v>84</v>
      </c>
      <c r="O464" s="7">
        <v>18</v>
      </c>
      <c r="P464" s="7">
        <v>86.81</v>
      </c>
      <c r="Q464" s="7">
        <v>55.53</v>
      </c>
      <c r="R464" s="7">
        <v>1562.55</v>
      </c>
      <c r="S464" s="7">
        <v>0.1</v>
      </c>
      <c r="T464" s="7">
        <v>156.26</v>
      </c>
      <c r="U464" s="7">
        <v>1406.3</v>
      </c>
      <c r="V464" s="7">
        <v>999.53</v>
      </c>
      <c r="W464" s="7">
        <v>406.77</v>
      </c>
      <c r="X464" s="7" t="s">
        <v>32</v>
      </c>
    </row>
    <row r="465" spans="1:24" x14ac:dyDescent="0.25">
      <c r="A465" s="16" t="s">
        <v>887</v>
      </c>
      <c r="B465" s="17">
        <v>45522</v>
      </c>
      <c r="C465" s="6" t="s">
        <v>888</v>
      </c>
      <c r="D465" s="6" t="s">
        <v>159</v>
      </c>
      <c r="E465" s="6" t="s">
        <v>187</v>
      </c>
      <c r="F465" s="6" t="s">
        <v>188</v>
      </c>
      <c r="G465" s="6" t="s">
        <v>25</v>
      </c>
      <c r="H465" s="6" t="s">
        <v>26</v>
      </c>
      <c r="I465" s="6" t="s">
        <v>53</v>
      </c>
      <c r="J465" s="6" t="s">
        <v>122</v>
      </c>
      <c r="K465" s="6" t="s">
        <v>170</v>
      </c>
      <c r="L465" s="6" t="s">
        <v>2671</v>
      </c>
      <c r="M465" s="6" t="s">
        <v>30</v>
      </c>
      <c r="N465" s="6" t="s">
        <v>70</v>
      </c>
      <c r="O465" s="6">
        <v>52</v>
      </c>
      <c r="P465" s="6">
        <v>45.77</v>
      </c>
      <c r="Q465" s="6">
        <v>30.85</v>
      </c>
      <c r="R465" s="6">
        <v>2380.15</v>
      </c>
      <c r="S465" s="6">
        <v>0.1</v>
      </c>
      <c r="T465" s="6">
        <v>238.01</v>
      </c>
      <c r="U465" s="6">
        <v>2142.13</v>
      </c>
      <c r="V465" s="6">
        <v>1604.04</v>
      </c>
      <c r="W465" s="6">
        <v>538.09</v>
      </c>
      <c r="X465" s="6" t="s">
        <v>32</v>
      </c>
    </row>
    <row r="466" spans="1:24" x14ac:dyDescent="0.25">
      <c r="A466" s="5" t="s">
        <v>889</v>
      </c>
      <c r="B466" s="18">
        <v>45514</v>
      </c>
      <c r="C466" s="7" t="s">
        <v>664</v>
      </c>
      <c r="D466" s="7" t="s">
        <v>125</v>
      </c>
      <c r="E466" s="7" t="s">
        <v>141</v>
      </c>
      <c r="F466" s="7" t="s">
        <v>142</v>
      </c>
      <c r="G466" s="7" t="s">
        <v>25</v>
      </c>
      <c r="H466" s="7" t="s">
        <v>26</v>
      </c>
      <c r="I466" s="7" t="s">
        <v>88</v>
      </c>
      <c r="J466" s="7" t="s">
        <v>135</v>
      </c>
      <c r="K466" s="7" t="s">
        <v>195</v>
      </c>
      <c r="L466" s="7" t="s">
        <v>2673</v>
      </c>
      <c r="M466" s="7" t="s">
        <v>61</v>
      </c>
      <c r="N466" s="7" t="s">
        <v>70</v>
      </c>
      <c r="O466" s="7">
        <v>73</v>
      </c>
      <c r="P466" s="7">
        <v>97.02</v>
      </c>
      <c r="Q466" s="7">
        <v>62.01</v>
      </c>
      <c r="R466" s="7">
        <v>7082.16</v>
      </c>
      <c r="S466" s="7">
        <v>0.05</v>
      </c>
      <c r="T466" s="7">
        <v>354.11</v>
      </c>
      <c r="U466" s="7">
        <v>6728.05</v>
      </c>
      <c r="V466" s="7">
        <v>4526.67</v>
      </c>
      <c r="W466" s="7">
        <v>2201.38</v>
      </c>
      <c r="X466" s="7" t="s">
        <v>129</v>
      </c>
    </row>
    <row r="467" spans="1:24" x14ac:dyDescent="0.25">
      <c r="A467" s="16" t="s">
        <v>890</v>
      </c>
      <c r="B467" s="17">
        <v>45586</v>
      </c>
      <c r="C467" s="6" t="s">
        <v>891</v>
      </c>
      <c r="D467" s="6" t="s">
        <v>156</v>
      </c>
      <c r="E467" s="6" t="s">
        <v>150</v>
      </c>
      <c r="F467" s="6" t="s">
        <v>151</v>
      </c>
      <c r="G467" s="6" t="s">
        <v>101</v>
      </c>
      <c r="H467" s="6" t="s">
        <v>134</v>
      </c>
      <c r="I467" s="6" t="s">
        <v>40</v>
      </c>
      <c r="J467" s="6" t="s">
        <v>41</v>
      </c>
      <c r="K467" s="6" t="s">
        <v>195</v>
      </c>
      <c r="L467" s="6" t="s">
        <v>2673</v>
      </c>
      <c r="M467" s="6" t="s">
        <v>30</v>
      </c>
      <c r="N467" s="6" t="s">
        <v>31</v>
      </c>
      <c r="O467" s="6">
        <v>30</v>
      </c>
      <c r="P467" s="6">
        <v>80.459999999999994</v>
      </c>
      <c r="Q467" s="6">
        <v>52.94</v>
      </c>
      <c r="R467" s="6">
        <v>2413.84</v>
      </c>
      <c r="S467" s="6">
        <v>0</v>
      </c>
      <c r="T467" s="6">
        <v>0</v>
      </c>
      <c r="U467" s="6">
        <v>2413.84</v>
      </c>
      <c r="V467" s="6">
        <v>1588.27</v>
      </c>
      <c r="W467" s="6">
        <v>825.57</v>
      </c>
      <c r="X467" s="6" t="s">
        <v>45</v>
      </c>
    </row>
    <row r="468" spans="1:24" x14ac:dyDescent="0.25">
      <c r="A468" s="5" t="s">
        <v>892</v>
      </c>
      <c r="B468" s="18">
        <v>45642</v>
      </c>
      <c r="C468" s="7" t="s">
        <v>893</v>
      </c>
      <c r="D468" s="7" t="s">
        <v>48</v>
      </c>
      <c r="E468" s="7" t="s">
        <v>141</v>
      </c>
      <c r="F468" s="7" t="s">
        <v>142</v>
      </c>
      <c r="G468" s="7" t="s">
        <v>25</v>
      </c>
      <c r="H468" s="7" t="s">
        <v>26</v>
      </c>
      <c r="I468" s="7" t="s">
        <v>27</v>
      </c>
      <c r="J468" s="7" t="s">
        <v>189</v>
      </c>
      <c r="K468" s="7" t="s">
        <v>253</v>
      </c>
      <c r="L468" s="7" t="s">
        <v>2676</v>
      </c>
      <c r="M468" s="7" t="s">
        <v>43</v>
      </c>
      <c r="N468" s="7" t="s">
        <v>44</v>
      </c>
      <c r="O468" s="7">
        <v>9</v>
      </c>
      <c r="P468" s="7">
        <v>93.37</v>
      </c>
      <c r="Q468" s="7">
        <v>60.36</v>
      </c>
      <c r="R468" s="7">
        <v>840.29</v>
      </c>
      <c r="S468" s="7">
        <v>0.1</v>
      </c>
      <c r="T468" s="7">
        <v>84.03</v>
      </c>
      <c r="U468" s="7">
        <v>756.26</v>
      </c>
      <c r="V468" s="7">
        <v>543.24</v>
      </c>
      <c r="W468" s="7">
        <v>213.02</v>
      </c>
      <c r="X468" s="7" t="s">
        <v>129</v>
      </c>
    </row>
    <row r="469" spans="1:24" x14ac:dyDescent="0.25">
      <c r="A469" s="16" t="s">
        <v>894</v>
      </c>
      <c r="B469" s="17">
        <v>45393</v>
      </c>
      <c r="C469" s="6" t="s">
        <v>785</v>
      </c>
      <c r="D469" s="6" t="s">
        <v>264</v>
      </c>
      <c r="E469" s="6" t="s">
        <v>126</v>
      </c>
      <c r="F469" s="6" t="s">
        <v>127</v>
      </c>
      <c r="G469" s="6" t="s">
        <v>95</v>
      </c>
      <c r="H469" s="6" t="s">
        <v>128</v>
      </c>
      <c r="I469" s="6" t="s">
        <v>27</v>
      </c>
      <c r="J469" s="6" t="s">
        <v>211</v>
      </c>
      <c r="K469" s="6" t="s">
        <v>69</v>
      </c>
      <c r="L469" s="6" t="s">
        <v>2663</v>
      </c>
      <c r="M469" s="6" t="s">
        <v>30</v>
      </c>
      <c r="N469" s="6" t="s">
        <v>84</v>
      </c>
      <c r="O469" s="6">
        <v>13</v>
      </c>
      <c r="P469" s="6">
        <v>87.35</v>
      </c>
      <c r="Q469" s="6">
        <v>49.62</v>
      </c>
      <c r="R469" s="6">
        <v>1135.6099999999999</v>
      </c>
      <c r="S469" s="6">
        <v>0.15</v>
      </c>
      <c r="T469" s="6">
        <v>170.34</v>
      </c>
      <c r="U469" s="6">
        <v>965.26</v>
      </c>
      <c r="V469" s="6">
        <v>645.11</v>
      </c>
      <c r="W469" s="6">
        <v>320.14999999999998</v>
      </c>
      <c r="X469" s="6" t="s">
        <v>32</v>
      </c>
    </row>
    <row r="470" spans="1:24" x14ac:dyDescent="0.25">
      <c r="A470" s="5" t="s">
        <v>895</v>
      </c>
      <c r="B470" s="18">
        <v>45608</v>
      </c>
      <c r="C470" s="7" t="s">
        <v>750</v>
      </c>
      <c r="D470" s="7" t="s">
        <v>121</v>
      </c>
      <c r="E470" s="7" t="s">
        <v>222</v>
      </c>
      <c r="F470" s="7" t="s">
        <v>223</v>
      </c>
      <c r="G470" s="7" t="s">
        <v>101</v>
      </c>
      <c r="H470" s="7" t="s">
        <v>68</v>
      </c>
      <c r="I470" s="7" t="s">
        <v>88</v>
      </c>
      <c r="J470" s="7" t="s">
        <v>135</v>
      </c>
      <c r="K470" s="7" t="s">
        <v>74</v>
      </c>
      <c r="L470" s="7" t="s">
        <v>2664</v>
      </c>
      <c r="M470" s="7" t="s">
        <v>153</v>
      </c>
      <c r="N470" s="7" t="s">
        <v>31</v>
      </c>
      <c r="O470" s="7">
        <v>38</v>
      </c>
      <c r="P470" s="7">
        <v>126.18</v>
      </c>
      <c r="Q470" s="7">
        <v>79.989999999999995</v>
      </c>
      <c r="R470" s="7">
        <v>4794.8100000000004</v>
      </c>
      <c r="S470" s="7">
        <v>0.2</v>
      </c>
      <c r="T470" s="7">
        <v>958.96</v>
      </c>
      <c r="U470" s="7">
        <v>3835.85</v>
      </c>
      <c r="V470" s="7">
        <v>3039.65</v>
      </c>
      <c r="W470" s="7">
        <v>796.2</v>
      </c>
      <c r="X470" s="7" t="s">
        <v>45</v>
      </c>
    </row>
    <row r="471" spans="1:24" x14ac:dyDescent="0.25">
      <c r="A471" s="16" t="s">
        <v>896</v>
      </c>
      <c r="B471" s="17">
        <v>45299</v>
      </c>
      <c r="C471" s="6" t="s">
        <v>897</v>
      </c>
      <c r="D471" s="6" t="s">
        <v>65</v>
      </c>
      <c r="E471" s="6" t="s">
        <v>66</v>
      </c>
      <c r="F471" s="6" t="s">
        <v>67</v>
      </c>
      <c r="G471" s="6" t="s">
        <v>38</v>
      </c>
      <c r="H471" s="6" t="s">
        <v>68</v>
      </c>
      <c r="I471" s="6" t="s">
        <v>40</v>
      </c>
      <c r="J471" s="6" t="s">
        <v>82</v>
      </c>
      <c r="K471" s="6" t="s">
        <v>60</v>
      </c>
      <c r="L471" s="6" t="s">
        <v>2662</v>
      </c>
      <c r="M471" s="6" t="s">
        <v>43</v>
      </c>
      <c r="N471" s="6" t="s">
        <v>31</v>
      </c>
      <c r="O471" s="6">
        <v>19</v>
      </c>
      <c r="P471" s="6">
        <v>149.58000000000001</v>
      </c>
      <c r="Q471" s="6">
        <v>110.61</v>
      </c>
      <c r="R471" s="6">
        <v>2842.09</v>
      </c>
      <c r="S471" s="6">
        <v>0.1</v>
      </c>
      <c r="T471" s="6">
        <v>284.20999999999998</v>
      </c>
      <c r="U471" s="6">
        <v>2557.88</v>
      </c>
      <c r="V471" s="6">
        <v>2101.58</v>
      </c>
      <c r="W471" s="6">
        <v>456.29</v>
      </c>
      <c r="X471" s="6" t="s">
        <v>45</v>
      </c>
    </row>
    <row r="472" spans="1:24" x14ac:dyDescent="0.25">
      <c r="A472" s="5" t="s">
        <v>898</v>
      </c>
      <c r="B472" s="18">
        <v>45332</v>
      </c>
      <c r="C472" s="7" t="s">
        <v>180</v>
      </c>
      <c r="D472" s="7" t="s">
        <v>163</v>
      </c>
      <c r="E472" s="7" t="s">
        <v>250</v>
      </c>
      <c r="F472" s="7" t="s">
        <v>251</v>
      </c>
      <c r="G472" s="7" t="s">
        <v>51</v>
      </c>
      <c r="H472" s="7" t="s">
        <v>252</v>
      </c>
      <c r="I472" s="7" t="s">
        <v>27</v>
      </c>
      <c r="J472" s="7" t="s">
        <v>106</v>
      </c>
      <c r="K472" s="7" t="s">
        <v>152</v>
      </c>
      <c r="L472" s="7" t="s">
        <v>2670</v>
      </c>
      <c r="M472" s="7" t="s">
        <v>30</v>
      </c>
      <c r="N472" s="7" t="s">
        <v>84</v>
      </c>
      <c r="O472" s="7">
        <v>62</v>
      </c>
      <c r="P472" s="7">
        <v>62.09</v>
      </c>
      <c r="Q472" s="7">
        <v>36.090000000000003</v>
      </c>
      <c r="R472" s="7">
        <v>3849.77</v>
      </c>
      <c r="S472" s="7">
        <v>0.02</v>
      </c>
      <c r="T472" s="7">
        <v>77</v>
      </c>
      <c r="U472" s="7">
        <v>3772.77</v>
      </c>
      <c r="V472" s="7">
        <v>2237.8000000000002</v>
      </c>
      <c r="W472" s="7">
        <v>1534.97</v>
      </c>
      <c r="X472" s="7" t="s">
        <v>45</v>
      </c>
    </row>
    <row r="473" spans="1:24" x14ac:dyDescent="0.25">
      <c r="A473" s="16" t="s">
        <v>899</v>
      </c>
      <c r="B473" s="17">
        <v>45474</v>
      </c>
      <c r="C473" s="6" t="s">
        <v>900</v>
      </c>
      <c r="D473" s="6" t="s">
        <v>22</v>
      </c>
      <c r="E473" s="6" t="s">
        <v>176</v>
      </c>
      <c r="F473" s="6" t="s">
        <v>177</v>
      </c>
      <c r="G473" s="6" t="s">
        <v>101</v>
      </c>
      <c r="H473" s="6" t="s">
        <v>39</v>
      </c>
      <c r="I473" s="6" t="s">
        <v>27</v>
      </c>
      <c r="J473" s="6" t="s">
        <v>211</v>
      </c>
      <c r="K473" s="6" t="s">
        <v>184</v>
      </c>
      <c r="L473" s="6" t="s">
        <v>2672</v>
      </c>
      <c r="M473" s="6" t="s">
        <v>43</v>
      </c>
      <c r="N473" s="6" t="s">
        <v>75</v>
      </c>
      <c r="O473" s="6">
        <v>72</v>
      </c>
      <c r="P473" s="6">
        <v>102.99</v>
      </c>
      <c r="Q473" s="6">
        <v>61.98</v>
      </c>
      <c r="R473" s="6">
        <v>7415.08</v>
      </c>
      <c r="S473" s="6">
        <v>0.1</v>
      </c>
      <c r="T473" s="6">
        <v>741.51</v>
      </c>
      <c r="U473" s="6">
        <v>6673.58</v>
      </c>
      <c r="V473" s="6">
        <v>4462.57</v>
      </c>
      <c r="W473" s="6">
        <v>2211.0100000000002</v>
      </c>
      <c r="X473" s="6" t="s">
        <v>45</v>
      </c>
    </row>
    <row r="474" spans="1:24" x14ac:dyDescent="0.25">
      <c r="A474" s="5" t="s">
        <v>901</v>
      </c>
      <c r="B474" s="18">
        <v>45551</v>
      </c>
      <c r="C474" s="7" t="s">
        <v>902</v>
      </c>
      <c r="D474" s="7" t="s">
        <v>35</v>
      </c>
      <c r="E474" s="7" t="s">
        <v>141</v>
      </c>
      <c r="F474" s="7" t="s">
        <v>142</v>
      </c>
      <c r="G474" s="7" t="s">
        <v>25</v>
      </c>
      <c r="H474" s="7" t="s">
        <v>26</v>
      </c>
      <c r="I474" s="7" t="s">
        <v>58</v>
      </c>
      <c r="J474" s="7" t="s">
        <v>345</v>
      </c>
      <c r="K474" s="7" t="s">
        <v>178</v>
      </c>
      <c r="L474" s="7" t="s">
        <v>256</v>
      </c>
      <c r="M474" s="7" t="s">
        <v>30</v>
      </c>
      <c r="N474" s="7" t="s">
        <v>75</v>
      </c>
      <c r="O474" s="7">
        <v>29</v>
      </c>
      <c r="P474" s="7">
        <v>101.57</v>
      </c>
      <c r="Q474" s="7">
        <v>58.6</v>
      </c>
      <c r="R474" s="7">
        <v>2945.48</v>
      </c>
      <c r="S474" s="7">
        <v>0.15</v>
      </c>
      <c r="T474" s="7">
        <v>441.82</v>
      </c>
      <c r="U474" s="7">
        <v>2503.66</v>
      </c>
      <c r="V474" s="7">
        <v>1699.53</v>
      </c>
      <c r="W474" s="7">
        <v>804.13</v>
      </c>
      <c r="X474" s="7" t="s">
        <v>45</v>
      </c>
    </row>
    <row r="475" spans="1:24" x14ac:dyDescent="0.25">
      <c r="A475" s="16" t="s">
        <v>903</v>
      </c>
      <c r="B475" s="17">
        <v>45375</v>
      </c>
      <c r="C475" s="6" t="s">
        <v>904</v>
      </c>
      <c r="D475" s="6" t="s">
        <v>35</v>
      </c>
      <c r="E475" s="6" t="s">
        <v>23</v>
      </c>
      <c r="F475" s="6" t="s">
        <v>24</v>
      </c>
      <c r="G475" s="6" t="s">
        <v>25</v>
      </c>
      <c r="H475" s="6" t="s">
        <v>26</v>
      </c>
      <c r="I475" s="6" t="s">
        <v>27</v>
      </c>
      <c r="J475" s="6"/>
      <c r="K475" s="6"/>
      <c r="L475" s="6"/>
      <c r="M475" s="6" t="s">
        <v>43</v>
      </c>
      <c r="N475" s="6"/>
      <c r="O475" s="6">
        <v>23</v>
      </c>
      <c r="P475" s="6">
        <v>78.02</v>
      </c>
      <c r="Q475" s="6">
        <v>45.1</v>
      </c>
      <c r="R475" s="6">
        <v>1794.38</v>
      </c>
      <c r="S475" s="6">
        <v>0.1</v>
      </c>
      <c r="T475" s="6">
        <v>179.44</v>
      </c>
      <c r="U475" s="6">
        <v>1614.94</v>
      </c>
      <c r="V475" s="6">
        <v>1037.4100000000001</v>
      </c>
      <c r="W475" s="6">
        <v>577.53</v>
      </c>
      <c r="X475" s="6" t="s">
        <v>45</v>
      </c>
    </row>
    <row r="476" spans="1:24" x14ac:dyDescent="0.25">
      <c r="A476" s="5" t="s">
        <v>905</v>
      </c>
      <c r="B476" s="18">
        <v>45332</v>
      </c>
      <c r="C476" s="7" t="s">
        <v>643</v>
      </c>
      <c r="D476" s="7" t="s">
        <v>359</v>
      </c>
      <c r="E476" s="7" t="s">
        <v>187</v>
      </c>
      <c r="F476" s="7" t="s">
        <v>188</v>
      </c>
      <c r="G476" s="7" t="s">
        <v>25</v>
      </c>
      <c r="H476" s="7" t="s">
        <v>26</v>
      </c>
      <c r="I476" s="7" t="s">
        <v>88</v>
      </c>
      <c r="J476" s="7" t="s">
        <v>183</v>
      </c>
      <c r="K476" s="7" t="s">
        <v>178</v>
      </c>
      <c r="L476" s="7" t="s">
        <v>256</v>
      </c>
      <c r="M476" s="7" t="s">
        <v>153</v>
      </c>
      <c r="N476" s="7" t="s">
        <v>44</v>
      </c>
      <c r="O476" s="7">
        <v>78</v>
      </c>
      <c r="P476" s="7">
        <v>47.43</v>
      </c>
      <c r="Q476" s="7">
        <v>26.78</v>
      </c>
      <c r="R476" s="7">
        <v>3699.2</v>
      </c>
      <c r="S476" s="7">
        <v>0</v>
      </c>
      <c r="T476" s="7">
        <v>0</v>
      </c>
      <c r="U476" s="7">
        <v>3699.2</v>
      </c>
      <c r="V476" s="7">
        <v>2089.17</v>
      </c>
      <c r="W476" s="7">
        <v>1610.03</v>
      </c>
      <c r="X476" s="7" t="s">
        <v>45</v>
      </c>
    </row>
    <row r="477" spans="1:24" x14ac:dyDescent="0.25">
      <c r="A477" s="16" t="s">
        <v>906</v>
      </c>
      <c r="B477" s="17">
        <v>45360</v>
      </c>
      <c r="C477" s="6" t="s">
        <v>794</v>
      </c>
      <c r="D477" s="6" t="s">
        <v>65</v>
      </c>
      <c r="E477" s="6" t="s">
        <v>49</v>
      </c>
      <c r="F477" s="6" t="s">
        <v>50</v>
      </c>
      <c r="G477" s="6" t="s">
        <v>51</v>
      </c>
      <c r="H477" s="6" t="s">
        <v>52</v>
      </c>
      <c r="I477" s="6" t="s">
        <v>58</v>
      </c>
      <c r="J477" s="6" t="s">
        <v>59</v>
      </c>
      <c r="K477" s="6" t="s">
        <v>248</v>
      </c>
      <c r="L477" s="6" t="s">
        <v>2675</v>
      </c>
      <c r="M477" s="6" t="s">
        <v>138</v>
      </c>
      <c r="N477" s="6" t="s">
        <v>84</v>
      </c>
      <c r="O477" s="6">
        <v>43</v>
      </c>
      <c r="P477" s="6">
        <v>25.58</v>
      </c>
      <c r="Q477" s="6">
        <v>12.81</v>
      </c>
      <c r="R477" s="6">
        <v>1099.77</v>
      </c>
      <c r="S477" s="6">
        <v>0.1</v>
      </c>
      <c r="T477" s="6">
        <v>109.98</v>
      </c>
      <c r="U477" s="6">
        <v>989.79</v>
      </c>
      <c r="V477" s="6">
        <v>550.84</v>
      </c>
      <c r="W477" s="6">
        <v>438.95</v>
      </c>
      <c r="X477" s="6" t="s">
        <v>45</v>
      </c>
    </row>
    <row r="478" spans="1:24" x14ac:dyDescent="0.25">
      <c r="A478" s="5" t="s">
        <v>907</v>
      </c>
      <c r="B478" s="18">
        <v>45477</v>
      </c>
      <c r="C478" s="7"/>
      <c r="D478" s="7"/>
      <c r="E478" s="7" t="s">
        <v>114</v>
      </c>
      <c r="F478" s="7" t="s">
        <v>115</v>
      </c>
      <c r="G478" s="7" t="s">
        <v>95</v>
      </c>
      <c r="H478" s="7" t="s">
        <v>116</v>
      </c>
      <c r="I478" s="7" t="s">
        <v>40</v>
      </c>
      <c r="J478" s="7" t="s">
        <v>41</v>
      </c>
      <c r="K478" s="7" t="s">
        <v>178</v>
      </c>
      <c r="L478" s="7" t="s">
        <v>256</v>
      </c>
      <c r="M478" s="7" t="s">
        <v>30</v>
      </c>
      <c r="N478" s="7" t="s">
        <v>44</v>
      </c>
      <c r="O478" s="7">
        <v>71</v>
      </c>
      <c r="P478" s="7">
        <v>36.32</v>
      </c>
      <c r="Q478" s="7">
        <v>22.02</v>
      </c>
      <c r="R478" s="7">
        <v>2578.46</v>
      </c>
      <c r="S478" s="7">
        <v>0.05</v>
      </c>
      <c r="T478" s="7">
        <v>128.91999999999999</v>
      </c>
      <c r="U478" s="7">
        <v>2449.54</v>
      </c>
      <c r="V478" s="7">
        <v>1563.4</v>
      </c>
      <c r="W478" s="7">
        <v>886.14</v>
      </c>
      <c r="X478" s="7" t="s">
        <v>45</v>
      </c>
    </row>
    <row r="479" spans="1:24" x14ac:dyDescent="0.25">
      <c r="A479" s="16" t="s">
        <v>908</v>
      </c>
      <c r="B479" s="17">
        <v>45609</v>
      </c>
      <c r="C479" s="6" t="s">
        <v>267</v>
      </c>
      <c r="D479" s="6" t="s">
        <v>65</v>
      </c>
      <c r="E479" s="6" t="s">
        <v>209</v>
      </c>
      <c r="F479" s="6" t="s">
        <v>210</v>
      </c>
      <c r="G479" s="6" t="s">
        <v>51</v>
      </c>
      <c r="H479" s="6" t="s">
        <v>116</v>
      </c>
      <c r="I479" s="6" t="s">
        <v>58</v>
      </c>
      <c r="J479" s="6" t="s">
        <v>59</v>
      </c>
      <c r="K479" s="6" t="s">
        <v>261</v>
      </c>
      <c r="L479" s="6" t="s">
        <v>2677</v>
      </c>
      <c r="M479" s="6" t="s">
        <v>153</v>
      </c>
      <c r="N479" s="6" t="s">
        <v>31</v>
      </c>
      <c r="O479" s="6">
        <v>62</v>
      </c>
      <c r="P479" s="6">
        <v>17.41</v>
      </c>
      <c r="Q479" s="6">
        <v>10.34</v>
      </c>
      <c r="R479" s="6">
        <v>1079.67</v>
      </c>
      <c r="S479" s="6">
        <v>0.15</v>
      </c>
      <c r="T479" s="6">
        <v>161.94999999999999</v>
      </c>
      <c r="U479" s="6">
        <v>917.72</v>
      </c>
      <c r="V479" s="6">
        <v>641.27</v>
      </c>
      <c r="W479" s="6">
        <v>276.45</v>
      </c>
      <c r="X479" s="6" t="s">
        <v>45</v>
      </c>
    </row>
    <row r="480" spans="1:24" x14ac:dyDescent="0.25">
      <c r="A480" s="5" t="s">
        <v>909</v>
      </c>
      <c r="B480" s="18">
        <v>45573</v>
      </c>
      <c r="C480" s="7" t="s">
        <v>715</v>
      </c>
      <c r="D480" s="7" t="s">
        <v>264</v>
      </c>
      <c r="E480" s="7" t="s">
        <v>187</v>
      </c>
      <c r="F480" s="7" t="s">
        <v>188</v>
      </c>
      <c r="G480" s="7" t="s">
        <v>25</v>
      </c>
      <c r="H480" s="7" t="s">
        <v>26</v>
      </c>
      <c r="I480" s="7" t="s">
        <v>58</v>
      </c>
      <c r="J480" s="7" t="s">
        <v>73</v>
      </c>
      <c r="K480" s="7" t="s">
        <v>83</v>
      </c>
      <c r="L480" s="7" t="s">
        <v>2665</v>
      </c>
      <c r="M480" s="7" t="s">
        <v>153</v>
      </c>
      <c r="N480" s="7" t="s">
        <v>70</v>
      </c>
      <c r="O480" s="7">
        <v>59</v>
      </c>
      <c r="P480" s="7">
        <v>45.08</v>
      </c>
      <c r="Q480" s="7">
        <v>27.91</v>
      </c>
      <c r="R480" s="7">
        <v>2659.91</v>
      </c>
      <c r="S480" s="7">
        <v>0.2</v>
      </c>
      <c r="T480" s="7">
        <v>531.98</v>
      </c>
      <c r="U480" s="7">
        <v>2127.9299999999998</v>
      </c>
      <c r="V480" s="7">
        <v>1646.83</v>
      </c>
      <c r="W480" s="7">
        <v>481.1</v>
      </c>
      <c r="X480" s="7" t="s">
        <v>45</v>
      </c>
    </row>
    <row r="481" spans="1:24" x14ac:dyDescent="0.25">
      <c r="A481" s="16" t="s">
        <v>910</v>
      </c>
      <c r="B481" s="17">
        <v>45401</v>
      </c>
      <c r="C481" s="6" t="s">
        <v>911</v>
      </c>
      <c r="D481" s="6" t="s">
        <v>48</v>
      </c>
      <c r="E481" s="6" t="s">
        <v>222</v>
      </c>
      <c r="F481" s="6" t="s">
        <v>223</v>
      </c>
      <c r="G481" s="6" t="s">
        <v>101</v>
      </c>
      <c r="H481" s="6" t="s">
        <v>68</v>
      </c>
      <c r="I481" s="6" t="s">
        <v>27</v>
      </c>
      <c r="J481" s="6" t="s">
        <v>189</v>
      </c>
      <c r="K481" s="6" t="s">
        <v>42</v>
      </c>
      <c r="L481" s="6" t="s">
        <v>2661</v>
      </c>
      <c r="M481" s="6" t="s">
        <v>61</v>
      </c>
      <c r="N481" s="6" t="s">
        <v>44</v>
      </c>
      <c r="O481" s="6">
        <v>62</v>
      </c>
      <c r="P481" s="6">
        <v>122.56</v>
      </c>
      <c r="Q481" s="6">
        <v>74.760000000000005</v>
      </c>
      <c r="R481" s="6">
        <v>7598.8</v>
      </c>
      <c r="S481" s="6">
        <v>0</v>
      </c>
      <c r="T481" s="6">
        <v>0</v>
      </c>
      <c r="U481" s="6">
        <v>7598.8</v>
      </c>
      <c r="V481" s="6">
        <v>4634.9399999999996</v>
      </c>
      <c r="W481" s="6">
        <v>2963.87</v>
      </c>
      <c r="X481" s="6" t="s">
        <v>129</v>
      </c>
    </row>
    <row r="482" spans="1:24" x14ac:dyDescent="0.25">
      <c r="A482" s="5" t="s">
        <v>912</v>
      </c>
      <c r="B482" s="18">
        <v>45577</v>
      </c>
      <c r="C482" s="7" t="s">
        <v>395</v>
      </c>
      <c r="D482" s="7" t="s">
        <v>221</v>
      </c>
      <c r="E482" s="7" t="s">
        <v>114</v>
      </c>
      <c r="F482" s="7" t="s">
        <v>115</v>
      </c>
      <c r="G482" s="7" t="s">
        <v>95</v>
      </c>
      <c r="H482" s="7" t="s">
        <v>116</v>
      </c>
      <c r="I482" s="7" t="s">
        <v>58</v>
      </c>
      <c r="J482" s="7" t="s">
        <v>73</v>
      </c>
      <c r="K482" s="7" t="s">
        <v>248</v>
      </c>
      <c r="L482" s="7" t="s">
        <v>2675</v>
      </c>
      <c r="M482" s="7" t="s">
        <v>43</v>
      </c>
      <c r="N482" s="7" t="s">
        <v>31</v>
      </c>
      <c r="O482" s="7">
        <v>48</v>
      </c>
      <c r="P482" s="7">
        <v>32.67</v>
      </c>
      <c r="Q482" s="7">
        <v>20.64</v>
      </c>
      <c r="R482" s="7">
        <v>1568.21</v>
      </c>
      <c r="S482" s="7">
        <v>0.1</v>
      </c>
      <c r="T482" s="7">
        <v>156.82</v>
      </c>
      <c r="U482" s="7">
        <v>1411.39</v>
      </c>
      <c r="V482" s="7">
        <v>990.76</v>
      </c>
      <c r="W482" s="7">
        <v>420.63</v>
      </c>
      <c r="X482" s="7" t="s">
        <v>45</v>
      </c>
    </row>
    <row r="483" spans="1:24" x14ac:dyDescent="0.25">
      <c r="A483" s="16" t="s">
        <v>913</v>
      </c>
      <c r="B483" s="17">
        <v>45396</v>
      </c>
      <c r="C483" s="6" t="s">
        <v>757</v>
      </c>
      <c r="D483" s="6" t="s">
        <v>163</v>
      </c>
      <c r="E483" s="6" t="s">
        <v>78</v>
      </c>
      <c r="F483" s="6" t="s">
        <v>79</v>
      </c>
      <c r="G483" s="6" t="s">
        <v>80</v>
      </c>
      <c r="H483" s="6" t="s">
        <v>81</v>
      </c>
      <c r="I483" s="6" t="s">
        <v>40</v>
      </c>
      <c r="J483" s="6" t="s">
        <v>289</v>
      </c>
      <c r="K483" s="6" t="s">
        <v>144</v>
      </c>
      <c r="L483" s="6" t="s">
        <v>2669</v>
      </c>
      <c r="M483" s="6" t="s">
        <v>43</v>
      </c>
      <c r="N483" s="6" t="s">
        <v>84</v>
      </c>
      <c r="O483" s="6">
        <v>60</v>
      </c>
      <c r="P483" s="6">
        <v>150.01</v>
      </c>
      <c r="Q483" s="6">
        <v>76.83</v>
      </c>
      <c r="R483" s="6">
        <v>9000.41</v>
      </c>
      <c r="S483" s="6">
        <v>0.15</v>
      </c>
      <c r="T483" s="6">
        <v>1350.06</v>
      </c>
      <c r="U483" s="6">
        <v>7650.35</v>
      </c>
      <c r="V483" s="6">
        <v>4609.7700000000004</v>
      </c>
      <c r="W483" s="6">
        <v>3040.58</v>
      </c>
      <c r="X483" s="6" t="s">
        <v>129</v>
      </c>
    </row>
    <row r="484" spans="1:24" x14ac:dyDescent="0.25">
      <c r="A484" s="5" t="s">
        <v>914</v>
      </c>
      <c r="B484" s="18">
        <v>45446</v>
      </c>
      <c r="C484" s="7" t="s">
        <v>915</v>
      </c>
      <c r="D484" s="7" t="s">
        <v>105</v>
      </c>
      <c r="E484" s="7" t="s">
        <v>250</v>
      </c>
      <c r="F484" s="7" t="s">
        <v>251</v>
      </c>
      <c r="G484" s="7" t="s">
        <v>51</v>
      </c>
      <c r="H484" s="7" t="s">
        <v>252</v>
      </c>
      <c r="I484" s="7" t="s">
        <v>53</v>
      </c>
      <c r="J484" s="7" t="s">
        <v>122</v>
      </c>
      <c r="K484" s="7" t="s">
        <v>178</v>
      </c>
      <c r="L484" s="7" t="s">
        <v>256</v>
      </c>
      <c r="M484" s="7" t="s">
        <v>43</v>
      </c>
      <c r="N484" s="7" t="s">
        <v>31</v>
      </c>
      <c r="O484" s="7">
        <v>77</v>
      </c>
      <c r="P484" s="7">
        <v>62.89</v>
      </c>
      <c r="Q484" s="7">
        <v>38.4</v>
      </c>
      <c r="R484" s="7">
        <v>4842.88</v>
      </c>
      <c r="S484" s="7">
        <v>0.02</v>
      </c>
      <c r="T484" s="7">
        <v>96.86</v>
      </c>
      <c r="U484" s="7">
        <v>4746.0200000000004</v>
      </c>
      <c r="V484" s="7">
        <v>2956.44</v>
      </c>
      <c r="W484" s="7">
        <v>1789.58</v>
      </c>
      <c r="X484" s="7" t="s">
        <v>129</v>
      </c>
    </row>
    <row r="485" spans="1:24" x14ac:dyDescent="0.25">
      <c r="A485" s="16" t="s">
        <v>916</v>
      </c>
      <c r="B485" s="17">
        <v>45357</v>
      </c>
      <c r="C485" s="6" t="s">
        <v>917</v>
      </c>
      <c r="D485" s="6" t="s">
        <v>57</v>
      </c>
      <c r="E485" s="6" t="s">
        <v>109</v>
      </c>
      <c r="F485" s="6" t="s">
        <v>110</v>
      </c>
      <c r="G485" s="6" t="s">
        <v>80</v>
      </c>
      <c r="H485" s="6" t="s">
        <v>81</v>
      </c>
      <c r="I485" s="6" t="s">
        <v>27</v>
      </c>
      <c r="J485" s="6" t="s">
        <v>189</v>
      </c>
      <c r="K485" s="6" t="s">
        <v>90</v>
      </c>
      <c r="L485" s="6" t="s">
        <v>2666</v>
      </c>
      <c r="M485" s="6" t="s">
        <v>30</v>
      </c>
      <c r="N485" s="6" t="s">
        <v>75</v>
      </c>
      <c r="O485" s="6">
        <v>67</v>
      </c>
      <c r="P485" s="6">
        <v>134.01</v>
      </c>
      <c r="Q485" s="6">
        <v>75.19</v>
      </c>
      <c r="R485" s="6">
        <v>8978.7099999999991</v>
      </c>
      <c r="S485" s="6">
        <v>0.05</v>
      </c>
      <c r="T485" s="6">
        <v>448.94</v>
      </c>
      <c r="U485" s="6">
        <v>8529.7800000000007</v>
      </c>
      <c r="V485" s="6">
        <v>5037.84</v>
      </c>
      <c r="W485" s="6">
        <v>3491.93</v>
      </c>
      <c r="X485" s="6" t="s">
        <v>45</v>
      </c>
    </row>
    <row r="486" spans="1:24" x14ac:dyDescent="0.25">
      <c r="A486" s="5" t="s">
        <v>918</v>
      </c>
      <c r="B486" s="18">
        <v>45651</v>
      </c>
      <c r="C486" s="7" t="s">
        <v>537</v>
      </c>
      <c r="D486" s="7" t="s">
        <v>359</v>
      </c>
      <c r="E486" s="7" t="s">
        <v>132</v>
      </c>
      <c r="F486" s="7" t="s">
        <v>133</v>
      </c>
      <c r="G486" s="7" t="s">
        <v>51</v>
      </c>
      <c r="H486" s="7" t="s">
        <v>134</v>
      </c>
      <c r="I486" s="7" t="s">
        <v>27</v>
      </c>
      <c r="J486" s="7" t="s">
        <v>28</v>
      </c>
      <c r="K486" s="7" t="s">
        <v>118</v>
      </c>
      <c r="L486" s="7" t="s">
        <v>2668</v>
      </c>
      <c r="M486" s="7" t="s">
        <v>153</v>
      </c>
      <c r="N486" s="7" t="s">
        <v>70</v>
      </c>
      <c r="O486" s="7">
        <v>17</v>
      </c>
      <c r="P486" s="7">
        <v>55.31</v>
      </c>
      <c r="Q486" s="7">
        <v>31.67</v>
      </c>
      <c r="R486" s="7">
        <v>940.3</v>
      </c>
      <c r="S486" s="7">
        <v>0</v>
      </c>
      <c r="T486" s="7">
        <v>0</v>
      </c>
      <c r="U486" s="7">
        <v>940.3</v>
      </c>
      <c r="V486" s="7">
        <v>538.46</v>
      </c>
      <c r="W486" s="7">
        <v>401.84</v>
      </c>
      <c r="X486" s="7" t="s">
        <v>45</v>
      </c>
    </row>
    <row r="487" spans="1:24" x14ac:dyDescent="0.25">
      <c r="A487" s="16" t="s">
        <v>919</v>
      </c>
      <c r="B487" s="17">
        <v>45518</v>
      </c>
      <c r="C487" s="6" t="s">
        <v>325</v>
      </c>
      <c r="D487" s="6" t="s">
        <v>35</v>
      </c>
      <c r="E487" s="6" t="s">
        <v>126</v>
      </c>
      <c r="F487" s="6" t="s">
        <v>127</v>
      </c>
      <c r="G487" s="6" t="s">
        <v>95</v>
      </c>
      <c r="H487" s="6" t="s">
        <v>128</v>
      </c>
      <c r="I487" s="6" t="s">
        <v>27</v>
      </c>
      <c r="J487" s="6" t="s">
        <v>211</v>
      </c>
      <c r="K487" s="6" t="s">
        <v>118</v>
      </c>
      <c r="L487" s="6" t="s">
        <v>2668</v>
      </c>
      <c r="M487" s="6" t="s">
        <v>153</v>
      </c>
      <c r="N487" s="6" t="s">
        <v>44</v>
      </c>
      <c r="O487" s="6">
        <v>39</v>
      </c>
      <c r="P487" s="6">
        <v>88.21</v>
      </c>
      <c r="Q487" s="6">
        <v>49.56</v>
      </c>
      <c r="R487" s="6">
        <v>3440.13</v>
      </c>
      <c r="S487" s="6">
        <v>0.05</v>
      </c>
      <c r="T487" s="6">
        <v>172.01</v>
      </c>
      <c r="U487" s="6">
        <v>3268.12</v>
      </c>
      <c r="V487" s="6">
        <v>1932.72</v>
      </c>
      <c r="W487" s="6">
        <v>1335.4</v>
      </c>
      <c r="X487" s="6" t="s">
        <v>45</v>
      </c>
    </row>
    <row r="488" spans="1:24" x14ac:dyDescent="0.25">
      <c r="A488" s="5" t="s">
        <v>920</v>
      </c>
      <c r="B488" s="18">
        <v>45554</v>
      </c>
      <c r="C488" s="7" t="s">
        <v>602</v>
      </c>
      <c r="D488" s="7" t="s">
        <v>159</v>
      </c>
      <c r="E488" s="7" t="s">
        <v>99</v>
      </c>
      <c r="F488" s="7" t="s">
        <v>100</v>
      </c>
      <c r="G488" s="7" t="s">
        <v>101</v>
      </c>
      <c r="H488" s="7" t="s">
        <v>102</v>
      </c>
      <c r="I488" s="7" t="s">
        <v>27</v>
      </c>
      <c r="J488" s="7" t="s">
        <v>28</v>
      </c>
      <c r="K488" s="7" t="s">
        <v>74</v>
      </c>
      <c r="L488" s="7" t="s">
        <v>2664</v>
      </c>
      <c r="M488" s="7" t="s">
        <v>61</v>
      </c>
      <c r="N488" s="7" t="s">
        <v>44</v>
      </c>
      <c r="O488" s="7">
        <v>22</v>
      </c>
      <c r="P488" s="7">
        <v>70.819999999999993</v>
      </c>
      <c r="Q488" s="7">
        <v>43.99</v>
      </c>
      <c r="R488" s="7">
        <v>1558.12</v>
      </c>
      <c r="S488" s="7">
        <v>0.05</v>
      </c>
      <c r="T488" s="7">
        <v>77.91</v>
      </c>
      <c r="U488" s="7">
        <v>1480.21</v>
      </c>
      <c r="V488" s="7">
        <v>967.82</v>
      </c>
      <c r="W488" s="7">
        <v>512.39</v>
      </c>
      <c r="X488" s="7" t="s">
        <v>45</v>
      </c>
    </row>
    <row r="489" spans="1:24" x14ac:dyDescent="0.25">
      <c r="A489" s="16" t="s">
        <v>921</v>
      </c>
      <c r="B489" s="17">
        <v>45295</v>
      </c>
      <c r="C489" s="6" t="s">
        <v>480</v>
      </c>
      <c r="D489" s="6" t="s">
        <v>22</v>
      </c>
      <c r="E489" s="6" t="s">
        <v>250</v>
      </c>
      <c r="F489" s="6" t="s">
        <v>251</v>
      </c>
      <c r="G489" s="6" t="s">
        <v>51</v>
      </c>
      <c r="H489" s="6" t="s">
        <v>252</v>
      </c>
      <c r="I489" s="6" t="s">
        <v>53</v>
      </c>
      <c r="J489" s="6" t="s">
        <v>54</v>
      </c>
      <c r="K489" s="6" t="s">
        <v>83</v>
      </c>
      <c r="L489" s="6" t="s">
        <v>2665</v>
      </c>
      <c r="M489" s="6" t="s">
        <v>153</v>
      </c>
      <c r="N489" s="6" t="s">
        <v>75</v>
      </c>
      <c r="O489" s="6">
        <v>21</v>
      </c>
      <c r="P489" s="6">
        <v>61.42</v>
      </c>
      <c r="Q489" s="6">
        <v>35.909999999999997</v>
      </c>
      <c r="R489" s="6">
        <v>1289.8699999999999</v>
      </c>
      <c r="S489" s="6">
        <v>0.2</v>
      </c>
      <c r="T489" s="6">
        <v>257.97000000000003</v>
      </c>
      <c r="U489" s="6">
        <v>1031.9000000000001</v>
      </c>
      <c r="V489" s="6">
        <v>754.08</v>
      </c>
      <c r="W489" s="6">
        <v>277.82</v>
      </c>
      <c r="X489" s="6" t="s">
        <v>45</v>
      </c>
    </row>
    <row r="490" spans="1:24" x14ac:dyDescent="0.25">
      <c r="A490" s="5" t="s">
        <v>922</v>
      </c>
      <c r="B490" s="18">
        <v>45381</v>
      </c>
      <c r="C490" s="7" t="s">
        <v>208</v>
      </c>
      <c r="D490" s="7" t="s">
        <v>35</v>
      </c>
      <c r="E490" s="7" t="s">
        <v>187</v>
      </c>
      <c r="F490" s="7" t="s">
        <v>188</v>
      </c>
      <c r="G490" s="7" t="s">
        <v>25</v>
      </c>
      <c r="H490" s="7" t="s">
        <v>26</v>
      </c>
      <c r="I490" s="7" t="s">
        <v>58</v>
      </c>
      <c r="J490" s="7" t="s">
        <v>323</v>
      </c>
      <c r="K490" s="7" t="s">
        <v>83</v>
      </c>
      <c r="L490" s="7" t="s">
        <v>2665</v>
      </c>
      <c r="M490" s="7" t="s">
        <v>30</v>
      </c>
      <c r="N490" s="7" t="s">
        <v>70</v>
      </c>
      <c r="O490" s="7"/>
      <c r="P490" s="7">
        <v>50.15</v>
      </c>
      <c r="Q490" s="7">
        <v>27.96</v>
      </c>
      <c r="R490" s="7">
        <v>3260.04</v>
      </c>
      <c r="S490" s="7">
        <v>0</v>
      </c>
      <c r="T490" s="7">
        <v>0</v>
      </c>
      <c r="U490" s="7">
        <v>3260.04</v>
      </c>
      <c r="V490" s="7">
        <v>1817.08</v>
      </c>
      <c r="W490" s="7">
        <v>1442.96</v>
      </c>
      <c r="X490" s="7" t="s">
        <v>32</v>
      </c>
    </row>
    <row r="491" spans="1:24" x14ac:dyDescent="0.25">
      <c r="A491" s="16" t="s">
        <v>923</v>
      </c>
      <c r="B491" s="17">
        <v>45517</v>
      </c>
      <c r="C491" s="6" t="s">
        <v>924</v>
      </c>
      <c r="D491" s="6" t="s">
        <v>48</v>
      </c>
      <c r="E491" s="6" t="s">
        <v>23</v>
      </c>
      <c r="F491" s="6" t="s">
        <v>24</v>
      </c>
      <c r="G491" s="6" t="s">
        <v>25</v>
      </c>
      <c r="H491" s="6" t="s">
        <v>26</v>
      </c>
      <c r="I491" s="6" t="s">
        <v>58</v>
      </c>
      <c r="J491" s="6" t="s">
        <v>59</v>
      </c>
      <c r="K491" s="6" t="s">
        <v>144</v>
      </c>
      <c r="L491" s="6" t="s">
        <v>2669</v>
      </c>
      <c r="M491" s="6" t="s">
        <v>153</v>
      </c>
      <c r="N491" s="6" t="s">
        <v>70</v>
      </c>
      <c r="O491" s="6">
        <v>16</v>
      </c>
      <c r="P491" s="6">
        <v>73.02</v>
      </c>
      <c r="Q491" s="6">
        <v>45.71</v>
      </c>
      <c r="R491" s="6">
        <v>1168.3399999999999</v>
      </c>
      <c r="S491" s="6">
        <v>0.05</v>
      </c>
      <c r="T491" s="6">
        <v>58.42</v>
      </c>
      <c r="U491" s="6">
        <v>1109.93</v>
      </c>
      <c r="V491" s="6">
        <v>731.43</v>
      </c>
      <c r="W491" s="6">
        <v>378.5</v>
      </c>
      <c r="X491" s="6" t="s">
        <v>45</v>
      </c>
    </row>
    <row r="492" spans="1:24" x14ac:dyDescent="0.25">
      <c r="A492" s="5" t="s">
        <v>925</v>
      </c>
      <c r="B492" s="18">
        <v>45314</v>
      </c>
      <c r="C492" s="7" t="s">
        <v>926</v>
      </c>
      <c r="D492" s="7" t="s">
        <v>22</v>
      </c>
      <c r="E492" s="7" t="s">
        <v>99</v>
      </c>
      <c r="F492" s="7" t="s">
        <v>100</v>
      </c>
      <c r="G492" s="7" t="s">
        <v>101</v>
      </c>
      <c r="H492" s="7" t="s">
        <v>102</v>
      </c>
      <c r="I492" s="7" t="s">
        <v>88</v>
      </c>
      <c r="J492" s="7" t="s">
        <v>89</v>
      </c>
      <c r="K492" s="7" t="s">
        <v>111</v>
      </c>
      <c r="L492" s="7" t="s">
        <v>2667</v>
      </c>
      <c r="M492" s="7" t="s">
        <v>153</v>
      </c>
      <c r="N492" s="7" t="s">
        <v>70</v>
      </c>
      <c r="O492" s="7">
        <v>5</v>
      </c>
      <c r="P492" s="7">
        <v>74.86</v>
      </c>
      <c r="Q492" s="7">
        <v>42.21</v>
      </c>
      <c r="R492" s="7">
        <v>374.29</v>
      </c>
      <c r="S492" s="7">
        <v>0.1</v>
      </c>
      <c r="T492" s="7">
        <v>37.43</v>
      </c>
      <c r="U492" s="7">
        <v>336.86</v>
      </c>
      <c r="V492" s="7">
        <v>211.03</v>
      </c>
      <c r="W492" s="7">
        <v>125.83</v>
      </c>
      <c r="X492" s="7" t="s">
        <v>45</v>
      </c>
    </row>
    <row r="493" spans="1:24" x14ac:dyDescent="0.25">
      <c r="A493" s="16" t="s">
        <v>927</v>
      </c>
      <c r="B493" s="17">
        <v>45409</v>
      </c>
      <c r="C493" s="6" t="s">
        <v>408</v>
      </c>
      <c r="D493" s="6" t="s">
        <v>65</v>
      </c>
      <c r="E493" s="6" t="s">
        <v>222</v>
      </c>
      <c r="F493" s="6" t="s">
        <v>223</v>
      </c>
      <c r="G493" s="6" t="s">
        <v>101</v>
      </c>
      <c r="H493" s="6" t="s">
        <v>68</v>
      </c>
      <c r="I493" s="6" t="s">
        <v>58</v>
      </c>
      <c r="J493" s="6"/>
      <c r="K493" s="6" t="s">
        <v>144</v>
      </c>
      <c r="L493" s="6" t="s">
        <v>2669</v>
      </c>
      <c r="M493" s="6" t="s">
        <v>30</v>
      </c>
      <c r="N493" s="6" t="s">
        <v>84</v>
      </c>
      <c r="O493" s="6">
        <v>27</v>
      </c>
      <c r="P493" s="6">
        <v>113.02</v>
      </c>
      <c r="Q493" s="6">
        <v>79.89</v>
      </c>
      <c r="R493" s="6">
        <v>3051.61</v>
      </c>
      <c r="S493" s="6">
        <v>0.02</v>
      </c>
      <c r="T493" s="6">
        <v>61.03</v>
      </c>
      <c r="U493" s="6">
        <v>2990.58</v>
      </c>
      <c r="V493" s="6">
        <v>2157.1</v>
      </c>
      <c r="W493" s="6">
        <v>833.49</v>
      </c>
      <c r="X493" s="6" t="s">
        <v>45</v>
      </c>
    </row>
    <row r="494" spans="1:24" x14ac:dyDescent="0.25">
      <c r="A494" s="5" t="s">
        <v>928</v>
      </c>
      <c r="B494" s="18">
        <v>45471</v>
      </c>
      <c r="C494" s="7" t="s">
        <v>255</v>
      </c>
      <c r="D494" s="7" t="s">
        <v>256</v>
      </c>
      <c r="E494" s="7" t="s">
        <v>216</v>
      </c>
      <c r="F494" s="7" t="s">
        <v>217</v>
      </c>
      <c r="G494" s="7" t="s">
        <v>38</v>
      </c>
      <c r="H494" s="7" t="s">
        <v>134</v>
      </c>
      <c r="I494" s="7" t="s">
        <v>88</v>
      </c>
      <c r="J494" s="7" t="s">
        <v>173</v>
      </c>
      <c r="K494" s="7" t="s">
        <v>118</v>
      </c>
      <c r="L494" s="7" t="s">
        <v>2668</v>
      </c>
      <c r="M494" s="7" t="s">
        <v>30</v>
      </c>
      <c r="N494" s="7" t="s">
        <v>31</v>
      </c>
      <c r="O494" s="7">
        <v>33</v>
      </c>
      <c r="P494" s="7">
        <v>118.26</v>
      </c>
      <c r="Q494" s="7">
        <v>70.92</v>
      </c>
      <c r="R494" s="7">
        <v>3902.67</v>
      </c>
      <c r="S494" s="7">
        <v>0</v>
      </c>
      <c r="T494" s="7">
        <v>0</v>
      </c>
      <c r="U494" s="7">
        <v>3902.67</v>
      </c>
      <c r="V494" s="7">
        <v>2340.3000000000002</v>
      </c>
      <c r="W494" s="7">
        <v>1562.37</v>
      </c>
      <c r="X494" s="7" t="s">
        <v>129</v>
      </c>
    </row>
    <row r="495" spans="1:24" x14ac:dyDescent="0.25">
      <c r="A495" s="16" t="s">
        <v>929</v>
      </c>
      <c r="B495" s="17">
        <v>45504</v>
      </c>
      <c r="C495" s="6" t="s">
        <v>485</v>
      </c>
      <c r="D495" s="6" t="s">
        <v>22</v>
      </c>
      <c r="E495" s="6" t="s">
        <v>141</v>
      </c>
      <c r="F495" s="6" t="s">
        <v>142</v>
      </c>
      <c r="G495" s="6" t="s">
        <v>25</v>
      </c>
      <c r="H495" s="6" t="s">
        <v>26</v>
      </c>
      <c r="I495" s="6" t="s">
        <v>53</v>
      </c>
      <c r="J495" s="6" t="s">
        <v>232</v>
      </c>
      <c r="K495" s="6" t="s">
        <v>178</v>
      </c>
      <c r="L495" s="6" t="s">
        <v>256</v>
      </c>
      <c r="M495" s="6" t="s">
        <v>153</v>
      </c>
      <c r="N495" s="6" t="s">
        <v>70</v>
      </c>
      <c r="O495" s="6">
        <v>4</v>
      </c>
      <c r="P495" s="6">
        <v>90.06</v>
      </c>
      <c r="Q495" s="6">
        <v>59.76</v>
      </c>
      <c r="R495" s="6">
        <v>360.26</v>
      </c>
      <c r="S495" s="6">
        <v>0.15</v>
      </c>
      <c r="T495" s="6">
        <v>54.04</v>
      </c>
      <c r="U495" s="6">
        <v>286.89</v>
      </c>
      <c r="V495" s="6">
        <v>239.05</v>
      </c>
      <c r="W495" s="6">
        <v>67.17</v>
      </c>
      <c r="X495" s="6" t="s">
        <v>45</v>
      </c>
    </row>
    <row r="496" spans="1:24" x14ac:dyDescent="0.25">
      <c r="A496" s="5" t="s">
        <v>930</v>
      </c>
      <c r="B496" s="18">
        <v>45362</v>
      </c>
      <c r="C496" s="7" t="s">
        <v>931</v>
      </c>
      <c r="D496" s="7" t="s">
        <v>105</v>
      </c>
      <c r="E496" s="7" t="s">
        <v>23</v>
      </c>
      <c r="F496" s="7" t="s">
        <v>24</v>
      </c>
      <c r="G496" s="7" t="s">
        <v>25</v>
      </c>
      <c r="H496" s="7" t="s">
        <v>26</v>
      </c>
      <c r="I496" s="7" t="s">
        <v>53</v>
      </c>
      <c r="J496" s="7" t="s">
        <v>232</v>
      </c>
      <c r="K496" s="7" t="s">
        <v>218</v>
      </c>
      <c r="L496" s="7" t="s">
        <v>2674</v>
      </c>
      <c r="M496" s="7" t="s">
        <v>153</v>
      </c>
      <c r="N496" s="7" t="s">
        <v>44</v>
      </c>
      <c r="O496" s="7">
        <v>53</v>
      </c>
      <c r="P496" s="7">
        <v>76.099999999999994</v>
      </c>
      <c r="Q496" s="7">
        <v>43.29</v>
      </c>
      <c r="R496" s="7">
        <v>4033.05</v>
      </c>
      <c r="S496" s="7">
        <v>0.15</v>
      </c>
      <c r="T496" s="7">
        <v>604.96</v>
      </c>
      <c r="U496" s="7">
        <v>3428.09</v>
      </c>
      <c r="V496" s="7">
        <v>2294.3200000000002</v>
      </c>
      <c r="W496" s="7">
        <v>1133.78</v>
      </c>
      <c r="X496" s="7" t="s">
        <v>129</v>
      </c>
    </row>
    <row r="497" spans="1:24" x14ac:dyDescent="0.25">
      <c r="A497" s="16" t="s">
        <v>932</v>
      </c>
      <c r="B497" s="17">
        <v>45611</v>
      </c>
      <c r="C497" s="6" t="s">
        <v>933</v>
      </c>
      <c r="D497" s="6" t="s">
        <v>159</v>
      </c>
      <c r="E497" s="6" t="s">
        <v>141</v>
      </c>
      <c r="F497" s="6" t="s">
        <v>142</v>
      </c>
      <c r="G497" s="6" t="s">
        <v>25</v>
      </c>
      <c r="H497" s="6" t="s">
        <v>26</v>
      </c>
      <c r="I497" s="6" t="s">
        <v>27</v>
      </c>
      <c r="J497" s="6" t="s">
        <v>189</v>
      </c>
      <c r="K497" s="6" t="s">
        <v>265</v>
      </c>
      <c r="L497" s="6" t="s">
        <v>2678</v>
      </c>
      <c r="M497" s="6" t="s">
        <v>153</v>
      </c>
      <c r="N497" s="6" t="s">
        <v>44</v>
      </c>
      <c r="O497" s="6">
        <v>60</v>
      </c>
      <c r="P497" s="6">
        <v>95.82</v>
      </c>
      <c r="Q497" s="6">
        <v>58.39</v>
      </c>
      <c r="R497" s="6">
        <v>5748.98</v>
      </c>
      <c r="S497" s="6">
        <v>0.15</v>
      </c>
      <c r="T497" s="6">
        <v>862.35</v>
      </c>
      <c r="U497" s="6">
        <v>4886.6400000000003</v>
      </c>
      <c r="V497" s="6">
        <v>3503.22</v>
      </c>
      <c r="W497" s="6">
        <v>1383.42</v>
      </c>
      <c r="X497" s="6" t="s">
        <v>45</v>
      </c>
    </row>
    <row r="498" spans="1:24" x14ac:dyDescent="0.25">
      <c r="A498" s="5" t="s">
        <v>934</v>
      </c>
      <c r="B498" s="18">
        <v>45512</v>
      </c>
      <c r="C498" s="7" t="s">
        <v>34</v>
      </c>
      <c r="D498" s="7" t="s">
        <v>35</v>
      </c>
      <c r="E498" s="7" t="s">
        <v>99</v>
      </c>
      <c r="F498" s="7" t="s">
        <v>100</v>
      </c>
      <c r="G498" s="7" t="s">
        <v>101</v>
      </c>
      <c r="H498" s="7" t="s">
        <v>102</v>
      </c>
      <c r="I498" s="7" t="s">
        <v>53</v>
      </c>
      <c r="J498" s="7" t="s">
        <v>54</v>
      </c>
      <c r="K498" s="7" t="s">
        <v>261</v>
      </c>
      <c r="L498" s="7" t="s">
        <v>2677</v>
      </c>
      <c r="M498" s="7" t="s">
        <v>61</v>
      </c>
      <c r="N498" s="7" t="s">
        <v>44</v>
      </c>
      <c r="O498" s="7">
        <v>14</v>
      </c>
      <c r="P498" s="7">
        <v>73.5</v>
      </c>
      <c r="Q498" s="7">
        <v>44.28</v>
      </c>
      <c r="R498" s="7">
        <v>1029.06</v>
      </c>
      <c r="S498" s="7">
        <v>0</v>
      </c>
      <c r="T498" s="7">
        <v>0</v>
      </c>
      <c r="U498" s="7">
        <v>1029.06</v>
      </c>
      <c r="V498" s="7">
        <v>619.89</v>
      </c>
      <c r="W498" s="7">
        <v>409.17</v>
      </c>
      <c r="X498" s="7" t="s">
        <v>129</v>
      </c>
    </row>
    <row r="499" spans="1:24" x14ac:dyDescent="0.25">
      <c r="A499" s="16" t="s">
        <v>935</v>
      </c>
      <c r="B499" s="17">
        <v>45452</v>
      </c>
      <c r="C499" s="6" t="s">
        <v>936</v>
      </c>
      <c r="D499" s="6" t="s">
        <v>57</v>
      </c>
      <c r="E499" s="6" t="s">
        <v>176</v>
      </c>
      <c r="F499" s="6" t="s">
        <v>177</v>
      </c>
      <c r="G499" s="6" t="s">
        <v>101</v>
      </c>
      <c r="H499" s="6" t="s">
        <v>39</v>
      </c>
      <c r="I499" s="6" t="s">
        <v>58</v>
      </c>
      <c r="J499" s="6" t="s">
        <v>323</v>
      </c>
      <c r="K499" s="6" t="s">
        <v>261</v>
      </c>
      <c r="L499" s="6" t="s">
        <v>2677</v>
      </c>
      <c r="M499" s="6" t="s">
        <v>61</v>
      </c>
      <c r="N499" s="6" t="s">
        <v>75</v>
      </c>
      <c r="O499" s="6">
        <v>8</v>
      </c>
      <c r="P499" s="6">
        <v>107.15</v>
      </c>
      <c r="Q499" s="6">
        <v>61.34</v>
      </c>
      <c r="R499" s="6">
        <v>857.16</v>
      </c>
      <c r="S499" s="6">
        <v>0</v>
      </c>
      <c r="T499" s="6">
        <v>0</v>
      </c>
      <c r="U499" s="6">
        <v>857.16</v>
      </c>
      <c r="V499" s="6">
        <v>490.69</v>
      </c>
      <c r="W499" s="6">
        <v>366.48</v>
      </c>
      <c r="X499" s="6" t="s">
        <v>32</v>
      </c>
    </row>
    <row r="500" spans="1:24" x14ac:dyDescent="0.25">
      <c r="A500" s="5" t="s">
        <v>937</v>
      </c>
      <c r="B500" s="18">
        <v>45426</v>
      </c>
      <c r="C500" s="7" t="s">
        <v>938</v>
      </c>
      <c r="D500" s="7" t="s">
        <v>156</v>
      </c>
      <c r="E500" s="7" t="s">
        <v>222</v>
      </c>
      <c r="F500" s="7" t="s">
        <v>223</v>
      </c>
      <c r="G500" s="7" t="s">
        <v>101</v>
      </c>
      <c r="H500" s="7" t="s">
        <v>68</v>
      </c>
      <c r="I500" s="7" t="s">
        <v>40</v>
      </c>
      <c r="J500" s="7" t="s">
        <v>82</v>
      </c>
      <c r="K500" s="7" t="s">
        <v>253</v>
      </c>
      <c r="L500" s="7" t="s">
        <v>2676</v>
      </c>
      <c r="M500" s="7" t="s">
        <v>153</v>
      </c>
      <c r="N500" s="7" t="s">
        <v>31</v>
      </c>
      <c r="O500" s="7">
        <v>19</v>
      </c>
      <c r="P500" s="7">
        <v>119.42</v>
      </c>
      <c r="Q500" s="7">
        <v>82.87</v>
      </c>
      <c r="R500" s="7">
        <v>2269.0500000000002</v>
      </c>
      <c r="S500" s="7">
        <v>0.2</v>
      </c>
      <c r="T500" s="7">
        <v>453.81</v>
      </c>
      <c r="U500" s="7">
        <v>1815.24</v>
      </c>
      <c r="V500" s="7">
        <v>1574.51</v>
      </c>
      <c r="W500" s="7">
        <v>240.73</v>
      </c>
      <c r="X500" s="7" t="s">
        <v>45</v>
      </c>
    </row>
    <row r="501" spans="1:24" x14ac:dyDescent="0.25">
      <c r="A501" s="16" t="s">
        <v>939</v>
      </c>
      <c r="B501" s="17">
        <v>45467</v>
      </c>
      <c r="C501" s="6" t="s">
        <v>172</v>
      </c>
      <c r="D501" s="6" t="s">
        <v>22</v>
      </c>
      <c r="E501" s="6" t="s">
        <v>141</v>
      </c>
      <c r="F501" s="6" t="s">
        <v>142</v>
      </c>
      <c r="G501" s="6" t="s">
        <v>25</v>
      </c>
      <c r="H501" s="6" t="s">
        <v>26</v>
      </c>
      <c r="I501" s="6" t="s">
        <v>27</v>
      </c>
      <c r="J501" s="6" t="s">
        <v>106</v>
      </c>
      <c r="K501" s="6" t="s">
        <v>184</v>
      </c>
      <c r="L501" s="6" t="s">
        <v>2672</v>
      </c>
      <c r="M501" s="6" t="s">
        <v>43</v>
      </c>
      <c r="N501" s="6" t="s">
        <v>84</v>
      </c>
      <c r="O501" s="6">
        <v>78</v>
      </c>
      <c r="P501" s="6">
        <v>100.77</v>
      </c>
      <c r="Q501" s="6">
        <v>61.44</v>
      </c>
      <c r="R501" s="6">
        <v>7860.03</v>
      </c>
      <c r="S501" s="6">
        <v>0.1</v>
      </c>
      <c r="T501" s="6">
        <v>786</v>
      </c>
      <c r="U501" s="6">
        <v>7074.03</v>
      </c>
      <c r="V501" s="6">
        <v>4792.24</v>
      </c>
      <c r="W501" s="6">
        <v>2281.79</v>
      </c>
      <c r="X501" s="6" t="s">
        <v>45</v>
      </c>
    </row>
    <row r="502" spans="1:24" x14ac:dyDescent="0.25">
      <c r="A502" s="5" t="s">
        <v>940</v>
      </c>
      <c r="B502" s="18">
        <v>45626</v>
      </c>
      <c r="C502" s="7" t="s">
        <v>941</v>
      </c>
      <c r="D502" s="7" t="s">
        <v>149</v>
      </c>
      <c r="E502" s="7" t="s">
        <v>187</v>
      </c>
      <c r="F502" s="7" t="s">
        <v>188</v>
      </c>
      <c r="G502" s="7" t="s">
        <v>25</v>
      </c>
      <c r="H502" s="7" t="s">
        <v>26</v>
      </c>
      <c r="I502" s="7" t="s">
        <v>40</v>
      </c>
      <c r="J502" s="7" t="s">
        <v>82</v>
      </c>
      <c r="K502" s="7" t="s">
        <v>195</v>
      </c>
      <c r="L502" s="7" t="s">
        <v>2673</v>
      </c>
      <c r="M502" s="7" t="s">
        <v>153</v>
      </c>
      <c r="N502" s="7" t="s">
        <v>75</v>
      </c>
      <c r="O502" s="7">
        <v>20</v>
      </c>
      <c r="P502" s="7">
        <v>44.37</v>
      </c>
      <c r="Q502" s="7">
        <v>27.71</v>
      </c>
      <c r="R502" s="7">
        <v>887.36</v>
      </c>
      <c r="S502" s="7">
        <v>0.05</v>
      </c>
      <c r="T502" s="7">
        <v>44.37</v>
      </c>
      <c r="U502" s="7">
        <v>842.99</v>
      </c>
      <c r="V502" s="7">
        <v>554.20000000000005</v>
      </c>
      <c r="W502" s="7">
        <v>288.79000000000002</v>
      </c>
      <c r="X502" s="7" t="s">
        <v>45</v>
      </c>
    </row>
    <row r="503" spans="1:24" x14ac:dyDescent="0.25">
      <c r="A503" s="16" t="s">
        <v>942</v>
      </c>
      <c r="B503" s="17">
        <v>45522</v>
      </c>
      <c r="C503" s="6" t="s">
        <v>258</v>
      </c>
      <c r="D503" s="6" t="s">
        <v>259</v>
      </c>
      <c r="E503" s="6" t="s">
        <v>209</v>
      </c>
      <c r="F503" s="6" t="s">
        <v>210</v>
      </c>
      <c r="G503" s="6" t="s">
        <v>51</v>
      </c>
      <c r="H503" s="6" t="s">
        <v>116</v>
      </c>
      <c r="I503" s="6" t="s">
        <v>40</v>
      </c>
      <c r="J503" s="6" t="s">
        <v>41</v>
      </c>
      <c r="K503" s="6" t="s">
        <v>170</v>
      </c>
      <c r="L503" s="6" t="s">
        <v>2671</v>
      </c>
      <c r="M503" s="6" t="s">
        <v>61</v>
      </c>
      <c r="N503" s="6" t="s">
        <v>75</v>
      </c>
      <c r="O503" s="6">
        <v>76</v>
      </c>
      <c r="P503" s="6">
        <v>17.22</v>
      </c>
      <c r="Q503" s="6">
        <v>10.27</v>
      </c>
      <c r="R503" s="6">
        <v>1308.6099999999999</v>
      </c>
      <c r="S503" s="6">
        <v>0.1</v>
      </c>
      <c r="T503" s="6">
        <v>130.86000000000001</v>
      </c>
      <c r="U503" s="6">
        <v>1177.74</v>
      </c>
      <c r="V503" s="6">
        <v>780.88</v>
      </c>
      <c r="W503" s="6">
        <v>396.87</v>
      </c>
      <c r="X503" s="6" t="s">
        <v>45</v>
      </c>
    </row>
    <row r="504" spans="1:24" x14ac:dyDescent="0.25">
      <c r="A504" s="5" t="s">
        <v>943</v>
      </c>
      <c r="B504" s="18">
        <v>45546</v>
      </c>
      <c r="C504" s="7" t="s">
        <v>47</v>
      </c>
      <c r="D504" s="7" t="s">
        <v>48</v>
      </c>
      <c r="E504" s="7" t="s">
        <v>49</v>
      </c>
      <c r="F504" s="7" t="s">
        <v>50</v>
      </c>
      <c r="G504" s="7" t="s">
        <v>51</v>
      </c>
      <c r="H504" s="7" t="s">
        <v>52</v>
      </c>
      <c r="I504" s="7" t="s">
        <v>40</v>
      </c>
      <c r="J504" s="7" t="s">
        <v>117</v>
      </c>
      <c r="K504" s="7" t="s">
        <v>218</v>
      </c>
      <c r="L504" s="7" t="s">
        <v>2674</v>
      </c>
      <c r="M504" s="7" t="s">
        <v>30</v>
      </c>
      <c r="N504" s="7" t="s">
        <v>75</v>
      </c>
      <c r="O504" s="7">
        <v>70</v>
      </c>
      <c r="P504" s="7">
        <v>23.78</v>
      </c>
      <c r="Q504" s="7">
        <v>12.1</v>
      </c>
      <c r="R504" s="7">
        <v>1664.82</v>
      </c>
      <c r="S504" s="7">
        <v>0.05</v>
      </c>
      <c r="T504" s="7">
        <v>83.24</v>
      </c>
      <c r="U504" s="7">
        <v>1581.58</v>
      </c>
      <c r="V504" s="7">
        <v>847.3</v>
      </c>
      <c r="W504" s="7">
        <v>734.28</v>
      </c>
      <c r="X504" s="7" t="s">
        <v>129</v>
      </c>
    </row>
    <row r="505" spans="1:24" x14ac:dyDescent="0.25">
      <c r="A505" s="16" t="s">
        <v>944</v>
      </c>
      <c r="B505" s="17">
        <v>45348</v>
      </c>
      <c r="C505" s="6" t="s">
        <v>945</v>
      </c>
      <c r="D505" s="6" t="s">
        <v>159</v>
      </c>
      <c r="E505" s="6" t="s">
        <v>49</v>
      </c>
      <c r="F505" s="6" t="s">
        <v>50</v>
      </c>
      <c r="G505" s="6" t="s">
        <v>51</v>
      </c>
      <c r="H505" s="6" t="s">
        <v>52</v>
      </c>
      <c r="I505" s="6" t="s">
        <v>27</v>
      </c>
      <c r="J505" s="6" t="s">
        <v>106</v>
      </c>
      <c r="K505" s="6" t="s">
        <v>29</v>
      </c>
      <c r="L505" s="6" t="s">
        <v>2660</v>
      </c>
      <c r="M505" s="6" t="s">
        <v>30</v>
      </c>
      <c r="N505" s="6" t="s">
        <v>946</v>
      </c>
      <c r="O505" s="6">
        <v>35</v>
      </c>
      <c r="P505" s="6">
        <v>25.54</v>
      </c>
      <c r="Q505" s="6">
        <v>13.59</v>
      </c>
      <c r="R505" s="6">
        <v>894.06</v>
      </c>
      <c r="S505" s="6">
        <v>0.05</v>
      </c>
      <c r="T505" s="6">
        <v>44.7</v>
      </c>
      <c r="U505" s="6">
        <v>849.36</v>
      </c>
      <c r="V505" s="6">
        <v>475.8</v>
      </c>
      <c r="W505" s="6">
        <v>373.57</v>
      </c>
      <c r="X505" s="6" t="s">
        <v>45</v>
      </c>
    </row>
    <row r="506" spans="1:24" x14ac:dyDescent="0.25">
      <c r="A506" s="5" t="s">
        <v>947</v>
      </c>
      <c r="B506" s="18">
        <v>45581</v>
      </c>
      <c r="C506" s="7" t="s">
        <v>948</v>
      </c>
      <c r="D506" s="7" t="s">
        <v>87</v>
      </c>
      <c r="E506" s="7" t="s">
        <v>78</v>
      </c>
      <c r="F506" s="7" t="s">
        <v>79</v>
      </c>
      <c r="G506" s="7" t="s">
        <v>80</v>
      </c>
      <c r="H506" s="7" t="s">
        <v>81</v>
      </c>
      <c r="I506" s="7" t="s">
        <v>53</v>
      </c>
      <c r="J506" s="7" t="s">
        <v>122</v>
      </c>
      <c r="K506" s="7" t="s">
        <v>218</v>
      </c>
      <c r="L506" s="7" t="s">
        <v>2674</v>
      </c>
      <c r="M506" s="7" t="s">
        <v>43</v>
      </c>
      <c r="N506" s="7" t="s">
        <v>70</v>
      </c>
      <c r="O506" s="7">
        <v>32</v>
      </c>
      <c r="P506" s="7">
        <v>150.09</v>
      </c>
      <c r="Q506" s="7">
        <v>87.12</v>
      </c>
      <c r="R506" s="7">
        <v>4802.8500000000004</v>
      </c>
      <c r="S506" s="7">
        <v>0.2</v>
      </c>
      <c r="T506" s="7">
        <v>960.57</v>
      </c>
      <c r="U506" s="7">
        <v>3842.28</v>
      </c>
      <c r="V506" s="7">
        <v>2787.85</v>
      </c>
      <c r="W506" s="7">
        <v>1054.44</v>
      </c>
      <c r="X506" s="7" t="s">
        <v>45</v>
      </c>
    </row>
    <row r="507" spans="1:24" x14ac:dyDescent="0.25">
      <c r="A507" s="16" t="s">
        <v>949</v>
      </c>
      <c r="B507" s="17">
        <v>45448</v>
      </c>
      <c r="C507" s="6" t="s">
        <v>580</v>
      </c>
      <c r="D507" s="6" t="s">
        <v>156</v>
      </c>
      <c r="E507" s="6" t="s">
        <v>99</v>
      </c>
      <c r="F507" s="6" t="s">
        <v>100</v>
      </c>
      <c r="G507" s="6" t="s">
        <v>101</v>
      </c>
      <c r="H507" s="6" t="s">
        <v>102</v>
      </c>
      <c r="I507" s="6" t="s">
        <v>53</v>
      </c>
      <c r="J507" s="6" t="s">
        <v>232</v>
      </c>
      <c r="K507" s="6" t="s">
        <v>152</v>
      </c>
      <c r="L507" s="6" t="s">
        <v>2670</v>
      </c>
      <c r="M507" s="6" t="s">
        <v>30</v>
      </c>
      <c r="N507" s="6" t="s">
        <v>70</v>
      </c>
      <c r="O507" s="6">
        <v>66</v>
      </c>
      <c r="P507" s="6">
        <v>70.900000000000006</v>
      </c>
      <c r="Q507" s="6">
        <v>41.4</v>
      </c>
      <c r="R507" s="6">
        <v>4679.12</v>
      </c>
      <c r="S507" s="6">
        <v>0</v>
      </c>
      <c r="T507" s="6">
        <v>0</v>
      </c>
      <c r="U507" s="6">
        <v>4679.12</v>
      </c>
      <c r="V507" s="6">
        <v>2732.62</v>
      </c>
      <c r="W507" s="6">
        <v>1946.5</v>
      </c>
      <c r="X507" s="6" t="s">
        <v>45</v>
      </c>
    </row>
    <row r="508" spans="1:24" x14ac:dyDescent="0.25">
      <c r="A508" s="5" t="s">
        <v>950</v>
      </c>
      <c r="B508" s="18">
        <v>45323</v>
      </c>
      <c r="C508" s="7" t="s">
        <v>162</v>
      </c>
      <c r="D508" s="7" t="s">
        <v>163</v>
      </c>
      <c r="E508" s="7" t="s">
        <v>23</v>
      </c>
      <c r="F508" s="7" t="s">
        <v>24</v>
      </c>
      <c r="G508" s="7" t="s">
        <v>25</v>
      </c>
      <c r="H508" s="7" t="s">
        <v>26</v>
      </c>
      <c r="I508" s="7" t="s">
        <v>40</v>
      </c>
      <c r="J508" s="7" t="s">
        <v>289</v>
      </c>
      <c r="K508" s="7" t="s">
        <v>42</v>
      </c>
      <c r="L508" s="7" t="s">
        <v>2661</v>
      </c>
      <c r="M508" s="7" t="s">
        <v>43</v>
      </c>
      <c r="N508" s="7" t="s">
        <v>84</v>
      </c>
      <c r="O508" s="7">
        <v>61</v>
      </c>
      <c r="P508" s="7">
        <v>77.319999999999993</v>
      </c>
      <c r="Q508" s="7">
        <v>42.03</v>
      </c>
      <c r="R508" s="7">
        <v>4716.78</v>
      </c>
      <c r="S508" s="7">
        <v>0.15</v>
      </c>
      <c r="T508" s="7">
        <v>707.52</v>
      </c>
      <c r="U508" s="7">
        <v>4009.26</v>
      </c>
      <c r="V508" s="7">
        <v>2564.09</v>
      </c>
      <c r="W508" s="7">
        <v>1445.17</v>
      </c>
      <c r="X508" s="7" t="s">
        <v>129</v>
      </c>
    </row>
    <row r="509" spans="1:24" x14ac:dyDescent="0.25">
      <c r="A509" s="16" t="s">
        <v>951</v>
      </c>
      <c r="B509" s="17">
        <v>45405</v>
      </c>
      <c r="C509" s="6" t="s">
        <v>395</v>
      </c>
      <c r="D509" s="6" t="s">
        <v>221</v>
      </c>
      <c r="E509" s="6" t="s">
        <v>132</v>
      </c>
      <c r="F509" s="6" t="s">
        <v>133</v>
      </c>
      <c r="G509" s="6" t="s">
        <v>51</v>
      </c>
      <c r="H509" s="6" t="s">
        <v>134</v>
      </c>
      <c r="I509" s="6" t="s">
        <v>40</v>
      </c>
      <c r="J509" s="6" t="s">
        <v>117</v>
      </c>
      <c r="K509" s="6" t="s">
        <v>60</v>
      </c>
      <c r="L509" s="6" t="s">
        <v>2662</v>
      </c>
      <c r="M509" s="6" t="s">
        <v>61</v>
      </c>
      <c r="N509" s="6" t="s">
        <v>84</v>
      </c>
      <c r="O509" s="6">
        <v>56</v>
      </c>
      <c r="P509" s="6">
        <v>59.81</v>
      </c>
      <c r="Q509" s="6">
        <v>34.69</v>
      </c>
      <c r="R509" s="6">
        <v>3349.18</v>
      </c>
      <c r="S509" s="6">
        <v>0.05</v>
      </c>
      <c r="T509" s="6">
        <v>167.46</v>
      </c>
      <c r="U509" s="6">
        <v>3181.72</v>
      </c>
      <c r="V509" s="6">
        <v>1942.84</v>
      </c>
      <c r="W509" s="6">
        <v>1238.8800000000001</v>
      </c>
      <c r="X509" s="6" t="s">
        <v>45</v>
      </c>
    </row>
    <row r="510" spans="1:24" x14ac:dyDescent="0.25">
      <c r="A510" s="5" t="s">
        <v>952</v>
      </c>
      <c r="B510" s="18">
        <v>45468</v>
      </c>
      <c r="C510" s="7" t="s">
        <v>953</v>
      </c>
      <c r="D510" s="7" t="s">
        <v>221</v>
      </c>
      <c r="E510" s="7" t="s">
        <v>36</v>
      </c>
      <c r="F510" s="7" t="s">
        <v>37</v>
      </c>
      <c r="G510" s="7" t="s">
        <v>38</v>
      </c>
      <c r="H510" s="7" t="s">
        <v>39</v>
      </c>
      <c r="I510" s="7" t="s">
        <v>53</v>
      </c>
      <c r="J510" s="7" t="s">
        <v>54</v>
      </c>
      <c r="K510" s="7" t="s">
        <v>170</v>
      </c>
      <c r="L510" s="7" t="s">
        <v>2671</v>
      </c>
      <c r="M510" s="7" t="s">
        <v>61</v>
      </c>
      <c r="N510" s="7" t="s">
        <v>31</v>
      </c>
      <c r="O510" s="7">
        <v>63</v>
      </c>
      <c r="P510" s="7">
        <v>170.87</v>
      </c>
      <c r="Q510" s="7">
        <v>104.63</v>
      </c>
      <c r="R510" s="7">
        <v>10764.67</v>
      </c>
      <c r="S510" s="7">
        <v>0.1</v>
      </c>
      <c r="T510" s="7">
        <v>1076.47</v>
      </c>
      <c r="U510" s="7">
        <v>9688.2099999999991</v>
      </c>
      <c r="V510" s="7">
        <v>6591.96</v>
      </c>
      <c r="W510" s="7">
        <v>3096.25</v>
      </c>
      <c r="X510" s="7" t="s">
        <v>45</v>
      </c>
    </row>
    <row r="511" spans="1:24" x14ac:dyDescent="0.25">
      <c r="A511" s="16" t="s">
        <v>954</v>
      </c>
      <c r="B511" s="17">
        <v>45468</v>
      </c>
      <c r="C511" s="6" t="s">
        <v>155</v>
      </c>
      <c r="D511" s="6" t="s">
        <v>156</v>
      </c>
      <c r="E511" s="6" t="s">
        <v>165</v>
      </c>
      <c r="F511" s="6" t="s">
        <v>166</v>
      </c>
      <c r="G511" s="6" t="s">
        <v>95</v>
      </c>
      <c r="H511" s="6" t="s">
        <v>167</v>
      </c>
      <c r="I511" s="6" t="s">
        <v>27</v>
      </c>
      <c r="J511" s="6" t="s">
        <v>211</v>
      </c>
      <c r="K511" s="6" t="s">
        <v>69</v>
      </c>
      <c r="L511" s="6" t="s">
        <v>2663</v>
      </c>
      <c r="M511" s="6" t="s">
        <v>43</v>
      </c>
      <c r="N511" s="6" t="s">
        <v>84</v>
      </c>
      <c r="O511" s="6">
        <v>26</v>
      </c>
      <c r="P511" s="6">
        <v>39.81</v>
      </c>
      <c r="Q511" s="6">
        <v>25.01</v>
      </c>
      <c r="R511" s="6">
        <v>1035.19</v>
      </c>
      <c r="S511" s="6">
        <v>0.02</v>
      </c>
      <c r="T511" s="6">
        <v>20.7</v>
      </c>
      <c r="U511" s="6">
        <v>1014.48</v>
      </c>
      <c r="V511" s="6">
        <v>650.27</v>
      </c>
      <c r="W511" s="6">
        <v>364.22</v>
      </c>
      <c r="X511" s="6" t="s">
        <v>45</v>
      </c>
    </row>
    <row r="512" spans="1:24" x14ac:dyDescent="0.25">
      <c r="A512" s="5" t="s">
        <v>955</v>
      </c>
      <c r="B512" s="18">
        <v>45395</v>
      </c>
      <c r="C512" s="7" t="s">
        <v>297</v>
      </c>
      <c r="D512" s="7" t="s">
        <v>87</v>
      </c>
      <c r="E512" s="7" t="s">
        <v>99</v>
      </c>
      <c r="F512" s="7" t="s">
        <v>100</v>
      </c>
      <c r="G512" s="7" t="s">
        <v>101</v>
      </c>
      <c r="H512" s="7" t="s">
        <v>102</v>
      </c>
      <c r="I512" s="7" t="s">
        <v>27</v>
      </c>
      <c r="J512" s="7" t="s">
        <v>28</v>
      </c>
      <c r="K512" s="7" t="s">
        <v>178</v>
      </c>
      <c r="L512" s="7" t="s">
        <v>256</v>
      </c>
      <c r="M512" s="7" t="s">
        <v>43</v>
      </c>
      <c r="N512" s="7" t="s">
        <v>84</v>
      </c>
      <c r="O512" s="7">
        <v>47</v>
      </c>
      <c r="P512" s="7">
        <v>64.400000000000006</v>
      </c>
      <c r="Q512" s="7">
        <v>41.07</v>
      </c>
      <c r="R512" s="7">
        <v>3026.87</v>
      </c>
      <c r="S512" s="7">
        <v>0.2</v>
      </c>
      <c r="T512" s="7">
        <v>605.37</v>
      </c>
      <c r="U512" s="7">
        <v>2421.5</v>
      </c>
      <c r="V512" s="7">
        <v>1930.43</v>
      </c>
      <c r="W512" s="7">
        <v>491.07</v>
      </c>
      <c r="X512" s="7" t="s">
        <v>32</v>
      </c>
    </row>
    <row r="513" spans="1:24" x14ac:dyDescent="0.25">
      <c r="A513" s="16" t="s">
        <v>956</v>
      </c>
      <c r="B513" s="17">
        <v>45410</v>
      </c>
      <c r="C513" s="6" t="s">
        <v>938</v>
      </c>
      <c r="D513" s="6" t="s">
        <v>156</v>
      </c>
      <c r="E513" s="6" t="s">
        <v>99</v>
      </c>
      <c r="F513" s="6" t="s">
        <v>100</v>
      </c>
      <c r="G513" s="6" t="s">
        <v>101</v>
      </c>
      <c r="H513" s="6" t="s">
        <v>102</v>
      </c>
      <c r="I513" s="6" t="s">
        <v>58</v>
      </c>
      <c r="J513" s="6" t="s">
        <v>345</v>
      </c>
      <c r="K513" s="6"/>
      <c r="L513" s="6"/>
      <c r="M513" s="6" t="s">
        <v>30</v>
      </c>
      <c r="N513" s="6" t="s">
        <v>84</v>
      </c>
      <c r="O513" s="6">
        <v>39</v>
      </c>
      <c r="P513" s="6">
        <v>67.7</v>
      </c>
      <c r="Q513" s="6">
        <v>40.909999999999997</v>
      </c>
      <c r="R513" s="6">
        <v>2640.47</v>
      </c>
      <c r="S513" s="6">
        <v>0.1</v>
      </c>
      <c r="T513" s="6">
        <v>264.05</v>
      </c>
      <c r="U513" s="6">
        <v>2376.4299999999998</v>
      </c>
      <c r="V513" s="6">
        <v>1595.42</v>
      </c>
      <c r="W513" s="6">
        <v>781.01</v>
      </c>
      <c r="X513" s="6" t="s">
        <v>45</v>
      </c>
    </row>
    <row r="514" spans="1:24" x14ac:dyDescent="0.25">
      <c r="A514" s="5" t="s">
        <v>957</v>
      </c>
      <c r="B514" s="18">
        <v>45488</v>
      </c>
      <c r="C514" s="7" t="s">
        <v>509</v>
      </c>
      <c r="D514" s="7" t="s">
        <v>264</v>
      </c>
      <c r="E514" s="7" t="s">
        <v>250</v>
      </c>
      <c r="F514" s="7" t="s">
        <v>251</v>
      </c>
      <c r="G514" s="7" t="s">
        <v>51</v>
      </c>
      <c r="H514" s="7" t="s">
        <v>252</v>
      </c>
      <c r="I514" s="7" t="s">
        <v>27</v>
      </c>
      <c r="J514" s="7" t="s">
        <v>28</v>
      </c>
      <c r="K514" s="7" t="s">
        <v>152</v>
      </c>
      <c r="L514" s="7" t="s">
        <v>2670</v>
      </c>
      <c r="M514" s="7" t="s">
        <v>153</v>
      </c>
      <c r="N514" s="7" t="s">
        <v>70</v>
      </c>
      <c r="O514" s="7">
        <v>54</v>
      </c>
      <c r="P514" s="7">
        <v>69.08</v>
      </c>
      <c r="Q514" s="7">
        <v>37.659999999999997</v>
      </c>
      <c r="R514" s="7">
        <v>3730.44</v>
      </c>
      <c r="S514" s="7">
        <v>0</v>
      </c>
      <c r="T514" s="7">
        <v>0</v>
      </c>
      <c r="U514" s="7">
        <v>3730.44</v>
      </c>
      <c r="V514" s="7">
        <v>2033.41</v>
      </c>
      <c r="W514" s="7">
        <v>1697.03</v>
      </c>
      <c r="X514" s="7" t="s">
        <v>45</v>
      </c>
    </row>
    <row r="515" spans="1:24" x14ac:dyDescent="0.25">
      <c r="A515" s="16" t="s">
        <v>958</v>
      </c>
      <c r="B515" s="17">
        <v>45391</v>
      </c>
      <c r="C515" s="6"/>
      <c r="D515" s="6"/>
      <c r="E515" s="6" t="s">
        <v>78</v>
      </c>
      <c r="F515" s="6" t="s">
        <v>79</v>
      </c>
      <c r="G515" s="6" t="s">
        <v>80</v>
      </c>
      <c r="H515" s="6" t="s">
        <v>81</v>
      </c>
      <c r="I515" s="6" t="s">
        <v>40</v>
      </c>
      <c r="J515" s="6" t="s">
        <v>41</v>
      </c>
      <c r="K515" s="6" t="s">
        <v>265</v>
      </c>
      <c r="L515" s="6" t="s">
        <v>2678</v>
      </c>
      <c r="M515" s="6" t="s">
        <v>61</v>
      </c>
      <c r="N515" s="6" t="s">
        <v>75</v>
      </c>
      <c r="O515" s="6">
        <v>38</v>
      </c>
      <c r="P515" s="6">
        <v>133.83000000000001</v>
      </c>
      <c r="Q515" s="6">
        <v>81.38</v>
      </c>
      <c r="R515" s="6">
        <v>5085.58</v>
      </c>
      <c r="S515" s="6">
        <v>0.1</v>
      </c>
      <c r="T515" s="6">
        <v>508.56</v>
      </c>
      <c r="U515" s="6">
        <v>4577.03</v>
      </c>
      <c r="V515" s="6">
        <v>3092.29</v>
      </c>
      <c r="W515" s="6">
        <v>1484.74</v>
      </c>
      <c r="X515" s="6" t="s">
        <v>129</v>
      </c>
    </row>
    <row r="516" spans="1:24" x14ac:dyDescent="0.25">
      <c r="A516" s="5" t="s">
        <v>959</v>
      </c>
      <c r="B516" s="18">
        <v>45597</v>
      </c>
      <c r="C516" s="7" t="s">
        <v>941</v>
      </c>
      <c r="D516" s="7" t="s">
        <v>149</v>
      </c>
      <c r="E516" s="7" t="s">
        <v>176</v>
      </c>
      <c r="F516" s="7" t="s">
        <v>177</v>
      </c>
      <c r="G516" s="7" t="s">
        <v>101</v>
      </c>
      <c r="H516" s="7" t="s">
        <v>39</v>
      </c>
      <c r="I516" s="7" t="s">
        <v>40</v>
      </c>
      <c r="J516" s="7" t="s">
        <v>289</v>
      </c>
      <c r="K516" s="7" t="s">
        <v>42</v>
      </c>
      <c r="L516" s="7" t="s">
        <v>2661</v>
      </c>
      <c r="M516" s="7" t="s">
        <v>43</v>
      </c>
      <c r="N516" s="7" t="s">
        <v>84</v>
      </c>
      <c r="O516" s="7">
        <v>50</v>
      </c>
      <c r="P516" s="7">
        <v>98.51</v>
      </c>
      <c r="Q516" s="7">
        <v>64.73</v>
      </c>
      <c r="R516" s="7">
        <v>4925.3900000000003</v>
      </c>
      <c r="S516" s="7">
        <v>1.1000000000000001</v>
      </c>
      <c r="T516" s="7">
        <v>738.81</v>
      </c>
      <c r="U516" s="7">
        <v>4186.58</v>
      </c>
      <c r="V516" s="7">
        <v>3236.47</v>
      </c>
      <c r="W516" s="7">
        <v>950.11</v>
      </c>
      <c r="X516" s="7" t="s">
        <v>45</v>
      </c>
    </row>
    <row r="517" spans="1:24" x14ac:dyDescent="0.25">
      <c r="A517" s="16" t="s">
        <v>960</v>
      </c>
      <c r="B517" s="17">
        <v>45472</v>
      </c>
      <c r="C517" s="6" t="s">
        <v>961</v>
      </c>
      <c r="D517" s="6" t="s">
        <v>87</v>
      </c>
      <c r="E517" s="6" t="s">
        <v>66</v>
      </c>
      <c r="F517" s="6" t="s">
        <v>67</v>
      </c>
      <c r="G517" s="6" t="s">
        <v>38</v>
      </c>
      <c r="H517" s="6" t="s">
        <v>68</v>
      </c>
      <c r="I517" s="6" t="s">
        <v>40</v>
      </c>
      <c r="J517" s="6" t="s">
        <v>289</v>
      </c>
      <c r="K517" s="6" t="s">
        <v>118</v>
      </c>
      <c r="L517" s="6" t="s">
        <v>2668</v>
      </c>
      <c r="M517" s="6" t="s">
        <v>61</v>
      </c>
      <c r="N517" s="6" t="s">
        <v>75</v>
      </c>
      <c r="O517" s="6">
        <v>25</v>
      </c>
      <c r="P517" s="6">
        <v>152.5</v>
      </c>
      <c r="Q517" s="6">
        <v>104.28</v>
      </c>
      <c r="R517" s="6">
        <v>3812.48</v>
      </c>
      <c r="S517" s="6">
        <v>0.05</v>
      </c>
      <c r="T517" s="6">
        <v>190.62</v>
      </c>
      <c r="U517" s="6">
        <v>3621.85</v>
      </c>
      <c r="V517" s="6">
        <v>2606.89</v>
      </c>
      <c r="W517" s="6">
        <v>1014.96</v>
      </c>
      <c r="X517" s="6" t="s">
        <v>45</v>
      </c>
    </row>
    <row r="518" spans="1:24" x14ac:dyDescent="0.25">
      <c r="A518" s="5" t="s">
        <v>962</v>
      </c>
      <c r="B518" s="18">
        <v>45307</v>
      </c>
      <c r="C518" s="7" t="s">
        <v>197</v>
      </c>
      <c r="D518" s="7" t="s">
        <v>159</v>
      </c>
      <c r="E518" s="7" t="s">
        <v>132</v>
      </c>
      <c r="F518" s="7" t="s">
        <v>133</v>
      </c>
      <c r="G518" s="7" t="s">
        <v>51</v>
      </c>
      <c r="H518" s="7" t="s">
        <v>134</v>
      </c>
      <c r="I518" s="7" t="s">
        <v>53</v>
      </c>
      <c r="J518" s="7" t="s">
        <v>54</v>
      </c>
      <c r="K518" s="7" t="s">
        <v>195</v>
      </c>
      <c r="L518" s="7" t="s">
        <v>2673</v>
      </c>
      <c r="M518" s="7" t="s">
        <v>153</v>
      </c>
      <c r="N518" s="7" t="s">
        <v>44</v>
      </c>
      <c r="O518" s="7">
        <v>35</v>
      </c>
      <c r="P518" s="7">
        <v>61.9</v>
      </c>
      <c r="Q518" s="7">
        <v>34.200000000000003</v>
      </c>
      <c r="R518" s="7">
        <v>2166.58</v>
      </c>
      <c r="S518" s="7">
        <v>0.1</v>
      </c>
      <c r="T518" s="7">
        <v>216.66</v>
      </c>
      <c r="U518" s="7">
        <v>1949.92</v>
      </c>
      <c r="V518" s="7">
        <v>1196.8699999999999</v>
      </c>
      <c r="W518" s="7">
        <v>753.05</v>
      </c>
      <c r="X518" s="7" t="s">
        <v>963</v>
      </c>
    </row>
    <row r="519" spans="1:24" x14ac:dyDescent="0.25">
      <c r="A519" s="16" t="s">
        <v>964</v>
      </c>
      <c r="B519" s="17">
        <v>45623</v>
      </c>
      <c r="C519" s="6" t="s">
        <v>674</v>
      </c>
      <c r="D519" s="6" t="s">
        <v>264</v>
      </c>
      <c r="E519" s="6" t="s">
        <v>132</v>
      </c>
      <c r="F519" s="6" t="s">
        <v>133</v>
      </c>
      <c r="G519" s="6" t="s">
        <v>51</v>
      </c>
      <c r="H519" s="6" t="s">
        <v>134</v>
      </c>
      <c r="I519" s="6" t="s">
        <v>40</v>
      </c>
      <c r="J519" s="6" t="s">
        <v>41</v>
      </c>
      <c r="K519" s="6" t="s">
        <v>74</v>
      </c>
      <c r="L519" s="6" t="s">
        <v>2664</v>
      </c>
      <c r="M519" s="6" t="s">
        <v>153</v>
      </c>
      <c r="N519" s="6" t="s">
        <v>70</v>
      </c>
      <c r="O519" s="6">
        <v>72</v>
      </c>
      <c r="P519" s="6">
        <v>58.52</v>
      </c>
      <c r="Q519" s="6">
        <v>33.17</v>
      </c>
      <c r="R519" s="6">
        <v>4213.79</v>
      </c>
      <c r="S519" s="6">
        <v>0.1</v>
      </c>
      <c r="T519" s="6">
        <v>421.38</v>
      </c>
      <c r="U519" s="6">
        <v>3792.41</v>
      </c>
      <c r="V519" s="6">
        <v>2388.0500000000002</v>
      </c>
      <c r="W519" s="6">
        <v>1404.36</v>
      </c>
      <c r="X519" s="6" t="s">
        <v>45</v>
      </c>
    </row>
    <row r="520" spans="1:24" x14ac:dyDescent="0.25">
      <c r="A520" s="5" t="s">
        <v>965</v>
      </c>
      <c r="B520" s="18">
        <v>45625</v>
      </c>
      <c r="C520" s="7" t="s">
        <v>541</v>
      </c>
      <c r="D520" s="7" t="s">
        <v>159</v>
      </c>
      <c r="E520" s="7" t="s">
        <v>23</v>
      </c>
      <c r="F520" s="7" t="s">
        <v>24</v>
      </c>
      <c r="G520" s="7" t="s">
        <v>25</v>
      </c>
      <c r="H520" s="7" t="s">
        <v>26</v>
      </c>
      <c r="I520" s="7" t="s">
        <v>88</v>
      </c>
      <c r="J520" s="7" t="s">
        <v>173</v>
      </c>
      <c r="K520" s="7" t="s">
        <v>261</v>
      </c>
      <c r="L520" s="7" t="s">
        <v>2677</v>
      </c>
      <c r="M520" s="7" t="s">
        <v>153</v>
      </c>
      <c r="N520" s="7" t="s">
        <v>70</v>
      </c>
      <c r="O520" s="7">
        <v>50</v>
      </c>
      <c r="P520" s="7">
        <v>70.34</v>
      </c>
      <c r="Q520" s="7">
        <v>44.11</v>
      </c>
      <c r="R520" s="7">
        <v>3516.91</v>
      </c>
      <c r="S520" s="7">
        <v>0.1</v>
      </c>
      <c r="T520" s="7">
        <v>351.69</v>
      </c>
      <c r="U520" s="7">
        <v>3165.22</v>
      </c>
      <c r="V520" s="7">
        <v>2205.58</v>
      </c>
      <c r="W520" s="7">
        <v>959.63</v>
      </c>
      <c r="X520" s="7" t="s">
        <v>45</v>
      </c>
    </row>
    <row r="521" spans="1:24" x14ac:dyDescent="0.25">
      <c r="A521" s="16" t="s">
        <v>966</v>
      </c>
      <c r="B521" s="17">
        <v>45383</v>
      </c>
      <c r="C521" s="6" t="s">
        <v>967</v>
      </c>
      <c r="D521" s="6" t="s">
        <v>35</v>
      </c>
      <c r="E521" s="6" t="s">
        <v>78</v>
      </c>
      <c r="F521" s="6" t="s">
        <v>79</v>
      </c>
      <c r="G521" s="6" t="s">
        <v>80</v>
      </c>
      <c r="H521" s="6" t="s">
        <v>81</v>
      </c>
      <c r="I521" s="6" t="s">
        <v>27</v>
      </c>
      <c r="J521" s="6" t="s">
        <v>189</v>
      </c>
      <c r="K521" s="6" t="s">
        <v>178</v>
      </c>
      <c r="L521" s="6" t="s">
        <v>256</v>
      </c>
      <c r="M521" s="6" t="s">
        <v>43</v>
      </c>
      <c r="N521" s="6" t="s">
        <v>31</v>
      </c>
      <c r="O521" s="6">
        <v>29</v>
      </c>
      <c r="P521" s="6">
        <v>132.93</v>
      </c>
      <c r="Q521" s="6">
        <v>78.19</v>
      </c>
      <c r="R521" s="6">
        <v>3855.06</v>
      </c>
      <c r="S521" s="6">
        <v>0.15</v>
      </c>
      <c r="T521" s="6">
        <v>578.26</v>
      </c>
      <c r="U521" s="6">
        <v>3276.81</v>
      </c>
      <c r="V521" s="6">
        <v>2267.41</v>
      </c>
      <c r="W521" s="6">
        <v>1009.39</v>
      </c>
      <c r="X521" s="6" t="s">
        <v>45</v>
      </c>
    </row>
    <row r="522" spans="1:24" x14ac:dyDescent="0.25">
      <c r="A522" s="5" t="s">
        <v>968</v>
      </c>
      <c r="B522" s="18">
        <v>45622</v>
      </c>
      <c r="C522" s="7" t="s">
        <v>631</v>
      </c>
      <c r="D522" s="7" t="s">
        <v>105</v>
      </c>
      <c r="E522" s="7" t="s">
        <v>78</v>
      </c>
      <c r="F522" s="7" t="s">
        <v>79</v>
      </c>
      <c r="G522" s="7" t="s">
        <v>80</v>
      </c>
      <c r="H522" s="7" t="s">
        <v>81</v>
      </c>
      <c r="I522" s="7" t="s">
        <v>88</v>
      </c>
      <c r="J522" s="7" t="s">
        <v>135</v>
      </c>
      <c r="K522" s="7" t="s">
        <v>144</v>
      </c>
      <c r="L522" s="7" t="s">
        <v>2669</v>
      </c>
      <c r="M522" s="7" t="s">
        <v>61</v>
      </c>
      <c r="N522" s="7" t="s">
        <v>44</v>
      </c>
      <c r="O522" s="7">
        <v>66</v>
      </c>
      <c r="P522" s="7">
        <v>140.55000000000001</v>
      </c>
      <c r="Q522" s="7">
        <v>81.22</v>
      </c>
      <c r="R522" s="7">
        <v>9276.06</v>
      </c>
      <c r="S522" s="7">
        <v>0.02</v>
      </c>
      <c r="T522" s="7">
        <v>185.52</v>
      </c>
      <c r="U522" s="7">
        <v>9090.5400000000009</v>
      </c>
      <c r="V522" s="7">
        <v>5360.71</v>
      </c>
      <c r="W522" s="7">
        <v>3729.83</v>
      </c>
      <c r="X522" s="7" t="s">
        <v>45</v>
      </c>
    </row>
    <row r="523" spans="1:24" x14ac:dyDescent="0.25">
      <c r="A523" s="16" t="s">
        <v>969</v>
      </c>
      <c r="B523" s="17">
        <v>45346</v>
      </c>
      <c r="C523" s="6" t="s">
        <v>970</v>
      </c>
      <c r="D523" s="6" t="s">
        <v>159</v>
      </c>
      <c r="E523" s="6" t="s">
        <v>209</v>
      </c>
      <c r="F523" s="6" t="s">
        <v>210</v>
      </c>
      <c r="G523" s="6" t="s">
        <v>51</v>
      </c>
      <c r="H523" s="6" t="s">
        <v>116</v>
      </c>
      <c r="I523" s="6" t="s">
        <v>53</v>
      </c>
      <c r="J523" s="6" t="s">
        <v>143</v>
      </c>
      <c r="K523" s="6" t="s">
        <v>111</v>
      </c>
      <c r="L523" s="6" t="s">
        <v>2667</v>
      </c>
      <c r="M523" s="6" t="s">
        <v>30</v>
      </c>
      <c r="N523" s="6" t="s">
        <v>75</v>
      </c>
      <c r="O523" s="6">
        <v>50</v>
      </c>
      <c r="P523" s="6">
        <v>16.579999999999998</v>
      </c>
      <c r="Q523" s="6">
        <v>9.66</v>
      </c>
      <c r="R523" s="6">
        <v>828.92</v>
      </c>
      <c r="S523" s="6">
        <v>0</v>
      </c>
      <c r="T523" s="6">
        <v>0</v>
      </c>
      <c r="U523" s="6">
        <v>828.92</v>
      </c>
      <c r="V523" s="6">
        <v>482.96</v>
      </c>
      <c r="W523" s="6">
        <v>345.96</v>
      </c>
      <c r="X523" s="6" t="s">
        <v>129</v>
      </c>
    </row>
    <row r="524" spans="1:24" x14ac:dyDescent="0.25">
      <c r="A524" s="5" t="s">
        <v>971</v>
      </c>
      <c r="B524" s="18">
        <v>45329</v>
      </c>
      <c r="C524" s="7" t="s">
        <v>309</v>
      </c>
      <c r="D524" s="7" t="s">
        <v>65</v>
      </c>
      <c r="E524" s="7" t="s">
        <v>141</v>
      </c>
      <c r="F524" s="7" t="s">
        <v>142</v>
      </c>
      <c r="G524" s="7" t="s">
        <v>25</v>
      </c>
      <c r="H524" s="7" t="s">
        <v>26</v>
      </c>
      <c r="I524" s="7" t="s">
        <v>27</v>
      </c>
      <c r="J524" s="7" t="s">
        <v>189</v>
      </c>
      <c r="K524" s="7" t="s">
        <v>253</v>
      </c>
      <c r="L524" s="7" t="s">
        <v>2676</v>
      </c>
      <c r="M524" s="7" t="s">
        <v>43</v>
      </c>
      <c r="N524" s="7" t="s">
        <v>44</v>
      </c>
      <c r="O524" s="7">
        <v>7</v>
      </c>
      <c r="P524" s="7">
        <v>88.42</v>
      </c>
      <c r="Q524" s="7">
        <v>60.32</v>
      </c>
      <c r="R524" s="7">
        <v>618.94000000000005</v>
      </c>
      <c r="S524" s="7">
        <v>0.02</v>
      </c>
      <c r="T524" s="7">
        <v>12.38</v>
      </c>
      <c r="U524" s="7">
        <v>606.55999999999995</v>
      </c>
      <c r="V524" s="7">
        <v>422.24</v>
      </c>
      <c r="W524" s="7">
        <v>184.32</v>
      </c>
      <c r="X524" s="7" t="s">
        <v>45</v>
      </c>
    </row>
    <row r="525" spans="1:24" x14ac:dyDescent="0.25">
      <c r="A525" s="16" t="s">
        <v>972</v>
      </c>
      <c r="B525" s="17">
        <v>45405</v>
      </c>
      <c r="C525" s="6" t="s">
        <v>732</v>
      </c>
      <c r="D525" s="6" t="s">
        <v>35</v>
      </c>
      <c r="E525" s="6" t="s">
        <v>165</v>
      </c>
      <c r="F525" s="6" t="s">
        <v>166</v>
      </c>
      <c r="G525" s="6" t="s">
        <v>95</v>
      </c>
      <c r="H525" s="6" t="s">
        <v>167</v>
      </c>
      <c r="I525" s="6" t="s">
        <v>40</v>
      </c>
      <c r="J525" s="6" t="s">
        <v>82</v>
      </c>
      <c r="K525" s="6" t="s">
        <v>218</v>
      </c>
      <c r="L525" s="6" t="s">
        <v>2674</v>
      </c>
      <c r="M525" s="6" t="s">
        <v>61</v>
      </c>
      <c r="N525" s="6" t="s">
        <v>84</v>
      </c>
      <c r="O525" s="6">
        <v>24</v>
      </c>
      <c r="P525" s="6">
        <v>43.44</v>
      </c>
      <c r="Q525" s="6">
        <v>23.27</v>
      </c>
      <c r="R525" s="6">
        <v>1042.6400000000001</v>
      </c>
      <c r="S525" s="6">
        <v>0</v>
      </c>
      <c r="T525" s="6">
        <v>0</v>
      </c>
      <c r="U525" s="6">
        <v>1042.6400000000001</v>
      </c>
      <c r="V525" s="6">
        <v>558.57000000000005</v>
      </c>
      <c r="W525" s="6">
        <v>484.06</v>
      </c>
      <c r="X525" s="6" t="s">
        <v>45</v>
      </c>
    </row>
    <row r="526" spans="1:24" x14ac:dyDescent="0.25">
      <c r="A526" s="5" t="s">
        <v>973</v>
      </c>
      <c r="B526" s="18">
        <v>45550</v>
      </c>
      <c r="C526" s="7" t="s">
        <v>524</v>
      </c>
      <c r="D526" s="7" t="s">
        <v>125</v>
      </c>
      <c r="E526" s="7" t="s">
        <v>176</v>
      </c>
      <c r="F526" s="7" t="s">
        <v>177</v>
      </c>
      <c r="G526" s="7" t="s">
        <v>101</v>
      </c>
      <c r="H526" s="7" t="s">
        <v>39</v>
      </c>
      <c r="I526" s="7" t="s">
        <v>58</v>
      </c>
      <c r="J526" s="7" t="s">
        <v>345</v>
      </c>
      <c r="K526" s="7" t="s">
        <v>83</v>
      </c>
      <c r="L526" s="7" t="s">
        <v>2665</v>
      </c>
      <c r="M526" s="7" t="s">
        <v>153</v>
      </c>
      <c r="N526" s="7" t="s">
        <v>75</v>
      </c>
      <c r="O526" s="7">
        <v>74</v>
      </c>
      <c r="P526" s="7">
        <v>105.53</v>
      </c>
      <c r="Q526" s="7">
        <v>58.29</v>
      </c>
      <c r="R526" s="7">
        <v>7809.25</v>
      </c>
      <c r="S526" s="7">
        <v>0.05</v>
      </c>
      <c r="T526" s="7">
        <v>390.46</v>
      </c>
      <c r="U526" s="7">
        <v>7418.79</v>
      </c>
      <c r="V526" s="7">
        <v>4313.3999999999996</v>
      </c>
      <c r="W526" s="7">
        <v>3105.39</v>
      </c>
      <c r="X526" s="7" t="s">
        <v>129</v>
      </c>
    </row>
    <row r="527" spans="1:24" x14ac:dyDescent="0.25">
      <c r="A527" s="16" t="s">
        <v>974</v>
      </c>
      <c r="B527" s="17">
        <v>45541</v>
      </c>
      <c r="C527" s="6" t="s">
        <v>975</v>
      </c>
      <c r="D527" s="6" t="s">
        <v>105</v>
      </c>
      <c r="E527" s="6" t="s">
        <v>250</v>
      </c>
      <c r="F527" s="6" t="s">
        <v>251</v>
      </c>
      <c r="G527" s="6" t="s">
        <v>51</v>
      </c>
      <c r="H527" s="6" t="s">
        <v>252</v>
      </c>
      <c r="I527" s="6" t="s">
        <v>27</v>
      </c>
      <c r="J527" s="6" t="s">
        <v>28</v>
      </c>
      <c r="K527" s="6" t="s">
        <v>118</v>
      </c>
      <c r="L527" s="6" t="s">
        <v>2668</v>
      </c>
      <c r="M527" s="6" t="s">
        <v>153</v>
      </c>
      <c r="N527" s="6" t="s">
        <v>368</v>
      </c>
      <c r="O527" s="6">
        <v>34</v>
      </c>
      <c r="P527" s="6">
        <v>68.36</v>
      </c>
      <c r="Q527" s="6">
        <v>37.54</v>
      </c>
      <c r="R527" s="6">
        <v>2324.08</v>
      </c>
      <c r="S527" s="6">
        <v>0.05</v>
      </c>
      <c r="T527" s="6">
        <v>116.2</v>
      </c>
      <c r="U527" s="6">
        <v>2207.87</v>
      </c>
      <c r="V527" s="6">
        <v>1276.24</v>
      </c>
      <c r="W527" s="6">
        <v>931.64</v>
      </c>
      <c r="X527" s="6" t="s">
        <v>129</v>
      </c>
    </row>
    <row r="528" spans="1:24" x14ac:dyDescent="0.25">
      <c r="A528" s="5" t="s">
        <v>976</v>
      </c>
      <c r="B528" s="18">
        <v>45439</v>
      </c>
      <c r="C528" s="7" t="s">
        <v>339</v>
      </c>
      <c r="D528" s="7" t="s">
        <v>221</v>
      </c>
      <c r="E528" s="7" t="s">
        <v>132</v>
      </c>
      <c r="F528" s="7" t="s">
        <v>133</v>
      </c>
      <c r="G528" s="7" t="s">
        <v>51</v>
      </c>
      <c r="H528" s="7" t="s">
        <v>134</v>
      </c>
      <c r="I528" s="7" t="s">
        <v>40</v>
      </c>
      <c r="J528" s="7" t="s">
        <v>82</v>
      </c>
      <c r="K528" s="7" t="s">
        <v>60</v>
      </c>
      <c r="L528" s="7" t="s">
        <v>2662</v>
      </c>
      <c r="M528" s="7" t="s">
        <v>61</v>
      </c>
      <c r="N528" s="7" t="s">
        <v>84</v>
      </c>
      <c r="O528" s="7">
        <v>63</v>
      </c>
      <c r="P528" s="7">
        <v>63.74</v>
      </c>
      <c r="Q528" s="7">
        <v>34.43</v>
      </c>
      <c r="R528" s="7">
        <v>4015.34</v>
      </c>
      <c r="S528" s="7">
        <v>0.15</v>
      </c>
      <c r="T528" s="7">
        <v>602.29999999999995</v>
      </c>
      <c r="U528" s="7">
        <v>3413.04</v>
      </c>
      <c r="V528" s="7">
        <v>2169.0100000000002</v>
      </c>
      <c r="W528" s="7">
        <v>1244.03</v>
      </c>
      <c r="X528" s="7" t="s">
        <v>32</v>
      </c>
    </row>
    <row r="529" spans="1:24" x14ac:dyDescent="0.25">
      <c r="A529" s="16" t="s">
        <v>977</v>
      </c>
      <c r="B529" s="17">
        <v>45392</v>
      </c>
      <c r="C529" s="6" t="s">
        <v>418</v>
      </c>
      <c r="D529" s="6" t="s">
        <v>159</v>
      </c>
      <c r="E529" s="6" t="s">
        <v>99</v>
      </c>
      <c r="F529" s="6" t="s">
        <v>100</v>
      </c>
      <c r="G529" s="6" t="s">
        <v>101</v>
      </c>
      <c r="H529" s="6" t="s">
        <v>102</v>
      </c>
      <c r="I529" s="6" t="s">
        <v>40</v>
      </c>
      <c r="J529" s="6" t="s">
        <v>41</v>
      </c>
      <c r="K529" s="6" t="s">
        <v>218</v>
      </c>
      <c r="L529" s="6" t="s">
        <v>2674</v>
      </c>
      <c r="M529" s="6" t="s">
        <v>61</v>
      </c>
      <c r="N529" s="6" t="s">
        <v>75</v>
      </c>
      <c r="O529" s="6">
        <v>33</v>
      </c>
      <c r="P529" s="6">
        <v>71.03</v>
      </c>
      <c r="Q529" s="6">
        <v>42.33</v>
      </c>
      <c r="R529" s="6">
        <v>2343.89</v>
      </c>
      <c r="S529" s="6">
        <v>0.1</v>
      </c>
      <c r="T529" s="6">
        <v>234.39</v>
      </c>
      <c r="U529" s="6">
        <v>2109.5</v>
      </c>
      <c r="V529" s="6">
        <v>1396.87</v>
      </c>
      <c r="W529" s="6">
        <v>712.64</v>
      </c>
      <c r="X529" s="6" t="s">
        <v>129</v>
      </c>
    </row>
    <row r="530" spans="1:24" x14ac:dyDescent="0.25">
      <c r="A530" s="5" t="s">
        <v>978</v>
      </c>
      <c r="B530" s="18">
        <v>45318</v>
      </c>
      <c r="C530" s="7" t="s">
        <v>449</v>
      </c>
      <c r="D530" s="7" t="s">
        <v>65</v>
      </c>
      <c r="E530" s="7" t="s">
        <v>109</v>
      </c>
      <c r="F530" s="7" t="s">
        <v>110</v>
      </c>
      <c r="G530" s="7" t="s">
        <v>80</v>
      </c>
      <c r="H530" s="7" t="s">
        <v>81</v>
      </c>
      <c r="I530" s="7" t="s">
        <v>88</v>
      </c>
      <c r="J530" s="7" t="s">
        <v>135</v>
      </c>
      <c r="K530" s="7" t="s">
        <v>178</v>
      </c>
      <c r="L530" s="7" t="s">
        <v>256</v>
      </c>
      <c r="M530" s="7" t="s">
        <v>61</v>
      </c>
      <c r="N530" s="7" t="s">
        <v>31</v>
      </c>
      <c r="O530" s="7">
        <v>74</v>
      </c>
      <c r="P530" s="7">
        <v>117.81</v>
      </c>
      <c r="Q530" s="7">
        <v>70.47</v>
      </c>
      <c r="R530" s="7">
        <v>8718.25</v>
      </c>
      <c r="S530" s="7">
        <v>0.1</v>
      </c>
      <c r="T530" s="7">
        <v>871.83</v>
      </c>
      <c r="U530" s="7">
        <v>7846.43</v>
      </c>
      <c r="V530" s="7">
        <v>5214.92</v>
      </c>
      <c r="W530" s="7">
        <v>2631.51</v>
      </c>
      <c r="X530" s="7" t="s">
        <v>45</v>
      </c>
    </row>
    <row r="531" spans="1:24" x14ac:dyDescent="0.25">
      <c r="A531" s="16" t="s">
        <v>979</v>
      </c>
      <c r="B531" s="17">
        <v>45595</v>
      </c>
      <c r="C531" s="6" t="s">
        <v>245</v>
      </c>
      <c r="D531" s="6" t="s">
        <v>65</v>
      </c>
      <c r="E531" s="6" t="s">
        <v>66</v>
      </c>
      <c r="F531" s="6" t="s">
        <v>67</v>
      </c>
      <c r="G531" s="6" t="s">
        <v>38</v>
      </c>
      <c r="H531" s="6" t="s">
        <v>68</v>
      </c>
      <c r="I531" s="6" t="s">
        <v>27</v>
      </c>
      <c r="J531" s="6" t="s">
        <v>28</v>
      </c>
      <c r="K531" s="6" t="s">
        <v>265</v>
      </c>
      <c r="L531" s="6" t="s">
        <v>2678</v>
      </c>
      <c r="M531" s="6" t="s">
        <v>61</v>
      </c>
      <c r="N531" s="6" t="s">
        <v>31</v>
      </c>
      <c r="O531" s="6">
        <v>4</v>
      </c>
      <c r="P531" s="6">
        <v>166.42</v>
      </c>
      <c r="Q531" s="6">
        <v>97.37</v>
      </c>
      <c r="R531" s="6">
        <v>665.7</v>
      </c>
      <c r="S531" s="6">
        <v>0.15</v>
      </c>
      <c r="T531" s="6">
        <v>99.85</v>
      </c>
      <c r="U531" s="6">
        <v>565.84</v>
      </c>
      <c r="V531" s="6">
        <v>389.47</v>
      </c>
      <c r="W531" s="6">
        <v>176.37</v>
      </c>
      <c r="X531" s="6" t="s">
        <v>45</v>
      </c>
    </row>
    <row r="532" spans="1:24" x14ac:dyDescent="0.25">
      <c r="A532" s="5" t="s">
        <v>980</v>
      </c>
      <c r="B532" s="18">
        <v>45311</v>
      </c>
      <c r="C532" s="7" t="s">
        <v>506</v>
      </c>
      <c r="D532" s="7" t="s">
        <v>264</v>
      </c>
      <c r="E532" s="7" t="s">
        <v>99</v>
      </c>
      <c r="F532" s="7" t="s">
        <v>100</v>
      </c>
      <c r="G532" s="7" t="s">
        <v>101</v>
      </c>
      <c r="H532" s="7" t="s">
        <v>102</v>
      </c>
      <c r="I532" s="7" t="s">
        <v>27</v>
      </c>
      <c r="J532" s="7" t="s">
        <v>106</v>
      </c>
      <c r="K532" s="7" t="s">
        <v>118</v>
      </c>
      <c r="L532" s="7" t="s">
        <v>2668</v>
      </c>
      <c r="M532" s="7" t="s">
        <v>153</v>
      </c>
      <c r="N532" s="7" t="s">
        <v>84</v>
      </c>
      <c r="O532" s="7">
        <v>74</v>
      </c>
      <c r="P532" s="7">
        <v>74.92</v>
      </c>
      <c r="Q532" s="7">
        <v>42.96</v>
      </c>
      <c r="R532" s="7">
        <v>5543.9</v>
      </c>
      <c r="S532" s="7">
        <v>0.1</v>
      </c>
      <c r="T532" s="7">
        <v>554.39</v>
      </c>
      <c r="U532" s="7">
        <v>4989.51</v>
      </c>
      <c r="V532" s="7">
        <v>3179.04</v>
      </c>
      <c r="W532" s="7">
        <v>1810.47</v>
      </c>
      <c r="X532" s="7" t="s">
        <v>45</v>
      </c>
    </row>
    <row r="533" spans="1:24" x14ac:dyDescent="0.25">
      <c r="A533" s="16" t="s">
        <v>981</v>
      </c>
      <c r="B533" s="17">
        <v>45349</v>
      </c>
      <c r="C533" s="6" t="s">
        <v>794</v>
      </c>
      <c r="D533" s="6" t="s">
        <v>65</v>
      </c>
      <c r="E533" s="6" t="s">
        <v>209</v>
      </c>
      <c r="F533" s="6" t="s">
        <v>210</v>
      </c>
      <c r="G533" s="6" t="s">
        <v>51</v>
      </c>
      <c r="H533" s="6" t="s">
        <v>116</v>
      </c>
      <c r="I533" s="6" t="s">
        <v>27</v>
      </c>
      <c r="J533" s="6" t="s">
        <v>211</v>
      </c>
      <c r="K533" s="6" t="s">
        <v>144</v>
      </c>
      <c r="L533" s="6" t="s">
        <v>2669</v>
      </c>
      <c r="M533" s="6" t="s">
        <v>153</v>
      </c>
      <c r="N533" s="6" t="s">
        <v>84</v>
      </c>
      <c r="O533" s="6">
        <v>45</v>
      </c>
      <c r="P533" s="6">
        <v>18.809999999999999</v>
      </c>
      <c r="Q533" s="6">
        <v>9.3699999999999992</v>
      </c>
      <c r="R533" s="6">
        <v>846.27</v>
      </c>
      <c r="S533" s="6">
        <v>0.1</v>
      </c>
      <c r="T533" s="6">
        <v>84.63</v>
      </c>
      <c r="U533" s="6">
        <v>761.64</v>
      </c>
      <c r="V533" s="6">
        <v>421.7</v>
      </c>
      <c r="W533" s="6">
        <v>339.94</v>
      </c>
      <c r="X533" s="6" t="s">
        <v>32</v>
      </c>
    </row>
    <row r="534" spans="1:24" x14ac:dyDescent="0.25">
      <c r="A534" s="5" t="s">
        <v>982</v>
      </c>
      <c r="B534" s="18">
        <v>45454</v>
      </c>
      <c r="C534" s="7" t="s">
        <v>983</v>
      </c>
      <c r="D534" s="7" t="s">
        <v>22</v>
      </c>
      <c r="E534" s="7" t="s">
        <v>109</v>
      </c>
      <c r="F534" s="7" t="s">
        <v>110</v>
      </c>
      <c r="G534" s="7" t="s">
        <v>80</v>
      </c>
      <c r="H534" s="7" t="s">
        <v>81</v>
      </c>
      <c r="I534" s="7" t="s">
        <v>88</v>
      </c>
      <c r="J534" s="7" t="s">
        <v>135</v>
      </c>
      <c r="K534" s="7" t="s">
        <v>118</v>
      </c>
      <c r="L534" s="7" t="s">
        <v>2668</v>
      </c>
      <c r="M534" s="7" t="s">
        <v>153</v>
      </c>
      <c r="N534" s="7" t="s">
        <v>31</v>
      </c>
      <c r="O534" s="7">
        <v>78</v>
      </c>
      <c r="P534" s="7">
        <v>134.75</v>
      </c>
      <c r="Q534" s="7">
        <v>68.55</v>
      </c>
      <c r="R534" s="7">
        <v>10510.73</v>
      </c>
      <c r="S534" s="7">
        <v>0.15</v>
      </c>
      <c r="T534" s="7">
        <v>1576.61</v>
      </c>
      <c r="U534" s="7">
        <v>8934.1200000000008</v>
      </c>
      <c r="V534" s="7">
        <v>5347.28</v>
      </c>
      <c r="W534" s="7">
        <v>3586.84</v>
      </c>
      <c r="X534" s="7" t="s">
        <v>45</v>
      </c>
    </row>
    <row r="535" spans="1:24" x14ac:dyDescent="0.25">
      <c r="A535" s="16" t="s">
        <v>984</v>
      </c>
      <c r="B535" s="17">
        <v>45549</v>
      </c>
      <c r="C535" s="6" t="s">
        <v>985</v>
      </c>
      <c r="D535" s="6" t="s">
        <v>393</v>
      </c>
      <c r="E535" s="6" t="s">
        <v>93</v>
      </c>
      <c r="F535" s="6" t="s">
        <v>94</v>
      </c>
      <c r="G535" s="6" t="s">
        <v>95</v>
      </c>
      <c r="H535" s="6" t="s">
        <v>96</v>
      </c>
      <c r="I535" s="6" t="s">
        <v>58</v>
      </c>
      <c r="J535" s="6" t="s">
        <v>345</v>
      </c>
      <c r="K535" s="6" t="s">
        <v>60</v>
      </c>
      <c r="L535" s="6" t="s">
        <v>2662</v>
      </c>
      <c r="M535" s="6" t="s">
        <v>138</v>
      </c>
      <c r="N535" s="6" t="s">
        <v>44</v>
      </c>
      <c r="O535" s="6">
        <v>22</v>
      </c>
      <c r="P535" s="6">
        <v>58.88</v>
      </c>
      <c r="Q535" s="6">
        <v>31.42</v>
      </c>
      <c r="R535" s="6">
        <v>1295.47</v>
      </c>
      <c r="S535" s="6">
        <v>0.15</v>
      </c>
      <c r="T535" s="6">
        <v>194.32</v>
      </c>
      <c r="U535" s="6">
        <v>1101.1500000000001</v>
      </c>
      <c r="V535" s="6">
        <v>691.17</v>
      </c>
      <c r="W535" s="6">
        <v>409.98</v>
      </c>
      <c r="X535" s="6" t="s">
        <v>129</v>
      </c>
    </row>
    <row r="536" spans="1:24" x14ac:dyDescent="0.25">
      <c r="A536" s="5" t="s">
        <v>986</v>
      </c>
      <c r="B536" s="18">
        <v>45432</v>
      </c>
      <c r="C536" s="7" t="s">
        <v>104</v>
      </c>
      <c r="D536" s="7" t="s">
        <v>105</v>
      </c>
      <c r="E536" s="7" t="s">
        <v>114</v>
      </c>
      <c r="F536" s="7" t="s">
        <v>115</v>
      </c>
      <c r="G536" s="7" t="s">
        <v>95</v>
      </c>
      <c r="H536" s="7" t="s">
        <v>116</v>
      </c>
      <c r="I536" s="7" t="s">
        <v>58</v>
      </c>
      <c r="J536" s="7" t="s">
        <v>73</v>
      </c>
      <c r="K536" s="7" t="s">
        <v>178</v>
      </c>
      <c r="L536" s="7" t="s">
        <v>256</v>
      </c>
      <c r="M536" s="7" t="s">
        <v>153</v>
      </c>
      <c r="N536" s="7" t="s">
        <v>44</v>
      </c>
      <c r="O536" s="7">
        <v>8</v>
      </c>
      <c r="P536" s="7">
        <v>34.950000000000003</v>
      </c>
      <c r="Q536" s="7">
        <v>20.91</v>
      </c>
      <c r="R536" s="7">
        <v>279.62</v>
      </c>
      <c r="S536" s="7">
        <v>0</v>
      </c>
      <c r="T536" s="7">
        <v>0</v>
      </c>
      <c r="U536" s="7">
        <v>279.62</v>
      </c>
      <c r="V536" s="7">
        <v>167.29</v>
      </c>
      <c r="W536" s="7">
        <v>112.34</v>
      </c>
      <c r="X536" s="7" t="s">
        <v>129</v>
      </c>
    </row>
    <row r="537" spans="1:24" x14ac:dyDescent="0.25">
      <c r="A537" s="16" t="s">
        <v>987</v>
      </c>
      <c r="B537" s="17">
        <v>45477</v>
      </c>
      <c r="C537" s="6" t="s">
        <v>737</v>
      </c>
      <c r="D537" s="6" t="s">
        <v>22</v>
      </c>
      <c r="E537" s="6" t="s">
        <v>141</v>
      </c>
      <c r="F537" s="6" t="s">
        <v>142</v>
      </c>
      <c r="G537" s="6" t="s">
        <v>25</v>
      </c>
      <c r="H537" s="6" t="s">
        <v>26</v>
      </c>
      <c r="I537" s="6" t="s">
        <v>88</v>
      </c>
      <c r="J537" s="6" t="s">
        <v>89</v>
      </c>
      <c r="K537" s="6" t="s">
        <v>111</v>
      </c>
      <c r="L537" s="6" t="s">
        <v>2667</v>
      </c>
      <c r="M537" s="6" t="s">
        <v>30</v>
      </c>
      <c r="N537" s="6" t="s">
        <v>84</v>
      </c>
      <c r="O537" s="6">
        <v>36</v>
      </c>
      <c r="P537" s="6">
        <v>99.82</v>
      </c>
      <c r="Q537" s="6">
        <v>61.99</v>
      </c>
      <c r="R537" s="6">
        <v>3593.63</v>
      </c>
      <c r="S537" s="6">
        <v>0.2</v>
      </c>
      <c r="T537" s="6">
        <v>718.73</v>
      </c>
      <c r="U537" s="6">
        <v>3128.33</v>
      </c>
      <c r="V537" s="6">
        <v>2231.79</v>
      </c>
      <c r="W537" s="6">
        <v>643.12</v>
      </c>
      <c r="X537" s="6" t="s">
        <v>45</v>
      </c>
    </row>
    <row r="538" spans="1:24" x14ac:dyDescent="0.25">
      <c r="A538" s="5" t="s">
        <v>988</v>
      </c>
      <c r="B538" s="18">
        <v>45486</v>
      </c>
      <c r="C538" s="7" t="s">
        <v>989</v>
      </c>
      <c r="D538" s="7" t="s">
        <v>159</v>
      </c>
      <c r="E538" s="7" t="s">
        <v>23</v>
      </c>
      <c r="F538" s="7" t="s">
        <v>24</v>
      </c>
      <c r="G538" s="7" t="s">
        <v>25</v>
      </c>
      <c r="H538" s="7" t="s">
        <v>26</v>
      </c>
      <c r="I538" s="7" t="s">
        <v>53</v>
      </c>
      <c r="J538" s="7" t="s">
        <v>232</v>
      </c>
      <c r="K538" s="7" t="s">
        <v>60</v>
      </c>
      <c r="L538" s="7" t="s">
        <v>2662</v>
      </c>
      <c r="M538" s="7" t="s">
        <v>30</v>
      </c>
      <c r="N538" s="7" t="s">
        <v>70</v>
      </c>
      <c r="O538" s="7">
        <v>50</v>
      </c>
      <c r="P538" s="7">
        <v>73.77</v>
      </c>
      <c r="Q538" s="7">
        <v>42.41</v>
      </c>
      <c r="R538" s="7">
        <v>3688.56</v>
      </c>
      <c r="S538" s="7">
        <v>0.1</v>
      </c>
      <c r="T538" s="7">
        <v>368.86</v>
      </c>
      <c r="U538" s="7">
        <v>3319.7</v>
      </c>
      <c r="V538" s="7">
        <v>2120.52</v>
      </c>
      <c r="W538" s="7">
        <v>1199.18</v>
      </c>
      <c r="X538" s="7" t="s">
        <v>45</v>
      </c>
    </row>
    <row r="539" spans="1:24" x14ac:dyDescent="0.25">
      <c r="A539" s="16" t="s">
        <v>990</v>
      </c>
      <c r="B539" s="17">
        <v>45521</v>
      </c>
      <c r="C539" s="6" t="s">
        <v>272</v>
      </c>
      <c r="D539" s="6" t="s">
        <v>105</v>
      </c>
      <c r="E539" s="6" t="s">
        <v>49</v>
      </c>
      <c r="F539" s="6" t="s">
        <v>50</v>
      </c>
      <c r="G539" s="6" t="s">
        <v>51</v>
      </c>
      <c r="H539" s="6" t="s">
        <v>52</v>
      </c>
      <c r="I539" s="6" t="s">
        <v>27</v>
      </c>
      <c r="J539" s="6" t="s">
        <v>211</v>
      </c>
      <c r="K539" s="6" t="s">
        <v>195</v>
      </c>
      <c r="L539" s="6" t="s">
        <v>2673</v>
      </c>
      <c r="M539" s="6" t="s">
        <v>153</v>
      </c>
      <c r="N539" s="6" t="s">
        <v>84</v>
      </c>
      <c r="O539" s="6">
        <v>25</v>
      </c>
      <c r="P539" s="6">
        <v>25.45</v>
      </c>
      <c r="Q539" s="6">
        <v>13.91</v>
      </c>
      <c r="R539" s="6">
        <v>636.28</v>
      </c>
      <c r="S539" s="6">
        <v>0.15</v>
      </c>
      <c r="T539" s="6">
        <v>95.44</v>
      </c>
      <c r="U539" s="6">
        <v>540.84</v>
      </c>
      <c r="V539" s="6">
        <v>347.8</v>
      </c>
      <c r="W539" s="6">
        <v>193.04</v>
      </c>
      <c r="X539" s="6" t="s">
        <v>32</v>
      </c>
    </row>
    <row r="540" spans="1:24" x14ac:dyDescent="0.25">
      <c r="A540" s="5" t="s">
        <v>991</v>
      </c>
      <c r="B540" s="18">
        <v>45618</v>
      </c>
      <c r="C540" s="7" t="s">
        <v>992</v>
      </c>
      <c r="D540" s="7" t="s">
        <v>105</v>
      </c>
      <c r="E540" s="7" t="s">
        <v>109</v>
      </c>
      <c r="F540" s="7" t="s">
        <v>110</v>
      </c>
      <c r="G540" s="7" t="s">
        <v>80</v>
      </c>
      <c r="H540" s="7" t="s">
        <v>81</v>
      </c>
      <c r="I540" s="7" t="s">
        <v>58</v>
      </c>
      <c r="J540" s="7" t="s">
        <v>73</v>
      </c>
      <c r="K540" s="7" t="s">
        <v>152</v>
      </c>
      <c r="L540" s="7" t="s">
        <v>2670</v>
      </c>
      <c r="M540" s="7" t="s">
        <v>43</v>
      </c>
      <c r="N540" s="7" t="s">
        <v>31</v>
      </c>
      <c r="O540" s="7">
        <v>64</v>
      </c>
      <c r="P540" s="7">
        <v>115.67</v>
      </c>
      <c r="Q540" s="7">
        <v>78.489999999999995</v>
      </c>
      <c r="R540" s="7">
        <v>7403.11</v>
      </c>
      <c r="S540" s="7">
        <v>0.05</v>
      </c>
      <c r="T540" s="7">
        <v>370.16</v>
      </c>
      <c r="U540" s="7">
        <v>7032.95</v>
      </c>
      <c r="V540" s="7">
        <v>5023.33</v>
      </c>
      <c r="W540" s="7">
        <v>2009.62</v>
      </c>
      <c r="X540" s="7" t="s">
        <v>45</v>
      </c>
    </row>
    <row r="541" spans="1:24" x14ac:dyDescent="0.25">
      <c r="A541" s="16" t="s">
        <v>993</v>
      </c>
      <c r="B541" s="17">
        <v>45414</v>
      </c>
      <c r="C541" s="6" t="s">
        <v>541</v>
      </c>
      <c r="D541" s="6" t="s">
        <v>159</v>
      </c>
      <c r="E541" s="6" t="s">
        <v>216</v>
      </c>
      <c r="F541" s="6" t="s">
        <v>217</v>
      </c>
      <c r="G541" s="6" t="s">
        <v>38</v>
      </c>
      <c r="H541" s="6" t="s">
        <v>134</v>
      </c>
      <c r="I541" s="6" t="s">
        <v>88</v>
      </c>
      <c r="J541" s="6" t="s">
        <v>183</v>
      </c>
      <c r="K541" s="6" t="s">
        <v>111</v>
      </c>
      <c r="L541" s="6" t="s">
        <v>2667</v>
      </c>
      <c r="M541" s="6" t="s">
        <v>43</v>
      </c>
      <c r="N541" s="6" t="s">
        <v>70</v>
      </c>
      <c r="O541" s="6">
        <v>26</v>
      </c>
      <c r="P541" s="6">
        <v>115.05</v>
      </c>
      <c r="Q541" s="6">
        <v>65.02</v>
      </c>
      <c r="R541" s="6">
        <v>2991.29</v>
      </c>
      <c r="S541" s="6">
        <v>0</v>
      </c>
      <c r="T541" s="6">
        <v>0</v>
      </c>
      <c r="U541" s="6">
        <v>2991.29</v>
      </c>
      <c r="V541" s="6">
        <v>1690.55</v>
      </c>
      <c r="W541" s="6">
        <v>1300.74</v>
      </c>
      <c r="X541" s="6" t="s">
        <v>45</v>
      </c>
    </row>
    <row r="542" spans="1:24" x14ac:dyDescent="0.25">
      <c r="A542" s="5" t="s">
        <v>994</v>
      </c>
      <c r="B542" s="18">
        <v>45532</v>
      </c>
      <c r="C542" s="7" t="s">
        <v>269</v>
      </c>
      <c r="D542" s="7" t="s">
        <v>105</v>
      </c>
      <c r="E542" s="7" t="s">
        <v>150</v>
      </c>
      <c r="F542" s="7" t="s">
        <v>151</v>
      </c>
      <c r="G542" s="7" t="s">
        <v>101</v>
      </c>
      <c r="H542" s="7" t="s">
        <v>134</v>
      </c>
      <c r="I542" s="7" t="s">
        <v>58</v>
      </c>
      <c r="J542" s="7" t="s">
        <v>323</v>
      </c>
      <c r="K542" s="7" t="s">
        <v>74</v>
      </c>
      <c r="L542" s="7" t="s">
        <v>2664</v>
      </c>
      <c r="M542" s="7" t="s">
        <v>61</v>
      </c>
      <c r="N542" s="7" t="s">
        <v>44</v>
      </c>
      <c r="O542" s="7">
        <v>45</v>
      </c>
      <c r="P542" s="7">
        <v>81.3</v>
      </c>
      <c r="Q542" s="7">
        <v>48.65</v>
      </c>
      <c r="R542" s="7">
        <v>3658.58</v>
      </c>
      <c r="S542" s="7">
        <v>0.1</v>
      </c>
      <c r="T542" s="7">
        <v>365.86</v>
      </c>
      <c r="U542" s="7">
        <v>3292.73</v>
      </c>
      <c r="V542" s="7">
        <v>2189.2600000000002</v>
      </c>
      <c r="W542" s="7">
        <v>1103.46</v>
      </c>
      <c r="X542" s="7" t="s">
        <v>129</v>
      </c>
    </row>
    <row r="543" spans="1:24" x14ac:dyDescent="0.25">
      <c r="A543" s="16" t="s">
        <v>995</v>
      </c>
      <c r="B543" s="17">
        <v>45566</v>
      </c>
      <c r="C543" s="6" t="s">
        <v>356</v>
      </c>
      <c r="D543" s="6" t="s">
        <v>48</v>
      </c>
      <c r="E543" s="6" t="s">
        <v>222</v>
      </c>
      <c r="F543" s="6" t="s">
        <v>223</v>
      </c>
      <c r="G543" s="6" t="s">
        <v>101</v>
      </c>
      <c r="H543" s="6" t="s">
        <v>68</v>
      </c>
      <c r="I543" s="6" t="s">
        <v>40</v>
      </c>
      <c r="J543" s="6" t="s">
        <v>117</v>
      </c>
      <c r="K543" s="6" t="s">
        <v>69</v>
      </c>
      <c r="L543" s="6" t="s">
        <v>2663</v>
      </c>
      <c r="M543" s="6" t="s">
        <v>30</v>
      </c>
      <c r="N543" s="6" t="s">
        <v>70</v>
      </c>
      <c r="O543" s="6">
        <v>24</v>
      </c>
      <c r="P543" s="6">
        <v>122.27</v>
      </c>
      <c r="Q543" s="6">
        <v>76.23</v>
      </c>
      <c r="R543" s="6">
        <v>2934.43</v>
      </c>
      <c r="S543" s="6">
        <v>0.05</v>
      </c>
      <c r="T543" s="6">
        <v>146.72</v>
      </c>
      <c r="U543" s="6">
        <v>2787.71</v>
      </c>
      <c r="V543" s="6">
        <v>1829.52</v>
      </c>
      <c r="W543" s="6">
        <v>958.19</v>
      </c>
      <c r="X543" s="6" t="s">
        <v>45</v>
      </c>
    </row>
    <row r="544" spans="1:24" x14ac:dyDescent="0.25">
      <c r="A544" s="5" t="s">
        <v>996</v>
      </c>
      <c r="B544" s="18">
        <v>45544</v>
      </c>
      <c r="C544" s="7" t="s">
        <v>600</v>
      </c>
      <c r="D544" s="7" t="s">
        <v>87</v>
      </c>
      <c r="E544" s="7" t="s">
        <v>209</v>
      </c>
      <c r="F544" s="7" t="s">
        <v>210</v>
      </c>
      <c r="G544" s="7" t="s">
        <v>51</v>
      </c>
      <c r="H544" s="7" t="s">
        <v>116</v>
      </c>
      <c r="I544" s="7" t="s">
        <v>88</v>
      </c>
      <c r="J544" s="7" t="s">
        <v>135</v>
      </c>
      <c r="K544" s="7" t="s">
        <v>60</v>
      </c>
      <c r="L544" s="7" t="s">
        <v>2662</v>
      </c>
      <c r="M544" s="7" t="s">
        <v>43</v>
      </c>
      <c r="N544" s="7" t="s">
        <v>70</v>
      </c>
      <c r="O544" s="7">
        <v>12</v>
      </c>
      <c r="P544" s="7">
        <v>18.47</v>
      </c>
      <c r="Q544" s="7">
        <v>10.61</v>
      </c>
      <c r="R544" s="7">
        <v>221.68</v>
      </c>
      <c r="S544" s="7">
        <v>0.2</v>
      </c>
      <c r="T544" s="7">
        <v>44.34</v>
      </c>
      <c r="U544" s="7">
        <v>177.34</v>
      </c>
      <c r="V544" s="7">
        <v>127.33</v>
      </c>
      <c r="W544" s="7">
        <v>50.01</v>
      </c>
      <c r="X544" s="7" t="s">
        <v>45</v>
      </c>
    </row>
    <row r="545" spans="1:24" x14ac:dyDescent="0.25">
      <c r="A545" s="16" t="s">
        <v>997</v>
      </c>
      <c r="B545" s="17">
        <v>45635</v>
      </c>
      <c r="C545" s="6" t="s">
        <v>529</v>
      </c>
      <c r="D545" s="6" t="s">
        <v>256</v>
      </c>
      <c r="E545" s="6" t="s">
        <v>109</v>
      </c>
      <c r="F545" s="6" t="s">
        <v>110</v>
      </c>
      <c r="G545" s="6" t="s">
        <v>80</v>
      </c>
      <c r="H545" s="6" t="s">
        <v>81</v>
      </c>
      <c r="I545" s="6" t="s">
        <v>58</v>
      </c>
      <c r="J545" s="6" t="s">
        <v>73</v>
      </c>
      <c r="K545" s="6" t="s">
        <v>74</v>
      </c>
      <c r="L545" s="6" t="s">
        <v>2664</v>
      </c>
      <c r="M545" s="6" t="s">
        <v>61</v>
      </c>
      <c r="N545" s="6" t="s">
        <v>44</v>
      </c>
      <c r="O545" s="6">
        <v>71</v>
      </c>
      <c r="P545" s="6">
        <v>134.4</v>
      </c>
      <c r="Q545" s="6">
        <v>69.19</v>
      </c>
      <c r="R545" s="6">
        <v>9542.2800000000007</v>
      </c>
      <c r="S545" s="6">
        <v>0.02</v>
      </c>
      <c r="T545" s="6">
        <v>190.85</v>
      </c>
      <c r="U545" s="6">
        <v>9351.43</v>
      </c>
      <c r="V545" s="6">
        <v>4912.62</v>
      </c>
      <c r="W545" s="6">
        <v>4438.8100000000004</v>
      </c>
      <c r="X545" s="6" t="s">
        <v>45</v>
      </c>
    </row>
    <row r="546" spans="1:24" x14ac:dyDescent="0.25">
      <c r="A546" s="5" t="s">
        <v>998</v>
      </c>
      <c r="B546" s="18">
        <v>45592</v>
      </c>
      <c r="C546" s="7" t="s">
        <v>247</v>
      </c>
      <c r="D546" s="7" t="s">
        <v>65</v>
      </c>
      <c r="E546" s="7" t="s">
        <v>36</v>
      </c>
      <c r="F546" s="7" t="s">
        <v>37</v>
      </c>
      <c r="G546" s="7" t="s">
        <v>38</v>
      </c>
      <c r="H546" s="7" t="s">
        <v>39</v>
      </c>
      <c r="I546" s="7" t="s">
        <v>88</v>
      </c>
      <c r="J546" s="7" t="s">
        <v>173</v>
      </c>
      <c r="K546" s="7" t="s">
        <v>261</v>
      </c>
      <c r="L546" s="7" t="s">
        <v>2677</v>
      </c>
      <c r="M546" s="7" t="s">
        <v>43</v>
      </c>
      <c r="N546" s="7" t="s">
        <v>44</v>
      </c>
      <c r="O546" s="7">
        <v>74</v>
      </c>
      <c r="P546" s="7"/>
      <c r="Q546" s="7">
        <v>103.14</v>
      </c>
      <c r="R546" s="7">
        <v>12476.26</v>
      </c>
      <c r="S546" s="7">
        <v>0.15</v>
      </c>
      <c r="T546" s="7">
        <v>1871.44</v>
      </c>
      <c r="U546" s="7">
        <v>10604.82</v>
      </c>
      <c r="V546" s="7">
        <v>7632.08</v>
      </c>
      <c r="W546" s="7">
        <v>2972.74</v>
      </c>
      <c r="X546" s="7" t="s">
        <v>45</v>
      </c>
    </row>
    <row r="547" spans="1:24" x14ac:dyDescent="0.25">
      <c r="A547" s="16" t="s">
        <v>999</v>
      </c>
      <c r="B547" s="17">
        <v>45635</v>
      </c>
      <c r="C547" s="6" t="s">
        <v>843</v>
      </c>
      <c r="D547" s="6" t="s">
        <v>22</v>
      </c>
      <c r="E547" s="6" t="s">
        <v>250</v>
      </c>
      <c r="F547" s="6" t="s">
        <v>251</v>
      </c>
      <c r="G547" s="6" t="s">
        <v>51</v>
      </c>
      <c r="H547" s="6" t="s">
        <v>252</v>
      </c>
      <c r="I547" s="6" t="s">
        <v>40</v>
      </c>
      <c r="J547" s="6" t="s">
        <v>82</v>
      </c>
      <c r="K547" s="6" t="s">
        <v>144</v>
      </c>
      <c r="L547" s="6" t="s">
        <v>2669</v>
      </c>
      <c r="M547" s="6" t="s">
        <v>61</v>
      </c>
      <c r="N547" s="6" t="s">
        <v>84</v>
      </c>
      <c r="O547" s="6">
        <v>46</v>
      </c>
      <c r="P547" s="6">
        <v>67.58</v>
      </c>
      <c r="Q547" s="6">
        <v>38.020000000000003</v>
      </c>
      <c r="R547" s="6">
        <v>3108.46</v>
      </c>
      <c r="S547" s="6">
        <v>0.15</v>
      </c>
      <c r="T547" s="6">
        <v>466.27</v>
      </c>
      <c r="U547" s="6">
        <v>2642.19</v>
      </c>
      <c r="V547" s="6">
        <v>1748.76</v>
      </c>
      <c r="W547" s="6">
        <v>893.43</v>
      </c>
      <c r="X547" s="6" t="s">
        <v>45</v>
      </c>
    </row>
    <row r="548" spans="1:24" x14ac:dyDescent="0.25">
      <c r="A548" s="5" t="s">
        <v>1000</v>
      </c>
      <c r="B548" s="18">
        <v>45521</v>
      </c>
      <c r="C548" s="7" t="s">
        <v>497</v>
      </c>
      <c r="D548" s="7" t="s">
        <v>35</v>
      </c>
      <c r="E548" s="7" t="s">
        <v>49</v>
      </c>
      <c r="F548" s="7" t="s">
        <v>50</v>
      </c>
      <c r="G548" s="7" t="s">
        <v>51</v>
      </c>
      <c r="H548" s="7" t="s">
        <v>52</v>
      </c>
      <c r="I548" s="7" t="s">
        <v>58</v>
      </c>
      <c r="J548" s="7" t="s">
        <v>73</v>
      </c>
      <c r="K548" s="7" t="s">
        <v>253</v>
      </c>
      <c r="L548" s="7" t="s">
        <v>2676</v>
      </c>
      <c r="M548" s="7" t="s">
        <v>61</v>
      </c>
      <c r="N548" s="7" t="s">
        <v>84</v>
      </c>
      <c r="O548" s="7">
        <v>49</v>
      </c>
      <c r="P548" s="7">
        <v>26.25</v>
      </c>
      <c r="Q548" s="7">
        <v>13.93</v>
      </c>
      <c r="R548" s="7">
        <v>1286.31</v>
      </c>
      <c r="S548" s="7">
        <v>0.1</v>
      </c>
      <c r="T548" s="7">
        <v>128.63</v>
      </c>
      <c r="U548" s="7">
        <v>1157.68</v>
      </c>
      <c r="V548" s="7">
        <v>682.58</v>
      </c>
      <c r="W548" s="7">
        <v>475.09</v>
      </c>
      <c r="X548" s="7" t="s">
        <v>45</v>
      </c>
    </row>
    <row r="549" spans="1:24" x14ac:dyDescent="0.25">
      <c r="A549" s="16" t="s">
        <v>1001</v>
      </c>
      <c r="B549" s="17">
        <v>45299</v>
      </c>
      <c r="C549" s="6" t="s">
        <v>1002</v>
      </c>
      <c r="D549" s="6" t="s">
        <v>159</v>
      </c>
      <c r="E549" s="6" t="s">
        <v>114</v>
      </c>
      <c r="F549" s="6" t="s">
        <v>115</v>
      </c>
      <c r="G549" s="6" t="s">
        <v>95</v>
      </c>
      <c r="H549" s="6" t="s">
        <v>116</v>
      </c>
      <c r="I549" s="6" t="s">
        <v>88</v>
      </c>
      <c r="J549" s="6" t="s">
        <v>89</v>
      </c>
      <c r="K549" s="6" t="s">
        <v>195</v>
      </c>
      <c r="L549" s="6" t="s">
        <v>2673</v>
      </c>
      <c r="M549" s="6" t="s">
        <v>61</v>
      </c>
      <c r="N549" s="6" t="s">
        <v>31</v>
      </c>
      <c r="O549" s="6">
        <v>19</v>
      </c>
      <c r="P549" s="6">
        <v>35.119999999999997</v>
      </c>
      <c r="Q549" s="6">
        <v>22.6</v>
      </c>
      <c r="R549" s="6">
        <v>667.27</v>
      </c>
      <c r="S549" s="6">
        <v>0.2</v>
      </c>
      <c r="T549" s="6">
        <v>133.44999999999999</v>
      </c>
      <c r="U549" s="6">
        <v>533.80999999999995</v>
      </c>
      <c r="V549" s="6">
        <v>429.39</v>
      </c>
      <c r="W549" s="6">
        <v>104.42</v>
      </c>
      <c r="X549" s="6" t="s">
        <v>45</v>
      </c>
    </row>
    <row r="550" spans="1:24" x14ac:dyDescent="0.25">
      <c r="A550" s="5" t="s">
        <v>1003</v>
      </c>
      <c r="B550" s="18">
        <v>45415</v>
      </c>
      <c r="C550" s="7" t="s">
        <v>328</v>
      </c>
      <c r="D550" s="7" t="s">
        <v>159</v>
      </c>
      <c r="E550" s="7" t="s">
        <v>114</v>
      </c>
      <c r="F550" s="7" t="s">
        <v>115</v>
      </c>
      <c r="G550" s="7" t="s">
        <v>95</v>
      </c>
      <c r="H550" s="7" t="s">
        <v>116</v>
      </c>
      <c r="I550" s="7" t="s">
        <v>40</v>
      </c>
      <c r="J550" s="7" t="s">
        <v>41</v>
      </c>
      <c r="K550" s="7" t="s">
        <v>69</v>
      </c>
      <c r="L550" s="7" t="s">
        <v>2663</v>
      </c>
      <c r="M550" s="7" t="s">
        <v>30</v>
      </c>
      <c r="N550" s="7" t="s">
        <v>368</v>
      </c>
      <c r="O550" s="7">
        <v>76</v>
      </c>
      <c r="P550" s="7">
        <v>36.46</v>
      </c>
      <c r="Q550" s="7">
        <v>19.95</v>
      </c>
      <c r="R550" s="7">
        <v>2771.02</v>
      </c>
      <c r="S550" s="7">
        <v>0</v>
      </c>
      <c r="T550" s="7">
        <v>0</v>
      </c>
      <c r="U550" s="7">
        <v>2771.02</v>
      </c>
      <c r="V550" s="7">
        <v>1516.26</v>
      </c>
      <c r="W550" s="7">
        <v>1254.76</v>
      </c>
      <c r="X550" s="7" t="s">
        <v>45</v>
      </c>
    </row>
    <row r="551" spans="1:24" x14ac:dyDescent="0.25">
      <c r="A551" s="16" t="s">
        <v>1004</v>
      </c>
      <c r="B551" s="17">
        <v>45621</v>
      </c>
      <c r="C551" s="6" t="s">
        <v>124</v>
      </c>
      <c r="D551" s="6" t="s">
        <v>125</v>
      </c>
      <c r="E551" s="6" t="s">
        <v>23</v>
      </c>
      <c r="F551" s="6" t="s">
        <v>24</v>
      </c>
      <c r="G551" s="6" t="s">
        <v>25</v>
      </c>
      <c r="H551" s="6" t="s">
        <v>26</v>
      </c>
      <c r="I551" s="6" t="s">
        <v>40</v>
      </c>
      <c r="J551" s="6" t="s">
        <v>117</v>
      </c>
      <c r="K551" s="6" t="s">
        <v>152</v>
      </c>
      <c r="L551" s="6" t="s">
        <v>2670</v>
      </c>
      <c r="M551" s="6" t="s">
        <v>43</v>
      </c>
      <c r="N551" s="6" t="s">
        <v>44</v>
      </c>
      <c r="O551" s="6">
        <v>72</v>
      </c>
      <c r="P551" s="6">
        <v>75.69</v>
      </c>
      <c r="Q551" s="6">
        <v>45.62</v>
      </c>
      <c r="R551" s="6">
        <v>5449.92</v>
      </c>
      <c r="S551" s="6">
        <v>0</v>
      </c>
      <c r="T551" s="6">
        <v>0</v>
      </c>
      <c r="U551" s="6">
        <v>5449.92</v>
      </c>
      <c r="V551" s="6">
        <v>3284.91</v>
      </c>
      <c r="W551" s="6">
        <v>2165.0100000000002</v>
      </c>
      <c r="X551" s="6" t="s">
        <v>32</v>
      </c>
    </row>
    <row r="552" spans="1:24" x14ac:dyDescent="0.25">
      <c r="A552" s="5" t="s">
        <v>1005</v>
      </c>
      <c r="B552" s="18">
        <v>45577</v>
      </c>
      <c r="C552" s="7" t="s">
        <v>608</v>
      </c>
      <c r="D552" s="7" t="s">
        <v>22</v>
      </c>
      <c r="E552" s="7" t="s">
        <v>250</v>
      </c>
      <c r="F552" s="7" t="s">
        <v>251</v>
      </c>
      <c r="G552" s="7" t="s">
        <v>51</v>
      </c>
      <c r="H552" s="7" t="s">
        <v>252</v>
      </c>
      <c r="I552" s="7" t="s">
        <v>40</v>
      </c>
      <c r="J552" s="7" t="s">
        <v>41</v>
      </c>
      <c r="K552" s="7" t="s">
        <v>42</v>
      </c>
      <c r="L552" s="7" t="s">
        <v>2661</v>
      </c>
      <c r="M552" s="7" t="s">
        <v>153</v>
      </c>
      <c r="N552" s="7" t="s">
        <v>31</v>
      </c>
      <c r="O552" s="7">
        <v>72</v>
      </c>
      <c r="P552" s="7">
        <v>63.33</v>
      </c>
      <c r="Q552" s="7">
        <v>39.369999999999997</v>
      </c>
      <c r="R552" s="7">
        <v>4560.1000000000004</v>
      </c>
      <c r="S552" s="7">
        <v>0.1</v>
      </c>
      <c r="T552" s="7">
        <v>456.01</v>
      </c>
      <c r="U552" s="7">
        <v>4104.09</v>
      </c>
      <c r="V552" s="7">
        <v>2834.39</v>
      </c>
      <c r="W552" s="7">
        <v>1269.69</v>
      </c>
      <c r="X552" s="7" t="s">
        <v>129</v>
      </c>
    </row>
    <row r="553" spans="1:24" x14ac:dyDescent="0.25">
      <c r="A553" s="16" t="s">
        <v>1006</v>
      </c>
      <c r="B553" s="17">
        <v>45652</v>
      </c>
      <c r="C553" s="6" t="s">
        <v>917</v>
      </c>
      <c r="D553" s="6" t="s">
        <v>57</v>
      </c>
      <c r="E553" s="6" t="s">
        <v>78</v>
      </c>
      <c r="F553" s="6" t="s">
        <v>79</v>
      </c>
      <c r="G553" s="6" t="s">
        <v>80</v>
      </c>
      <c r="H553" s="6" t="s">
        <v>81</v>
      </c>
      <c r="I553" s="6" t="s">
        <v>27</v>
      </c>
      <c r="J553" s="6" t="s">
        <v>106</v>
      </c>
      <c r="K553" s="6" t="s">
        <v>83</v>
      </c>
      <c r="L553" s="6" t="s">
        <v>2665</v>
      </c>
      <c r="M553" s="6" t="s">
        <v>153</v>
      </c>
      <c r="N553" s="6" t="s">
        <v>84</v>
      </c>
      <c r="O553" s="6">
        <v>51</v>
      </c>
      <c r="P553" s="6">
        <v>132.97999999999999</v>
      </c>
      <c r="Q553" s="6">
        <v>79.180000000000007</v>
      </c>
      <c r="R553" s="6">
        <v>6781.93</v>
      </c>
      <c r="S553" s="6">
        <v>0.15</v>
      </c>
      <c r="T553" s="6">
        <v>1017.29</v>
      </c>
      <c r="U553" s="6">
        <v>5764.64</v>
      </c>
      <c r="V553" s="6">
        <v>4038.2</v>
      </c>
      <c r="W553" s="6">
        <v>1726.44</v>
      </c>
      <c r="X553" s="6" t="s">
        <v>45</v>
      </c>
    </row>
    <row r="554" spans="1:24" x14ac:dyDescent="0.25">
      <c r="A554" s="5" t="s">
        <v>1007</v>
      </c>
      <c r="B554" s="18">
        <v>45392</v>
      </c>
      <c r="C554" s="7" t="s">
        <v>911</v>
      </c>
      <c r="D554" s="7" t="s">
        <v>48</v>
      </c>
      <c r="E554" s="7" t="s">
        <v>250</v>
      </c>
      <c r="F554" s="7" t="s">
        <v>251</v>
      </c>
      <c r="G554" s="7" t="s">
        <v>51</v>
      </c>
      <c r="H554" s="7" t="s">
        <v>252</v>
      </c>
      <c r="I554" s="7" t="s">
        <v>27</v>
      </c>
      <c r="J554" s="7" t="s">
        <v>28</v>
      </c>
      <c r="K554" s="7" t="s">
        <v>218</v>
      </c>
      <c r="L554" s="7" t="s">
        <v>2674</v>
      </c>
      <c r="M554" s="7" t="s">
        <v>30</v>
      </c>
      <c r="N554" s="7" t="s">
        <v>70</v>
      </c>
      <c r="O554" s="7">
        <v>27</v>
      </c>
      <c r="P554" s="7">
        <v>67.319999999999993</v>
      </c>
      <c r="Q554" s="7">
        <v>38.950000000000003</v>
      </c>
      <c r="R554" s="7">
        <v>1817.54</v>
      </c>
      <c r="S554" s="7">
        <v>0.02</v>
      </c>
      <c r="T554" s="7">
        <v>36.35</v>
      </c>
      <c r="U554" s="7">
        <v>1781.19</v>
      </c>
      <c r="V554" s="7">
        <v>1051.73</v>
      </c>
      <c r="W554" s="7">
        <v>729.47</v>
      </c>
      <c r="X554" s="7" t="s">
        <v>129</v>
      </c>
    </row>
    <row r="555" spans="1:24" x14ac:dyDescent="0.25">
      <c r="A555" s="16" t="s">
        <v>1008</v>
      </c>
      <c r="B555" s="17">
        <v>45599</v>
      </c>
      <c r="C555" s="6" t="s">
        <v>276</v>
      </c>
      <c r="D555" s="6" t="s">
        <v>221</v>
      </c>
      <c r="E555" s="6" t="s">
        <v>93</v>
      </c>
      <c r="F555" s="6" t="s">
        <v>94</v>
      </c>
      <c r="G555" s="6" t="s">
        <v>95</v>
      </c>
      <c r="H555" s="6" t="s">
        <v>96</v>
      </c>
      <c r="I555" s="6" t="s">
        <v>53</v>
      </c>
      <c r="J555" s="6" t="s">
        <v>122</v>
      </c>
      <c r="K555" s="6" t="s">
        <v>170</v>
      </c>
      <c r="L555" s="6" t="s">
        <v>2671</v>
      </c>
      <c r="M555" s="6" t="s">
        <v>153</v>
      </c>
      <c r="N555" s="6" t="s">
        <v>84</v>
      </c>
      <c r="O555" s="6">
        <v>53</v>
      </c>
      <c r="P555" s="6">
        <v>54.39</v>
      </c>
      <c r="Q555" s="6">
        <v>30.17</v>
      </c>
      <c r="R555" s="6">
        <v>2882.6</v>
      </c>
      <c r="S555" s="6">
        <v>0.2</v>
      </c>
      <c r="T555" s="6">
        <v>576.52</v>
      </c>
      <c r="U555" s="6">
        <v>2306.08</v>
      </c>
      <c r="V555" s="6">
        <v>1599.01</v>
      </c>
      <c r="W555" s="6">
        <v>707.06</v>
      </c>
      <c r="X555" s="6" t="s">
        <v>32</v>
      </c>
    </row>
    <row r="556" spans="1:24" x14ac:dyDescent="0.25">
      <c r="A556" s="5" t="s">
        <v>1009</v>
      </c>
      <c r="B556" s="18">
        <v>45528</v>
      </c>
      <c r="C556" s="7" t="s">
        <v>397</v>
      </c>
      <c r="D556" s="7" t="s">
        <v>105</v>
      </c>
      <c r="E556" s="7" t="s">
        <v>150</v>
      </c>
      <c r="F556" s="7" t="s">
        <v>151</v>
      </c>
      <c r="G556" s="7" t="s">
        <v>101</v>
      </c>
      <c r="H556" s="7" t="s">
        <v>134</v>
      </c>
      <c r="I556" s="7" t="s">
        <v>40</v>
      </c>
      <c r="J556" s="7" t="s">
        <v>117</v>
      </c>
      <c r="K556" s="7" t="s">
        <v>60</v>
      </c>
      <c r="L556" s="7" t="s">
        <v>2662</v>
      </c>
      <c r="M556" s="7" t="s">
        <v>61</v>
      </c>
      <c r="N556" s="7" t="s">
        <v>75</v>
      </c>
      <c r="O556" s="7">
        <v>71</v>
      </c>
      <c r="P556" s="7">
        <v>79.05</v>
      </c>
      <c r="Q556" s="7">
        <v>50.66</v>
      </c>
      <c r="R556" s="7">
        <v>5612.58</v>
      </c>
      <c r="S556" s="7">
        <v>0.05</v>
      </c>
      <c r="T556" s="7">
        <v>280.63</v>
      </c>
      <c r="U556" s="7">
        <v>5331.95</v>
      </c>
      <c r="V556" s="7">
        <v>3597.21</v>
      </c>
      <c r="W556" s="7">
        <v>1734.73</v>
      </c>
      <c r="X556" s="7" t="s">
        <v>45</v>
      </c>
    </row>
    <row r="557" spans="1:24" x14ac:dyDescent="0.25">
      <c r="A557" s="16" t="s">
        <v>1010</v>
      </c>
      <c r="B557" s="17">
        <v>45320</v>
      </c>
      <c r="C557" s="6" t="s">
        <v>535</v>
      </c>
      <c r="D557" s="6" t="s">
        <v>221</v>
      </c>
      <c r="E557" s="6" t="s">
        <v>209</v>
      </c>
      <c r="F557" s="6" t="s">
        <v>210</v>
      </c>
      <c r="G557" s="6" t="s">
        <v>51</v>
      </c>
      <c r="H557" s="6" t="s">
        <v>116</v>
      </c>
      <c r="I557" s="6" t="s">
        <v>27</v>
      </c>
      <c r="J557" s="6" t="s">
        <v>106</v>
      </c>
      <c r="K557" s="6" t="s">
        <v>178</v>
      </c>
      <c r="L557" s="6" t="s">
        <v>256</v>
      </c>
      <c r="M557" s="6" t="s">
        <v>43</v>
      </c>
      <c r="N557" s="6" t="s">
        <v>190</v>
      </c>
      <c r="O557" s="6">
        <v>44</v>
      </c>
      <c r="P557" s="6">
        <v>17.329999999999998</v>
      </c>
      <c r="Q557" s="6">
        <v>10.48</v>
      </c>
      <c r="R557" s="6">
        <v>762.73</v>
      </c>
      <c r="S557" s="6">
        <v>0.2</v>
      </c>
      <c r="T557" s="6">
        <v>152.55000000000001</v>
      </c>
      <c r="U557" s="6">
        <v>610.17999999999995</v>
      </c>
      <c r="V557" s="6">
        <v>460.95</v>
      </c>
      <c r="W557" s="6">
        <v>149.22999999999999</v>
      </c>
      <c r="X557" s="6" t="s">
        <v>129</v>
      </c>
    </row>
    <row r="558" spans="1:24" x14ac:dyDescent="0.25">
      <c r="A558" s="5" t="s">
        <v>1011</v>
      </c>
      <c r="B558" s="18">
        <v>45335</v>
      </c>
      <c r="C558" s="7" t="s">
        <v>175</v>
      </c>
      <c r="D558" s="7" t="s">
        <v>65</v>
      </c>
      <c r="E558" s="7" t="s">
        <v>114</v>
      </c>
      <c r="F558" s="7" t="s">
        <v>115</v>
      </c>
      <c r="G558" s="7" t="s">
        <v>95</v>
      </c>
      <c r="H558" s="7" t="s">
        <v>116</v>
      </c>
      <c r="I558" s="7" t="s">
        <v>88</v>
      </c>
      <c r="J558" s="7" t="s">
        <v>173</v>
      </c>
      <c r="K558" s="7" t="s">
        <v>60</v>
      </c>
      <c r="L558" s="7" t="s">
        <v>2662</v>
      </c>
      <c r="M558" s="7" t="s">
        <v>61</v>
      </c>
      <c r="N558" s="7" t="s">
        <v>31</v>
      </c>
      <c r="O558" s="7">
        <v>63</v>
      </c>
      <c r="P558" s="7">
        <v>35.6</v>
      </c>
      <c r="Q558" s="7">
        <v>19.89</v>
      </c>
      <c r="R558" s="7">
        <v>2242.94</v>
      </c>
      <c r="S558" s="7">
        <v>0</v>
      </c>
      <c r="T558" s="7">
        <v>0</v>
      </c>
      <c r="U558" s="7">
        <v>2242.94</v>
      </c>
      <c r="V558" s="7">
        <v>1253.26</v>
      </c>
      <c r="W558" s="7">
        <v>989.69</v>
      </c>
      <c r="X558" s="7" t="s">
        <v>32</v>
      </c>
    </row>
    <row r="559" spans="1:24" x14ac:dyDescent="0.25">
      <c r="A559" s="16" t="s">
        <v>1012</v>
      </c>
      <c r="B559" s="17">
        <v>45331</v>
      </c>
      <c r="C559" s="6" t="s">
        <v>1013</v>
      </c>
      <c r="D559" s="6" t="s">
        <v>48</v>
      </c>
      <c r="E559" s="6" t="s">
        <v>132</v>
      </c>
      <c r="F559" s="6" t="s">
        <v>133</v>
      </c>
      <c r="G559" s="6" t="s">
        <v>51</v>
      </c>
      <c r="H559" s="6" t="s">
        <v>134</v>
      </c>
      <c r="I559" s="6" t="s">
        <v>40</v>
      </c>
      <c r="J559" s="6" t="s">
        <v>117</v>
      </c>
      <c r="K559" s="6" t="s">
        <v>69</v>
      </c>
      <c r="L559" s="6" t="s">
        <v>2663</v>
      </c>
      <c r="M559" s="6" t="s">
        <v>153</v>
      </c>
      <c r="N559" s="6" t="s">
        <v>31</v>
      </c>
      <c r="O559" s="6">
        <v>67</v>
      </c>
      <c r="P559" s="6">
        <v>57.79</v>
      </c>
      <c r="Q559" s="6">
        <v>31.59</v>
      </c>
      <c r="R559" s="6">
        <v>3871.9</v>
      </c>
      <c r="S559" s="6">
        <v>0.1</v>
      </c>
      <c r="T559" s="6">
        <v>387.19</v>
      </c>
      <c r="U559" s="6">
        <v>3484.71</v>
      </c>
      <c r="V559" s="6">
        <v>2116.5700000000002</v>
      </c>
      <c r="W559" s="6">
        <v>1368.15</v>
      </c>
      <c r="X559" s="6" t="s">
        <v>45</v>
      </c>
    </row>
    <row r="560" spans="1:24" x14ac:dyDescent="0.25">
      <c r="A560" s="5" t="s">
        <v>1014</v>
      </c>
      <c r="B560" s="18">
        <v>45388</v>
      </c>
      <c r="C560" s="7" t="s">
        <v>864</v>
      </c>
      <c r="D560" s="7" t="s">
        <v>22</v>
      </c>
      <c r="E560" s="7" t="s">
        <v>66</v>
      </c>
      <c r="F560" s="7" t="s">
        <v>67</v>
      </c>
      <c r="G560" s="7" t="s">
        <v>38</v>
      </c>
      <c r="H560" s="7" t="s">
        <v>68</v>
      </c>
      <c r="I560" s="7" t="s">
        <v>40</v>
      </c>
      <c r="J560" s="7" t="s">
        <v>41</v>
      </c>
      <c r="K560" s="7" t="s">
        <v>60</v>
      </c>
      <c r="L560" s="7" t="s">
        <v>2662</v>
      </c>
      <c r="M560" s="7" t="s">
        <v>61</v>
      </c>
      <c r="N560" s="7" t="s">
        <v>70</v>
      </c>
      <c r="O560" s="7">
        <v>76</v>
      </c>
      <c r="P560" s="7">
        <v>162.51</v>
      </c>
      <c r="Q560" s="7">
        <v>107.92</v>
      </c>
      <c r="R560" s="7">
        <v>12351.11</v>
      </c>
      <c r="S560" s="7">
        <v>0.2</v>
      </c>
      <c r="T560" s="7">
        <v>2470.2199999999998</v>
      </c>
      <c r="U560" s="7">
        <v>9880.89</v>
      </c>
      <c r="V560" s="7">
        <v>8202.0300000000007</v>
      </c>
      <c r="W560" s="7">
        <v>1678.86</v>
      </c>
      <c r="X560" s="7" t="s">
        <v>45</v>
      </c>
    </row>
    <row r="561" spans="1:24" x14ac:dyDescent="0.25">
      <c r="A561" s="16" t="s">
        <v>1015</v>
      </c>
      <c r="B561" s="17">
        <v>45399</v>
      </c>
      <c r="C561" s="6" t="s">
        <v>64</v>
      </c>
      <c r="D561" s="6" t="s">
        <v>65</v>
      </c>
      <c r="E561" s="6" t="s">
        <v>49</v>
      </c>
      <c r="F561" s="6" t="s">
        <v>50</v>
      </c>
      <c r="G561" s="6" t="s">
        <v>51</v>
      </c>
      <c r="H561" s="6" t="s">
        <v>52</v>
      </c>
      <c r="I561" s="6" t="s">
        <v>40</v>
      </c>
      <c r="J561" s="6" t="s">
        <v>289</v>
      </c>
      <c r="K561" s="6" t="s">
        <v>118</v>
      </c>
      <c r="L561" s="6" t="s">
        <v>2668</v>
      </c>
      <c r="M561" s="6" t="s">
        <v>153</v>
      </c>
      <c r="N561" s="6" t="s">
        <v>31</v>
      </c>
      <c r="O561" s="6">
        <v>1</v>
      </c>
      <c r="P561" s="6">
        <v>26.75</v>
      </c>
      <c r="Q561" s="6">
        <v>12.09</v>
      </c>
      <c r="R561" s="6">
        <v>26.75</v>
      </c>
      <c r="S561" s="6">
        <v>0</v>
      </c>
      <c r="T561" s="6">
        <v>0</v>
      </c>
      <c r="U561" s="6">
        <v>26.75</v>
      </c>
      <c r="V561" s="6">
        <v>12.09</v>
      </c>
      <c r="W561" s="6">
        <v>14.65</v>
      </c>
      <c r="X561" s="6" t="s">
        <v>45</v>
      </c>
    </row>
    <row r="562" spans="1:24" x14ac:dyDescent="0.25">
      <c r="A562" s="5" t="s">
        <v>1016</v>
      </c>
      <c r="B562" s="18">
        <v>45359</v>
      </c>
      <c r="C562" s="7" t="s">
        <v>456</v>
      </c>
      <c r="D562" s="7" t="s">
        <v>22</v>
      </c>
      <c r="E562" s="7" t="s">
        <v>250</v>
      </c>
      <c r="F562" s="7" t="s">
        <v>251</v>
      </c>
      <c r="G562" s="7" t="s">
        <v>51</v>
      </c>
      <c r="H562" s="7" t="s">
        <v>252</v>
      </c>
      <c r="I562" s="7" t="s">
        <v>40</v>
      </c>
      <c r="J562" s="7" t="s">
        <v>289</v>
      </c>
      <c r="K562" s="7" t="s">
        <v>42</v>
      </c>
      <c r="L562" s="7" t="s">
        <v>2661</v>
      </c>
      <c r="M562" s="7" t="s">
        <v>153</v>
      </c>
      <c r="N562" s="7" t="s">
        <v>31</v>
      </c>
      <c r="O562" s="7">
        <v>60</v>
      </c>
      <c r="P562" s="7">
        <v>65</v>
      </c>
      <c r="Q562" s="7">
        <v>39.159999999999997</v>
      </c>
      <c r="R562" s="7">
        <v>3900.22</v>
      </c>
      <c r="S562" s="7">
        <v>0.1</v>
      </c>
      <c r="T562" s="7">
        <v>390.02</v>
      </c>
      <c r="U562" s="7">
        <v>3510.2</v>
      </c>
      <c r="V562" s="7">
        <v>2349.63</v>
      </c>
      <c r="W562" s="7">
        <v>1160.57</v>
      </c>
      <c r="X562" s="7" t="s">
        <v>45</v>
      </c>
    </row>
    <row r="563" spans="1:24" x14ac:dyDescent="0.25">
      <c r="A563" s="16" t="s">
        <v>1017</v>
      </c>
      <c r="B563" s="17">
        <v>45332</v>
      </c>
      <c r="C563" s="6" t="s">
        <v>515</v>
      </c>
      <c r="D563" s="6" t="s">
        <v>48</v>
      </c>
      <c r="E563" s="6" t="s">
        <v>126</v>
      </c>
      <c r="F563" s="6" t="s">
        <v>127</v>
      </c>
      <c r="G563" s="6" t="s">
        <v>95</v>
      </c>
      <c r="H563" s="6" t="s">
        <v>128</v>
      </c>
      <c r="I563" s="6" t="s">
        <v>88</v>
      </c>
      <c r="J563" s="6" t="s">
        <v>183</v>
      </c>
      <c r="K563" s="6" t="s">
        <v>74</v>
      </c>
      <c r="L563" s="6" t="s">
        <v>2664</v>
      </c>
      <c r="M563" s="6" t="s">
        <v>153</v>
      </c>
      <c r="N563" s="6" t="s">
        <v>31</v>
      </c>
      <c r="O563" s="6">
        <v>7</v>
      </c>
      <c r="P563" s="6">
        <v>93.6</v>
      </c>
      <c r="Q563" s="6">
        <v>50.05</v>
      </c>
      <c r="R563" s="6">
        <v>655.23</v>
      </c>
      <c r="S563" s="6">
        <v>0.05</v>
      </c>
      <c r="T563" s="6">
        <v>32.76</v>
      </c>
      <c r="U563" s="6">
        <v>622.47</v>
      </c>
      <c r="V563" s="6">
        <v>350.35</v>
      </c>
      <c r="W563" s="6">
        <v>272.12</v>
      </c>
      <c r="X563" s="6" t="s">
        <v>45</v>
      </c>
    </row>
    <row r="564" spans="1:24" x14ac:dyDescent="0.25">
      <c r="A564" s="5" t="s">
        <v>1018</v>
      </c>
      <c r="B564" s="18">
        <v>45444</v>
      </c>
      <c r="C564" s="7" t="s">
        <v>34</v>
      </c>
      <c r="D564" s="7" t="s">
        <v>35</v>
      </c>
      <c r="E564" s="7" t="s">
        <v>109</v>
      </c>
      <c r="F564" s="7" t="s">
        <v>110</v>
      </c>
      <c r="G564" s="7" t="s">
        <v>80</v>
      </c>
      <c r="H564" s="7" t="s">
        <v>81</v>
      </c>
      <c r="I564" s="7" t="s">
        <v>53</v>
      </c>
      <c r="J564" s="7" t="s">
        <v>122</v>
      </c>
      <c r="K564" s="7" t="s">
        <v>83</v>
      </c>
      <c r="L564" s="7" t="s">
        <v>2665</v>
      </c>
      <c r="M564" s="7" t="s">
        <v>43</v>
      </c>
      <c r="N564" s="7" t="s">
        <v>44</v>
      </c>
      <c r="O564" s="7">
        <v>74</v>
      </c>
      <c r="P564" s="7">
        <v>118.2</v>
      </c>
      <c r="Q564" s="7">
        <v>73.540000000000006</v>
      </c>
      <c r="R564" s="7">
        <v>8746.91</v>
      </c>
      <c r="S564" s="7">
        <v>0.02</v>
      </c>
      <c r="T564" s="7">
        <v>174.94</v>
      </c>
      <c r="U564" s="7">
        <v>8571.9699999999993</v>
      </c>
      <c r="V564" s="7">
        <v>5442.32</v>
      </c>
      <c r="W564" s="7">
        <v>3129.65</v>
      </c>
      <c r="X564" s="7" t="s">
        <v>45</v>
      </c>
    </row>
    <row r="565" spans="1:24" x14ac:dyDescent="0.25">
      <c r="A565" s="16" t="s">
        <v>1019</v>
      </c>
      <c r="B565" s="17">
        <v>45472</v>
      </c>
      <c r="C565" s="6" t="s">
        <v>466</v>
      </c>
      <c r="D565" s="6" t="s">
        <v>221</v>
      </c>
      <c r="E565" s="6" t="s">
        <v>222</v>
      </c>
      <c r="F565" s="6" t="s">
        <v>223</v>
      </c>
      <c r="G565" s="6" t="s">
        <v>101</v>
      </c>
      <c r="H565" s="6" t="s">
        <v>68</v>
      </c>
      <c r="I565" s="6" t="s">
        <v>58</v>
      </c>
      <c r="J565" s="6" t="s">
        <v>73</v>
      </c>
      <c r="K565" s="6" t="s">
        <v>69</v>
      </c>
      <c r="L565" s="6" t="s">
        <v>2663</v>
      </c>
      <c r="M565" s="6" t="s">
        <v>43</v>
      </c>
      <c r="N565" s="6" t="s">
        <v>70</v>
      </c>
      <c r="O565" s="6">
        <v>51</v>
      </c>
      <c r="P565" s="6">
        <v>113.08</v>
      </c>
      <c r="Q565" s="6">
        <v>82.18</v>
      </c>
      <c r="R565" s="6">
        <v>5766.86</v>
      </c>
      <c r="S565" s="6">
        <v>0.1</v>
      </c>
      <c r="T565" s="6">
        <v>576.69000000000005</v>
      </c>
      <c r="U565" s="6">
        <v>5190.17</v>
      </c>
      <c r="V565" s="6">
        <v>4191.18</v>
      </c>
      <c r="W565" s="6">
        <v>999</v>
      </c>
      <c r="X565" s="6" t="s">
        <v>45</v>
      </c>
    </row>
    <row r="566" spans="1:24" x14ac:dyDescent="0.25">
      <c r="A566" s="5" t="s">
        <v>1020</v>
      </c>
      <c r="B566" s="18">
        <v>45516</v>
      </c>
      <c r="C566" s="7" t="s">
        <v>146</v>
      </c>
      <c r="D566" s="7" t="s">
        <v>105</v>
      </c>
      <c r="E566" s="7" t="s">
        <v>216</v>
      </c>
      <c r="F566" s="7" t="s">
        <v>217</v>
      </c>
      <c r="G566" s="7" t="s">
        <v>38</v>
      </c>
      <c r="H566" s="7" t="s">
        <v>134</v>
      </c>
      <c r="I566" s="7" t="s">
        <v>53</v>
      </c>
      <c r="J566" s="7" t="s">
        <v>143</v>
      </c>
      <c r="K566" s="7" t="s">
        <v>118</v>
      </c>
      <c r="L566" s="7" t="s">
        <v>2668</v>
      </c>
      <c r="M566" s="7" t="s">
        <v>43</v>
      </c>
      <c r="N566" s="7" t="s">
        <v>75</v>
      </c>
      <c r="O566" s="7">
        <v>69</v>
      </c>
      <c r="P566" s="7">
        <v>117.18</v>
      </c>
      <c r="Q566" s="7">
        <v>69.77</v>
      </c>
      <c r="R566" s="7">
        <v>8085.75</v>
      </c>
      <c r="S566" s="7">
        <v>0.2</v>
      </c>
      <c r="T566" s="7">
        <v>1617.15</v>
      </c>
      <c r="U566" s="7">
        <v>6468.6</v>
      </c>
      <c r="V566" s="7">
        <v>4814.37</v>
      </c>
      <c r="W566" s="7">
        <v>1654.24</v>
      </c>
      <c r="X566" s="7" t="s">
        <v>45</v>
      </c>
    </row>
    <row r="567" spans="1:24" x14ac:dyDescent="0.25">
      <c r="A567" s="16" t="s">
        <v>1021</v>
      </c>
      <c r="B567" s="17">
        <v>45503</v>
      </c>
      <c r="C567" s="6" t="s">
        <v>92</v>
      </c>
      <c r="D567" s="6" t="s">
        <v>48</v>
      </c>
      <c r="E567" s="6" t="s">
        <v>141</v>
      </c>
      <c r="F567" s="6" t="s">
        <v>142</v>
      </c>
      <c r="G567" s="6" t="s">
        <v>25</v>
      </c>
      <c r="H567" s="6" t="s">
        <v>26</v>
      </c>
      <c r="I567" s="6" t="s">
        <v>53</v>
      </c>
      <c r="J567" s="6" t="s">
        <v>232</v>
      </c>
      <c r="K567" s="6" t="s">
        <v>152</v>
      </c>
      <c r="L567" s="6" t="s">
        <v>2670</v>
      </c>
      <c r="M567" s="6" t="s">
        <v>30</v>
      </c>
      <c r="N567" s="6" t="s">
        <v>70</v>
      </c>
      <c r="O567" s="6">
        <v>27</v>
      </c>
      <c r="P567" s="6">
        <v>98.81</v>
      </c>
      <c r="Q567" s="6">
        <v>60.36</v>
      </c>
      <c r="R567" s="6">
        <v>2667.96</v>
      </c>
      <c r="S567" s="6">
        <v>0.1</v>
      </c>
      <c r="T567" s="6">
        <v>266.8</v>
      </c>
      <c r="U567" s="6">
        <v>2401.16</v>
      </c>
      <c r="V567" s="6">
        <v>1629.78</v>
      </c>
      <c r="W567" s="6">
        <v>771.38</v>
      </c>
      <c r="X567" s="6" t="s">
        <v>129</v>
      </c>
    </row>
    <row r="568" spans="1:24" x14ac:dyDescent="0.25">
      <c r="A568" s="5" t="s">
        <v>1022</v>
      </c>
      <c r="B568" s="18">
        <v>45307</v>
      </c>
      <c r="C568" s="7" t="s">
        <v>794</v>
      </c>
      <c r="D568" s="7" t="s">
        <v>65</v>
      </c>
      <c r="E568" s="7" t="s">
        <v>93</v>
      </c>
      <c r="F568" s="7" t="s">
        <v>94</v>
      </c>
      <c r="G568" s="7" t="s">
        <v>95</v>
      </c>
      <c r="H568" s="7" t="s">
        <v>96</v>
      </c>
      <c r="I568" s="7" t="s">
        <v>712</v>
      </c>
      <c r="J568" s="7" t="s">
        <v>345</v>
      </c>
      <c r="K568" s="7" t="s">
        <v>248</v>
      </c>
      <c r="L568" s="7" t="s">
        <v>2675</v>
      </c>
      <c r="M568" s="7" t="s">
        <v>61</v>
      </c>
      <c r="N568" s="7" t="s">
        <v>44</v>
      </c>
      <c r="O568" s="7">
        <v>27</v>
      </c>
      <c r="P568" s="7">
        <v>59.22</v>
      </c>
      <c r="Q568" s="7">
        <v>32.53</v>
      </c>
      <c r="R568" s="7">
        <v>1598.81</v>
      </c>
      <c r="S568" s="7">
        <v>0.15</v>
      </c>
      <c r="T568" s="7">
        <v>239.82</v>
      </c>
      <c r="U568" s="7">
        <v>1358.99</v>
      </c>
      <c r="V568" s="7">
        <v>878.31</v>
      </c>
      <c r="W568" s="7">
        <v>480.68</v>
      </c>
      <c r="X568" s="7" t="s">
        <v>45</v>
      </c>
    </row>
    <row r="569" spans="1:24" x14ac:dyDescent="0.25">
      <c r="A569" s="16" t="s">
        <v>1023</v>
      </c>
      <c r="B569" s="17">
        <v>45618</v>
      </c>
      <c r="C569" s="6" t="s">
        <v>371</v>
      </c>
      <c r="D569" s="6" t="s">
        <v>159</v>
      </c>
      <c r="E569" s="6" t="s">
        <v>93</v>
      </c>
      <c r="F569" s="6" t="s">
        <v>94</v>
      </c>
      <c r="G569" s="6" t="s">
        <v>95</v>
      </c>
      <c r="H569" s="6" t="s">
        <v>96</v>
      </c>
      <c r="I569" s="6" t="s">
        <v>40</v>
      </c>
      <c r="J569" s="6" t="s">
        <v>82</v>
      </c>
      <c r="K569" s="6" t="s">
        <v>74</v>
      </c>
      <c r="L569" s="6" t="s">
        <v>2664</v>
      </c>
      <c r="M569" s="6" t="s">
        <v>61</v>
      </c>
      <c r="N569" s="6" t="s">
        <v>44</v>
      </c>
      <c r="O569" s="6">
        <v>58</v>
      </c>
      <c r="P569" s="6">
        <v>56.18</v>
      </c>
      <c r="Q569" s="6">
        <v>30.09</v>
      </c>
      <c r="R569" s="6">
        <v>3258.47</v>
      </c>
      <c r="S569" s="6">
        <v>0.2</v>
      </c>
      <c r="T569" s="6">
        <v>651.69000000000005</v>
      </c>
      <c r="U569" s="6">
        <v>2606.77</v>
      </c>
      <c r="V569" s="6">
        <v>1745.02</v>
      </c>
      <c r="W569" s="6">
        <v>861.76</v>
      </c>
      <c r="X569" s="6" t="s">
        <v>45</v>
      </c>
    </row>
    <row r="570" spans="1:24" x14ac:dyDescent="0.25">
      <c r="A570" s="5" t="s">
        <v>1024</v>
      </c>
      <c r="B570" s="18">
        <v>45618</v>
      </c>
      <c r="C570" s="7" t="s">
        <v>1025</v>
      </c>
      <c r="D570" s="7" t="s">
        <v>149</v>
      </c>
      <c r="E570" s="7" t="s">
        <v>114</v>
      </c>
      <c r="F570" s="7" t="s">
        <v>115</v>
      </c>
      <c r="G570" s="7" t="s">
        <v>95</v>
      </c>
      <c r="H570" s="7" t="s">
        <v>116</v>
      </c>
      <c r="I570" s="7" t="s">
        <v>58</v>
      </c>
      <c r="J570" s="7" t="s">
        <v>73</v>
      </c>
      <c r="K570" s="7" t="s">
        <v>118</v>
      </c>
      <c r="L570" s="7" t="s">
        <v>2668</v>
      </c>
      <c r="M570" s="7" t="s">
        <v>43</v>
      </c>
      <c r="N570" s="7" t="s">
        <v>84</v>
      </c>
      <c r="O570" s="7">
        <v>72</v>
      </c>
      <c r="P570" s="7">
        <v>35.6</v>
      </c>
      <c r="Q570" s="7">
        <v>20.36</v>
      </c>
      <c r="R570" s="7">
        <v>2563.5100000000002</v>
      </c>
      <c r="S570" s="7">
        <v>0.02</v>
      </c>
      <c r="T570" s="7">
        <v>51.27</v>
      </c>
      <c r="U570" s="7">
        <v>2512.2399999999998</v>
      </c>
      <c r="V570" s="7">
        <v>1465.88</v>
      </c>
      <c r="W570" s="7">
        <v>1046.3499999999999</v>
      </c>
      <c r="X570" s="7" t="s">
        <v>32</v>
      </c>
    </row>
    <row r="571" spans="1:24" x14ac:dyDescent="0.25">
      <c r="A571" s="16" t="s">
        <v>1026</v>
      </c>
      <c r="B571" s="17">
        <v>45648</v>
      </c>
      <c r="C571" s="6" t="s">
        <v>361</v>
      </c>
      <c r="D571" s="6" t="s">
        <v>35</v>
      </c>
      <c r="E571" s="6" t="s">
        <v>66</v>
      </c>
      <c r="F571" s="6" t="s">
        <v>67</v>
      </c>
      <c r="G571" s="6" t="s">
        <v>38</v>
      </c>
      <c r="H571" s="6" t="s">
        <v>68</v>
      </c>
      <c r="I571" s="6" t="s">
        <v>53</v>
      </c>
      <c r="J571" s="6" t="s">
        <v>232</v>
      </c>
      <c r="K571" s="6" t="s">
        <v>178</v>
      </c>
      <c r="L571" s="6" t="s">
        <v>256</v>
      </c>
      <c r="M571" s="6" t="s">
        <v>61</v>
      </c>
      <c r="N571" s="6" t="s">
        <v>44</v>
      </c>
      <c r="O571" s="6">
        <v>78</v>
      </c>
      <c r="P571" s="6">
        <v>152.91999999999999</v>
      </c>
      <c r="Q571" s="6">
        <v>111.71</v>
      </c>
      <c r="R571" s="6">
        <v>11928.08</v>
      </c>
      <c r="S571" s="6">
        <v>0.2</v>
      </c>
      <c r="T571" s="6">
        <v>2385.62</v>
      </c>
      <c r="U571" s="6">
        <v>9542.4599999999991</v>
      </c>
      <c r="V571" s="6">
        <v>8713.23</v>
      </c>
      <c r="W571" s="6">
        <v>829.24</v>
      </c>
      <c r="X571" s="6" t="s">
        <v>45</v>
      </c>
    </row>
    <row r="572" spans="1:24" x14ac:dyDescent="0.25">
      <c r="A572" s="5" t="s">
        <v>1027</v>
      </c>
      <c r="B572" s="18">
        <v>45606</v>
      </c>
      <c r="C572" s="7" t="s">
        <v>1028</v>
      </c>
      <c r="D572" s="7" t="s">
        <v>57</v>
      </c>
      <c r="E572" s="7" t="s">
        <v>250</v>
      </c>
      <c r="F572" s="7" t="s">
        <v>251</v>
      </c>
      <c r="G572" s="7" t="s">
        <v>51</v>
      </c>
      <c r="H572" s="7" t="s">
        <v>252</v>
      </c>
      <c r="I572" s="7" t="s">
        <v>88</v>
      </c>
      <c r="J572" s="7" t="s">
        <v>135</v>
      </c>
      <c r="K572" s="7" t="s">
        <v>144</v>
      </c>
      <c r="L572" s="7" t="s">
        <v>2669</v>
      </c>
      <c r="M572" s="7" t="s">
        <v>61</v>
      </c>
      <c r="N572" s="7" t="s">
        <v>44</v>
      </c>
      <c r="O572" s="7">
        <v>66</v>
      </c>
      <c r="P572" s="7">
        <v>66.03</v>
      </c>
      <c r="Q572" s="7">
        <v>38.75</v>
      </c>
      <c r="R572" s="7">
        <v>4357.9799999999996</v>
      </c>
      <c r="S572" s="7">
        <v>0.1</v>
      </c>
      <c r="T572" s="7">
        <v>435.8</v>
      </c>
      <c r="U572" s="7">
        <v>3922.19</v>
      </c>
      <c r="V572" s="7">
        <v>2557.62</v>
      </c>
      <c r="W572" s="7">
        <v>1364.57</v>
      </c>
      <c r="X572" s="7" t="s">
        <v>32</v>
      </c>
    </row>
    <row r="573" spans="1:24" x14ac:dyDescent="0.25">
      <c r="A573" s="16" t="s">
        <v>1029</v>
      </c>
      <c r="B573" s="17">
        <v>45596</v>
      </c>
      <c r="C573" s="6" t="s">
        <v>800</v>
      </c>
      <c r="D573" s="6" t="s">
        <v>1030</v>
      </c>
      <c r="E573" s="6" t="s">
        <v>176</v>
      </c>
      <c r="F573" s="6" t="s">
        <v>177</v>
      </c>
      <c r="G573" s="6" t="s">
        <v>101</v>
      </c>
      <c r="H573" s="6" t="s">
        <v>39</v>
      </c>
      <c r="I573" s="6" t="s">
        <v>53</v>
      </c>
      <c r="J573" s="6" t="s">
        <v>54</v>
      </c>
      <c r="K573" s="6" t="s">
        <v>152</v>
      </c>
      <c r="L573" s="6" t="s">
        <v>2670</v>
      </c>
      <c r="M573" s="6" t="s">
        <v>30</v>
      </c>
      <c r="N573" s="6" t="s">
        <v>84</v>
      </c>
      <c r="O573" s="6">
        <v>1</v>
      </c>
      <c r="P573" s="6">
        <v>112.65</v>
      </c>
      <c r="Q573" s="6">
        <v>58.14</v>
      </c>
      <c r="R573" s="6">
        <v>112.65</v>
      </c>
      <c r="S573" s="6">
        <v>0.05</v>
      </c>
      <c r="T573" s="6">
        <v>5.63</v>
      </c>
      <c r="U573" s="6">
        <v>107.02</v>
      </c>
      <c r="V573" s="6">
        <v>58.14</v>
      </c>
      <c r="W573" s="6">
        <v>48.88</v>
      </c>
      <c r="X573" s="6" t="s">
        <v>129</v>
      </c>
    </row>
    <row r="574" spans="1:24" x14ac:dyDescent="0.25">
      <c r="A574" s="5" t="s">
        <v>1031</v>
      </c>
      <c r="B574" s="18">
        <v>45440</v>
      </c>
      <c r="C574" s="7" t="s">
        <v>524</v>
      </c>
      <c r="D574" s="7" t="s">
        <v>125</v>
      </c>
      <c r="E574" s="7" t="s">
        <v>176</v>
      </c>
      <c r="F574" s="7" t="s">
        <v>177</v>
      </c>
      <c r="G574" s="7" t="s">
        <v>101</v>
      </c>
      <c r="H574" s="7" t="s">
        <v>39</v>
      </c>
      <c r="I574" s="7" t="s">
        <v>58</v>
      </c>
      <c r="J574" s="7" t="s">
        <v>323</v>
      </c>
      <c r="K574" s="7" t="s">
        <v>144</v>
      </c>
      <c r="L574" s="7" t="s">
        <v>2669</v>
      </c>
      <c r="M574" s="7" t="s">
        <v>61</v>
      </c>
      <c r="N574" s="7" t="s">
        <v>75</v>
      </c>
      <c r="O574" s="7">
        <v>39</v>
      </c>
      <c r="P574" s="7">
        <v>111.62</v>
      </c>
      <c r="Q574" s="7">
        <v>67.5</v>
      </c>
      <c r="R574" s="7">
        <v>4353.21</v>
      </c>
      <c r="S574" s="7">
        <v>0</v>
      </c>
      <c r="T574" s="7">
        <v>0</v>
      </c>
      <c r="U574" s="7">
        <v>4353.21</v>
      </c>
      <c r="V574" s="7">
        <v>2632.51</v>
      </c>
      <c r="W574" s="7">
        <v>1720.7</v>
      </c>
      <c r="X574" s="7" t="s">
        <v>45</v>
      </c>
    </row>
    <row r="575" spans="1:24" x14ac:dyDescent="0.25">
      <c r="A575" s="16" t="s">
        <v>1032</v>
      </c>
      <c r="B575" s="17">
        <v>45394</v>
      </c>
      <c r="C575" s="6" t="s">
        <v>1033</v>
      </c>
      <c r="D575" s="6" t="s">
        <v>105</v>
      </c>
      <c r="E575" s="6" t="s">
        <v>66</v>
      </c>
      <c r="F575" s="6" t="s">
        <v>67</v>
      </c>
      <c r="G575" s="6" t="s">
        <v>38</v>
      </c>
      <c r="H575" s="6" t="s">
        <v>68</v>
      </c>
      <c r="I575" s="6" t="s">
        <v>27</v>
      </c>
      <c r="J575" s="6" t="s">
        <v>28</v>
      </c>
      <c r="K575" s="6" t="s">
        <v>265</v>
      </c>
      <c r="L575" s="6" t="s">
        <v>2678</v>
      </c>
      <c r="M575" s="6" t="s">
        <v>43</v>
      </c>
      <c r="N575" s="6" t="s">
        <v>31</v>
      </c>
      <c r="O575" s="6">
        <v>11</v>
      </c>
      <c r="P575" s="6">
        <v>158.09</v>
      </c>
      <c r="Q575" s="6">
        <v>96.31</v>
      </c>
      <c r="R575" s="6">
        <v>1738.94</v>
      </c>
      <c r="S575" s="6">
        <v>0.02</v>
      </c>
      <c r="T575" s="6">
        <v>34.78</v>
      </c>
      <c r="U575" s="6">
        <v>1704.17</v>
      </c>
      <c r="V575" s="6">
        <v>1059.3599999999999</v>
      </c>
      <c r="W575" s="6">
        <v>644.80999999999995</v>
      </c>
      <c r="X575" s="6" t="s">
        <v>129</v>
      </c>
    </row>
    <row r="576" spans="1:24" x14ac:dyDescent="0.25">
      <c r="A576" s="5" t="s">
        <v>1034</v>
      </c>
      <c r="B576" s="18">
        <v>45568</v>
      </c>
      <c r="C576" s="7" t="s">
        <v>859</v>
      </c>
      <c r="D576" s="7" t="s">
        <v>221</v>
      </c>
      <c r="E576" s="7" t="s">
        <v>36</v>
      </c>
      <c r="F576" s="7" t="s">
        <v>37</v>
      </c>
      <c r="G576" s="7" t="s">
        <v>38</v>
      </c>
      <c r="H576" s="7" t="s">
        <v>39</v>
      </c>
      <c r="I576" s="7" t="s">
        <v>53</v>
      </c>
      <c r="J576" s="7" t="s">
        <v>232</v>
      </c>
      <c r="K576" s="7" t="s">
        <v>152</v>
      </c>
      <c r="L576" s="7" t="s">
        <v>2670</v>
      </c>
      <c r="M576" s="7" t="s">
        <v>43</v>
      </c>
      <c r="N576" s="7" t="s">
        <v>84</v>
      </c>
      <c r="O576" s="7">
        <v>76</v>
      </c>
      <c r="P576" s="7">
        <v>163.56</v>
      </c>
      <c r="Q576" s="7">
        <v>94.39</v>
      </c>
      <c r="R576" s="7">
        <v>12430.73</v>
      </c>
      <c r="S576" s="7">
        <v>0.05</v>
      </c>
      <c r="T576" s="7">
        <v>621.54</v>
      </c>
      <c r="U576" s="7">
        <v>11809.2</v>
      </c>
      <c r="V576" s="7">
        <v>7173.91</v>
      </c>
      <c r="W576" s="7">
        <v>4635.29</v>
      </c>
      <c r="X576" s="7" t="s">
        <v>32</v>
      </c>
    </row>
    <row r="577" spans="1:24" x14ac:dyDescent="0.25">
      <c r="A577" s="16" t="s">
        <v>1035</v>
      </c>
      <c r="B577" s="17">
        <v>45527</v>
      </c>
      <c r="C577" s="6" t="s">
        <v>1036</v>
      </c>
      <c r="D577" s="6" t="s">
        <v>22</v>
      </c>
      <c r="E577" s="6" t="s">
        <v>114</v>
      </c>
      <c r="F577" s="6" t="s">
        <v>115</v>
      </c>
      <c r="G577" s="6" t="s">
        <v>95</v>
      </c>
      <c r="H577" s="6" t="s">
        <v>116</v>
      </c>
      <c r="I577" s="6" t="s">
        <v>27</v>
      </c>
      <c r="J577" s="6" t="s">
        <v>211</v>
      </c>
      <c r="K577" s="6" t="s">
        <v>29</v>
      </c>
      <c r="L577" s="6" t="s">
        <v>2660</v>
      </c>
      <c r="M577" s="6" t="s">
        <v>153</v>
      </c>
      <c r="N577" s="6" t="s">
        <v>31</v>
      </c>
      <c r="O577" s="6">
        <v>47</v>
      </c>
      <c r="P577" s="6">
        <v>35.99</v>
      </c>
      <c r="Q577" s="6">
        <v>22.1</v>
      </c>
      <c r="R577" s="6">
        <v>1691.54</v>
      </c>
      <c r="S577" s="6">
        <v>0</v>
      </c>
      <c r="T577" s="6">
        <v>0</v>
      </c>
      <c r="U577" s="6">
        <v>1691.54</v>
      </c>
      <c r="V577" s="6">
        <v>1038.8699999999999</v>
      </c>
      <c r="W577" s="6">
        <v>652.66999999999996</v>
      </c>
      <c r="X577" s="6" t="s">
        <v>45</v>
      </c>
    </row>
    <row r="578" spans="1:24" x14ac:dyDescent="0.25">
      <c r="A578" s="5" t="s">
        <v>1037</v>
      </c>
      <c r="B578" s="18">
        <v>45598</v>
      </c>
      <c r="C578" s="7" t="s">
        <v>602</v>
      </c>
      <c r="D578" s="7" t="s">
        <v>159</v>
      </c>
      <c r="E578" s="7" t="s">
        <v>23</v>
      </c>
      <c r="F578" s="7" t="s">
        <v>24</v>
      </c>
      <c r="G578" s="7" t="s">
        <v>25</v>
      </c>
      <c r="H578" s="7" t="s">
        <v>26</v>
      </c>
      <c r="I578" s="7" t="s">
        <v>53</v>
      </c>
      <c r="J578" s="7" t="s">
        <v>143</v>
      </c>
      <c r="K578" s="7" t="s">
        <v>178</v>
      </c>
      <c r="L578" s="7" t="s">
        <v>256</v>
      </c>
      <c r="M578" s="7" t="s">
        <v>153</v>
      </c>
      <c r="N578" s="7" t="s">
        <v>31</v>
      </c>
      <c r="O578" s="7">
        <v>14</v>
      </c>
      <c r="P578" s="7">
        <v>77.25</v>
      </c>
      <c r="Q578" s="7">
        <v>40.96</v>
      </c>
      <c r="R578" s="7">
        <v>1081.56</v>
      </c>
      <c r="S578" s="7">
        <v>0.2</v>
      </c>
      <c r="T578" s="7">
        <v>216.31</v>
      </c>
      <c r="U578" s="7">
        <v>865.25</v>
      </c>
      <c r="V578" s="7">
        <v>573.41</v>
      </c>
      <c r="W578" s="7">
        <v>291.85000000000002</v>
      </c>
      <c r="X578" s="7" t="s">
        <v>129</v>
      </c>
    </row>
    <row r="579" spans="1:24" x14ac:dyDescent="0.25">
      <c r="A579" s="16" t="s">
        <v>1038</v>
      </c>
      <c r="B579" s="17">
        <v>45648</v>
      </c>
      <c r="C579" s="6" t="s">
        <v>449</v>
      </c>
      <c r="D579" s="6" t="s">
        <v>65</v>
      </c>
      <c r="E579" s="6" t="s">
        <v>49</v>
      </c>
      <c r="F579" s="6" t="s">
        <v>50</v>
      </c>
      <c r="G579" s="6" t="s">
        <v>51</v>
      </c>
      <c r="H579" s="6" t="s">
        <v>52</v>
      </c>
      <c r="I579" s="6" t="s">
        <v>58</v>
      </c>
      <c r="J579" s="6" t="s">
        <v>73</v>
      </c>
      <c r="K579" s="6" t="s">
        <v>69</v>
      </c>
      <c r="L579" s="6" t="s">
        <v>2663</v>
      </c>
      <c r="M579" s="6" t="s">
        <v>30</v>
      </c>
      <c r="N579" s="6" t="s">
        <v>31</v>
      </c>
      <c r="O579" s="6">
        <v>38</v>
      </c>
      <c r="P579" s="6">
        <v>25.92</v>
      </c>
      <c r="Q579" s="6">
        <v>13.29</v>
      </c>
      <c r="R579" s="6">
        <v>984.9</v>
      </c>
      <c r="S579" s="6"/>
      <c r="T579" s="6">
        <v>147.74</v>
      </c>
      <c r="U579" s="6">
        <v>837.17</v>
      </c>
      <c r="V579" s="6">
        <v>504.87</v>
      </c>
      <c r="W579" s="6">
        <v>332.29</v>
      </c>
      <c r="X579" s="6" t="s">
        <v>129</v>
      </c>
    </row>
    <row r="580" spans="1:24" x14ac:dyDescent="0.25">
      <c r="A580" s="5" t="s">
        <v>1039</v>
      </c>
      <c r="B580" s="18">
        <v>45636</v>
      </c>
      <c r="C580" s="7" t="s">
        <v>325</v>
      </c>
      <c r="D580" s="7" t="s">
        <v>35</v>
      </c>
      <c r="E580" s="7" t="s">
        <v>126</v>
      </c>
      <c r="F580" s="7" t="s">
        <v>127</v>
      </c>
      <c r="G580" s="7" t="s">
        <v>95</v>
      </c>
      <c r="H580" s="7" t="s">
        <v>128</v>
      </c>
      <c r="I580" s="7" t="s">
        <v>40</v>
      </c>
      <c r="J580" s="7" t="s">
        <v>41</v>
      </c>
      <c r="K580" s="7" t="s">
        <v>265</v>
      </c>
      <c r="L580" s="7" t="s">
        <v>2678</v>
      </c>
      <c r="M580" s="7" t="s">
        <v>61</v>
      </c>
      <c r="N580" s="7" t="s">
        <v>84</v>
      </c>
      <c r="O580" s="7">
        <v>39</v>
      </c>
      <c r="P580" s="7">
        <v>90.29</v>
      </c>
      <c r="Q580" s="7">
        <v>55.31</v>
      </c>
      <c r="R580" s="7">
        <v>3521.4</v>
      </c>
      <c r="S580" s="7">
        <v>0.15</v>
      </c>
      <c r="T580" s="7">
        <v>528.21</v>
      </c>
      <c r="U580" s="7">
        <v>2993.19</v>
      </c>
      <c r="V580" s="7">
        <v>2157.06</v>
      </c>
      <c r="W580" s="7">
        <v>836.13</v>
      </c>
      <c r="X580" s="7" t="s">
        <v>45</v>
      </c>
    </row>
    <row r="581" spans="1:24" x14ac:dyDescent="0.25">
      <c r="A581" s="16" t="s">
        <v>1040</v>
      </c>
      <c r="B581" s="17">
        <v>45452</v>
      </c>
      <c r="C581" s="6" t="s">
        <v>367</v>
      </c>
      <c r="D581" s="6" t="s">
        <v>105</v>
      </c>
      <c r="E581" s="6" t="s">
        <v>23</v>
      </c>
      <c r="F581" s="6" t="s">
        <v>24</v>
      </c>
      <c r="G581" s="6" t="s">
        <v>25</v>
      </c>
      <c r="H581" s="6" t="s">
        <v>26</v>
      </c>
      <c r="I581" s="6" t="s">
        <v>40</v>
      </c>
      <c r="J581" s="6" t="s">
        <v>41</v>
      </c>
      <c r="K581" s="6" t="s">
        <v>69</v>
      </c>
      <c r="L581" s="6" t="s">
        <v>2663</v>
      </c>
      <c r="M581" s="6" t="s">
        <v>153</v>
      </c>
      <c r="N581" s="6" t="s">
        <v>84</v>
      </c>
      <c r="O581" s="6">
        <v>42</v>
      </c>
      <c r="P581" s="6">
        <v>72.75</v>
      </c>
      <c r="Q581" s="6">
        <v>42.39</v>
      </c>
      <c r="R581" s="6">
        <v>3055.71</v>
      </c>
      <c r="S581" s="6">
        <v>0.02</v>
      </c>
      <c r="T581" s="6">
        <v>61.11</v>
      </c>
      <c r="U581" s="6">
        <v>2994.59</v>
      </c>
      <c r="V581" s="6">
        <v>1780.32</v>
      </c>
      <c r="W581" s="6">
        <v>1214.27</v>
      </c>
      <c r="X581" s="6" t="s">
        <v>45</v>
      </c>
    </row>
    <row r="582" spans="1:24" x14ac:dyDescent="0.25">
      <c r="A582" s="5" t="s">
        <v>1041</v>
      </c>
      <c r="B582" s="18">
        <v>45638</v>
      </c>
      <c r="C582" s="7" t="s">
        <v>489</v>
      </c>
      <c r="D582" s="7" t="s">
        <v>105</v>
      </c>
      <c r="E582" s="7" t="s">
        <v>209</v>
      </c>
      <c r="F582" s="7" t="s">
        <v>210</v>
      </c>
      <c r="G582" s="7" t="s">
        <v>51</v>
      </c>
      <c r="H582" s="7" t="s">
        <v>116</v>
      </c>
      <c r="I582" s="7" t="s">
        <v>53</v>
      </c>
      <c r="J582" s="7" t="s">
        <v>54</v>
      </c>
      <c r="K582" s="7" t="s">
        <v>248</v>
      </c>
      <c r="L582" s="7" t="s">
        <v>2675</v>
      </c>
      <c r="M582" s="7" t="s">
        <v>153</v>
      </c>
      <c r="N582" s="7" t="s">
        <v>44</v>
      </c>
      <c r="O582" s="7">
        <v>70</v>
      </c>
      <c r="P582" s="7">
        <v>17.03</v>
      </c>
      <c r="Q582" s="7">
        <v>10.64</v>
      </c>
      <c r="R582" s="7">
        <v>1191.78</v>
      </c>
      <c r="S582" s="7">
        <v>0.02</v>
      </c>
      <c r="T582" s="7">
        <v>23.84</v>
      </c>
      <c r="U582" s="7">
        <v>1167.95</v>
      </c>
      <c r="V582" s="7">
        <v>744.64</v>
      </c>
      <c r="W582" s="7">
        <v>423.31</v>
      </c>
      <c r="X582" s="7" t="s">
        <v>1042</v>
      </c>
    </row>
    <row r="583" spans="1:24" x14ac:dyDescent="0.25">
      <c r="A583" s="16" t="s">
        <v>1043</v>
      </c>
      <c r="B583" s="17">
        <v>45391</v>
      </c>
      <c r="C583" s="6" t="s">
        <v>1044</v>
      </c>
      <c r="D583" s="6" t="s">
        <v>359</v>
      </c>
      <c r="E583" s="6" t="s">
        <v>66</v>
      </c>
      <c r="F583" s="6" t="s">
        <v>67</v>
      </c>
      <c r="G583" s="6" t="s">
        <v>38</v>
      </c>
      <c r="H583" s="6" t="s">
        <v>68</v>
      </c>
      <c r="I583" s="6" t="s">
        <v>53</v>
      </c>
      <c r="J583" s="6" t="s">
        <v>232</v>
      </c>
      <c r="K583" s="6" t="s">
        <v>74</v>
      </c>
      <c r="L583" s="6" t="s">
        <v>2664</v>
      </c>
      <c r="M583" s="6" t="s">
        <v>30</v>
      </c>
      <c r="N583" s="6" t="s">
        <v>84</v>
      </c>
      <c r="O583" s="6">
        <v>56</v>
      </c>
      <c r="P583" s="6">
        <v>149.30000000000001</v>
      </c>
      <c r="Q583" s="6">
        <v>111.79</v>
      </c>
      <c r="R583" s="6">
        <v>8361</v>
      </c>
      <c r="S583" s="6">
        <v>0.05</v>
      </c>
      <c r="T583" s="6">
        <v>418.05</v>
      </c>
      <c r="U583" s="6">
        <v>7942.95</v>
      </c>
      <c r="V583" s="6">
        <v>6259.97</v>
      </c>
      <c r="W583" s="6">
        <v>1682.98</v>
      </c>
      <c r="X583" s="6" t="s">
        <v>129</v>
      </c>
    </row>
    <row r="584" spans="1:24" x14ac:dyDescent="0.25">
      <c r="A584" s="5" t="s">
        <v>1045</v>
      </c>
      <c r="B584" s="18">
        <v>45642</v>
      </c>
      <c r="C584" s="7" t="s">
        <v>931</v>
      </c>
      <c r="D584" s="7" t="s">
        <v>105</v>
      </c>
      <c r="E584" s="7" t="s">
        <v>222</v>
      </c>
      <c r="F584" s="7" t="s">
        <v>223</v>
      </c>
      <c r="G584" s="7" t="s">
        <v>101</v>
      </c>
      <c r="H584" s="7" t="s">
        <v>68</v>
      </c>
      <c r="I584" s="7" t="s">
        <v>88</v>
      </c>
      <c r="J584" s="7" t="s">
        <v>183</v>
      </c>
      <c r="K584" s="7" t="s">
        <v>152</v>
      </c>
      <c r="L584" s="7" t="s">
        <v>2670</v>
      </c>
      <c r="M584" s="7" t="s">
        <v>30</v>
      </c>
      <c r="N584" s="7"/>
      <c r="O584" s="7">
        <v>79</v>
      </c>
      <c r="P584" s="7">
        <v>111.36</v>
      </c>
      <c r="Q584" s="7">
        <v>72.2</v>
      </c>
      <c r="R584" s="7">
        <v>8797.81</v>
      </c>
      <c r="S584" s="7">
        <v>0.15</v>
      </c>
      <c r="T584" s="7">
        <v>1319.67</v>
      </c>
      <c r="U584" s="7">
        <v>7478.14</v>
      </c>
      <c r="V584" s="7">
        <v>5703.46</v>
      </c>
      <c r="W584" s="7">
        <v>1774.68</v>
      </c>
      <c r="X584" s="7" t="s">
        <v>45</v>
      </c>
    </row>
    <row r="585" spans="1:24" x14ac:dyDescent="0.25">
      <c r="A585" s="16" t="s">
        <v>1046</v>
      </c>
      <c r="B585" s="17">
        <v>45364</v>
      </c>
      <c r="C585" s="6" t="s">
        <v>1047</v>
      </c>
      <c r="D585" s="6" t="s">
        <v>156</v>
      </c>
      <c r="E585" s="6" t="s">
        <v>165</v>
      </c>
      <c r="F585" s="6" t="s">
        <v>166</v>
      </c>
      <c r="G585" s="6" t="s">
        <v>95</v>
      </c>
      <c r="H585" s="6" t="s">
        <v>167</v>
      </c>
      <c r="I585" s="6" t="s">
        <v>53</v>
      </c>
      <c r="J585" s="6" t="s">
        <v>54</v>
      </c>
      <c r="K585" s="6" t="s">
        <v>253</v>
      </c>
      <c r="L585" s="6" t="s">
        <v>2676</v>
      </c>
      <c r="M585" s="6" t="s">
        <v>43</v>
      </c>
      <c r="N585" s="6" t="s">
        <v>31</v>
      </c>
      <c r="O585" s="6">
        <v>41</v>
      </c>
      <c r="P585" s="6">
        <v>44.83</v>
      </c>
      <c r="Q585" s="6">
        <v>25.78</v>
      </c>
      <c r="R585" s="6">
        <v>1837.99</v>
      </c>
      <c r="S585" s="6">
        <v>0.2</v>
      </c>
      <c r="T585" s="6">
        <v>367.6</v>
      </c>
      <c r="U585" s="6">
        <v>1470.39</v>
      </c>
      <c r="V585" s="6">
        <v>1056.9100000000001</v>
      </c>
      <c r="W585" s="6">
        <v>413.48</v>
      </c>
      <c r="X585" s="6" t="s">
        <v>129</v>
      </c>
    </row>
    <row r="586" spans="1:24" x14ac:dyDescent="0.25">
      <c r="A586" s="5" t="s">
        <v>1048</v>
      </c>
      <c r="B586" s="18">
        <v>45350</v>
      </c>
      <c r="C586" s="7" t="s">
        <v>295</v>
      </c>
      <c r="D586" s="7" t="s">
        <v>22</v>
      </c>
      <c r="E586" s="7" t="s">
        <v>176</v>
      </c>
      <c r="F586" s="7" t="s">
        <v>177</v>
      </c>
      <c r="G586" s="7" t="s">
        <v>101</v>
      </c>
      <c r="H586" s="7" t="s">
        <v>39</v>
      </c>
      <c r="I586" s="7" t="s">
        <v>58</v>
      </c>
      <c r="J586" s="7" t="s">
        <v>59</v>
      </c>
      <c r="K586" s="7" t="s">
        <v>195</v>
      </c>
      <c r="L586" s="7" t="s">
        <v>2673</v>
      </c>
      <c r="M586" s="7" t="s">
        <v>30</v>
      </c>
      <c r="N586" s="7" t="s">
        <v>44</v>
      </c>
      <c r="O586" s="7">
        <v>60</v>
      </c>
      <c r="P586" s="7">
        <v>108.56</v>
      </c>
      <c r="Q586" s="7">
        <v>60.35</v>
      </c>
      <c r="R586" s="7">
        <v>6513.88</v>
      </c>
      <c r="S586" s="7">
        <v>0</v>
      </c>
      <c r="T586" s="7">
        <v>0</v>
      </c>
      <c r="U586" s="7">
        <v>6513.88</v>
      </c>
      <c r="V586" s="7">
        <v>3621.09</v>
      </c>
      <c r="W586" s="7">
        <v>2892.79</v>
      </c>
      <c r="X586" s="7" t="s">
        <v>45</v>
      </c>
    </row>
    <row r="587" spans="1:24" x14ac:dyDescent="0.25">
      <c r="A587" s="16" t="s">
        <v>1049</v>
      </c>
      <c r="B587" s="17">
        <v>45335</v>
      </c>
      <c r="C587" s="6" t="s">
        <v>565</v>
      </c>
      <c r="D587" s="6" t="s">
        <v>121</v>
      </c>
      <c r="E587" s="6" t="s">
        <v>109</v>
      </c>
      <c r="F587" s="6" t="s">
        <v>110</v>
      </c>
      <c r="G587" s="6" t="s">
        <v>80</v>
      </c>
      <c r="H587" s="6" t="s">
        <v>81</v>
      </c>
      <c r="I587" s="6" t="s">
        <v>431</v>
      </c>
      <c r="J587" s="6" t="s">
        <v>183</v>
      </c>
      <c r="K587" s="6" t="s">
        <v>111</v>
      </c>
      <c r="L587" s="6" t="s">
        <v>2667</v>
      </c>
      <c r="M587" s="6" t="s">
        <v>43</v>
      </c>
      <c r="N587" s="6" t="s">
        <v>70</v>
      </c>
      <c r="O587" s="6">
        <v>10</v>
      </c>
      <c r="P587" s="6">
        <v>134.76</v>
      </c>
      <c r="Q587" s="6">
        <v>73.459999999999994</v>
      </c>
      <c r="R587" s="6">
        <v>1347.61</v>
      </c>
      <c r="S587" s="6">
        <v>0</v>
      </c>
      <c r="T587" s="6">
        <v>0</v>
      </c>
      <c r="U587" s="6">
        <v>1347.61</v>
      </c>
      <c r="V587" s="6">
        <v>734.55</v>
      </c>
      <c r="W587" s="6">
        <v>613.04999999999995</v>
      </c>
      <c r="X587" s="6" t="s">
        <v>129</v>
      </c>
    </row>
    <row r="588" spans="1:24" x14ac:dyDescent="0.25">
      <c r="A588" s="5" t="s">
        <v>1050</v>
      </c>
      <c r="B588" s="18">
        <v>45385</v>
      </c>
      <c r="C588" s="7" t="s">
        <v>878</v>
      </c>
      <c r="D588" s="7" t="s">
        <v>65</v>
      </c>
      <c r="E588" s="7" t="s">
        <v>49</v>
      </c>
      <c r="F588" s="7" t="s">
        <v>50</v>
      </c>
      <c r="G588" s="7" t="s">
        <v>51</v>
      </c>
      <c r="H588" s="7" t="s">
        <v>52</v>
      </c>
      <c r="I588" s="7" t="s">
        <v>88</v>
      </c>
      <c r="J588" s="7" t="s">
        <v>173</v>
      </c>
      <c r="K588" s="7" t="s">
        <v>248</v>
      </c>
      <c r="L588" s="7" t="s">
        <v>2675</v>
      </c>
      <c r="M588" s="7" t="s">
        <v>30</v>
      </c>
      <c r="N588" s="7" t="s">
        <v>84</v>
      </c>
      <c r="O588" s="7">
        <v>18</v>
      </c>
      <c r="P588" s="7">
        <v>24.44</v>
      </c>
      <c r="Q588" s="7">
        <v>12.15</v>
      </c>
      <c r="R588" s="7">
        <v>439.99</v>
      </c>
      <c r="S588" s="7">
        <v>0.05</v>
      </c>
      <c r="T588" s="7">
        <v>22</v>
      </c>
      <c r="U588" s="7">
        <v>417.99</v>
      </c>
      <c r="V588" s="7">
        <v>218.71</v>
      </c>
      <c r="W588" s="7">
        <v>199.28</v>
      </c>
      <c r="X588" s="7" t="s">
        <v>129</v>
      </c>
    </row>
    <row r="589" spans="1:24" x14ac:dyDescent="0.25">
      <c r="A589" s="16" t="s">
        <v>1051</v>
      </c>
      <c r="B589" s="17">
        <v>45346</v>
      </c>
      <c r="C589" s="6" t="s">
        <v>86</v>
      </c>
      <c r="D589" s="6" t="s">
        <v>87</v>
      </c>
      <c r="E589" s="6" t="s">
        <v>93</v>
      </c>
      <c r="F589" s="6" t="s">
        <v>94</v>
      </c>
      <c r="G589" s="6" t="s">
        <v>95</v>
      </c>
      <c r="H589" s="6" t="s">
        <v>96</v>
      </c>
      <c r="I589" s="6" t="s">
        <v>40</v>
      </c>
      <c r="J589" s="6" t="s">
        <v>117</v>
      </c>
      <c r="K589" s="6" t="s">
        <v>74</v>
      </c>
      <c r="L589" s="6" t="s">
        <v>2664</v>
      </c>
      <c r="M589" s="6" t="s">
        <v>153</v>
      </c>
      <c r="N589" s="6" t="s">
        <v>75</v>
      </c>
      <c r="O589" s="6">
        <v>78</v>
      </c>
      <c r="P589" s="6">
        <v>54.61</v>
      </c>
      <c r="Q589" s="6">
        <v>31.33</v>
      </c>
      <c r="R589" s="6">
        <v>4259.96</v>
      </c>
      <c r="S589" s="6">
        <v>0.02</v>
      </c>
      <c r="T589" s="6">
        <v>85.2</v>
      </c>
      <c r="U589" s="6">
        <v>4174.76</v>
      </c>
      <c r="V589" s="6">
        <v>2443.71</v>
      </c>
      <c r="W589" s="6">
        <v>1731.06</v>
      </c>
      <c r="X589" s="6" t="s">
        <v>45</v>
      </c>
    </row>
    <row r="590" spans="1:24" x14ac:dyDescent="0.25">
      <c r="A590" s="5" t="s">
        <v>1052</v>
      </c>
      <c r="B590" s="18">
        <v>45509</v>
      </c>
      <c r="C590" s="7" t="s">
        <v>567</v>
      </c>
      <c r="D590" s="7" t="s">
        <v>22</v>
      </c>
      <c r="E590" s="7" t="s">
        <v>250</v>
      </c>
      <c r="F590" s="7" t="s">
        <v>251</v>
      </c>
      <c r="G590" s="7" t="s">
        <v>51</v>
      </c>
      <c r="H590" s="7" t="s">
        <v>252</v>
      </c>
      <c r="I590" s="7" t="s">
        <v>88</v>
      </c>
      <c r="J590" s="7" t="s">
        <v>173</v>
      </c>
      <c r="K590" s="7" t="s">
        <v>261</v>
      </c>
      <c r="L590" s="7" t="s">
        <v>2677</v>
      </c>
      <c r="M590" s="7" t="s">
        <v>30</v>
      </c>
      <c r="N590" s="7" t="s">
        <v>31</v>
      </c>
      <c r="O590" s="7">
        <v>17</v>
      </c>
      <c r="P590" s="7">
        <v>61.49</v>
      </c>
      <c r="Q590" s="7">
        <v>38.58</v>
      </c>
      <c r="R590" s="7">
        <v>1045.3800000000001</v>
      </c>
      <c r="S590" s="7">
        <v>0.02</v>
      </c>
      <c r="T590" s="7">
        <v>20.91</v>
      </c>
      <c r="U590" s="7">
        <v>1024.47</v>
      </c>
      <c r="V590" s="7">
        <v>655.84</v>
      </c>
      <c r="W590" s="7">
        <v>368.63</v>
      </c>
      <c r="X590" s="7" t="s">
        <v>45</v>
      </c>
    </row>
    <row r="591" spans="1:24" x14ac:dyDescent="0.25">
      <c r="A591" s="16" t="s">
        <v>1053</v>
      </c>
      <c r="B591" s="17">
        <v>45417</v>
      </c>
      <c r="C591" s="6" t="s">
        <v>131</v>
      </c>
      <c r="D591" s="6" t="s">
        <v>65</v>
      </c>
      <c r="E591" s="6" t="s">
        <v>126</v>
      </c>
      <c r="F591" s="6" t="s">
        <v>127</v>
      </c>
      <c r="G591" s="6" t="s">
        <v>95</v>
      </c>
      <c r="H591" s="6" t="s">
        <v>128</v>
      </c>
      <c r="I591" s="6" t="s">
        <v>53</v>
      </c>
      <c r="J591" s="6" t="s">
        <v>143</v>
      </c>
      <c r="K591" s="6" t="s">
        <v>74</v>
      </c>
      <c r="L591" s="6" t="s">
        <v>2664</v>
      </c>
      <c r="M591" s="6" t="s">
        <v>61</v>
      </c>
      <c r="N591" s="6" t="s">
        <v>70</v>
      </c>
      <c r="O591" s="6">
        <v>61</v>
      </c>
      <c r="P591" s="6">
        <v>93.41</v>
      </c>
      <c r="Q591" s="6">
        <v>56.08</v>
      </c>
      <c r="R591" s="6">
        <v>5698.07</v>
      </c>
      <c r="S591" s="6">
        <v>0.05</v>
      </c>
      <c r="T591" s="6">
        <v>284.89999999999998</v>
      </c>
      <c r="U591" s="6">
        <v>5413.17</v>
      </c>
      <c r="V591" s="6">
        <v>3420.67</v>
      </c>
      <c r="W591" s="6">
        <v>1992.5</v>
      </c>
      <c r="X591" s="6" t="s">
        <v>45</v>
      </c>
    </row>
    <row r="592" spans="1:24" x14ac:dyDescent="0.25">
      <c r="A592" s="5" t="s">
        <v>1054</v>
      </c>
      <c r="B592" s="18">
        <v>45493</v>
      </c>
      <c r="C592" s="7" t="s">
        <v>933</v>
      </c>
      <c r="D592" s="7" t="s">
        <v>159</v>
      </c>
      <c r="E592" s="7" t="s">
        <v>150</v>
      </c>
      <c r="F592" s="7" t="s">
        <v>151</v>
      </c>
      <c r="G592" s="7" t="s">
        <v>101</v>
      </c>
      <c r="H592" s="7" t="s">
        <v>134</v>
      </c>
      <c r="I592" s="7" t="s">
        <v>40</v>
      </c>
      <c r="J592" s="7" t="s">
        <v>117</v>
      </c>
      <c r="K592" s="7" t="s">
        <v>261</v>
      </c>
      <c r="L592" s="7" t="s">
        <v>2677</v>
      </c>
      <c r="M592" s="7" t="s">
        <v>153</v>
      </c>
      <c r="N592" s="7" t="s">
        <v>70</v>
      </c>
      <c r="O592" s="7">
        <v>6</v>
      </c>
      <c r="P592" s="7">
        <v>79.69</v>
      </c>
      <c r="Q592" s="7">
        <v>51.39</v>
      </c>
      <c r="R592" s="7">
        <v>478.15</v>
      </c>
      <c r="S592" s="7">
        <v>0.02</v>
      </c>
      <c r="T592" s="7">
        <v>9.56</v>
      </c>
      <c r="U592" s="7">
        <v>468.59</v>
      </c>
      <c r="V592" s="7">
        <v>308.35000000000002</v>
      </c>
      <c r="W592" s="7">
        <v>160.24</v>
      </c>
      <c r="X592" s="7" t="s">
        <v>129</v>
      </c>
    </row>
    <row r="593" spans="1:24" x14ac:dyDescent="0.25">
      <c r="A593" s="16" t="s">
        <v>1055</v>
      </c>
      <c r="B593" s="17">
        <v>45601</v>
      </c>
      <c r="C593" s="6"/>
      <c r="D593" s="6"/>
      <c r="E593" s="6" t="s">
        <v>66</v>
      </c>
      <c r="F593" s="6" t="s">
        <v>67</v>
      </c>
      <c r="G593" s="6" t="s">
        <v>38</v>
      </c>
      <c r="H593" s="6" t="s">
        <v>68</v>
      </c>
      <c r="I593" s="6" t="s">
        <v>88</v>
      </c>
      <c r="J593" s="6" t="s">
        <v>135</v>
      </c>
      <c r="K593" s="6" t="s">
        <v>144</v>
      </c>
      <c r="L593" s="6" t="s">
        <v>2669</v>
      </c>
      <c r="M593" s="6" t="s">
        <v>61</v>
      </c>
      <c r="N593" s="6" t="s">
        <v>31</v>
      </c>
      <c r="O593" s="6">
        <v>75</v>
      </c>
      <c r="P593" s="6">
        <v>155.24</v>
      </c>
      <c r="Q593" s="6">
        <v>104.63</v>
      </c>
      <c r="R593" s="6">
        <v>11642.64</v>
      </c>
      <c r="S593" s="6">
        <v>0.1</v>
      </c>
      <c r="T593" s="6">
        <v>1164.26</v>
      </c>
      <c r="U593" s="6">
        <v>10478.379999999999</v>
      </c>
      <c r="V593" s="6">
        <v>7847.45</v>
      </c>
      <c r="W593" s="6">
        <v>2630.92</v>
      </c>
      <c r="X593" s="6" t="s">
        <v>45</v>
      </c>
    </row>
    <row r="594" spans="1:24" x14ac:dyDescent="0.25">
      <c r="A594" s="5" t="s">
        <v>1056</v>
      </c>
      <c r="B594" s="18">
        <v>45562</v>
      </c>
      <c r="C594" s="7" t="s">
        <v>461</v>
      </c>
      <c r="D594" s="7" t="s">
        <v>87</v>
      </c>
      <c r="E594" s="7" t="s">
        <v>99</v>
      </c>
      <c r="F594" s="7" t="s">
        <v>100</v>
      </c>
      <c r="G594" s="7" t="s">
        <v>101</v>
      </c>
      <c r="H594" s="7" t="s">
        <v>102</v>
      </c>
      <c r="I594" s="7" t="s">
        <v>58</v>
      </c>
      <c r="J594" s="7" t="s">
        <v>73</v>
      </c>
      <c r="K594" s="7" t="s">
        <v>42</v>
      </c>
      <c r="L594" s="7" t="s">
        <v>2661</v>
      </c>
      <c r="M594" s="7" t="s">
        <v>153</v>
      </c>
      <c r="N594" s="7" t="s">
        <v>70</v>
      </c>
      <c r="O594" s="7">
        <v>56</v>
      </c>
      <c r="P594" s="7">
        <v>66.77</v>
      </c>
      <c r="Q594" s="7">
        <v>42.03</v>
      </c>
      <c r="R594" s="7">
        <v>3739.36</v>
      </c>
      <c r="S594" s="7">
        <v>0</v>
      </c>
      <c r="T594" s="7">
        <v>0</v>
      </c>
      <c r="U594" s="7">
        <v>3739.36</v>
      </c>
      <c r="V594" s="7">
        <v>2353.81</v>
      </c>
      <c r="W594" s="7">
        <v>1385.56</v>
      </c>
      <c r="X594" s="7" t="s">
        <v>32</v>
      </c>
    </row>
    <row r="595" spans="1:24" x14ac:dyDescent="0.25">
      <c r="A595" s="16" t="s">
        <v>1057</v>
      </c>
      <c r="B595" s="17">
        <v>45364</v>
      </c>
      <c r="C595" s="6" t="s">
        <v>477</v>
      </c>
      <c r="D595" s="6" t="s">
        <v>221</v>
      </c>
      <c r="E595" s="6" t="s">
        <v>126</v>
      </c>
      <c r="F595" s="6" t="s">
        <v>127</v>
      </c>
      <c r="G595" s="6" t="s">
        <v>95</v>
      </c>
      <c r="H595" s="6" t="s">
        <v>128</v>
      </c>
      <c r="I595" s="6" t="s">
        <v>53</v>
      </c>
      <c r="J595" s="6" t="s">
        <v>232</v>
      </c>
      <c r="K595" s="6" t="s">
        <v>60</v>
      </c>
      <c r="L595" s="6" t="s">
        <v>2662</v>
      </c>
      <c r="M595" s="6" t="s">
        <v>153</v>
      </c>
      <c r="N595" s="6" t="s">
        <v>190</v>
      </c>
      <c r="O595" s="6">
        <v>50</v>
      </c>
      <c r="P595" s="6">
        <v>88.89</v>
      </c>
      <c r="Q595" s="6">
        <v>51.33</v>
      </c>
      <c r="R595" s="6">
        <v>4444.29</v>
      </c>
      <c r="S595" s="6">
        <v>0.1</v>
      </c>
      <c r="T595" s="6">
        <v>444.43</v>
      </c>
      <c r="U595" s="6">
        <v>3999.86</v>
      </c>
      <c r="V595" s="6">
        <v>2566.44</v>
      </c>
      <c r="W595" s="6">
        <v>1433.42</v>
      </c>
      <c r="X595" s="6" t="s">
        <v>129</v>
      </c>
    </row>
    <row r="596" spans="1:24" x14ac:dyDescent="0.25">
      <c r="A596" s="5" t="s">
        <v>1058</v>
      </c>
      <c r="B596" s="18">
        <v>45510</v>
      </c>
      <c r="C596" s="7" t="s">
        <v>631</v>
      </c>
      <c r="D596" s="7" t="s">
        <v>105</v>
      </c>
      <c r="E596" s="7" t="s">
        <v>222</v>
      </c>
      <c r="F596" s="7" t="s">
        <v>223</v>
      </c>
      <c r="G596" s="7" t="s">
        <v>101</v>
      </c>
      <c r="H596" s="7" t="s">
        <v>68</v>
      </c>
      <c r="I596" s="7" t="s">
        <v>53</v>
      </c>
      <c r="J596" s="7" t="s">
        <v>54</v>
      </c>
      <c r="K596" s="7" t="s">
        <v>265</v>
      </c>
      <c r="L596" s="7" t="s">
        <v>2678</v>
      </c>
      <c r="M596" s="7" t="s">
        <v>153</v>
      </c>
      <c r="N596" s="7" t="s">
        <v>70</v>
      </c>
      <c r="O596" s="7">
        <v>42</v>
      </c>
      <c r="P596" s="7">
        <v>127.08</v>
      </c>
      <c r="Q596" s="7">
        <v>81.45</v>
      </c>
      <c r="R596" s="7">
        <v>5337.26</v>
      </c>
      <c r="S596" s="7">
        <v>0.05</v>
      </c>
      <c r="T596" s="7">
        <v>266.86</v>
      </c>
      <c r="U596" s="7">
        <v>5070.3900000000003</v>
      </c>
      <c r="V596" s="7">
        <v>3420.98</v>
      </c>
      <c r="W596" s="7">
        <v>1649.41</v>
      </c>
      <c r="X596" s="7" t="s">
        <v>45</v>
      </c>
    </row>
    <row r="597" spans="1:24" x14ac:dyDescent="0.25">
      <c r="A597" s="16" t="s">
        <v>1059</v>
      </c>
      <c r="B597" s="17">
        <v>45383</v>
      </c>
      <c r="C597" s="6" t="s">
        <v>623</v>
      </c>
      <c r="D597" s="6" t="s">
        <v>156</v>
      </c>
      <c r="E597" s="6" t="s">
        <v>23</v>
      </c>
      <c r="F597" s="6" t="s">
        <v>24</v>
      </c>
      <c r="G597" s="6" t="s">
        <v>25</v>
      </c>
      <c r="H597" s="6" t="s">
        <v>26</v>
      </c>
      <c r="I597" s="6" t="s">
        <v>88</v>
      </c>
      <c r="J597" s="6" t="s">
        <v>183</v>
      </c>
      <c r="K597" s="6" t="s">
        <v>60</v>
      </c>
      <c r="L597" s="6" t="s">
        <v>2662</v>
      </c>
      <c r="M597" s="6" t="s">
        <v>153</v>
      </c>
      <c r="N597" s="6" t="s">
        <v>70</v>
      </c>
      <c r="O597" s="6">
        <v>39</v>
      </c>
      <c r="P597" s="6">
        <v>72.42</v>
      </c>
      <c r="Q597" s="6">
        <v>40.74</v>
      </c>
      <c r="R597" s="6">
        <v>2824.31</v>
      </c>
      <c r="S597" s="6">
        <v>0</v>
      </c>
      <c r="T597" s="6">
        <v>0</v>
      </c>
      <c r="U597" s="6">
        <v>2824.31</v>
      </c>
      <c r="V597" s="6">
        <v>1588.85</v>
      </c>
      <c r="W597" s="6">
        <v>1235.46</v>
      </c>
      <c r="X597" s="6" t="s">
        <v>45</v>
      </c>
    </row>
    <row r="598" spans="1:24" x14ac:dyDescent="0.25">
      <c r="A598" s="5" t="s">
        <v>1060</v>
      </c>
      <c r="B598" s="18">
        <v>45563</v>
      </c>
      <c r="C598" s="7" t="s">
        <v>679</v>
      </c>
      <c r="D598" s="7" t="s">
        <v>105</v>
      </c>
      <c r="E598" s="7" t="s">
        <v>93</v>
      </c>
      <c r="F598" s="7" t="s">
        <v>94</v>
      </c>
      <c r="G598" s="7" t="s">
        <v>95</v>
      </c>
      <c r="H598" s="7" t="s">
        <v>96</v>
      </c>
      <c r="I598" s="7" t="s">
        <v>88</v>
      </c>
      <c r="J598" s="7" t="s">
        <v>183</v>
      </c>
      <c r="K598" s="7" t="s">
        <v>261</v>
      </c>
      <c r="L598" s="7" t="s">
        <v>2677</v>
      </c>
      <c r="M598" s="7" t="s">
        <v>61</v>
      </c>
      <c r="N598" s="7" t="s">
        <v>70</v>
      </c>
      <c r="O598" s="7">
        <v>14</v>
      </c>
      <c r="P598" s="7">
        <v>53.83</v>
      </c>
      <c r="Q598" s="7">
        <v>29.89</v>
      </c>
      <c r="R598" s="7">
        <v>753.66</v>
      </c>
      <c r="S598" s="7">
        <v>0.05</v>
      </c>
      <c r="T598" s="7">
        <v>37.68</v>
      </c>
      <c r="U598" s="7">
        <v>715.98</v>
      </c>
      <c r="V598" s="7">
        <v>418.4</v>
      </c>
      <c r="W598" s="7">
        <v>297.58</v>
      </c>
      <c r="X598" s="7" t="s">
        <v>45</v>
      </c>
    </row>
    <row r="599" spans="1:24" x14ac:dyDescent="0.25">
      <c r="A599" s="16" t="s">
        <v>1061</v>
      </c>
      <c r="B599" s="17">
        <v>45622</v>
      </c>
      <c r="C599" s="6" t="s">
        <v>422</v>
      </c>
      <c r="D599" s="6" t="s">
        <v>48</v>
      </c>
      <c r="E599" s="6" t="s">
        <v>216</v>
      </c>
      <c r="F599" s="6" t="s">
        <v>217</v>
      </c>
      <c r="G599" s="6" t="s">
        <v>38</v>
      </c>
      <c r="H599" s="6" t="s">
        <v>134</v>
      </c>
      <c r="I599" s="6" t="s">
        <v>53</v>
      </c>
      <c r="J599" s="6" t="s">
        <v>54</v>
      </c>
      <c r="K599" s="6" t="s">
        <v>74</v>
      </c>
      <c r="L599" s="6" t="s">
        <v>2664</v>
      </c>
      <c r="M599" s="6" t="s">
        <v>153</v>
      </c>
      <c r="N599" s="6" t="s">
        <v>70</v>
      </c>
      <c r="O599" s="6">
        <v>37</v>
      </c>
      <c r="P599" s="6">
        <v>111.56</v>
      </c>
      <c r="Q599" s="6">
        <v>65.66</v>
      </c>
      <c r="R599" s="6">
        <v>4127.78</v>
      </c>
      <c r="S599" s="6">
        <v>0.02</v>
      </c>
      <c r="T599" s="6">
        <v>82.56</v>
      </c>
      <c r="U599" s="6">
        <v>4045.23</v>
      </c>
      <c r="V599" s="6">
        <v>2429.5500000000002</v>
      </c>
      <c r="W599" s="6">
        <v>1615.68</v>
      </c>
      <c r="X599" s="6" t="s">
        <v>32</v>
      </c>
    </row>
    <row r="600" spans="1:24" x14ac:dyDescent="0.25">
      <c r="A600" s="5" t="s">
        <v>1062</v>
      </c>
      <c r="B600" s="18">
        <v>45608</v>
      </c>
      <c r="C600" s="7" t="s">
        <v>363</v>
      </c>
      <c r="D600" s="7" t="s">
        <v>87</v>
      </c>
      <c r="E600" s="7" t="s">
        <v>216</v>
      </c>
      <c r="F600" s="7" t="s">
        <v>217</v>
      </c>
      <c r="G600" s="7" t="s">
        <v>38</v>
      </c>
      <c r="H600" s="7" t="s">
        <v>134</v>
      </c>
      <c r="I600" s="7" t="s">
        <v>58</v>
      </c>
      <c r="J600" s="7" t="s">
        <v>59</v>
      </c>
      <c r="K600" s="7" t="s">
        <v>144</v>
      </c>
      <c r="L600" s="7" t="s">
        <v>2669</v>
      </c>
      <c r="M600" s="7" t="s">
        <v>61</v>
      </c>
      <c r="N600" s="7" t="s">
        <v>44</v>
      </c>
      <c r="O600" s="7">
        <v>54</v>
      </c>
      <c r="P600" s="7">
        <v>101.46</v>
      </c>
      <c r="Q600" s="7">
        <v>65.7</v>
      </c>
      <c r="R600" s="7">
        <v>5478.76</v>
      </c>
      <c r="S600" s="7">
        <v>0.02</v>
      </c>
      <c r="T600" s="7">
        <v>109.58</v>
      </c>
      <c r="U600" s="7">
        <v>5369.19</v>
      </c>
      <c r="V600" s="7">
        <v>3548.01</v>
      </c>
      <c r="W600" s="7">
        <v>1821.18</v>
      </c>
      <c r="X600" s="7" t="s">
        <v>45</v>
      </c>
    </row>
    <row r="601" spans="1:24" x14ac:dyDescent="0.25">
      <c r="A601" s="16" t="s">
        <v>1063</v>
      </c>
      <c r="B601" s="17">
        <v>45475</v>
      </c>
      <c r="C601" s="6" t="s">
        <v>92</v>
      </c>
      <c r="D601" s="6" t="s">
        <v>48</v>
      </c>
      <c r="E601" s="6" t="s">
        <v>250</v>
      </c>
      <c r="F601" s="6" t="s">
        <v>251</v>
      </c>
      <c r="G601" s="6" t="s">
        <v>51</v>
      </c>
      <c r="H601" s="6" t="s">
        <v>252</v>
      </c>
      <c r="I601" s="6" t="s">
        <v>58</v>
      </c>
      <c r="J601" s="6" t="s">
        <v>345</v>
      </c>
      <c r="K601" s="6" t="s">
        <v>74</v>
      </c>
      <c r="L601" s="6" t="s">
        <v>2664</v>
      </c>
      <c r="M601" s="6" t="s">
        <v>43</v>
      </c>
      <c r="N601" s="6" t="s">
        <v>84</v>
      </c>
      <c r="O601" s="6">
        <v>11</v>
      </c>
      <c r="P601" s="6">
        <v>67</v>
      </c>
      <c r="Q601" s="6">
        <v>35.340000000000003</v>
      </c>
      <c r="R601" s="6">
        <v>736.98</v>
      </c>
      <c r="S601" s="6">
        <v>0.05</v>
      </c>
      <c r="T601" s="6">
        <v>36.85</v>
      </c>
      <c r="U601" s="6">
        <v>700.13</v>
      </c>
      <c r="V601" s="6">
        <v>388.73</v>
      </c>
      <c r="W601" s="6">
        <v>311.41000000000003</v>
      </c>
      <c r="X601" s="6" t="s">
        <v>45</v>
      </c>
    </row>
    <row r="602" spans="1:24" x14ac:dyDescent="0.25">
      <c r="A602" s="5" t="s">
        <v>1064</v>
      </c>
      <c r="B602" s="18">
        <v>45495</v>
      </c>
      <c r="C602" s="7" t="s">
        <v>64</v>
      </c>
      <c r="D602" s="7" t="s">
        <v>65</v>
      </c>
      <c r="E602" s="7" t="s">
        <v>187</v>
      </c>
      <c r="F602" s="7" t="s">
        <v>188</v>
      </c>
      <c r="G602" s="7" t="s">
        <v>25</v>
      </c>
      <c r="H602" s="7" t="s">
        <v>26</v>
      </c>
      <c r="I602" s="7" t="s">
        <v>40</v>
      </c>
      <c r="J602" s="7" t="s">
        <v>117</v>
      </c>
      <c r="K602" s="7" t="s">
        <v>118</v>
      </c>
      <c r="L602" s="7" t="s">
        <v>2668</v>
      </c>
      <c r="M602" s="7" t="s">
        <v>61</v>
      </c>
      <c r="N602" s="7" t="s">
        <v>84</v>
      </c>
      <c r="O602" s="7">
        <v>13</v>
      </c>
      <c r="P602" s="7">
        <v>46.04</v>
      </c>
      <c r="Q602" s="7">
        <v>28.49</v>
      </c>
      <c r="R602" s="7">
        <v>598.58000000000004</v>
      </c>
      <c r="S602" s="7">
        <v>0.2</v>
      </c>
      <c r="T602" s="7">
        <v>119.72</v>
      </c>
      <c r="U602" s="7">
        <v>478.86</v>
      </c>
      <c r="V602" s="7">
        <v>370.32</v>
      </c>
      <c r="W602" s="7">
        <v>108.54</v>
      </c>
      <c r="X602" s="7" t="s">
        <v>45</v>
      </c>
    </row>
    <row r="603" spans="1:24" x14ac:dyDescent="0.25">
      <c r="A603" s="16" t="s">
        <v>1065</v>
      </c>
      <c r="B603" s="17">
        <v>45539</v>
      </c>
      <c r="C603" s="6" t="s">
        <v>456</v>
      </c>
      <c r="D603" s="6" t="s">
        <v>22</v>
      </c>
      <c r="E603" s="6" t="s">
        <v>66</v>
      </c>
      <c r="F603" s="6" t="s">
        <v>67</v>
      </c>
      <c r="G603" s="6" t="s">
        <v>38</v>
      </c>
      <c r="H603" s="6" t="s">
        <v>68</v>
      </c>
      <c r="I603" s="6" t="s">
        <v>58</v>
      </c>
      <c r="J603" s="6" t="s">
        <v>73</v>
      </c>
      <c r="K603" s="6" t="s">
        <v>261</v>
      </c>
      <c r="L603" s="6" t="s">
        <v>2677</v>
      </c>
      <c r="M603" s="6" t="s">
        <v>1066</v>
      </c>
      <c r="N603" s="6" t="s">
        <v>44</v>
      </c>
      <c r="O603" s="6">
        <v>24</v>
      </c>
      <c r="P603" s="6">
        <v>162.12</v>
      </c>
      <c r="Q603" s="6">
        <v>112.24</v>
      </c>
      <c r="R603" s="6">
        <v>3890.88</v>
      </c>
      <c r="S603" s="6">
        <v>0.02</v>
      </c>
      <c r="T603" s="6">
        <v>77.819999999999993</v>
      </c>
      <c r="U603" s="6">
        <v>3813.06</v>
      </c>
      <c r="V603" s="6">
        <v>2693.86</v>
      </c>
      <c r="W603" s="6">
        <v>1119.2</v>
      </c>
      <c r="X603" s="6" t="s">
        <v>45</v>
      </c>
    </row>
    <row r="604" spans="1:24" x14ac:dyDescent="0.25">
      <c r="A604" s="5" t="s">
        <v>1067</v>
      </c>
      <c r="B604" s="18">
        <v>45372</v>
      </c>
      <c r="C604" s="7" t="s">
        <v>1068</v>
      </c>
      <c r="D604" s="7" t="s">
        <v>105</v>
      </c>
      <c r="E604" s="7" t="s">
        <v>78</v>
      </c>
      <c r="F604" s="7" t="s">
        <v>79</v>
      </c>
      <c r="G604" s="7" t="s">
        <v>80</v>
      </c>
      <c r="H604" s="7" t="s">
        <v>81</v>
      </c>
      <c r="I604" s="7" t="s">
        <v>27</v>
      </c>
      <c r="J604" s="7" t="s">
        <v>28</v>
      </c>
      <c r="K604" s="7" t="s">
        <v>83</v>
      </c>
      <c r="L604" s="7" t="s">
        <v>2665</v>
      </c>
      <c r="M604" s="7" t="s">
        <v>43</v>
      </c>
      <c r="N604" s="7" t="s">
        <v>70</v>
      </c>
      <c r="O604" s="7">
        <v>64</v>
      </c>
      <c r="P604" s="7">
        <v>149.94999999999999</v>
      </c>
      <c r="Q604" s="7">
        <v>75.959999999999994</v>
      </c>
      <c r="R604" s="7">
        <v>9596.6</v>
      </c>
      <c r="S604" s="7">
        <v>0</v>
      </c>
      <c r="T604" s="7">
        <v>0</v>
      </c>
      <c r="U604" s="7">
        <v>9596.6</v>
      </c>
      <c r="V604" s="7">
        <v>4861.2700000000004</v>
      </c>
      <c r="W604" s="7">
        <v>4735.34</v>
      </c>
      <c r="X604" s="7" t="s">
        <v>45</v>
      </c>
    </row>
    <row r="605" spans="1:24" x14ac:dyDescent="0.25">
      <c r="A605" s="16" t="s">
        <v>1069</v>
      </c>
      <c r="B605" s="17">
        <v>45347</v>
      </c>
      <c r="C605" s="6" t="s">
        <v>653</v>
      </c>
      <c r="D605" s="6" t="s">
        <v>87</v>
      </c>
      <c r="E605" s="6" t="s">
        <v>187</v>
      </c>
      <c r="F605" s="6" t="s">
        <v>188</v>
      </c>
      <c r="G605" s="6" t="s">
        <v>25</v>
      </c>
      <c r="H605" s="6" t="s">
        <v>26</v>
      </c>
      <c r="I605" s="6" t="s">
        <v>88</v>
      </c>
      <c r="J605" s="6" t="s">
        <v>135</v>
      </c>
      <c r="K605" s="6" t="s">
        <v>184</v>
      </c>
      <c r="L605" s="6" t="s">
        <v>2672</v>
      </c>
      <c r="M605" s="6" t="s">
        <v>61</v>
      </c>
      <c r="N605" s="6" t="s">
        <v>75</v>
      </c>
      <c r="O605" s="6">
        <v>16</v>
      </c>
      <c r="P605" s="6">
        <v>48.66</v>
      </c>
      <c r="Q605" s="6">
        <v>30.71</v>
      </c>
      <c r="R605" s="6">
        <v>778.49</v>
      </c>
      <c r="S605" s="6">
        <v>0.05</v>
      </c>
      <c r="T605" s="6">
        <v>38.92</v>
      </c>
      <c r="U605" s="6">
        <v>739.56</v>
      </c>
      <c r="V605" s="6">
        <v>491.34</v>
      </c>
      <c r="W605" s="6">
        <v>248.22</v>
      </c>
      <c r="X605" s="6" t="s">
        <v>45</v>
      </c>
    </row>
    <row r="606" spans="1:24" x14ac:dyDescent="0.25">
      <c r="A606" s="5" t="s">
        <v>1070</v>
      </c>
      <c r="B606" s="18">
        <v>45360</v>
      </c>
      <c r="C606" s="7" t="s">
        <v>1071</v>
      </c>
      <c r="D606" s="7" t="s">
        <v>105</v>
      </c>
      <c r="E606" s="7" t="s">
        <v>150</v>
      </c>
      <c r="F606" s="7" t="s">
        <v>151</v>
      </c>
      <c r="G606" s="7" t="s">
        <v>101</v>
      </c>
      <c r="H606" s="7" t="s">
        <v>134</v>
      </c>
      <c r="I606" s="7" t="s">
        <v>40</v>
      </c>
      <c r="J606" s="7" t="s">
        <v>117</v>
      </c>
      <c r="K606" s="7" t="s">
        <v>69</v>
      </c>
      <c r="L606" s="7" t="s">
        <v>2663</v>
      </c>
      <c r="M606" s="7" t="s">
        <v>61</v>
      </c>
      <c r="N606" s="7" t="s">
        <v>70</v>
      </c>
      <c r="O606" s="7">
        <v>25</v>
      </c>
      <c r="P606" s="7">
        <v>0</v>
      </c>
      <c r="Q606" s="7">
        <v>50.87</v>
      </c>
      <c r="R606" s="7">
        <v>1983.13</v>
      </c>
      <c r="S606" s="7">
        <v>0</v>
      </c>
      <c r="T606" s="7">
        <v>0</v>
      </c>
      <c r="U606" s="7">
        <v>1983.13</v>
      </c>
      <c r="V606" s="7">
        <v>1271.8499999999999</v>
      </c>
      <c r="W606" s="7">
        <v>711.28</v>
      </c>
      <c r="X606" s="7" t="s">
        <v>129</v>
      </c>
    </row>
    <row r="607" spans="1:24" x14ac:dyDescent="0.25">
      <c r="A607" s="16" t="s">
        <v>894</v>
      </c>
      <c r="B607" s="17">
        <v>45393</v>
      </c>
      <c r="C607" s="6" t="s">
        <v>785</v>
      </c>
      <c r="D607" s="6" t="s">
        <v>264</v>
      </c>
      <c r="E607" s="6" t="s">
        <v>126</v>
      </c>
      <c r="F607" s="6" t="s">
        <v>127</v>
      </c>
      <c r="G607" s="6" t="s">
        <v>95</v>
      </c>
      <c r="H607" s="6" t="s">
        <v>128</v>
      </c>
      <c r="I607" s="6" t="s">
        <v>27</v>
      </c>
      <c r="J607" s="6" t="s">
        <v>211</v>
      </c>
      <c r="K607" s="6" t="s">
        <v>69</v>
      </c>
      <c r="L607" s="6" t="s">
        <v>2663</v>
      </c>
      <c r="M607" s="6" t="s">
        <v>30</v>
      </c>
      <c r="N607" s="6" t="s">
        <v>84</v>
      </c>
      <c r="O607" s="6">
        <v>13</v>
      </c>
      <c r="P607" s="6">
        <v>87.35</v>
      </c>
      <c r="Q607" s="6">
        <v>49.62</v>
      </c>
      <c r="R607" s="6">
        <v>1135.6099999999999</v>
      </c>
      <c r="S607" s="6">
        <v>0.15</v>
      </c>
      <c r="T607" s="6">
        <v>170.34</v>
      </c>
      <c r="U607" s="6">
        <v>965.26</v>
      </c>
      <c r="V607" s="6">
        <v>645.11</v>
      </c>
      <c r="W607" s="6">
        <v>320.14999999999998</v>
      </c>
      <c r="X607" s="6" t="s">
        <v>32</v>
      </c>
    </row>
    <row r="608" spans="1:24" x14ac:dyDescent="0.25">
      <c r="A608" s="5" t="s">
        <v>1072</v>
      </c>
      <c r="B608" s="18">
        <v>45655</v>
      </c>
      <c r="C608" s="7" t="s">
        <v>363</v>
      </c>
      <c r="D608" s="7" t="s">
        <v>87</v>
      </c>
      <c r="E608" s="7" t="s">
        <v>222</v>
      </c>
      <c r="F608" s="7" t="s">
        <v>223</v>
      </c>
      <c r="G608" s="7" t="s">
        <v>101</v>
      </c>
      <c r="H608" s="7" t="s">
        <v>68</v>
      </c>
      <c r="I608" s="7" t="s">
        <v>53</v>
      </c>
      <c r="J608" s="7" t="s">
        <v>232</v>
      </c>
      <c r="K608" s="7" t="s">
        <v>261</v>
      </c>
      <c r="L608" s="7" t="s">
        <v>2677</v>
      </c>
      <c r="M608" s="7" t="s">
        <v>30</v>
      </c>
      <c r="N608" s="7" t="s">
        <v>44</v>
      </c>
      <c r="O608" s="7">
        <v>23</v>
      </c>
      <c r="P608" s="7">
        <v>116.52</v>
      </c>
      <c r="Q608" s="7">
        <v>79.03</v>
      </c>
      <c r="R608" s="7">
        <v>2680.01</v>
      </c>
      <c r="S608" s="7">
        <v>0</v>
      </c>
      <c r="T608" s="7">
        <v>0</v>
      </c>
      <c r="U608" s="7">
        <v>2680.01</v>
      </c>
      <c r="V608" s="7">
        <v>1817.59</v>
      </c>
      <c r="W608" s="7">
        <v>862.42</v>
      </c>
      <c r="X608" s="7" t="s">
        <v>45</v>
      </c>
    </row>
    <row r="609" spans="1:24" x14ac:dyDescent="0.25">
      <c r="A609" s="16" t="s">
        <v>1073</v>
      </c>
      <c r="B609" s="17">
        <v>45363</v>
      </c>
      <c r="C609" s="6" t="s">
        <v>631</v>
      </c>
      <c r="D609" s="6" t="s">
        <v>105</v>
      </c>
      <c r="E609" s="6" t="s">
        <v>222</v>
      </c>
      <c r="F609" s="6" t="s">
        <v>223</v>
      </c>
      <c r="G609" s="6" t="s">
        <v>101</v>
      </c>
      <c r="H609" s="6" t="s">
        <v>68</v>
      </c>
      <c r="I609" s="6" t="s">
        <v>27</v>
      </c>
      <c r="J609" s="6" t="s">
        <v>211</v>
      </c>
      <c r="K609" s="6" t="s">
        <v>195</v>
      </c>
      <c r="L609" s="6" t="s">
        <v>2673</v>
      </c>
      <c r="M609" s="6" t="s">
        <v>30</v>
      </c>
      <c r="N609" s="6" t="s">
        <v>75</v>
      </c>
      <c r="O609" s="6">
        <v>19</v>
      </c>
      <c r="P609" s="6">
        <v>127.65</v>
      </c>
      <c r="Q609" s="6">
        <v>81.53</v>
      </c>
      <c r="R609" s="6">
        <v>2425.39</v>
      </c>
      <c r="S609" s="6">
        <v>0.1</v>
      </c>
      <c r="T609" s="6">
        <v>242.54</v>
      </c>
      <c r="U609" s="6">
        <v>2182.86</v>
      </c>
      <c r="V609" s="6">
        <v>1549.15</v>
      </c>
      <c r="W609" s="6">
        <v>633.70000000000005</v>
      </c>
      <c r="X609" s="6" t="s">
        <v>129</v>
      </c>
    </row>
    <row r="610" spans="1:24" x14ac:dyDescent="0.25">
      <c r="A610" s="5" t="s">
        <v>1074</v>
      </c>
      <c r="B610" s="18">
        <v>45476</v>
      </c>
      <c r="C610" s="7" t="s">
        <v>1075</v>
      </c>
      <c r="D610" s="7" t="s">
        <v>65</v>
      </c>
      <c r="E610" s="7" t="s">
        <v>176</v>
      </c>
      <c r="F610" s="7" t="s">
        <v>177</v>
      </c>
      <c r="G610" s="7" t="s">
        <v>101</v>
      </c>
      <c r="H610" s="7" t="s">
        <v>39</v>
      </c>
      <c r="I610" s="7" t="s">
        <v>40</v>
      </c>
      <c r="J610" s="7" t="s">
        <v>82</v>
      </c>
      <c r="K610" s="7" t="s">
        <v>261</v>
      </c>
      <c r="L610" s="7" t="s">
        <v>2677</v>
      </c>
      <c r="M610" s="7" t="s">
        <v>61</v>
      </c>
      <c r="N610" s="7" t="s">
        <v>84</v>
      </c>
      <c r="O610" s="7">
        <v>56</v>
      </c>
      <c r="P610" s="7">
        <v>111.82</v>
      </c>
      <c r="Q610" s="7">
        <v>58.08</v>
      </c>
      <c r="R610" s="7">
        <v>6262.05</v>
      </c>
      <c r="S610" s="7">
        <v>0</v>
      </c>
      <c r="T610" s="7">
        <v>0</v>
      </c>
      <c r="U610" s="7">
        <v>6262.05</v>
      </c>
      <c r="V610" s="7">
        <v>3252.62</v>
      </c>
      <c r="W610" s="7">
        <v>3009.42</v>
      </c>
      <c r="X610" s="7" t="s">
        <v>45</v>
      </c>
    </row>
    <row r="611" spans="1:24" x14ac:dyDescent="0.25">
      <c r="A611" s="16" t="s">
        <v>1076</v>
      </c>
      <c r="B611" s="17">
        <v>45575</v>
      </c>
      <c r="C611" s="6" t="s">
        <v>495</v>
      </c>
      <c r="D611" s="6" t="s">
        <v>125</v>
      </c>
      <c r="E611" s="6" t="s">
        <v>23</v>
      </c>
      <c r="F611" s="6" t="s">
        <v>24</v>
      </c>
      <c r="G611" s="6" t="s">
        <v>25</v>
      </c>
      <c r="H611" s="6" t="s">
        <v>26</v>
      </c>
      <c r="I611" s="6" t="s">
        <v>58</v>
      </c>
      <c r="J611" s="6" t="s">
        <v>345</v>
      </c>
      <c r="K611" s="6" t="s">
        <v>69</v>
      </c>
      <c r="L611" s="6" t="s">
        <v>2663</v>
      </c>
      <c r="M611" s="6" t="s">
        <v>153</v>
      </c>
      <c r="N611" s="6" t="s">
        <v>44</v>
      </c>
      <c r="O611" s="6">
        <v>59</v>
      </c>
      <c r="P611" s="6">
        <v>73.45</v>
      </c>
      <c r="Q611" s="6">
        <v>43.89</v>
      </c>
      <c r="R611" s="6">
        <v>4333.29</v>
      </c>
      <c r="S611" s="6">
        <v>0</v>
      </c>
      <c r="T611" s="6">
        <v>0</v>
      </c>
      <c r="U611" s="6">
        <v>4333.29</v>
      </c>
      <c r="V611" s="6">
        <v>2589.5700000000002</v>
      </c>
      <c r="W611" s="6">
        <v>1743.72</v>
      </c>
      <c r="X611" s="6" t="s">
        <v>45</v>
      </c>
    </row>
    <row r="612" spans="1:24" x14ac:dyDescent="0.25">
      <c r="A612" s="5" t="s">
        <v>1077</v>
      </c>
      <c r="B612" s="18">
        <v>45330</v>
      </c>
      <c r="C612" s="7" t="s">
        <v>1078</v>
      </c>
      <c r="D612" s="7" t="s">
        <v>48</v>
      </c>
      <c r="E612" s="7" t="s">
        <v>216</v>
      </c>
      <c r="F612" s="7" t="s">
        <v>217</v>
      </c>
      <c r="G612" s="7" t="s">
        <v>38</v>
      </c>
      <c r="H612" s="7" t="s">
        <v>134</v>
      </c>
      <c r="I612" s="7" t="s">
        <v>88</v>
      </c>
      <c r="J612" s="7" t="s">
        <v>135</v>
      </c>
      <c r="K612" s="7" t="s">
        <v>261</v>
      </c>
      <c r="L612" s="7" t="s">
        <v>2677</v>
      </c>
      <c r="M612" s="7" t="s">
        <v>43</v>
      </c>
      <c r="N612" s="7" t="s">
        <v>75</v>
      </c>
      <c r="O612" s="7">
        <v>70</v>
      </c>
      <c r="P612" s="7">
        <v>113.47</v>
      </c>
      <c r="Q612" s="7">
        <v>68.59</v>
      </c>
      <c r="R612" s="7">
        <v>7942.87</v>
      </c>
      <c r="S612" s="7">
        <v>0.05</v>
      </c>
      <c r="T612" s="7">
        <v>397.14</v>
      </c>
      <c r="U612" s="7">
        <v>7545.73</v>
      </c>
      <c r="V612" s="7">
        <v>4801.54</v>
      </c>
      <c r="W612" s="7">
        <v>2744.19</v>
      </c>
      <c r="X612" s="7" t="s">
        <v>32</v>
      </c>
    </row>
    <row r="613" spans="1:24" x14ac:dyDescent="0.25">
      <c r="A613" s="16" t="s">
        <v>1079</v>
      </c>
      <c r="B613" s="17">
        <v>45526</v>
      </c>
      <c r="C613" s="6" t="s">
        <v>552</v>
      </c>
      <c r="D613" s="6" t="s">
        <v>163</v>
      </c>
      <c r="E613" s="6" t="s">
        <v>99</v>
      </c>
      <c r="F613" s="6" t="s">
        <v>100</v>
      </c>
      <c r="G613" s="6" t="s">
        <v>101</v>
      </c>
      <c r="H613" s="6" t="s">
        <v>102</v>
      </c>
      <c r="I613" s="6" t="s">
        <v>27</v>
      </c>
      <c r="J613" s="6" t="s">
        <v>211</v>
      </c>
      <c r="K613" s="6" t="s">
        <v>184</v>
      </c>
      <c r="L613" s="6" t="s">
        <v>2672</v>
      </c>
      <c r="M613" s="6" t="s">
        <v>43</v>
      </c>
      <c r="N613" s="6" t="s">
        <v>44</v>
      </c>
      <c r="O613" s="6">
        <v>76</v>
      </c>
      <c r="P613" s="6">
        <v>75.430000000000007</v>
      </c>
      <c r="Q613" s="6">
        <v>43.22</v>
      </c>
      <c r="R613" s="6">
        <v>5732.7</v>
      </c>
      <c r="S613" s="6">
        <v>0.15</v>
      </c>
      <c r="T613" s="6">
        <v>859.9</v>
      </c>
      <c r="U613" s="6">
        <v>4872.79</v>
      </c>
      <c r="V613" s="6">
        <v>3284.96</v>
      </c>
      <c r="W613" s="6">
        <v>1587.83</v>
      </c>
      <c r="X613" s="6" t="s">
        <v>129</v>
      </c>
    </row>
    <row r="614" spans="1:24" x14ac:dyDescent="0.25">
      <c r="A614" s="5" t="s">
        <v>1080</v>
      </c>
      <c r="B614" s="18">
        <v>45412</v>
      </c>
      <c r="C614" s="7" t="s">
        <v>92</v>
      </c>
      <c r="D614" s="7" t="s">
        <v>48</v>
      </c>
      <c r="E614" s="7" t="s">
        <v>222</v>
      </c>
      <c r="F614" s="7" t="s">
        <v>223</v>
      </c>
      <c r="G614" s="7" t="s">
        <v>101</v>
      </c>
      <c r="H614" s="7" t="s">
        <v>68</v>
      </c>
      <c r="I614" s="7" t="s">
        <v>53</v>
      </c>
      <c r="J614" s="7" t="s">
        <v>232</v>
      </c>
      <c r="K614" s="7" t="s">
        <v>90</v>
      </c>
      <c r="L614" s="7" t="s">
        <v>2666</v>
      </c>
      <c r="M614" s="7" t="s">
        <v>153</v>
      </c>
      <c r="N614" s="7" t="s">
        <v>31</v>
      </c>
      <c r="O614" s="7">
        <v>15</v>
      </c>
      <c r="P614" s="7">
        <v>110.98</v>
      </c>
      <c r="Q614" s="7">
        <v>83.38</v>
      </c>
      <c r="R614" s="7">
        <v>1664.75</v>
      </c>
      <c r="S614" s="7">
        <v>0.15</v>
      </c>
      <c r="T614" s="7">
        <v>249.71</v>
      </c>
      <c r="U614" s="7">
        <v>1415.04</v>
      </c>
      <c r="V614" s="7">
        <v>1250.67</v>
      </c>
      <c r="W614" s="7">
        <v>164.37</v>
      </c>
      <c r="X614" s="7" t="s">
        <v>45</v>
      </c>
    </row>
    <row r="615" spans="1:24" x14ac:dyDescent="0.25">
      <c r="A615" s="16" t="s">
        <v>1081</v>
      </c>
      <c r="B615" s="17">
        <v>45521</v>
      </c>
      <c r="C615" s="6" t="s">
        <v>316</v>
      </c>
      <c r="D615" s="6" t="s">
        <v>156</v>
      </c>
      <c r="E615" s="6" t="s">
        <v>176</v>
      </c>
      <c r="F615" s="6" t="s">
        <v>177</v>
      </c>
      <c r="G615" s="6" t="s">
        <v>101</v>
      </c>
      <c r="H615" s="6" t="s">
        <v>39</v>
      </c>
      <c r="I615" s="6" t="s">
        <v>40</v>
      </c>
      <c r="J615" s="6" t="s">
        <v>41</v>
      </c>
      <c r="K615" s="6" t="s">
        <v>60</v>
      </c>
      <c r="L615" s="6" t="s">
        <v>2662</v>
      </c>
      <c r="M615" s="6" t="s">
        <v>61</v>
      </c>
      <c r="N615" s="6" t="s">
        <v>31</v>
      </c>
      <c r="O615" s="6">
        <v>54</v>
      </c>
      <c r="P615" s="6">
        <v>108</v>
      </c>
      <c r="Q615" s="6">
        <v>61.61</v>
      </c>
      <c r="R615" s="6">
        <v>5832.09</v>
      </c>
      <c r="S615" s="6">
        <v>0.02</v>
      </c>
      <c r="T615" s="6">
        <v>116.64</v>
      </c>
      <c r="U615" s="6">
        <v>5715.45</v>
      </c>
      <c r="V615" s="6">
        <v>3326.84</v>
      </c>
      <c r="W615" s="6">
        <v>2388.61</v>
      </c>
      <c r="X615" s="6" t="s">
        <v>129</v>
      </c>
    </row>
    <row r="616" spans="1:24" x14ac:dyDescent="0.25">
      <c r="A616" s="5" t="s">
        <v>1082</v>
      </c>
      <c r="B616" s="18">
        <v>45406</v>
      </c>
      <c r="C616" s="7" t="s">
        <v>312</v>
      </c>
      <c r="D616" s="7" t="s">
        <v>57</v>
      </c>
      <c r="E616" s="7" t="s">
        <v>114</v>
      </c>
      <c r="F616" s="7" t="s">
        <v>115</v>
      </c>
      <c r="G616" s="7" t="s">
        <v>95</v>
      </c>
      <c r="H616" s="7" t="s">
        <v>116</v>
      </c>
      <c r="I616" s="7" t="s">
        <v>40</v>
      </c>
      <c r="J616" s="7" t="s">
        <v>82</v>
      </c>
      <c r="K616" s="7" t="s">
        <v>83</v>
      </c>
      <c r="L616" s="7" t="s">
        <v>2665</v>
      </c>
      <c r="M616" s="7" t="s">
        <v>153</v>
      </c>
      <c r="N616" s="7" t="s">
        <v>70</v>
      </c>
      <c r="O616" s="7">
        <v>42</v>
      </c>
      <c r="P616" s="7">
        <v>36.71</v>
      </c>
      <c r="Q616" s="7">
        <v>21.83</v>
      </c>
      <c r="R616" s="7">
        <v>1542.02</v>
      </c>
      <c r="S616" s="7">
        <v>0.02</v>
      </c>
      <c r="T616" s="7">
        <v>30.84</v>
      </c>
      <c r="U616" s="7">
        <v>1511.18</v>
      </c>
      <c r="V616" s="7">
        <v>917.03</v>
      </c>
      <c r="W616" s="7">
        <v>594.14</v>
      </c>
      <c r="X616" s="7" t="s">
        <v>32</v>
      </c>
    </row>
    <row r="617" spans="1:24" x14ac:dyDescent="0.25">
      <c r="A617" s="16" t="s">
        <v>1083</v>
      </c>
      <c r="B617" s="17">
        <v>45417</v>
      </c>
      <c r="C617" s="6" t="s">
        <v>418</v>
      </c>
      <c r="D617" s="6" t="s">
        <v>159</v>
      </c>
      <c r="E617" s="6" t="s">
        <v>126</v>
      </c>
      <c r="F617" s="6" t="s">
        <v>127</v>
      </c>
      <c r="G617" s="6" t="s">
        <v>95</v>
      </c>
      <c r="H617" s="6" t="s">
        <v>128</v>
      </c>
      <c r="I617" s="6" t="s">
        <v>40</v>
      </c>
      <c r="J617" s="6" t="s">
        <v>117</v>
      </c>
      <c r="K617" s="6" t="s">
        <v>195</v>
      </c>
      <c r="L617" s="6" t="s">
        <v>2673</v>
      </c>
      <c r="M617" s="6" t="s">
        <v>61</v>
      </c>
      <c r="N617" s="6" t="s">
        <v>70</v>
      </c>
      <c r="O617" s="6">
        <v>6</v>
      </c>
      <c r="P617" s="6">
        <v>88.91</v>
      </c>
      <c r="Q617" s="6">
        <v>56.45</v>
      </c>
      <c r="R617" s="6">
        <v>533.45000000000005</v>
      </c>
      <c r="S617" s="6">
        <v>0.1</v>
      </c>
      <c r="T617" s="6">
        <v>53.35</v>
      </c>
      <c r="U617" s="6">
        <v>480.11</v>
      </c>
      <c r="V617" s="6">
        <v>338.68</v>
      </c>
      <c r="W617" s="6">
        <v>141.43</v>
      </c>
      <c r="X617" s="6" t="s">
        <v>45</v>
      </c>
    </row>
    <row r="618" spans="1:24" x14ac:dyDescent="0.25">
      <c r="A618" s="5" t="s">
        <v>1084</v>
      </c>
      <c r="B618" s="18">
        <v>45571</v>
      </c>
      <c r="C618" s="7" t="s">
        <v>1071</v>
      </c>
      <c r="D618" s="7" t="s">
        <v>105</v>
      </c>
      <c r="E618" s="7" t="s">
        <v>132</v>
      </c>
      <c r="F618" s="7" t="s">
        <v>133</v>
      </c>
      <c r="G618" s="7" t="s">
        <v>51</v>
      </c>
      <c r="H618" s="7" t="s">
        <v>134</v>
      </c>
      <c r="I618" s="7" t="s">
        <v>40</v>
      </c>
      <c r="J618" s="7" t="s">
        <v>289</v>
      </c>
      <c r="K618" s="7" t="s">
        <v>118</v>
      </c>
      <c r="L618" s="7" t="s">
        <v>2668</v>
      </c>
      <c r="M618" s="7" t="s">
        <v>153</v>
      </c>
      <c r="N618" s="7" t="s">
        <v>70</v>
      </c>
      <c r="O618" s="7">
        <v>3</v>
      </c>
      <c r="P618" s="7">
        <v>57.86</v>
      </c>
      <c r="Q618" s="7">
        <v>36.29</v>
      </c>
      <c r="R618" s="7">
        <v>173.58</v>
      </c>
      <c r="S618" s="7">
        <v>0.02</v>
      </c>
      <c r="T618" s="7">
        <v>3.47</v>
      </c>
      <c r="U618" s="7">
        <v>170.11</v>
      </c>
      <c r="V618" s="7">
        <v>108.88</v>
      </c>
      <c r="W618" s="7">
        <v>61.23</v>
      </c>
      <c r="X618" s="7" t="s">
        <v>32</v>
      </c>
    </row>
    <row r="619" spans="1:24" x14ac:dyDescent="0.25">
      <c r="A619" s="16" t="s">
        <v>1085</v>
      </c>
      <c r="B619" s="17">
        <v>45488</v>
      </c>
      <c r="C619" s="6"/>
      <c r="D619" s="6"/>
      <c r="E619" s="6" t="s">
        <v>49</v>
      </c>
      <c r="F619" s="6" t="s">
        <v>50</v>
      </c>
      <c r="G619" s="6" t="s">
        <v>51</v>
      </c>
      <c r="H619" s="6" t="s">
        <v>52</v>
      </c>
      <c r="I619" s="6" t="s">
        <v>27</v>
      </c>
      <c r="J619" s="6" t="s">
        <v>106</v>
      </c>
      <c r="K619" s="6" t="s">
        <v>218</v>
      </c>
      <c r="L619" s="6" t="s">
        <v>2674</v>
      </c>
      <c r="M619" s="6" t="s">
        <v>153</v>
      </c>
      <c r="N619" s="6" t="s">
        <v>31</v>
      </c>
      <c r="O619" s="6">
        <v>24</v>
      </c>
      <c r="P619" s="6">
        <v>25.75</v>
      </c>
      <c r="Q619" s="6">
        <v>13.46</v>
      </c>
      <c r="R619" s="6">
        <v>618.02</v>
      </c>
      <c r="S619" s="6">
        <v>0.1</v>
      </c>
      <c r="T619" s="6">
        <v>61.8</v>
      </c>
      <c r="U619" s="6">
        <v>556.22</v>
      </c>
      <c r="V619" s="6">
        <v>323.12</v>
      </c>
      <c r="W619" s="6">
        <v>233.1</v>
      </c>
      <c r="X619" s="6" t="s">
        <v>129</v>
      </c>
    </row>
    <row r="620" spans="1:24" x14ac:dyDescent="0.25">
      <c r="A620" s="5" t="s">
        <v>1086</v>
      </c>
      <c r="B620" s="18">
        <v>45444</v>
      </c>
      <c r="C620" s="7" t="s">
        <v>660</v>
      </c>
      <c r="D620" s="7" t="s">
        <v>264</v>
      </c>
      <c r="E620" s="7" t="s">
        <v>216</v>
      </c>
      <c r="F620" s="7" t="s">
        <v>217</v>
      </c>
      <c r="G620" s="7" t="s">
        <v>38</v>
      </c>
      <c r="H620" s="7" t="s">
        <v>134</v>
      </c>
      <c r="I620" s="7" t="s">
        <v>27</v>
      </c>
      <c r="J620" s="7" t="s">
        <v>106</v>
      </c>
      <c r="K620" s="7" t="s">
        <v>178</v>
      </c>
      <c r="L620" s="7" t="s">
        <v>256</v>
      </c>
      <c r="M620" s="7" t="s">
        <v>30</v>
      </c>
      <c r="N620" s="7" t="s">
        <v>84</v>
      </c>
      <c r="O620" s="7">
        <v>15</v>
      </c>
      <c r="P620" s="7">
        <v>104.72</v>
      </c>
      <c r="Q620" s="7">
        <v>68.25</v>
      </c>
      <c r="R620" s="7">
        <v>1570.87</v>
      </c>
      <c r="S620" s="7">
        <v>0.15</v>
      </c>
      <c r="T620" s="7">
        <v>235.63</v>
      </c>
      <c r="U620" s="7">
        <v>1335.24</v>
      </c>
      <c r="V620" s="7">
        <v>1023.78</v>
      </c>
      <c r="W620" s="7">
        <v>311.45999999999998</v>
      </c>
      <c r="X620" s="7" t="s">
        <v>45</v>
      </c>
    </row>
    <row r="621" spans="1:24" x14ac:dyDescent="0.25">
      <c r="A621" s="16" t="s">
        <v>1087</v>
      </c>
      <c r="B621" s="17">
        <v>45480</v>
      </c>
      <c r="C621" s="6" t="s">
        <v>320</v>
      </c>
      <c r="D621" s="6" t="s">
        <v>264</v>
      </c>
      <c r="E621" s="6" t="s">
        <v>126</v>
      </c>
      <c r="F621" s="6" t="s">
        <v>127</v>
      </c>
      <c r="G621" s="6" t="s">
        <v>95</v>
      </c>
      <c r="H621" s="6" t="s">
        <v>128</v>
      </c>
      <c r="I621" s="6" t="s">
        <v>53</v>
      </c>
      <c r="J621" s="6" t="s">
        <v>122</v>
      </c>
      <c r="K621" s="6" t="s">
        <v>178</v>
      </c>
      <c r="L621" s="6" t="s">
        <v>256</v>
      </c>
      <c r="M621" s="6" t="s">
        <v>43</v>
      </c>
      <c r="N621" s="6" t="s">
        <v>75</v>
      </c>
      <c r="O621" s="6">
        <v>64</v>
      </c>
      <c r="P621" s="6">
        <v>87.17</v>
      </c>
      <c r="Q621" s="6">
        <v>49.62</v>
      </c>
      <c r="R621" s="6">
        <v>5578.7</v>
      </c>
      <c r="S621" s="6">
        <v>0.05</v>
      </c>
      <c r="T621" s="6">
        <v>278.93</v>
      </c>
      <c r="U621" s="6">
        <v>5299.76</v>
      </c>
      <c r="V621" s="6">
        <v>3175.48</v>
      </c>
      <c r="W621" s="6">
        <v>2124.2800000000002</v>
      </c>
      <c r="X621" s="6" t="s">
        <v>45</v>
      </c>
    </row>
    <row r="622" spans="1:24" x14ac:dyDescent="0.25">
      <c r="A622" s="5" t="s">
        <v>672</v>
      </c>
      <c r="B622" s="18">
        <v>45544</v>
      </c>
      <c r="C622" s="7" t="s">
        <v>229</v>
      </c>
      <c r="D622" s="7" t="s">
        <v>87</v>
      </c>
      <c r="E622" s="7" t="s">
        <v>49</v>
      </c>
      <c r="F622" s="7" t="s">
        <v>50</v>
      </c>
      <c r="G622" s="7" t="s">
        <v>51</v>
      </c>
      <c r="H622" s="7" t="s">
        <v>52</v>
      </c>
      <c r="I622" s="7" t="s">
        <v>40</v>
      </c>
      <c r="J622" s="7" t="s">
        <v>289</v>
      </c>
      <c r="K622" s="7" t="s">
        <v>184</v>
      </c>
      <c r="L622" s="7" t="s">
        <v>2672</v>
      </c>
      <c r="M622" s="7" t="s">
        <v>153</v>
      </c>
      <c r="N622" s="7" t="s">
        <v>84</v>
      </c>
      <c r="O622" s="7">
        <v>23</v>
      </c>
      <c r="P622" s="7">
        <v>26.37</v>
      </c>
      <c r="Q622" s="7">
        <v>12.61</v>
      </c>
      <c r="R622" s="7">
        <v>606.53</v>
      </c>
      <c r="S622" s="7">
        <v>0.05</v>
      </c>
      <c r="T622" s="7">
        <v>30.33</v>
      </c>
      <c r="U622" s="7">
        <v>576.20000000000005</v>
      </c>
      <c r="V622" s="7">
        <v>290.07</v>
      </c>
      <c r="W622" s="7">
        <v>286.13</v>
      </c>
      <c r="X622" s="7" t="s">
        <v>45</v>
      </c>
    </row>
    <row r="623" spans="1:24" x14ac:dyDescent="0.25">
      <c r="A623" s="16" t="s">
        <v>1088</v>
      </c>
      <c r="B623" s="17">
        <v>45621</v>
      </c>
      <c r="C623" s="6" t="s">
        <v>104</v>
      </c>
      <c r="D623" s="6" t="s">
        <v>105</v>
      </c>
      <c r="E623" s="6" t="s">
        <v>222</v>
      </c>
      <c r="F623" s="6" t="s">
        <v>223</v>
      </c>
      <c r="G623" s="6" t="s">
        <v>101</v>
      </c>
      <c r="H623" s="6" t="s">
        <v>68</v>
      </c>
      <c r="I623" s="6" t="s">
        <v>58</v>
      </c>
      <c r="J623" s="6" t="s">
        <v>73</v>
      </c>
      <c r="K623" s="6" t="s">
        <v>74</v>
      </c>
      <c r="L623" s="6" t="s">
        <v>2664</v>
      </c>
      <c r="M623" s="6" t="s">
        <v>43</v>
      </c>
      <c r="N623" s="6" t="s">
        <v>31</v>
      </c>
      <c r="O623" s="6">
        <v>43</v>
      </c>
      <c r="P623" s="6">
        <v>125.18</v>
      </c>
      <c r="Q623" s="6">
        <v>74.45</v>
      </c>
      <c r="R623" s="6">
        <v>5382.91</v>
      </c>
      <c r="S623" s="6">
        <v>0.02</v>
      </c>
      <c r="T623" s="6">
        <v>107.66</v>
      </c>
      <c r="U623" s="6">
        <v>5275.25</v>
      </c>
      <c r="V623" s="6">
        <v>3201.5</v>
      </c>
      <c r="W623" s="6">
        <v>2073.75</v>
      </c>
      <c r="X623" s="6" t="s">
        <v>32</v>
      </c>
    </row>
    <row r="624" spans="1:24" x14ac:dyDescent="0.25">
      <c r="A624" s="5" t="s">
        <v>1089</v>
      </c>
      <c r="B624" s="18">
        <v>45328</v>
      </c>
      <c r="C624" s="7" t="s">
        <v>137</v>
      </c>
      <c r="D624" s="7" t="s">
        <v>22</v>
      </c>
      <c r="E624" s="7" t="s">
        <v>126</v>
      </c>
      <c r="F624" s="7" t="s">
        <v>127</v>
      </c>
      <c r="G624" s="7" t="s">
        <v>95</v>
      </c>
      <c r="H624" s="7" t="s">
        <v>128</v>
      </c>
      <c r="I624" s="7" t="s">
        <v>88</v>
      </c>
      <c r="J624" s="7" t="s">
        <v>89</v>
      </c>
      <c r="K624" s="7" t="s">
        <v>184</v>
      </c>
      <c r="L624" s="7" t="s">
        <v>2672</v>
      </c>
      <c r="M624" s="7" t="s">
        <v>43</v>
      </c>
      <c r="N624" s="7"/>
      <c r="O624" s="7">
        <v>15</v>
      </c>
      <c r="P624" s="7">
        <v>87.43</v>
      </c>
      <c r="Q624" s="7">
        <v>55.95</v>
      </c>
      <c r="R624" s="7">
        <v>1311.48</v>
      </c>
      <c r="S624" s="7">
        <v>0</v>
      </c>
      <c r="T624" s="7">
        <v>0</v>
      </c>
      <c r="U624" s="7">
        <v>1483.64</v>
      </c>
      <c r="V624" s="7">
        <v>839.27</v>
      </c>
      <c r="W624" s="7">
        <v>472.21</v>
      </c>
      <c r="X624" s="7" t="s">
        <v>32</v>
      </c>
    </row>
    <row r="625" spans="1:24" x14ac:dyDescent="0.25">
      <c r="A625" s="16" t="s">
        <v>1090</v>
      </c>
      <c r="B625" s="17">
        <v>45384</v>
      </c>
      <c r="C625" s="6" t="s">
        <v>759</v>
      </c>
      <c r="D625" s="6" t="s">
        <v>35</v>
      </c>
      <c r="E625" s="6" t="s">
        <v>23</v>
      </c>
      <c r="F625" s="6" t="s">
        <v>24</v>
      </c>
      <c r="G625" s="6" t="s">
        <v>25</v>
      </c>
      <c r="H625" s="6" t="s">
        <v>26</v>
      </c>
      <c r="I625" s="6" t="s">
        <v>88</v>
      </c>
      <c r="J625" s="6" t="s">
        <v>135</v>
      </c>
      <c r="K625" s="6" t="s">
        <v>218</v>
      </c>
      <c r="L625" s="6" t="s">
        <v>2674</v>
      </c>
      <c r="M625" s="6" t="s">
        <v>153</v>
      </c>
      <c r="N625" s="6" t="s">
        <v>75</v>
      </c>
      <c r="O625" s="6">
        <v>53</v>
      </c>
      <c r="P625" s="6">
        <v>73.75</v>
      </c>
      <c r="Q625" s="6">
        <v>45.38</v>
      </c>
      <c r="R625" s="6">
        <v>3908.97</v>
      </c>
      <c r="S625" s="6">
        <v>0.02</v>
      </c>
      <c r="T625" s="6">
        <v>78.180000000000007</v>
      </c>
      <c r="U625" s="6">
        <v>3830.79</v>
      </c>
      <c r="V625" s="6">
        <v>2404.9299999999998</v>
      </c>
      <c r="W625" s="6">
        <v>1425.85</v>
      </c>
      <c r="X625" s="6" t="s">
        <v>32</v>
      </c>
    </row>
    <row r="626" spans="1:24" x14ac:dyDescent="0.25">
      <c r="A626" s="5" t="s">
        <v>1091</v>
      </c>
      <c r="B626" s="18">
        <v>45399</v>
      </c>
      <c r="C626" s="7" t="s">
        <v>404</v>
      </c>
      <c r="D626" s="7" t="s">
        <v>87</v>
      </c>
      <c r="E626" s="7" t="s">
        <v>165</v>
      </c>
      <c r="F626" s="7" t="s">
        <v>166</v>
      </c>
      <c r="G626" s="7" t="s">
        <v>95</v>
      </c>
      <c r="H626" s="7" t="s">
        <v>167</v>
      </c>
      <c r="I626" s="7" t="s">
        <v>53</v>
      </c>
      <c r="J626" s="7" t="s">
        <v>232</v>
      </c>
      <c r="K626" s="7" t="s">
        <v>90</v>
      </c>
      <c r="L626" s="7" t="s">
        <v>2666</v>
      </c>
      <c r="M626" s="7" t="s">
        <v>61</v>
      </c>
      <c r="N626" s="7" t="s">
        <v>31</v>
      </c>
      <c r="O626" s="7">
        <v>29</v>
      </c>
      <c r="P626" s="7">
        <v>43.55</v>
      </c>
      <c r="Q626" s="7">
        <v>26.93</v>
      </c>
      <c r="R626" s="7">
        <v>1262.98</v>
      </c>
      <c r="S626" s="7">
        <v>0</v>
      </c>
      <c r="T626" s="7">
        <v>0</v>
      </c>
      <c r="U626" s="7">
        <v>1262.98</v>
      </c>
      <c r="V626" s="7">
        <v>780.83</v>
      </c>
      <c r="W626" s="7">
        <v>482.15</v>
      </c>
      <c r="X626" s="7" t="s">
        <v>129</v>
      </c>
    </row>
    <row r="627" spans="1:24" x14ac:dyDescent="0.25">
      <c r="A627" s="16" t="s">
        <v>1092</v>
      </c>
      <c r="B627" s="17">
        <v>45635</v>
      </c>
      <c r="C627" s="6" t="s">
        <v>679</v>
      </c>
      <c r="D627" s="6" t="s">
        <v>105</v>
      </c>
      <c r="E627" s="6" t="s">
        <v>187</v>
      </c>
      <c r="F627" s="6" t="s">
        <v>188</v>
      </c>
      <c r="G627" s="6" t="s">
        <v>25</v>
      </c>
      <c r="H627" s="6" t="s">
        <v>26</v>
      </c>
      <c r="I627" s="6" t="s">
        <v>27</v>
      </c>
      <c r="J627" s="6" t="s">
        <v>211</v>
      </c>
      <c r="K627" s="6" t="s">
        <v>74</v>
      </c>
      <c r="L627" s="6" t="s">
        <v>2664</v>
      </c>
      <c r="M627" s="6" t="s">
        <v>138</v>
      </c>
      <c r="N627" s="6" t="s">
        <v>70</v>
      </c>
      <c r="O627" s="6">
        <v>11</v>
      </c>
      <c r="P627" s="6">
        <v>50.08</v>
      </c>
      <c r="Q627" s="6">
        <v>29.72</v>
      </c>
      <c r="R627" s="6">
        <v>550.9</v>
      </c>
      <c r="S627" s="6">
        <v>0.2</v>
      </c>
      <c r="T627" s="6">
        <v>110.18</v>
      </c>
      <c r="U627" s="6">
        <v>440.72</v>
      </c>
      <c r="V627" s="6">
        <v>326.89</v>
      </c>
      <c r="W627" s="6">
        <v>113.83</v>
      </c>
      <c r="X627" s="6" t="s">
        <v>45</v>
      </c>
    </row>
    <row r="628" spans="1:24" x14ac:dyDescent="0.25">
      <c r="A628" s="5" t="s">
        <v>1093</v>
      </c>
      <c r="B628" s="18">
        <v>45510</v>
      </c>
      <c r="C628" s="7" t="s">
        <v>800</v>
      </c>
      <c r="D628" s="7" t="s">
        <v>264</v>
      </c>
      <c r="E628" s="7" t="s">
        <v>222</v>
      </c>
      <c r="F628" s="7" t="s">
        <v>223</v>
      </c>
      <c r="G628" s="7" t="s">
        <v>101</v>
      </c>
      <c r="H628" s="7" t="s">
        <v>68</v>
      </c>
      <c r="I628" s="7" t="s">
        <v>58</v>
      </c>
      <c r="J628" s="7" t="s">
        <v>323</v>
      </c>
      <c r="K628" s="7" t="s">
        <v>29</v>
      </c>
      <c r="L628" s="7" t="s">
        <v>2660</v>
      </c>
      <c r="M628" s="7" t="s">
        <v>61</v>
      </c>
      <c r="N628" s="7" t="s">
        <v>31</v>
      </c>
      <c r="O628" s="7">
        <v>11</v>
      </c>
      <c r="P628" s="7">
        <v>128.31</v>
      </c>
      <c r="Q628" s="7">
        <v>73.239999999999995</v>
      </c>
      <c r="R628" s="7">
        <v>1411.36</v>
      </c>
      <c r="S628" s="7">
        <v>0.2</v>
      </c>
      <c r="T628" s="7">
        <v>282.27</v>
      </c>
      <c r="U628" s="7">
        <v>1129.08</v>
      </c>
      <c r="V628" s="7">
        <v>805.65</v>
      </c>
      <c r="W628" s="7">
        <v>323.44</v>
      </c>
      <c r="X628" s="7" t="s">
        <v>45</v>
      </c>
    </row>
    <row r="629" spans="1:24" x14ac:dyDescent="0.25">
      <c r="A629" s="16" t="s">
        <v>1094</v>
      </c>
      <c r="B629" s="17">
        <v>45449</v>
      </c>
      <c r="C629" s="6" t="s">
        <v>297</v>
      </c>
      <c r="D629" s="6" t="s">
        <v>87</v>
      </c>
      <c r="E629" s="6" t="s">
        <v>109</v>
      </c>
      <c r="F629" s="6" t="s">
        <v>110</v>
      </c>
      <c r="G629" s="6" t="s">
        <v>80</v>
      </c>
      <c r="H629" s="6" t="s">
        <v>81</v>
      </c>
      <c r="I629" s="6" t="s">
        <v>88</v>
      </c>
      <c r="J629" s="6" t="s">
        <v>173</v>
      </c>
      <c r="K629" s="6" t="s">
        <v>261</v>
      </c>
      <c r="L629" s="6" t="s">
        <v>2677</v>
      </c>
      <c r="M629" s="6" t="s">
        <v>30</v>
      </c>
      <c r="N629" s="6" t="s">
        <v>70</v>
      </c>
      <c r="O629" s="6">
        <v>41</v>
      </c>
      <c r="P629" s="6">
        <v>129.16999999999999</v>
      </c>
      <c r="Q629" s="6">
        <v>77.989999999999995</v>
      </c>
      <c r="R629" s="6">
        <v>5295.86</v>
      </c>
      <c r="S629" s="6">
        <v>0.2</v>
      </c>
      <c r="T629" s="6">
        <v>1059.17</v>
      </c>
      <c r="U629" s="6">
        <v>4236.6899999999996</v>
      </c>
      <c r="V629" s="6">
        <v>3197.6</v>
      </c>
      <c r="W629" s="6">
        <v>1039.0899999999999</v>
      </c>
      <c r="X629" s="6" t="s">
        <v>45</v>
      </c>
    </row>
    <row r="630" spans="1:24" x14ac:dyDescent="0.25">
      <c r="A630" s="5" t="s">
        <v>1095</v>
      </c>
      <c r="B630" s="18">
        <v>45560</v>
      </c>
      <c r="C630" s="7" t="s">
        <v>983</v>
      </c>
      <c r="D630" s="7" t="s">
        <v>22</v>
      </c>
      <c r="E630" s="7" t="s">
        <v>126</v>
      </c>
      <c r="F630" s="7" t="s">
        <v>127</v>
      </c>
      <c r="G630" s="7" t="s">
        <v>95</v>
      </c>
      <c r="H630" s="7" t="s">
        <v>128</v>
      </c>
      <c r="I630" s="7" t="s">
        <v>58</v>
      </c>
      <c r="J630" s="7" t="s">
        <v>345</v>
      </c>
      <c r="K630" s="7" t="s">
        <v>152</v>
      </c>
      <c r="L630" s="7" t="s">
        <v>2670</v>
      </c>
      <c r="M630" s="7" t="s">
        <v>61</v>
      </c>
      <c r="N630" s="7" t="s">
        <v>31</v>
      </c>
      <c r="O630" s="7">
        <v>50</v>
      </c>
      <c r="P630" s="7">
        <v>91.34</v>
      </c>
      <c r="Q630" s="7">
        <v>53.68</v>
      </c>
      <c r="R630" s="7">
        <v>4566.92</v>
      </c>
      <c r="S630" s="7">
        <v>0.2</v>
      </c>
      <c r="T630" s="7">
        <v>913.38</v>
      </c>
      <c r="U630" s="7">
        <v>3653.53</v>
      </c>
      <c r="V630" s="7">
        <v>2683.96</v>
      </c>
      <c r="W630" s="7">
        <v>969.58</v>
      </c>
      <c r="X630" s="7" t="s">
        <v>32</v>
      </c>
    </row>
    <row r="631" spans="1:24" x14ac:dyDescent="0.25">
      <c r="A631" s="16" t="s">
        <v>1096</v>
      </c>
      <c r="B631" s="17">
        <v>45401</v>
      </c>
      <c r="C631" s="6" t="s">
        <v>491</v>
      </c>
      <c r="D631" s="6" t="s">
        <v>57</v>
      </c>
      <c r="E631" s="6" t="s">
        <v>49</v>
      </c>
      <c r="F631" s="6" t="s">
        <v>50</v>
      </c>
      <c r="G631" s="6" t="s">
        <v>51</v>
      </c>
      <c r="H631" s="6" t="s">
        <v>52</v>
      </c>
      <c r="I631" s="6" t="s">
        <v>58</v>
      </c>
      <c r="J631" s="6" t="s">
        <v>59</v>
      </c>
      <c r="K631" s="6" t="s">
        <v>90</v>
      </c>
      <c r="L631" s="6" t="s">
        <v>2666</v>
      </c>
      <c r="M631" s="6" t="s">
        <v>30</v>
      </c>
      <c r="N631" s="6" t="s">
        <v>84</v>
      </c>
      <c r="O631" s="6">
        <v>51</v>
      </c>
      <c r="P631" s="6">
        <v>23.14</v>
      </c>
      <c r="Q631" s="6">
        <v>12.32</v>
      </c>
      <c r="R631" s="6">
        <v>1180.3499999999999</v>
      </c>
      <c r="S631" s="6">
        <v>0.02</v>
      </c>
      <c r="T631" s="6">
        <v>23.61</v>
      </c>
      <c r="U631" s="6">
        <v>1156.74</v>
      </c>
      <c r="V631" s="6">
        <v>628.54999999999995</v>
      </c>
      <c r="W631" s="6">
        <v>528.19000000000005</v>
      </c>
      <c r="X631" s="6" t="s">
        <v>32</v>
      </c>
    </row>
    <row r="632" spans="1:24" x14ac:dyDescent="0.25">
      <c r="A632" s="5" t="s">
        <v>1097</v>
      </c>
      <c r="B632" s="18">
        <v>45306</v>
      </c>
      <c r="C632" s="7" t="s">
        <v>1098</v>
      </c>
      <c r="D632" s="7" t="s">
        <v>121</v>
      </c>
      <c r="E632" s="7" t="s">
        <v>165</v>
      </c>
      <c r="F632" s="7" t="s">
        <v>166</v>
      </c>
      <c r="G632" s="7" t="s">
        <v>95</v>
      </c>
      <c r="H632" s="7" t="s">
        <v>167</v>
      </c>
      <c r="I632" s="7" t="s">
        <v>40</v>
      </c>
      <c r="J632" s="7" t="s">
        <v>41</v>
      </c>
      <c r="K632" s="7" t="s">
        <v>253</v>
      </c>
      <c r="L632" s="7" t="s">
        <v>2676</v>
      </c>
      <c r="M632" s="7" t="s">
        <v>61</v>
      </c>
      <c r="N632" s="7" t="s">
        <v>70</v>
      </c>
      <c r="O632" s="7">
        <v>77</v>
      </c>
      <c r="P632" s="7">
        <v>43.02</v>
      </c>
      <c r="Q632" s="7">
        <v>26.38</v>
      </c>
      <c r="R632" s="7">
        <v>3312.8</v>
      </c>
      <c r="S632" s="7">
        <v>0</v>
      </c>
      <c r="T632" s="7">
        <v>0</v>
      </c>
      <c r="U632" s="7">
        <v>3312.8</v>
      </c>
      <c r="V632" s="7">
        <v>2031.45</v>
      </c>
      <c r="W632" s="7">
        <v>1281.3599999999999</v>
      </c>
      <c r="X632" s="7" t="s">
        <v>45</v>
      </c>
    </row>
    <row r="633" spans="1:24" x14ac:dyDescent="0.25">
      <c r="A633" s="16" t="s">
        <v>1099</v>
      </c>
      <c r="B633" s="17">
        <v>45606</v>
      </c>
      <c r="C633" s="6"/>
      <c r="D633" s="6"/>
      <c r="E633" s="6" t="s">
        <v>109</v>
      </c>
      <c r="F633" s="6" t="s">
        <v>110</v>
      </c>
      <c r="G633" s="6" t="s">
        <v>80</v>
      </c>
      <c r="H633" s="6" t="s">
        <v>81</v>
      </c>
      <c r="I633" s="6" t="s">
        <v>27</v>
      </c>
      <c r="J633" s="6" t="s">
        <v>106</v>
      </c>
      <c r="K633" s="6" t="s">
        <v>195</v>
      </c>
      <c r="L633" s="6" t="s">
        <v>2673</v>
      </c>
      <c r="M633" s="6" t="s">
        <v>30</v>
      </c>
      <c r="N633" s="6" t="s">
        <v>70</v>
      </c>
      <c r="O633" s="6">
        <v>73</v>
      </c>
      <c r="P633" s="6">
        <v>129.15</v>
      </c>
      <c r="Q633" s="6">
        <v>68.819999999999993</v>
      </c>
      <c r="R633" s="6">
        <v>9428.27</v>
      </c>
      <c r="S633" s="6">
        <v>0</v>
      </c>
      <c r="T633" s="6">
        <v>0</v>
      </c>
      <c r="U633" s="6">
        <v>9428.27</v>
      </c>
      <c r="V633" s="6">
        <v>5023.6000000000004</v>
      </c>
      <c r="W633" s="6">
        <v>4404.67</v>
      </c>
      <c r="X633" s="6" t="s">
        <v>45</v>
      </c>
    </row>
    <row r="634" spans="1:24" x14ac:dyDescent="0.25">
      <c r="A634" s="5" t="s">
        <v>1100</v>
      </c>
      <c r="B634" s="18">
        <v>45357</v>
      </c>
      <c r="C634" s="7" t="s">
        <v>158</v>
      </c>
      <c r="D634" s="7" t="s">
        <v>159</v>
      </c>
      <c r="E634" s="7" t="s">
        <v>250</v>
      </c>
      <c r="F634" s="7" t="s">
        <v>251</v>
      </c>
      <c r="G634" s="7" t="s">
        <v>51</v>
      </c>
      <c r="H634" s="7" t="s">
        <v>252</v>
      </c>
      <c r="I634" s="7" t="s">
        <v>88</v>
      </c>
      <c r="J634" s="7" t="s">
        <v>173</v>
      </c>
      <c r="K634" s="7" t="s">
        <v>184</v>
      </c>
      <c r="L634" s="7" t="s">
        <v>2672</v>
      </c>
      <c r="M634" s="7" t="s">
        <v>43</v>
      </c>
      <c r="N634" s="7" t="s">
        <v>70</v>
      </c>
      <c r="O634" s="7">
        <v>67</v>
      </c>
      <c r="P634" s="7">
        <v>62.58</v>
      </c>
      <c r="Q634" s="7">
        <v>40.04</v>
      </c>
      <c r="R634" s="7">
        <v>4193.0600000000004</v>
      </c>
      <c r="S634" s="7">
        <v>0.02</v>
      </c>
      <c r="T634" s="7">
        <v>83.86</v>
      </c>
      <c r="U634" s="7">
        <v>4109.2</v>
      </c>
      <c r="V634" s="7">
        <v>2682.66</v>
      </c>
      <c r="W634" s="7">
        <v>1426.54</v>
      </c>
      <c r="X634" s="7" t="s">
        <v>32</v>
      </c>
    </row>
    <row r="635" spans="1:24" x14ac:dyDescent="0.25">
      <c r="A635" s="16" t="s">
        <v>1101</v>
      </c>
      <c r="B635" s="17">
        <v>45532</v>
      </c>
      <c r="C635" s="6" t="s">
        <v>594</v>
      </c>
      <c r="D635" s="6" t="s">
        <v>105</v>
      </c>
      <c r="E635" s="6" t="s">
        <v>49</v>
      </c>
      <c r="F635" s="6" t="s">
        <v>50</v>
      </c>
      <c r="G635" s="6" t="s">
        <v>51</v>
      </c>
      <c r="H635" s="6" t="s">
        <v>52</v>
      </c>
      <c r="I635" s="6" t="s">
        <v>27</v>
      </c>
      <c r="J635" s="6" t="s">
        <v>189</v>
      </c>
      <c r="K635" s="6" t="s">
        <v>74</v>
      </c>
      <c r="L635" s="6" t="s">
        <v>2664</v>
      </c>
      <c r="M635" s="6" t="s">
        <v>30</v>
      </c>
      <c r="N635" s="6" t="s">
        <v>31</v>
      </c>
      <c r="O635" s="6">
        <v>65</v>
      </c>
      <c r="P635" s="6">
        <v>23.21</v>
      </c>
      <c r="Q635" s="6">
        <v>13.09</v>
      </c>
      <c r="R635" s="6">
        <v>1508.51</v>
      </c>
      <c r="S635" s="6">
        <v>0</v>
      </c>
      <c r="T635" s="6">
        <v>0</v>
      </c>
      <c r="U635" s="6">
        <v>1508.51</v>
      </c>
      <c r="V635" s="6">
        <v>850.58</v>
      </c>
      <c r="W635" s="6">
        <v>657.93</v>
      </c>
      <c r="X635" s="6" t="s">
        <v>129</v>
      </c>
    </row>
    <row r="636" spans="1:24" x14ac:dyDescent="0.25">
      <c r="A636" s="5" t="s">
        <v>1102</v>
      </c>
      <c r="B636" s="18">
        <v>45348</v>
      </c>
      <c r="C636" s="7" t="s">
        <v>800</v>
      </c>
      <c r="D636" s="7" t="s">
        <v>264</v>
      </c>
      <c r="E636" s="7" t="s">
        <v>109</v>
      </c>
      <c r="F636" s="7" t="s">
        <v>110</v>
      </c>
      <c r="G636" s="7" t="s">
        <v>80</v>
      </c>
      <c r="H636" s="7" t="s">
        <v>81</v>
      </c>
      <c r="I636" s="7" t="s">
        <v>53</v>
      </c>
      <c r="J636" s="7" t="s">
        <v>143</v>
      </c>
      <c r="K636" s="7" t="s">
        <v>60</v>
      </c>
      <c r="L636" s="7" t="s">
        <v>2662</v>
      </c>
      <c r="M636" s="7" t="s">
        <v>61</v>
      </c>
      <c r="N636" s="7" t="s">
        <v>70</v>
      </c>
      <c r="O636" s="7">
        <v>2</v>
      </c>
      <c r="P636" s="7">
        <v>116.14</v>
      </c>
      <c r="Q636" s="7">
        <v>71.42</v>
      </c>
      <c r="R636" s="7">
        <v>232.28</v>
      </c>
      <c r="S636" s="7">
        <v>0.2</v>
      </c>
      <c r="T636" s="7">
        <v>46.46</v>
      </c>
      <c r="U636" s="7">
        <v>185.83</v>
      </c>
      <c r="V636" s="7">
        <v>142.84</v>
      </c>
      <c r="W636" s="7">
        <v>42.98</v>
      </c>
      <c r="X636" s="7" t="s">
        <v>45</v>
      </c>
    </row>
    <row r="637" spans="1:24" x14ac:dyDescent="0.25">
      <c r="A637" s="16" t="s">
        <v>1103</v>
      </c>
      <c r="B637" s="17">
        <v>45613</v>
      </c>
      <c r="C637" s="6" t="s">
        <v>936</v>
      </c>
      <c r="D637" s="6" t="s">
        <v>57</v>
      </c>
      <c r="E637" s="6" t="s">
        <v>93</v>
      </c>
      <c r="F637" s="6" t="s">
        <v>94</v>
      </c>
      <c r="G637" s="6" t="s">
        <v>95</v>
      </c>
      <c r="H637" s="6" t="s">
        <v>96</v>
      </c>
      <c r="I637" s="6" t="s">
        <v>40</v>
      </c>
      <c r="J637" s="6" t="s">
        <v>289</v>
      </c>
      <c r="K637" s="6" t="s">
        <v>265</v>
      </c>
      <c r="L637" s="6" t="s">
        <v>2678</v>
      </c>
      <c r="M637" s="6" t="s">
        <v>138</v>
      </c>
      <c r="N637" s="6" t="s">
        <v>31</v>
      </c>
      <c r="O637" s="6">
        <v>54</v>
      </c>
      <c r="P637" s="6">
        <v>54.09</v>
      </c>
      <c r="Q637" s="6">
        <v>32.630000000000003</v>
      </c>
      <c r="R637" s="6">
        <v>2920.84</v>
      </c>
      <c r="S637" s="6">
        <v>0.1</v>
      </c>
      <c r="T637" s="6">
        <v>292.08</v>
      </c>
      <c r="U637" s="6">
        <v>2628.75</v>
      </c>
      <c r="V637" s="6">
        <v>1761.75</v>
      </c>
      <c r="W637" s="6">
        <v>867</v>
      </c>
      <c r="X637" s="6" t="s">
        <v>32</v>
      </c>
    </row>
    <row r="638" spans="1:24" x14ac:dyDescent="0.25">
      <c r="A638" s="5" t="s">
        <v>1104</v>
      </c>
      <c r="B638" s="18">
        <v>45459</v>
      </c>
      <c r="C638" s="7" t="s">
        <v>322</v>
      </c>
      <c r="D638" s="7" t="s">
        <v>65</v>
      </c>
      <c r="E638" s="7" t="s">
        <v>209</v>
      </c>
      <c r="F638" s="7" t="s">
        <v>210</v>
      </c>
      <c r="G638" s="7" t="s">
        <v>51</v>
      </c>
      <c r="H638" s="7" t="s">
        <v>116</v>
      </c>
      <c r="I638" s="7" t="s">
        <v>88</v>
      </c>
      <c r="J638" s="7" t="s">
        <v>173</v>
      </c>
      <c r="K638" s="7" t="s">
        <v>83</v>
      </c>
      <c r="L638" s="7" t="s">
        <v>2665</v>
      </c>
      <c r="M638" s="7" t="s">
        <v>43</v>
      </c>
      <c r="N638" s="7" t="s">
        <v>31</v>
      </c>
      <c r="O638" s="7">
        <v>71</v>
      </c>
      <c r="P638" s="7">
        <v>19.16</v>
      </c>
      <c r="Q638" s="7">
        <v>9.5299999999999994</v>
      </c>
      <c r="R638" s="7">
        <v>1360.15</v>
      </c>
      <c r="S638" s="7">
        <v>0.1</v>
      </c>
      <c r="T638" s="7">
        <v>136.02000000000001</v>
      </c>
      <c r="U638" s="7">
        <v>1224.1400000000001</v>
      </c>
      <c r="V638" s="7">
        <v>676.31</v>
      </c>
      <c r="W638" s="7">
        <v>547.82000000000005</v>
      </c>
      <c r="X638" s="7" t="s">
        <v>45</v>
      </c>
    </row>
    <row r="639" spans="1:24" x14ac:dyDescent="0.25">
      <c r="A639" s="16" t="s">
        <v>1105</v>
      </c>
      <c r="B639" s="17">
        <v>45424</v>
      </c>
      <c r="C639" s="6" t="s">
        <v>239</v>
      </c>
      <c r="D639" s="6" t="s">
        <v>65</v>
      </c>
      <c r="E639" s="6" t="s">
        <v>216</v>
      </c>
      <c r="F639" s="6" t="s">
        <v>217</v>
      </c>
      <c r="G639" s="6" t="s">
        <v>38</v>
      </c>
      <c r="H639" s="6" t="s">
        <v>134</v>
      </c>
      <c r="I639" s="6" t="s">
        <v>88</v>
      </c>
      <c r="J639" s="6" t="s">
        <v>183</v>
      </c>
      <c r="K639" s="6" t="s">
        <v>184</v>
      </c>
      <c r="L639" s="6" t="s">
        <v>2672</v>
      </c>
      <c r="M639" s="6" t="s">
        <v>153</v>
      </c>
      <c r="N639" s="6" t="s">
        <v>44</v>
      </c>
      <c r="O639" s="6">
        <v>57</v>
      </c>
      <c r="P639" s="6">
        <v>109.34</v>
      </c>
      <c r="Q639" s="6">
        <v>72.16</v>
      </c>
      <c r="R639" s="6">
        <v>6232.56</v>
      </c>
      <c r="S639" s="6">
        <v>0.05</v>
      </c>
      <c r="T639" s="6">
        <v>311.63</v>
      </c>
      <c r="U639" s="6">
        <v>5920.93</v>
      </c>
      <c r="V639" s="6">
        <v>4112.8999999999996</v>
      </c>
      <c r="W639" s="6">
        <v>1808.03</v>
      </c>
      <c r="X639" s="6" t="s">
        <v>45</v>
      </c>
    </row>
    <row r="640" spans="1:24" x14ac:dyDescent="0.25">
      <c r="A640" s="5" t="s">
        <v>1106</v>
      </c>
      <c r="B640" s="18">
        <v>45541</v>
      </c>
      <c r="C640" s="7" t="s">
        <v>418</v>
      </c>
      <c r="D640" s="7" t="s">
        <v>159</v>
      </c>
      <c r="E640" s="7" t="s">
        <v>109</v>
      </c>
      <c r="F640" s="7" t="s">
        <v>110</v>
      </c>
      <c r="G640" s="7" t="s">
        <v>80</v>
      </c>
      <c r="H640" s="7" t="s">
        <v>81</v>
      </c>
      <c r="I640" s="7" t="s">
        <v>27</v>
      </c>
      <c r="J640" s="7" t="s">
        <v>106</v>
      </c>
      <c r="K640" s="7" t="s">
        <v>69</v>
      </c>
      <c r="L640" s="7" t="s">
        <v>2663</v>
      </c>
      <c r="M640" s="7" t="s">
        <v>61</v>
      </c>
      <c r="N640" s="7" t="s">
        <v>70</v>
      </c>
      <c r="O640" s="7">
        <v>11</v>
      </c>
      <c r="P640" s="7">
        <v>119.01</v>
      </c>
      <c r="Q640" s="7">
        <v>73.900000000000006</v>
      </c>
      <c r="R640" s="7">
        <v>1309.1199999999999</v>
      </c>
      <c r="S640" s="7">
        <v>0.2</v>
      </c>
      <c r="T640" s="7">
        <v>261.82</v>
      </c>
      <c r="U640" s="7">
        <v>1047.29</v>
      </c>
      <c r="V640" s="7">
        <v>812.91</v>
      </c>
      <c r="W640" s="7">
        <v>234.39</v>
      </c>
      <c r="X640" s="7" t="s">
        <v>45</v>
      </c>
    </row>
    <row r="641" spans="1:24" x14ac:dyDescent="0.25">
      <c r="A641" s="16" t="s">
        <v>1107</v>
      </c>
      <c r="B641" s="17">
        <v>45514</v>
      </c>
      <c r="C641" s="6" t="s">
        <v>169</v>
      </c>
      <c r="D641" s="6" t="s">
        <v>57</v>
      </c>
      <c r="E641" s="6" t="s">
        <v>109</v>
      </c>
      <c r="F641" s="6" t="s">
        <v>110</v>
      </c>
      <c r="G641" s="6" t="s">
        <v>80</v>
      </c>
      <c r="H641" s="6" t="s">
        <v>81</v>
      </c>
      <c r="I641" s="6" t="s">
        <v>53</v>
      </c>
      <c r="J641" s="6" t="s">
        <v>122</v>
      </c>
      <c r="K641" s="6" t="s">
        <v>144</v>
      </c>
      <c r="L641" s="6" t="s">
        <v>2669</v>
      </c>
      <c r="M641" s="6" t="s">
        <v>30</v>
      </c>
      <c r="N641" s="6" t="s">
        <v>75</v>
      </c>
      <c r="O641" s="6">
        <v>70</v>
      </c>
      <c r="P641" s="6">
        <v>134.47</v>
      </c>
      <c r="Q641" s="6">
        <v>79.55</v>
      </c>
      <c r="R641" s="6">
        <v>9412.8799999999992</v>
      </c>
      <c r="S641" s="6">
        <v>0.02</v>
      </c>
      <c r="T641" s="6">
        <v>188.26</v>
      </c>
      <c r="U641" s="6">
        <v>9224.6299999999992</v>
      </c>
      <c r="V641" s="6">
        <v>5568.61</v>
      </c>
      <c r="W641" s="6">
        <v>3656.02</v>
      </c>
      <c r="X641" s="6" t="s">
        <v>45</v>
      </c>
    </row>
    <row r="642" spans="1:24" x14ac:dyDescent="0.25">
      <c r="A642" s="5" t="s">
        <v>1108</v>
      </c>
      <c r="B642" s="18">
        <v>45515</v>
      </c>
      <c r="C642" s="7" t="s">
        <v>533</v>
      </c>
      <c r="D642" s="7" t="s">
        <v>163</v>
      </c>
      <c r="E642" s="7" t="s">
        <v>99</v>
      </c>
      <c r="F642" s="7" t="s">
        <v>100</v>
      </c>
      <c r="G642" s="7" t="s">
        <v>101</v>
      </c>
      <c r="H642" s="7" t="s">
        <v>102</v>
      </c>
      <c r="I642" s="7" t="s">
        <v>53</v>
      </c>
      <c r="J642" s="7" t="s">
        <v>232</v>
      </c>
      <c r="K642" s="7" t="s">
        <v>261</v>
      </c>
      <c r="L642" s="7" t="s">
        <v>2677</v>
      </c>
      <c r="M642" s="7" t="s">
        <v>43</v>
      </c>
      <c r="N642" s="7" t="s">
        <v>44</v>
      </c>
      <c r="O642" s="7">
        <v>36</v>
      </c>
      <c r="P642" s="7">
        <v>65.39</v>
      </c>
      <c r="Q642" s="7">
        <v>40.92</v>
      </c>
      <c r="R642" s="7">
        <v>2354.13</v>
      </c>
      <c r="S642" s="7">
        <v>0.2</v>
      </c>
      <c r="T642" s="7">
        <v>470.83</v>
      </c>
      <c r="U642" s="7">
        <v>1883.3</v>
      </c>
      <c r="V642" s="7">
        <v>1473.08</v>
      </c>
      <c r="W642" s="7">
        <v>410.22</v>
      </c>
      <c r="X642" s="7" t="s">
        <v>45</v>
      </c>
    </row>
    <row r="643" spans="1:24" x14ac:dyDescent="0.25">
      <c r="A643" s="16" t="s">
        <v>1109</v>
      </c>
      <c r="B643" s="17">
        <v>45640</v>
      </c>
      <c r="C643" s="6" t="s">
        <v>651</v>
      </c>
      <c r="D643" s="6" t="s">
        <v>105</v>
      </c>
      <c r="E643" s="6" t="s">
        <v>49</v>
      </c>
      <c r="F643" s="6" t="s">
        <v>50</v>
      </c>
      <c r="G643" s="6" t="s">
        <v>51</v>
      </c>
      <c r="H643" s="6" t="s">
        <v>52</v>
      </c>
      <c r="I643" s="6" t="s">
        <v>58</v>
      </c>
      <c r="J643" s="6" t="s">
        <v>345</v>
      </c>
      <c r="K643" s="6" t="s">
        <v>29</v>
      </c>
      <c r="L643" s="6" t="s">
        <v>2660</v>
      </c>
      <c r="M643" s="6" t="s">
        <v>43</v>
      </c>
      <c r="N643" s="6" t="s">
        <v>75</v>
      </c>
      <c r="O643" s="6">
        <v>67</v>
      </c>
      <c r="P643" s="6">
        <v>26.97</v>
      </c>
      <c r="Q643" s="6">
        <v>13.73</v>
      </c>
      <c r="R643" s="6">
        <v>1806.9</v>
      </c>
      <c r="S643" s="6">
        <v>0.1</v>
      </c>
      <c r="T643" s="6">
        <v>180.69</v>
      </c>
      <c r="U643" s="6">
        <v>1626.21</v>
      </c>
      <c r="V643" s="6">
        <v>919.97</v>
      </c>
      <c r="W643" s="6">
        <v>706.23</v>
      </c>
      <c r="X643" s="6" t="s">
        <v>45</v>
      </c>
    </row>
    <row r="644" spans="1:24" x14ac:dyDescent="0.25">
      <c r="A644" s="5" t="s">
        <v>1110</v>
      </c>
      <c r="B644" s="18">
        <v>45425</v>
      </c>
      <c r="C644" s="7" t="s">
        <v>737</v>
      </c>
      <c r="D644" s="7" t="s">
        <v>22</v>
      </c>
      <c r="E644" s="7" t="s">
        <v>36</v>
      </c>
      <c r="F644" s="7" t="s">
        <v>37</v>
      </c>
      <c r="G644" s="7" t="s">
        <v>38</v>
      </c>
      <c r="H644" s="7" t="s">
        <v>39</v>
      </c>
      <c r="I644" s="7" t="s">
        <v>27</v>
      </c>
      <c r="J644" s="7" t="s">
        <v>189</v>
      </c>
      <c r="K644" s="7" t="s">
        <v>253</v>
      </c>
      <c r="L644" s="7" t="s">
        <v>2676</v>
      </c>
      <c r="M644" s="7" t="s">
        <v>30</v>
      </c>
      <c r="N644" s="7" t="s">
        <v>31</v>
      </c>
      <c r="O644" s="7">
        <v>34</v>
      </c>
      <c r="P644" s="7">
        <v>156.76</v>
      </c>
      <c r="Q644" s="7">
        <v>92.3</v>
      </c>
      <c r="R644" s="7">
        <v>5329.88</v>
      </c>
      <c r="S644" s="7">
        <v>0.2</v>
      </c>
      <c r="T644" s="7">
        <v>1065.98</v>
      </c>
      <c r="U644" s="7">
        <v>4263.8999999999996</v>
      </c>
      <c r="V644" s="7">
        <v>3138.17</v>
      </c>
      <c r="W644" s="7">
        <v>1125.73</v>
      </c>
      <c r="X644" s="7" t="s">
        <v>45</v>
      </c>
    </row>
    <row r="645" spans="1:24" x14ac:dyDescent="0.25">
      <c r="A645" s="16" t="s">
        <v>1111</v>
      </c>
      <c r="B645" s="17">
        <v>45339</v>
      </c>
      <c r="C645" s="6" t="s">
        <v>1112</v>
      </c>
      <c r="D645" s="6" t="s">
        <v>159</v>
      </c>
      <c r="E645" s="6" t="s">
        <v>114</v>
      </c>
      <c r="F645" s="6" t="s">
        <v>115</v>
      </c>
      <c r="G645" s="6" t="s">
        <v>95</v>
      </c>
      <c r="H645" s="6" t="s">
        <v>116</v>
      </c>
      <c r="I645" s="6" t="s">
        <v>58</v>
      </c>
      <c r="J645" s="6" t="s">
        <v>73</v>
      </c>
      <c r="K645" s="6" t="s">
        <v>60</v>
      </c>
      <c r="L645" s="6" t="s">
        <v>2662</v>
      </c>
      <c r="M645" s="6" t="s">
        <v>43</v>
      </c>
      <c r="N645" s="6" t="s">
        <v>70</v>
      </c>
      <c r="O645" s="6">
        <v>43</v>
      </c>
      <c r="P645" s="6">
        <v>35.590000000000003</v>
      </c>
      <c r="Q645" s="6">
        <v>19.71</v>
      </c>
      <c r="R645" s="6">
        <v>1530.44</v>
      </c>
      <c r="S645" s="6">
        <v>0.05</v>
      </c>
      <c r="T645" s="6">
        <v>76.52</v>
      </c>
      <c r="U645" s="6">
        <v>1453.92</v>
      </c>
      <c r="V645" s="6">
        <v>847.69</v>
      </c>
      <c r="W645" s="6">
        <v>606.22</v>
      </c>
      <c r="X645" s="6" t="s">
        <v>32</v>
      </c>
    </row>
    <row r="646" spans="1:24" x14ac:dyDescent="0.25">
      <c r="A646" s="5" t="s">
        <v>1113</v>
      </c>
      <c r="B646" s="18">
        <v>45390</v>
      </c>
      <c r="C646" s="7" t="s">
        <v>410</v>
      </c>
      <c r="D646" s="7" t="s">
        <v>149</v>
      </c>
      <c r="E646" s="7" t="s">
        <v>176</v>
      </c>
      <c r="F646" s="7" t="s">
        <v>177</v>
      </c>
      <c r="G646" s="7" t="s">
        <v>101</v>
      </c>
      <c r="H646" s="7" t="s">
        <v>39</v>
      </c>
      <c r="I646" s="7" t="s">
        <v>53</v>
      </c>
      <c r="J646" s="7" t="s">
        <v>122</v>
      </c>
      <c r="K646" s="7" t="s">
        <v>261</v>
      </c>
      <c r="L646" s="7" t="s">
        <v>2677</v>
      </c>
      <c r="M646" s="7" t="s">
        <v>30</v>
      </c>
      <c r="N646" s="7" t="s">
        <v>70</v>
      </c>
      <c r="O646" s="7">
        <v>33</v>
      </c>
      <c r="P646" s="7">
        <v>108.69</v>
      </c>
      <c r="Q646" s="7">
        <v>66.930000000000007</v>
      </c>
      <c r="R646" s="7">
        <v>3586.61</v>
      </c>
      <c r="S646" s="7">
        <v>0.02</v>
      </c>
      <c r="T646" s="7">
        <v>71.73</v>
      </c>
      <c r="U646" s="7">
        <v>3514.88</v>
      </c>
      <c r="V646" s="7">
        <v>2208.8200000000002</v>
      </c>
      <c r="W646" s="7">
        <v>1306.06</v>
      </c>
      <c r="X646" s="7" t="s">
        <v>32</v>
      </c>
    </row>
    <row r="647" spans="1:24" x14ac:dyDescent="0.25">
      <c r="A647" s="16" t="s">
        <v>1114</v>
      </c>
      <c r="B647" s="17">
        <v>45587</v>
      </c>
      <c r="C647" s="6" t="s">
        <v>305</v>
      </c>
      <c r="D647" s="6" t="s">
        <v>87</v>
      </c>
      <c r="E647" s="6" t="s">
        <v>78</v>
      </c>
      <c r="F647" s="6" t="s">
        <v>79</v>
      </c>
      <c r="G647" s="6" t="s">
        <v>80</v>
      </c>
      <c r="H647" s="6" t="s">
        <v>81</v>
      </c>
      <c r="I647" s="6" t="s">
        <v>53</v>
      </c>
      <c r="J647" s="6" t="s">
        <v>54</v>
      </c>
      <c r="K647" s="6" t="s">
        <v>83</v>
      </c>
      <c r="L647" s="6" t="s">
        <v>2665</v>
      </c>
      <c r="M647" s="6" t="s">
        <v>61</v>
      </c>
      <c r="N647" s="6" t="s">
        <v>44</v>
      </c>
      <c r="O647" s="6">
        <v>72</v>
      </c>
      <c r="P647" s="6">
        <v>138.74</v>
      </c>
      <c r="Q647" s="6">
        <v>75.73</v>
      </c>
      <c r="R647" s="6">
        <v>9989.5499999999993</v>
      </c>
      <c r="S647" s="6">
        <v>0.15</v>
      </c>
      <c r="T647" s="6">
        <v>1498.43</v>
      </c>
      <c r="U647" s="6">
        <v>8491.1200000000008</v>
      </c>
      <c r="V647" s="6">
        <v>5452.38</v>
      </c>
      <c r="W647" s="6">
        <v>3038.74</v>
      </c>
      <c r="X647" s="6" t="s">
        <v>32</v>
      </c>
    </row>
    <row r="648" spans="1:24" x14ac:dyDescent="0.25">
      <c r="A648" s="5" t="s">
        <v>1115</v>
      </c>
      <c r="B648" s="18">
        <v>45454</v>
      </c>
      <c r="C648" s="7" t="s">
        <v>237</v>
      </c>
      <c r="D648" s="7" t="s">
        <v>105</v>
      </c>
      <c r="E648" s="7" t="s">
        <v>49</v>
      </c>
      <c r="F648" s="7" t="s">
        <v>50</v>
      </c>
      <c r="G648" s="7" t="s">
        <v>51</v>
      </c>
      <c r="H648" s="7" t="s">
        <v>52</v>
      </c>
      <c r="I648" s="7" t="s">
        <v>452</v>
      </c>
      <c r="J648" s="7" t="s">
        <v>106</v>
      </c>
      <c r="K648" s="7" t="s">
        <v>248</v>
      </c>
      <c r="L648" s="7" t="s">
        <v>2675</v>
      </c>
      <c r="M648" s="7" t="s">
        <v>30</v>
      </c>
      <c r="N648" s="7" t="s">
        <v>75</v>
      </c>
      <c r="O648" s="7">
        <v>40</v>
      </c>
      <c r="P648" s="7">
        <v>23.2</v>
      </c>
      <c r="Q648" s="7">
        <v>12.85</v>
      </c>
      <c r="R648" s="7">
        <v>928.09</v>
      </c>
      <c r="S648" s="7">
        <v>0.02</v>
      </c>
      <c r="T648" s="7">
        <v>18.559999999999999</v>
      </c>
      <c r="U648" s="7">
        <v>909.53</v>
      </c>
      <c r="V648" s="7">
        <v>513.85</v>
      </c>
      <c r="W648" s="7">
        <v>395.68</v>
      </c>
      <c r="X648" s="7" t="s">
        <v>129</v>
      </c>
    </row>
    <row r="649" spans="1:24" x14ac:dyDescent="0.25">
      <c r="A649" s="16" t="s">
        <v>1116</v>
      </c>
      <c r="B649" s="17">
        <v>45576</v>
      </c>
      <c r="C649" s="6" t="s">
        <v>653</v>
      </c>
      <c r="D649" s="6" t="s">
        <v>87</v>
      </c>
      <c r="E649" s="6" t="s">
        <v>109</v>
      </c>
      <c r="F649" s="6" t="s">
        <v>110</v>
      </c>
      <c r="G649" s="6" t="s">
        <v>80</v>
      </c>
      <c r="H649" s="6" t="s">
        <v>81</v>
      </c>
      <c r="I649" s="6" t="s">
        <v>27</v>
      </c>
      <c r="J649" s="6" t="s">
        <v>211</v>
      </c>
      <c r="K649" s="6" t="s">
        <v>265</v>
      </c>
      <c r="L649" s="6" t="s">
        <v>2678</v>
      </c>
      <c r="M649" s="6" t="s">
        <v>43</v>
      </c>
      <c r="N649" s="6" t="s">
        <v>75</v>
      </c>
      <c r="O649" s="6">
        <v>69</v>
      </c>
      <c r="P649" s="6">
        <v>115.19</v>
      </c>
      <c r="Q649" s="6">
        <v>71</v>
      </c>
      <c r="R649" s="6">
        <v>7947.88</v>
      </c>
      <c r="S649" s="6">
        <v>0.15</v>
      </c>
      <c r="T649" s="6">
        <v>1192.18</v>
      </c>
      <c r="U649" s="6">
        <v>6755.7</v>
      </c>
      <c r="V649" s="6">
        <v>4899.05</v>
      </c>
      <c r="W649" s="6">
        <v>1856.65</v>
      </c>
      <c r="X649" s="6" t="s">
        <v>129</v>
      </c>
    </row>
    <row r="650" spans="1:24" x14ac:dyDescent="0.25">
      <c r="A650" s="5" t="s">
        <v>1117</v>
      </c>
      <c r="B650" s="18">
        <v>45422</v>
      </c>
      <c r="C650" s="7" t="s">
        <v>471</v>
      </c>
      <c r="D650" s="7" t="s">
        <v>125</v>
      </c>
      <c r="E650" s="7" t="s">
        <v>132</v>
      </c>
      <c r="F650" s="7" t="s">
        <v>133</v>
      </c>
      <c r="G650" s="7" t="s">
        <v>51</v>
      </c>
      <c r="H650" s="7" t="s">
        <v>134</v>
      </c>
      <c r="I650" s="7" t="s">
        <v>53</v>
      </c>
      <c r="J650" s="7" t="s">
        <v>232</v>
      </c>
      <c r="K650" s="7" t="s">
        <v>144</v>
      </c>
      <c r="L650" s="7" t="s">
        <v>2669</v>
      </c>
      <c r="M650" s="7" t="s">
        <v>43</v>
      </c>
      <c r="N650" s="7" t="s">
        <v>70</v>
      </c>
      <c r="O650" s="7">
        <v>32</v>
      </c>
      <c r="P650" s="7">
        <v>61.2</v>
      </c>
      <c r="Q650" s="7">
        <v>33.36</v>
      </c>
      <c r="R650" s="7">
        <v>1958.3</v>
      </c>
      <c r="S650" s="7">
        <v>0.15</v>
      </c>
      <c r="T650" s="7">
        <v>293.74</v>
      </c>
      <c r="U650" s="7">
        <v>1664.55</v>
      </c>
      <c r="V650" s="7">
        <v>1067.45</v>
      </c>
      <c r="W650" s="7">
        <v>597.1</v>
      </c>
      <c r="X650" s="7" t="s">
        <v>45</v>
      </c>
    </row>
    <row r="651" spans="1:24" x14ac:dyDescent="0.25">
      <c r="A651" s="16" t="s">
        <v>1118</v>
      </c>
      <c r="B651" s="17">
        <v>45519</v>
      </c>
      <c r="C651" s="6" t="s">
        <v>715</v>
      </c>
      <c r="D651" s="6" t="s">
        <v>264</v>
      </c>
      <c r="E651" s="6" t="s">
        <v>49</v>
      </c>
      <c r="F651" s="6" t="s">
        <v>50</v>
      </c>
      <c r="G651" s="6" t="s">
        <v>51</v>
      </c>
      <c r="H651" s="6" t="s">
        <v>52</v>
      </c>
      <c r="I651" s="6" t="s">
        <v>27</v>
      </c>
      <c r="J651" s="6" t="s">
        <v>189</v>
      </c>
      <c r="K651" s="6" t="s">
        <v>253</v>
      </c>
      <c r="L651" s="6" t="s">
        <v>2676</v>
      </c>
      <c r="M651" s="6" t="s">
        <v>153</v>
      </c>
      <c r="N651" s="6" t="s">
        <v>75</v>
      </c>
      <c r="O651" s="6">
        <v>8</v>
      </c>
      <c r="P651" s="6">
        <v>24.9</v>
      </c>
      <c r="Q651" s="6">
        <v>13.09</v>
      </c>
      <c r="R651" s="6">
        <v>199.22</v>
      </c>
      <c r="S651" s="6">
        <v>0.05</v>
      </c>
      <c r="T651" s="6">
        <v>9.9600000000000009</v>
      </c>
      <c r="U651" s="6">
        <v>189.26</v>
      </c>
      <c r="V651" s="6">
        <v>104.72</v>
      </c>
      <c r="W651" s="6">
        <v>84.54</v>
      </c>
      <c r="X651" s="6" t="s">
        <v>129</v>
      </c>
    </row>
    <row r="652" spans="1:24" x14ac:dyDescent="0.25">
      <c r="A652" s="5" t="s">
        <v>1119</v>
      </c>
      <c r="B652" s="18">
        <v>45608</v>
      </c>
      <c r="C652" s="7" t="s">
        <v>596</v>
      </c>
      <c r="D652" s="7" t="s">
        <v>597</v>
      </c>
      <c r="E652" s="7" t="s">
        <v>209</v>
      </c>
      <c r="F652" s="7" t="s">
        <v>210</v>
      </c>
      <c r="G652" s="7" t="s">
        <v>51</v>
      </c>
      <c r="H652" s="7" t="s">
        <v>116</v>
      </c>
      <c r="I652" s="7" t="s">
        <v>27</v>
      </c>
      <c r="J652" s="7" t="s">
        <v>106</v>
      </c>
      <c r="K652" s="7" t="s">
        <v>248</v>
      </c>
      <c r="L652" s="7" t="s">
        <v>2675</v>
      </c>
      <c r="M652" s="7" t="s">
        <v>153</v>
      </c>
      <c r="N652" s="7" t="s">
        <v>70</v>
      </c>
      <c r="O652" s="7">
        <v>10</v>
      </c>
      <c r="P652" s="7">
        <v>18.11</v>
      </c>
      <c r="Q652" s="7">
        <v>9.65</v>
      </c>
      <c r="R652" s="7">
        <v>181.13</v>
      </c>
      <c r="S652" s="7">
        <v>0.02</v>
      </c>
      <c r="T652" s="7">
        <v>3.62</v>
      </c>
      <c r="U652" s="7">
        <v>177.5</v>
      </c>
      <c r="V652" s="7">
        <v>96.52</v>
      </c>
      <c r="W652" s="7">
        <v>80.98</v>
      </c>
      <c r="X652" s="7" t="s">
        <v>32</v>
      </c>
    </row>
    <row r="653" spans="1:24" x14ac:dyDescent="0.25">
      <c r="A653" s="16" t="s">
        <v>1120</v>
      </c>
      <c r="B653" s="17">
        <v>45423</v>
      </c>
      <c r="C653" s="6" t="s">
        <v>335</v>
      </c>
      <c r="D653" s="6" t="s">
        <v>156</v>
      </c>
      <c r="E653" s="6" t="s">
        <v>132</v>
      </c>
      <c r="F653" s="6" t="s">
        <v>133</v>
      </c>
      <c r="G653" s="6" t="s">
        <v>51</v>
      </c>
      <c r="H653" s="6" t="s">
        <v>134</v>
      </c>
      <c r="I653" s="6" t="s">
        <v>58</v>
      </c>
      <c r="J653" s="6" t="s">
        <v>59</v>
      </c>
      <c r="K653" s="6" t="s">
        <v>152</v>
      </c>
      <c r="L653" s="6" t="s">
        <v>2670</v>
      </c>
      <c r="M653" s="6" t="s">
        <v>61</v>
      </c>
      <c r="N653" s="6" t="s">
        <v>44</v>
      </c>
      <c r="O653" s="6">
        <v>2</v>
      </c>
      <c r="P653" s="6">
        <v>61.48</v>
      </c>
      <c r="Q653" s="6">
        <v>32.770000000000003</v>
      </c>
      <c r="R653" s="6">
        <v>122.97</v>
      </c>
      <c r="S653" s="6">
        <v>0.2</v>
      </c>
      <c r="T653" s="6">
        <v>24.59</v>
      </c>
      <c r="U653" s="6">
        <v>98.37</v>
      </c>
      <c r="V653" s="6">
        <v>65.53</v>
      </c>
      <c r="W653" s="6">
        <v>32.840000000000003</v>
      </c>
      <c r="X653" s="6" t="s">
        <v>129</v>
      </c>
    </row>
    <row r="654" spans="1:24" x14ac:dyDescent="0.25">
      <c r="A654" s="5" t="s">
        <v>1121</v>
      </c>
      <c r="B654" s="18">
        <v>45492</v>
      </c>
      <c r="C654" s="7" t="s">
        <v>1122</v>
      </c>
      <c r="D654" s="7" t="s">
        <v>159</v>
      </c>
      <c r="E654" s="7" t="s">
        <v>165</v>
      </c>
      <c r="F654" s="7" t="s">
        <v>166</v>
      </c>
      <c r="G654" s="7" t="s">
        <v>95</v>
      </c>
      <c r="H654" s="7" t="s">
        <v>167</v>
      </c>
      <c r="I654" s="7" t="s">
        <v>53</v>
      </c>
      <c r="J654" s="7" t="s">
        <v>143</v>
      </c>
      <c r="K654" s="7" t="s">
        <v>144</v>
      </c>
      <c r="L654" s="7" t="s">
        <v>2669</v>
      </c>
      <c r="M654" s="7" t="s">
        <v>43</v>
      </c>
      <c r="N654" s="7" t="s">
        <v>44</v>
      </c>
      <c r="O654" s="7">
        <v>21</v>
      </c>
      <c r="P654" s="7">
        <v>41.32</v>
      </c>
      <c r="Q654" s="7">
        <v>24.31</v>
      </c>
      <c r="R654" s="7">
        <v>867.82</v>
      </c>
      <c r="S654" s="7">
        <v>0.15</v>
      </c>
      <c r="T654" s="7">
        <v>130.16999999999999</v>
      </c>
      <c r="U654" s="7">
        <v>737.65</v>
      </c>
      <c r="V654" s="7">
        <v>510.45</v>
      </c>
      <c r="W654" s="7">
        <v>227.2</v>
      </c>
      <c r="X654" s="7" t="s">
        <v>32</v>
      </c>
    </row>
    <row r="655" spans="1:24" x14ac:dyDescent="0.25">
      <c r="A655" s="16" t="s">
        <v>1123</v>
      </c>
      <c r="B655" s="17">
        <v>45448</v>
      </c>
      <c r="C655" s="6" t="s">
        <v>322</v>
      </c>
      <c r="D655" s="6"/>
      <c r="E655" s="6" t="s">
        <v>165</v>
      </c>
      <c r="F655" s="6" t="s">
        <v>166</v>
      </c>
      <c r="G655" s="6" t="s">
        <v>95</v>
      </c>
      <c r="H655" s="6" t="s">
        <v>167</v>
      </c>
      <c r="I655" s="6" t="s">
        <v>88</v>
      </c>
      <c r="J655" s="6" t="s">
        <v>183</v>
      </c>
      <c r="K655" s="6" t="s">
        <v>248</v>
      </c>
      <c r="L655" s="6" t="s">
        <v>2675</v>
      </c>
      <c r="M655" s="6" t="s">
        <v>61</v>
      </c>
      <c r="N655" s="6" t="s">
        <v>31</v>
      </c>
      <c r="O655" s="6">
        <v>11</v>
      </c>
      <c r="P655" s="6">
        <v>38.72</v>
      </c>
      <c r="Q655" s="6">
        <v>24.88</v>
      </c>
      <c r="R655" s="6">
        <v>425.96</v>
      </c>
      <c r="S655" s="6">
        <v>0.05</v>
      </c>
      <c r="T655" s="6">
        <v>21.3</v>
      </c>
      <c r="U655" s="6">
        <v>404.66</v>
      </c>
      <c r="V655" s="6">
        <v>273.63</v>
      </c>
      <c r="W655" s="6">
        <v>131.03</v>
      </c>
      <c r="X655" s="6" t="s">
        <v>45</v>
      </c>
    </row>
    <row r="656" spans="1:24" x14ac:dyDescent="0.25">
      <c r="A656" s="5" t="s">
        <v>1124</v>
      </c>
      <c r="B656" s="18">
        <v>45523</v>
      </c>
      <c r="C656" s="7" t="s">
        <v>1075</v>
      </c>
      <c r="D656" s="7" t="s">
        <v>65</v>
      </c>
      <c r="E656" s="7" t="s">
        <v>109</v>
      </c>
      <c r="F656" s="7" t="s">
        <v>110</v>
      </c>
      <c r="G656" s="7" t="s">
        <v>80</v>
      </c>
      <c r="H656" s="7" t="s">
        <v>81</v>
      </c>
      <c r="I656" s="7" t="s">
        <v>27</v>
      </c>
      <c r="J656" s="7" t="s">
        <v>106</v>
      </c>
      <c r="K656" s="7" t="s">
        <v>74</v>
      </c>
      <c r="L656" s="7" t="s">
        <v>2664</v>
      </c>
      <c r="M656" s="7" t="s">
        <v>30</v>
      </c>
      <c r="N656" s="7" t="s">
        <v>75</v>
      </c>
      <c r="O656" s="7">
        <v>4</v>
      </c>
      <c r="P656" s="7">
        <v>131.78</v>
      </c>
      <c r="Q656" s="7">
        <v>68.22</v>
      </c>
      <c r="R656" s="7">
        <v>527.12</v>
      </c>
      <c r="S656" s="7">
        <v>0.1</v>
      </c>
      <c r="T656" s="7">
        <v>52.71</v>
      </c>
      <c r="U656" s="7">
        <v>474.41</v>
      </c>
      <c r="V656" s="7">
        <v>272.86</v>
      </c>
      <c r="W656" s="7">
        <v>201.55</v>
      </c>
      <c r="X656" s="7" t="s">
        <v>45</v>
      </c>
    </row>
    <row r="657" spans="1:24" x14ac:dyDescent="0.25">
      <c r="A657" s="16" t="s">
        <v>1125</v>
      </c>
      <c r="B657" s="17">
        <v>45319</v>
      </c>
      <c r="C657" s="6" t="s">
        <v>422</v>
      </c>
      <c r="D657" s="6" t="s">
        <v>48</v>
      </c>
      <c r="E657" s="6" t="s">
        <v>216</v>
      </c>
      <c r="F657" s="6" t="s">
        <v>217</v>
      </c>
      <c r="G657" s="6" t="s">
        <v>38</v>
      </c>
      <c r="H657" s="6" t="s">
        <v>134</v>
      </c>
      <c r="I657" s="6" t="s">
        <v>58</v>
      </c>
      <c r="J657" s="6" t="s">
        <v>323</v>
      </c>
      <c r="K657" s="6" t="s">
        <v>218</v>
      </c>
      <c r="L657" s="6" t="s">
        <v>2674</v>
      </c>
      <c r="M657" s="6" t="s">
        <v>61</v>
      </c>
      <c r="N657" s="6" t="s">
        <v>75</v>
      </c>
      <c r="O657" s="6">
        <v>12</v>
      </c>
      <c r="P657" s="6">
        <v>109.37</v>
      </c>
      <c r="Q657" s="6">
        <v>71.39</v>
      </c>
      <c r="R657" s="6">
        <v>1312.38</v>
      </c>
      <c r="S657" s="6">
        <v>0.1</v>
      </c>
      <c r="T657" s="6">
        <v>131.24</v>
      </c>
      <c r="U657" s="6">
        <v>1181.1400000000001</v>
      </c>
      <c r="V657" s="6">
        <v>856.64</v>
      </c>
      <c r="W657" s="6">
        <v>324.5</v>
      </c>
      <c r="X657" s="6" t="s">
        <v>45</v>
      </c>
    </row>
    <row r="658" spans="1:24" x14ac:dyDescent="0.25">
      <c r="A658" s="5" t="s">
        <v>1126</v>
      </c>
      <c r="B658" s="18">
        <v>45447</v>
      </c>
      <c r="C658" s="7" t="s">
        <v>569</v>
      </c>
      <c r="D658" s="7" t="s">
        <v>121</v>
      </c>
      <c r="E658" s="7" t="s">
        <v>49</v>
      </c>
      <c r="F658" s="7" t="s">
        <v>50</v>
      </c>
      <c r="G658" s="7" t="s">
        <v>51</v>
      </c>
      <c r="H658" s="7" t="s">
        <v>52</v>
      </c>
      <c r="I658" s="7" t="s">
        <v>58</v>
      </c>
      <c r="J658" s="7" t="s">
        <v>323</v>
      </c>
      <c r="K658" s="7" t="s">
        <v>60</v>
      </c>
      <c r="L658" s="7" t="s">
        <v>2662</v>
      </c>
      <c r="M658" s="7" t="s">
        <v>153</v>
      </c>
      <c r="N658" s="7" t="s">
        <v>84</v>
      </c>
      <c r="O658" s="7">
        <v>2</v>
      </c>
      <c r="P658" s="7">
        <v>25.75</v>
      </c>
      <c r="Q658" s="7">
        <v>12.86</v>
      </c>
      <c r="R658" s="7">
        <v>51.51</v>
      </c>
      <c r="S658" s="7">
        <v>0</v>
      </c>
      <c r="T658" s="7">
        <v>0</v>
      </c>
      <c r="U658" s="7">
        <v>51.51</v>
      </c>
      <c r="V658" s="7">
        <v>25.73</v>
      </c>
      <c r="W658" s="7">
        <v>25.78</v>
      </c>
      <c r="X658" s="7" t="s">
        <v>45</v>
      </c>
    </row>
    <row r="659" spans="1:24" x14ac:dyDescent="0.25">
      <c r="A659" s="16" t="s">
        <v>1127</v>
      </c>
      <c r="B659" s="17">
        <v>45571</v>
      </c>
      <c r="C659" s="6" t="s">
        <v>945</v>
      </c>
      <c r="D659" s="6" t="s">
        <v>159</v>
      </c>
      <c r="E659" s="6" t="s">
        <v>126</v>
      </c>
      <c r="F659" s="6" t="s">
        <v>127</v>
      </c>
      <c r="G659" s="6" t="s">
        <v>95</v>
      </c>
      <c r="H659" s="6" t="s">
        <v>128</v>
      </c>
      <c r="I659" s="6" t="s">
        <v>40</v>
      </c>
      <c r="J659" s="6" t="s">
        <v>289</v>
      </c>
      <c r="K659" s="6" t="s">
        <v>74</v>
      </c>
      <c r="L659" s="6" t="s">
        <v>2664</v>
      </c>
      <c r="M659" s="6" t="s">
        <v>153</v>
      </c>
      <c r="N659" s="6" t="s">
        <v>84</v>
      </c>
      <c r="O659" s="6">
        <v>57</v>
      </c>
      <c r="P659" s="6">
        <v>93.89</v>
      </c>
      <c r="Q659" s="6">
        <v>55.6</v>
      </c>
      <c r="R659" s="6">
        <v>5351.75</v>
      </c>
      <c r="S659" s="6">
        <v>0</v>
      </c>
      <c r="T659" s="6">
        <v>0</v>
      </c>
      <c r="U659" s="6">
        <v>5351.75</v>
      </c>
      <c r="V659" s="6">
        <v>3169.47</v>
      </c>
      <c r="W659" s="6">
        <v>2182.2800000000002</v>
      </c>
      <c r="X659" s="6" t="s">
        <v>45</v>
      </c>
    </row>
    <row r="660" spans="1:24" x14ac:dyDescent="0.25">
      <c r="A660" s="5" t="s">
        <v>1128</v>
      </c>
      <c r="B660" s="18">
        <v>45387</v>
      </c>
      <c r="C660" s="7" t="s">
        <v>1129</v>
      </c>
      <c r="D660" s="7" t="s">
        <v>65</v>
      </c>
      <c r="E660" s="7" t="s">
        <v>176</v>
      </c>
      <c r="F660" s="7" t="s">
        <v>177</v>
      </c>
      <c r="G660" s="7" t="s">
        <v>101</v>
      </c>
      <c r="H660" s="7" t="s">
        <v>39</v>
      </c>
      <c r="I660" s="7" t="s">
        <v>58</v>
      </c>
      <c r="J660" s="7" t="s">
        <v>323</v>
      </c>
      <c r="K660" s="7" t="s">
        <v>118</v>
      </c>
      <c r="L660" s="7" t="s">
        <v>2668</v>
      </c>
      <c r="M660" s="7" t="s">
        <v>153</v>
      </c>
      <c r="N660" s="7" t="s">
        <v>70</v>
      </c>
      <c r="O660" s="7">
        <v>41</v>
      </c>
      <c r="P660" s="7">
        <v>111.33</v>
      </c>
      <c r="Q660" s="7">
        <v>62.03</v>
      </c>
      <c r="R660" s="7">
        <v>4564.4399999999996</v>
      </c>
      <c r="S660" s="7">
        <v>0.1</v>
      </c>
      <c r="T660" s="7">
        <v>456.44</v>
      </c>
      <c r="U660" s="7">
        <v>4108</v>
      </c>
      <c r="V660" s="7">
        <v>2543.11</v>
      </c>
      <c r="W660" s="7">
        <v>1564.88</v>
      </c>
      <c r="X660" s="7" t="s">
        <v>45</v>
      </c>
    </row>
    <row r="661" spans="1:24" x14ac:dyDescent="0.25">
      <c r="A661" s="16" t="s">
        <v>1130</v>
      </c>
      <c r="B661" s="17">
        <v>45476</v>
      </c>
      <c r="C661" s="6" t="s">
        <v>1131</v>
      </c>
      <c r="D661" s="6" t="s">
        <v>259</v>
      </c>
      <c r="E661" s="6" t="s">
        <v>66</v>
      </c>
      <c r="F661" s="6" t="s">
        <v>67</v>
      </c>
      <c r="G661" s="6" t="s">
        <v>38</v>
      </c>
      <c r="H661" s="6" t="s">
        <v>68</v>
      </c>
      <c r="I661" s="6" t="s">
        <v>27</v>
      </c>
      <c r="J661" s="6" t="s">
        <v>211</v>
      </c>
      <c r="K661" s="6"/>
      <c r="L661" s="6"/>
      <c r="M661" s="6" t="s">
        <v>61</v>
      </c>
      <c r="N661" s="6" t="s">
        <v>70</v>
      </c>
      <c r="O661" s="6">
        <v>74</v>
      </c>
      <c r="P661" s="6">
        <v>162.65</v>
      </c>
      <c r="Q661" s="6">
        <v>106.65</v>
      </c>
      <c r="R661" s="6">
        <v>12036.12</v>
      </c>
      <c r="S661" s="6">
        <v>0.15</v>
      </c>
      <c r="T661" s="6">
        <v>1805.42</v>
      </c>
      <c r="U661" s="6">
        <v>10230.709999999999</v>
      </c>
      <c r="V661" s="6">
        <v>7892.41</v>
      </c>
      <c r="W661" s="6">
        <v>2338.3000000000002</v>
      </c>
      <c r="X661" s="6" t="s">
        <v>45</v>
      </c>
    </row>
    <row r="662" spans="1:24" x14ac:dyDescent="0.25">
      <c r="A662" s="5" t="s">
        <v>1132</v>
      </c>
      <c r="B662" s="18">
        <v>45360</v>
      </c>
      <c r="C662" s="7" t="s">
        <v>681</v>
      </c>
      <c r="D662" s="7" t="s">
        <v>105</v>
      </c>
      <c r="E662" s="7" t="s">
        <v>176</v>
      </c>
      <c r="F662" s="7" t="s">
        <v>177</v>
      </c>
      <c r="G662" s="7" t="s">
        <v>101</v>
      </c>
      <c r="H662" s="7" t="s">
        <v>39</v>
      </c>
      <c r="I662" s="7" t="s">
        <v>27</v>
      </c>
      <c r="J662" s="7" t="s">
        <v>28</v>
      </c>
      <c r="K662" s="7" t="s">
        <v>83</v>
      </c>
      <c r="L662" s="7" t="s">
        <v>2665</v>
      </c>
      <c r="M662" s="7" t="s">
        <v>153</v>
      </c>
      <c r="N662" s="7" t="s">
        <v>31</v>
      </c>
      <c r="O662" s="7">
        <v>39</v>
      </c>
      <c r="P662" s="7">
        <v>110.55</v>
      </c>
      <c r="Q662" s="7">
        <v>67.69</v>
      </c>
      <c r="R662" s="7">
        <v>4311.62</v>
      </c>
      <c r="S662" s="7">
        <v>0.2</v>
      </c>
      <c r="T662" s="7">
        <v>862.32</v>
      </c>
      <c r="U662" s="7">
        <v>3449.3</v>
      </c>
      <c r="V662" s="7">
        <v>2639.81</v>
      </c>
      <c r="W662" s="7">
        <v>809.49</v>
      </c>
      <c r="X662" s="7" t="s">
        <v>32</v>
      </c>
    </row>
    <row r="663" spans="1:24" x14ac:dyDescent="0.25">
      <c r="A663" s="16" t="s">
        <v>1133</v>
      </c>
      <c r="B663" s="17">
        <v>45424</v>
      </c>
      <c r="C663" s="6" t="s">
        <v>1134</v>
      </c>
      <c r="D663" s="6" t="s">
        <v>159</v>
      </c>
      <c r="E663" s="6" t="s">
        <v>93</v>
      </c>
      <c r="F663" s="6" t="s">
        <v>94</v>
      </c>
      <c r="G663" s="6" t="s">
        <v>95</v>
      </c>
      <c r="H663" s="6" t="s">
        <v>96</v>
      </c>
      <c r="I663" s="6" t="s">
        <v>40</v>
      </c>
      <c r="J663" s="6" t="s">
        <v>117</v>
      </c>
      <c r="K663" s="6" t="s">
        <v>74</v>
      </c>
      <c r="L663" s="6" t="s">
        <v>2664</v>
      </c>
      <c r="M663" s="6" t="s">
        <v>30</v>
      </c>
      <c r="N663" s="6" t="s">
        <v>31</v>
      </c>
      <c r="O663" s="6">
        <v>47</v>
      </c>
      <c r="P663" s="6">
        <v>52.99</v>
      </c>
      <c r="Q663" s="6">
        <v>31.98</v>
      </c>
      <c r="R663" s="6">
        <v>2490.4499999999998</v>
      </c>
      <c r="S663" s="6">
        <v>0.2</v>
      </c>
      <c r="T663" s="6">
        <v>498.09</v>
      </c>
      <c r="U663" s="6">
        <v>1992.36</v>
      </c>
      <c r="V663" s="6">
        <v>1503.2</v>
      </c>
      <c r="W663" s="6">
        <v>489.16</v>
      </c>
      <c r="X663" s="6" t="s">
        <v>32</v>
      </c>
    </row>
    <row r="664" spans="1:24" x14ac:dyDescent="0.25">
      <c r="A664" s="5" t="s">
        <v>1135</v>
      </c>
      <c r="B664" s="18">
        <v>45481</v>
      </c>
      <c r="C664" s="7" t="s">
        <v>967</v>
      </c>
      <c r="D664" s="7" t="s">
        <v>35</v>
      </c>
      <c r="E664" s="7" t="s">
        <v>176</v>
      </c>
      <c r="F664" s="7" t="s">
        <v>177</v>
      </c>
      <c r="G664" s="7" t="s">
        <v>101</v>
      </c>
      <c r="H664" s="7" t="s">
        <v>39</v>
      </c>
      <c r="I664" s="7" t="s">
        <v>58</v>
      </c>
      <c r="J664" s="7" t="s">
        <v>323</v>
      </c>
      <c r="K664" s="7" t="s">
        <v>42</v>
      </c>
      <c r="L664" s="7" t="s">
        <v>2661</v>
      </c>
      <c r="M664" s="7" t="s">
        <v>61</v>
      </c>
      <c r="N664" s="7" t="s">
        <v>75</v>
      </c>
      <c r="O664" s="7">
        <v>41</v>
      </c>
      <c r="P664" s="7">
        <v>97.33</v>
      </c>
      <c r="Q664" s="7">
        <v>66.94</v>
      </c>
      <c r="R664" s="7">
        <v>3990.33</v>
      </c>
      <c r="S664" s="7">
        <v>0.1</v>
      </c>
      <c r="T664" s="7">
        <v>399.03</v>
      </c>
      <c r="U664" s="7">
        <v>3591.3</v>
      </c>
      <c r="V664" s="7">
        <v>2744.65</v>
      </c>
      <c r="W664" s="7">
        <v>846.64</v>
      </c>
      <c r="X664" s="7" t="s">
        <v>45</v>
      </c>
    </row>
    <row r="665" spans="1:24" x14ac:dyDescent="0.25">
      <c r="A665" s="16" t="s">
        <v>1136</v>
      </c>
      <c r="B665" s="17">
        <v>45313</v>
      </c>
      <c r="C665" s="6" t="s">
        <v>1137</v>
      </c>
      <c r="D665" s="6" t="s">
        <v>163</v>
      </c>
      <c r="E665" s="6" t="s">
        <v>250</v>
      </c>
      <c r="F665" s="6" t="s">
        <v>251</v>
      </c>
      <c r="G665" s="6" t="s">
        <v>51</v>
      </c>
      <c r="H665" s="6" t="s">
        <v>252</v>
      </c>
      <c r="I665" s="6" t="s">
        <v>53</v>
      </c>
      <c r="J665" s="6" t="s">
        <v>122</v>
      </c>
      <c r="K665" s="6" t="s">
        <v>83</v>
      </c>
      <c r="L665" s="6" t="s">
        <v>2665</v>
      </c>
      <c r="M665" s="6" t="s">
        <v>30</v>
      </c>
      <c r="N665" s="6" t="s">
        <v>44</v>
      </c>
      <c r="O665" s="6">
        <v>78</v>
      </c>
      <c r="P665" s="6">
        <v>68.989999999999995</v>
      </c>
      <c r="Q665" s="6">
        <v>40.6</v>
      </c>
      <c r="R665" s="6">
        <v>5381.33</v>
      </c>
      <c r="S665" s="6">
        <v>0.2</v>
      </c>
      <c r="T665" s="6">
        <v>1076.27</v>
      </c>
      <c r="U665" s="6">
        <v>4305.0600000000004</v>
      </c>
      <c r="V665" s="6">
        <v>3166.86</v>
      </c>
      <c r="W665" s="6">
        <v>1138.2</v>
      </c>
      <c r="X665" s="6" t="s">
        <v>129</v>
      </c>
    </row>
    <row r="666" spans="1:24" x14ac:dyDescent="0.25">
      <c r="A666" s="5" t="s">
        <v>1138</v>
      </c>
      <c r="B666" s="18">
        <v>45491</v>
      </c>
      <c r="C666" s="7" t="s">
        <v>859</v>
      </c>
      <c r="D666" s="7" t="s">
        <v>221</v>
      </c>
      <c r="E666" s="7" t="s">
        <v>93</v>
      </c>
      <c r="F666" s="7" t="s">
        <v>94</v>
      </c>
      <c r="G666" s="7" t="s">
        <v>95</v>
      </c>
      <c r="H666" s="7" t="s">
        <v>96</v>
      </c>
      <c r="I666" s="7" t="s">
        <v>53</v>
      </c>
      <c r="J666" s="7" t="s">
        <v>143</v>
      </c>
      <c r="K666" s="7" t="s">
        <v>184</v>
      </c>
      <c r="L666" s="7" t="s">
        <v>2672</v>
      </c>
      <c r="M666" s="7" t="s">
        <v>43</v>
      </c>
      <c r="N666" s="7" t="s">
        <v>70</v>
      </c>
      <c r="O666" s="7">
        <v>70</v>
      </c>
      <c r="P666" s="7">
        <v>57.85</v>
      </c>
      <c r="Q666" s="7">
        <v>31.41</v>
      </c>
      <c r="R666" s="7">
        <v>4049.35</v>
      </c>
      <c r="S666" s="7">
        <v>0.05</v>
      </c>
      <c r="T666" s="7">
        <v>202.47</v>
      </c>
      <c r="U666" s="7">
        <v>3846.88</v>
      </c>
      <c r="V666" s="7">
        <v>2198.64</v>
      </c>
      <c r="W666" s="7">
        <v>1648.24</v>
      </c>
      <c r="X666" s="7" t="s">
        <v>45</v>
      </c>
    </row>
    <row r="667" spans="1:24" x14ac:dyDescent="0.25">
      <c r="A667" s="16" t="s">
        <v>1139</v>
      </c>
      <c r="B667" s="17">
        <v>45366</v>
      </c>
      <c r="C667" s="6" t="s">
        <v>1131</v>
      </c>
      <c r="D667" s="6" t="s">
        <v>259</v>
      </c>
      <c r="E667" s="6" t="s">
        <v>126</v>
      </c>
      <c r="F667" s="6" t="s">
        <v>127</v>
      </c>
      <c r="G667" s="6" t="s">
        <v>95</v>
      </c>
      <c r="H667" s="6" t="s">
        <v>128</v>
      </c>
      <c r="I667" s="6" t="s">
        <v>53</v>
      </c>
      <c r="J667" s="6" t="s">
        <v>54</v>
      </c>
      <c r="K667" s="6" t="s">
        <v>170</v>
      </c>
      <c r="L667" s="6" t="s">
        <v>2671</v>
      </c>
      <c r="M667" s="6" t="s">
        <v>153</v>
      </c>
      <c r="N667" s="6" t="s">
        <v>44</v>
      </c>
      <c r="O667" s="6">
        <v>27</v>
      </c>
      <c r="P667" s="6">
        <v>90.08</v>
      </c>
      <c r="Q667" s="6">
        <v>55.89</v>
      </c>
      <c r="R667" s="6">
        <v>2432.2800000000002</v>
      </c>
      <c r="S667" s="6">
        <v>0.02</v>
      </c>
      <c r="T667" s="6">
        <v>48.65</v>
      </c>
      <c r="U667" s="6">
        <v>2383.63</v>
      </c>
      <c r="V667" s="6">
        <v>1509.01</v>
      </c>
      <c r="W667" s="6">
        <v>874.62</v>
      </c>
      <c r="X667" s="6" t="s">
        <v>45</v>
      </c>
    </row>
    <row r="668" spans="1:24" x14ac:dyDescent="0.25">
      <c r="A668" s="5" t="s">
        <v>1140</v>
      </c>
      <c r="B668" s="18">
        <v>45565</v>
      </c>
      <c r="C668" s="7" t="s">
        <v>312</v>
      </c>
      <c r="D668" s="7" t="s">
        <v>57</v>
      </c>
      <c r="E668" s="7" t="s">
        <v>114</v>
      </c>
      <c r="F668" s="7" t="s">
        <v>115</v>
      </c>
      <c r="G668" s="7" t="s">
        <v>95</v>
      </c>
      <c r="H668" s="7" t="s">
        <v>116</v>
      </c>
      <c r="I668" s="7" t="s">
        <v>27</v>
      </c>
      <c r="J668" s="7" t="s">
        <v>28</v>
      </c>
      <c r="K668" s="7" t="s">
        <v>144</v>
      </c>
      <c r="L668" s="7" t="s">
        <v>2669</v>
      </c>
      <c r="M668" s="7" t="s">
        <v>43</v>
      </c>
      <c r="N668" s="7" t="s">
        <v>31</v>
      </c>
      <c r="O668" s="7">
        <v>5</v>
      </c>
      <c r="P668" s="7">
        <v>33.840000000000003</v>
      </c>
      <c r="Q668" s="7">
        <v>20.420000000000002</v>
      </c>
      <c r="R668" s="7">
        <v>169.21</v>
      </c>
      <c r="S668" s="7">
        <v>0.02</v>
      </c>
      <c r="T668" s="7">
        <v>3.38</v>
      </c>
      <c r="U668" s="7">
        <v>165.83</v>
      </c>
      <c r="V668" s="7">
        <v>102.12</v>
      </c>
      <c r="W668" s="7">
        <v>63.7</v>
      </c>
      <c r="X668" s="7" t="s">
        <v>45</v>
      </c>
    </row>
    <row r="669" spans="1:24" x14ac:dyDescent="0.25">
      <c r="A669" s="16" t="s">
        <v>1141</v>
      </c>
      <c r="B669" s="17">
        <v>45311</v>
      </c>
      <c r="C669" s="6" t="s">
        <v>1142</v>
      </c>
      <c r="D669" s="6" t="s">
        <v>149</v>
      </c>
      <c r="E669" s="6" t="s">
        <v>150</v>
      </c>
      <c r="F669" s="6" t="s">
        <v>151</v>
      </c>
      <c r="G669" s="6" t="s">
        <v>101</v>
      </c>
      <c r="H669" s="6" t="s">
        <v>134</v>
      </c>
      <c r="I669" s="6" t="s">
        <v>58</v>
      </c>
      <c r="J669" s="6" t="s">
        <v>59</v>
      </c>
      <c r="K669" s="6" t="s">
        <v>170</v>
      </c>
      <c r="L669" s="6" t="s">
        <v>2671</v>
      </c>
      <c r="M669" s="6" t="s">
        <v>30</v>
      </c>
      <c r="N669" s="6" t="s">
        <v>70</v>
      </c>
      <c r="O669" s="6">
        <v>19</v>
      </c>
      <c r="P669" s="6">
        <v>90.69</v>
      </c>
      <c r="Q669" s="6">
        <v>54.68</v>
      </c>
      <c r="R669" s="6">
        <v>1723.12</v>
      </c>
      <c r="S669" s="6">
        <v>0</v>
      </c>
      <c r="T669" s="6">
        <v>0</v>
      </c>
      <c r="U669" s="6">
        <v>1723.12</v>
      </c>
      <c r="V669" s="6">
        <v>1038.9100000000001</v>
      </c>
      <c r="W669" s="6">
        <v>684.21</v>
      </c>
      <c r="X669" s="6" t="s">
        <v>32</v>
      </c>
    </row>
    <row r="670" spans="1:24" x14ac:dyDescent="0.25">
      <c r="A670" s="5" t="s">
        <v>1143</v>
      </c>
      <c r="B670" s="18">
        <v>45360</v>
      </c>
      <c r="C670" s="7" t="s">
        <v>480</v>
      </c>
      <c r="D670" s="7" t="s">
        <v>22</v>
      </c>
      <c r="E670" s="7" t="s">
        <v>109</v>
      </c>
      <c r="F670" s="7" t="s">
        <v>110</v>
      </c>
      <c r="G670" s="7" t="s">
        <v>80</v>
      </c>
      <c r="H670" s="7" t="s">
        <v>81</v>
      </c>
      <c r="I670" s="7" t="s">
        <v>58</v>
      </c>
      <c r="J670" s="7" t="s">
        <v>73</v>
      </c>
      <c r="K670" s="7" t="s">
        <v>83</v>
      </c>
      <c r="L670" s="7" t="s">
        <v>2665</v>
      </c>
      <c r="M670" s="7" t="s">
        <v>61</v>
      </c>
      <c r="N670" s="7" t="s">
        <v>70</v>
      </c>
      <c r="O670" s="7">
        <v>42</v>
      </c>
      <c r="P670" s="7">
        <v>117.05</v>
      </c>
      <c r="Q670" s="7">
        <v>72.73</v>
      </c>
      <c r="R670" s="7">
        <v>4916.16</v>
      </c>
      <c r="S670" s="7">
        <v>0.2</v>
      </c>
      <c r="T670" s="7">
        <v>983.23</v>
      </c>
      <c r="U670" s="7">
        <v>3932.93</v>
      </c>
      <c r="V670" s="7">
        <v>3054.66</v>
      </c>
      <c r="W670" s="7">
        <v>878.27</v>
      </c>
      <c r="X670" s="7" t="s">
        <v>45</v>
      </c>
    </row>
    <row r="671" spans="1:24" x14ac:dyDescent="0.25">
      <c r="A671" s="16" t="s">
        <v>1144</v>
      </c>
      <c r="B671" s="17">
        <v>45333</v>
      </c>
      <c r="C671" s="6" t="s">
        <v>1098</v>
      </c>
      <c r="D671" s="6" t="s">
        <v>121</v>
      </c>
      <c r="E671" s="6" t="s">
        <v>187</v>
      </c>
      <c r="F671" s="6" t="s">
        <v>188</v>
      </c>
      <c r="G671" s="6" t="s">
        <v>25</v>
      </c>
      <c r="H671" s="6" t="s">
        <v>26</v>
      </c>
      <c r="I671" s="6" t="s">
        <v>53</v>
      </c>
      <c r="J671" s="6" t="s">
        <v>54</v>
      </c>
      <c r="K671" s="6" t="s">
        <v>118</v>
      </c>
      <c r="L671" s="6" t="s">
        <v>2668</v>
      </c>
      <c r="M671" s="6" t="s">
        <v>153</v>
      </c>
      <c r="N671" s="6" t="s">
        <v>75</v>
      </c>
      <c r="O671" s="6">
        <v>61</v>
      </c>
      <c r="P671" s="6">
        <v>50.33</v>
      </c>
      <c r="Q671" s="6">
        <v>27.55</v>
      </c>
      <c r="R671" s="6">
        <v>3070.26</v>
      </c>
      <c r="S671" s="6">
        <v>0</v>
      </c>
      <c r="T671" s="6">
        <v>0</v>
      </c>
      <c r="U671" s="6">
        <v>3070.26</v>
      </c>
      <c r="V671" s="6">
        <v>1680.29</v>
      </c>
      <c r="W671" s="6">
        <v>1389.98</v>
      </c>
      <c r="X671" s="6" t="s">
        <v>129</v>
      </c>
    </row>
    <row r="672" spans="1:24" x14ac:dyDescent="0.25">
      <c r="A672" s="5" t="s">
        <v>1145</v>
      </c>
      <c r="B672" s="18">
        <v>45588</v>
      </c>
      <c r="C672" s="7" t="s">
        <v>382</v>
      </c>
      <c r="D672" s="7" t="s">
        <v>22</v>
      </c>
      <c r="E672" s="7" t="s">
        <v>36</v>
      </c>
      <c r="F672" s="7" t="s">
        <v>37</v>
      </c>
      <c r="G672" s="7" t="s">
        <v>38</v>
      </c>
      <c r="H672" s="7" t="s">
        <v>39</v>
      </c>
      <c r="I672" s="7" t="s">
        <v>53</v>
      </c>
      <c r="J672" s="7" t="s">
        <v>232</v>
      </c>
      <c r="K672" s="7" t="s">
        <v>60</v>
      </c>
      <c r="L672" s="7" t="s">
        <v>2662</v>
      </c>
      <c r="M672" s="7" t="s">
        <v>30</v>
      </c>
      <c r="N672" s="7" t="s">
        <v>70</v>
      </c>
      <c r="O672" s="7">
        <v>30</v>
      </c>
      <c r="P672" s="7">
        <v>159.99</v>
      </c>
      <c r="Q672" s="7">
        <v>98.29</v>
      </c>
      <c r="R672" s="7">
        <v>4799.8100000000004</v>
      </c>
      <c r="S672" s="7">
        <v>0</v>
      </c>
      <c r="T672" s="7">
        <v>0</v>
      </c>
      <c r="U672" s="7">
        <v>4799.8100000000004</v>
      </c>
      <c r="V672" s="7">
        <v>2948.72</v>
      </c>
      <c r="W672" s="7">
        <v>1851.09</v>
      </c>
      <c r="X672" s="7" t="s">
        <v>45</v>
      </c>
    </row>
    <row r="673" spans="1:24" x14ac:dyDescent="0.25">
      <c r="A673" s="16" t="s">
        <v>1146</v>
      </c>
      <c r="B673" s="17">
        <v>45459</v>
      </c>
      <c r="C673" s="6" t="s">
        <v>239</v>
      </c>
      <c r="D673" s="6" t="s">
        <v>65</v>
      </c>
      <c r="E673" s="6" t="s">
        <v>209</v>
      </c>
      <c r="F673" s="6" t="s">
        <v>210</v>
      </c>
      <c r="G673" s="6" t="s">
        <v>51</v>
      </c>
      <c r="H673" s="6" t="s">
        <v>116</v>
      </c>
      <c r="I673" s="6" t="s">
        <v>27</v>
      </c>
      <c r="J673" s="6" t="s">
        <v>106</v>
      </c>
      <c r="K673" s="6" t="s">
        <v>60</v>
      </c>
      <c r="L673" s="6" t="s">
        <v>2662</v>
      </c>
      <c r="M673" s="6" t="s">
        <v>43</v>
      </c>
      <c r="N673" s="6" t="s">
        <v>84</v>
      </c>
      <c r="O673" s="6">
        <v>24</v>
      </c>
      <c r="P673" s="6">
        <v>18</v>
      </c>
      <c r="Q673" s="6">
        <v>9.86</v>
      </c>
      <c r="R673" s="6">
        <v>432.01</v>
      </c>
      <c r="S673" s="6">
        <v>0.2</v>
      </c>
      <c r="T673" s="6">
        <v>86.4</v>
      </c>
      <c r="U673" s="6">
        <v>345.61</v>
      </c>
      <c r="V673" s="6">
        <v>236.62</v>
      </c>
      <c r="W673" s="6">
        <v>108.99</v>
      </c>
      <c r="X673" s="6" t="s">
        <v>45</v>
      </c>
    </row>
    <row r="674" spans="1:24" x14ac:dyDescent="0.25">
      <c r="A674" s="5" t="s">
        <v>1147</v>
      </c>
      <c r="B674" s="18">
        <v>45443</v>
      </c>
      <c r="C674" s="7" t="s">
        <v>701</v>
      </c>
      <c r="D674" s="7" t="s">
        <v>48</v>
      </c>
      <c r="E674" s="7" t="s">
        <v>222</v>
      </c>
      <c r="F674" s="7" t="s">
        <v>223</v>
      </c>
      <c r="G674" s="7" t="s">
        <v>101</v>
      </c>
      <c r="H674" s="7" t="s">
        <v>68</v>
      </c>
      <c r="I674" s="7" t="s">
        <v>88</v>
      </c>
      <c r="J674" s="7" t="s">
        <v>135</v>
      </c>
      <c r="K674" s="7" t="s">
        <v>265</v>
      </c>
      <c r="L674" s="7" t="s">
        <v>2678</v>
      </c>
      <c r="M674" s="7" t="s">
        <v>43</v>
      </c>
      <c r="N674" s="7" t="s">
        <v>44</v>
      </c>
      <c r="O674" s="7">
        <v>50</v>
      </c>
      <c r="P674" s="7">
        <v>117.3</v>
      </c>
      <c r="Q674" s="7">
        <v>82.04</v>
      </c>
      <c r="R674" s="7">
        <v>5864.84</v>
      </c>
      <c r="S674" s="7">
        <v>0.15</v>
      </c>
      <c r="T674" s="7">
        <v>879.73</v>
      </c>
      <c r="U674" s="7">
        <v>4985.1099999999997</v>
      </c>
      <c r="V674" s="7">
        <v>4101.8999999999996</v>
      </c>
      <c r="W674" s="7">
        <v>883.22</v>
      </c>
      <c r="X674" s="7" t="s">
        <v>129</v>
      </c>
    </row>
    <row r="675" spans="1:24" x14ac:dyDescent="0.25">
      <c r="A675" s="16" t="s">
        <v>1148</v>
      </c>
      <c r="B675" s="17">
        <v>45389</v>
      </c>
      <c r="C675" s="6" t="s">
        <v>278</v>
      </c>
      <c r="D675" s="6" t="s">
        <v>48</v>
      </c>
      <c r="E675" s="6" t="s">
        <v>109</v>
      </c>
      <c r="F675" s="6" t="s">
        <v>110</v>
      </c>
      <c r="G675" s="6" t="s">
        <v>80</v>
      </c>
      <c r="H675" s="6" t="s">
        <v>81</v>
      </c>
      <c r="I675" s="6" t="s">
        <v>88</v>
      </c>
      <c r="J675" s="6" t="s">
        <v>89</v>
      </c>
      <c r="K675" s="6" t="s">
        <v>42</v>
      </c>
      <c r="L675" s="6" t="s">
        <v>2661</v>
      </c>
      <c r="M675" s="6" t="s">
        <v>43</v>
      </c>
      <c r="N675" s="6" t="s">
        <v>75</v>
      </c>
      <c r="O675" s="6">
        <v>80</v>
      </c>
      <c r="P675" s="6">
        <v>119.91</v>
      </c>
      <c r="Q675" s="6">
        <v>68.760000000000005</v>
      </c>
      <c r="R675" s="6">
        <v>9592.56</v>
      </c>
      <c r="S675" s="6">
        <v>0.2</v>
      </c>
      <c r="T675" s="6">
        <v>1918.51</v>
      </c>
      <c r="U675" s="6">
        <v>7674.05</v>
      </c>
      <c r="V675" s="6">
        <v>5501.08</v>
      </c>
      <c r="W675" s="6">
        <v>2172.9699999999998</v>
      </c>
      <c r="X675" s="6" t="s">
        <v>550</v>
      </c>
    </row>
    <row r="676" spans="1:24" x14ac:dyDescent="0.25">
      <c r="A676" s="5" t="s">
        <v>1149</v>
      </c>
      <c r="B676" s="18">
        <v>45468</v>
      </c>
      <c r="C676" s="7" t="s">
        <v>1033</v>
      </c>
      <c r="D676" s="7" t="s">
        <v>105</v>
      </c>
      <c r="E676" s="7" t="s">
        <v>99</v>
      </c>
      <c r="F676" s="7" t="s">
        <v>100</v>
      </c>
      <c r="G676" s="7" t="s">
        <v>101</v>
      </c>
      <c r="H676" s="7" t="s">
        <v>102</v>
      </c>
      <c r="I676" s="7" t="s">
        <v>40</v>
      </c>
      <c r="J676" s="7" t="s">
        <v>289</v>
      </c>
      <c r="K676" s="7" t="s">
        <v>218</v>
      </c>
      <c r="L676" s="7" t="s">
        <v>2674</v>
      </c>
      <c r="M676" s="7" t="s">
        <v>43</v>
      </c>
      <c r="N676" s="7" t="s">
        <v>31</v>
      </c>
      <c r="O676" s="7">
        <v>21</v>
      </c>
      <c r="P676" s="7">
        <v>65.97</v>
      </c>
      <c r="Q676" s="7">
        <v>42.94</v>
      </c>
      <c r="R676" s="7">
        <v>1385.27</v>
      </c>
      <c r="S676" s="7">
        <v>0.05</v>
      </c>
      <c r="T676" s="7">
        <v>69.260000000000005</v>
      </c>
      <c r="U676" s="7">
        <v>1316.01</v>
      </c>
      <c r="V676" s="7">
        <v>901.68</v>
      </c>
      <c r="W676" s="7">
        <v>414.33</v>
      </c>
      <c r="X676" s="7" t="s">
        <v>45</v>
      </c>
    </row>
    <row r="677" spans="1:24" x14ac:dyDescent="0.25">
      <c r="A677" s="16" t="s">
        <v>1150</v>
      </c>
      <c r="B677" s="17">
        <v>45494</v>
      </c>
      <c r="C677" s="6" t="s">
        <v>535</v>
      </c>
      <c r="D677" s="6" t="s">
        <v>221</v>
      </c>
      <c r="E677" s="6" t="s">
        <v>187</v>
      </c>
      <c r="F677" s="6" t="s">
        <v>188</v>
      </c>
      <c r="G677" s="6" t="s">
        <v>25</v>
      </c>
      <c r="H677" s="6" t="s">
        <v>26</v>
      </c>
      <c r="I677" s="6" t="s">
        <v>40</v>
      </c>
      <c r="J677" s="6" t="s">
        <v>117</v>
      </c>
      <c r="K677" s="6" t="s">
        <v>42</v>
      </c>
      <c r="L677" s="6" t="s">
        <v>2661</v>
      </c>
      <c r="M677" s="6" t="s">
        <v>30</v>
      </c>
      <c r="N677" s="6" t="s">
        <v>44</v>
      </c>
      <c r="O677" s="6">
        <v>32</v>
      </c>
      <c r="P677" s="6">
        <v>45.86</v>
      </c>
      <c r="Q677" s="6">
        <v>31.26</v>
      </c>
      <c r="R677" s="6">
        <v>1467.48</v>
      </c>
      <c r="S677" s="6">
        <v>0</v>
      </c>
      <c r="T677" s="6">
        <v>0</v>
      </c>
      <c r="U677" s="6">
        <v>1467.48</v>
      </c>
      <c r="V677" s="6">
        <v>1000.41</v>
      </c>
      <c r="W677" s="6">
        <v>467.08</v>
      </c>
      <c r="X677" s="6" t="s">
        <v>45</v>
      </c>
    </row>
    <row r="678" spans="1:24" x14ac:dyDescent="0.25">
      <c r="A678" s="5" t="s">
        <v>1151</v>
      </c>
      <c r="B678" s="18">
        <v>45526</v>
      </c>
      <c r="C678" s="7" t="s">
        <v>757</v>
      </c>
      <c r="D678" s="7" t="s">
        <v>163</v>
      </c>
      <c r="E678" s="7" t="s">
        <v>150</v>
      </c>
      <c r="F678" s="7" t="s">
        <v>151</v>
      </c>
      <c r="G678" s="7" t="s">
        <v>101</v>
      </c>
      <c r="H678" s="7" t="s">
        <v>134</v>
      </c>
      <c r="I678" s="7" t="s">
        <v>27</v>
      </c>
      <c r="J678" s="7" t="s">
        <v>28</v>
      </c>
      <c r="K678" s="7" t="s">
        <v>144</v>
      </c>
      <c r="L678" s="7" t="s">
        <v>2669</v>
      </c>
      <c r="M678" s="7" t="s">
        <v>43</v>
      </c>
      <c r="N678" s="7" t="s">
        <v>84</v>
      </c>
      <c r="O678" s="7">
        <v>48</v>
      </c>
      <c r="P678" s="7">
        <v>85.19</v>
      </c>
      <c r="Q678" s="7">
        <v>49.44</v>
      </c>
      <c r="R678" s="7">
        <v>4089.2</v>
      </c>
      <c r="S678" s="7">
        <v>0.05</v>
      </c>
      <c r="T678" s="7">
        <v>204.46</v>
      </c>
      <c r="U678" s="7">
        <v>3884.74</v>
      </c>
      <c r="V678" s="7">
        <v>2372.98</v>
      </c>
      <c r="W678" s="7">
        <v>1511.76</v>
      </c>
      <c r="X678" s="7" t="s">
        <v>45</v>
      </c>
    </row>
    <row r="679" spans="1:24" x14ac:dyDescent="0.25">
      <c r="A679" s="16" t="s">
        <v>1152</v>
      </c>
      <c r="B679" s="17">
        <v>45319</v>
      </c>
      <c r="C679" s="6" t="s">
        <v>688</v>
      </c>
      <c r="D679" s="6" t="s">
        <v>156</v>
      </c>
      <c r="E679" s="6" t="s">
        <v>141</v>
      </c>
      <c r="F679" s="6" t="s">
        <v>142</v>
      </c>
      <c r="G679" s="6" t="s">
        <v>25</v>
      </c>
      <c r="H679" s="6" t="s">
        <v>26</v>
      </c>
      <c r="I679" s="6" t="s">
        <v>40</v>
      </c>
      <c r="J679" s="6" t="s">
        <v>117</v>
      </c>
      <c r="K679" s="6" t="s">
        <v>184</v>
      </c>
      <c r="L679" s="6" t="s">
        <v>2672</v>
      </c>
      <c r="M679" s="6" t="s">
        <v>153</v>
      </c>
      <c r="N679" s="6" t="s">
        <v>70</v>
      </c>
      <c r="O679" s="6">
        <v>45</v>
      </c>
      <c r="P679" s="6">
        <v>95.19</v>
      </c>
      <c r="Q679" s="6">
        <v>56.08</v>
      </c>
      <c r="R679" s="6">
        <v>4283.66</v>
      </c>
      <c r="S679" s="6">
        <v>0.1</v>
      </c>
      <c r="T679" s="6">
        <v>428.37</v>
      </c>
      <c r="U679" s="6">
        <v>3855.3</v>
      </c>
      <c r="V679" s="6">
        <v>2523.7600000000002</v>
      </c>
      <c r="W679" s="6">
        <v>1331.54</v>
      </c>
      <c r="X679" s="6" t="s">
        <v>45</v>
      </c>
    </row>
    <row r="680" spans="1:24" x14ac:dyDescent="0.25">
      <c r="A680" s="5" t="s">
        <v>1153</v>
      </c>
      <c r="B680" s="18">
        <v>45337</v>
      </c>
      <c r="C680" s="7" t="s">
        <v>137</v>
      </c>
      <c r="D680" s="7" t="s">
        <v>22</v>
      </c>
      <c r="E680" s="7" t="s">
        <v>165</v>
      </c>
      <c r="F680" s="7" t="s">
        <v>166</v>
      </c>
      <c r="G680" s="7" t="s">
        <v>95</v>
      </c>
      <c r="H680" s="7" t="s">
        <v>167</v>
      </c>
      <c r="I680" s="7" t="s">
        <v>88</v>
      </c>
      <c r="J680" s="7" t="s">
        <v>173</v>
      </c>
      <c r="K680" s="7" t="s">
        <v>170</v>
      </c>
      <c r="L680" s="7" t="s">
        <v>2671</v>
      </c>
      <c r="M680" s="7" t="s">
        <v>153</v>
      </c>
      <c r="N680" s="7" t="s">
        <v>70</v>
      </c>
      <c r="O680" s="7">
        <v>53</v>
      </c>
      <c r="P680" s="7">
        <v>42.07</v>
      </c>
      <c r="Q680" s="7">
        <v>25.01</v>
      </c>
      <c r="R680" s="7">
        <v>2229.5100000000002</v>
      </c>
      <c r="S680" s="7">
        <v>0</v>
      </c>
      <c r="T680" s="7">
        <v>0</v>
      </c>
      <c r="U680" s="7">
        <v>2229.5100000000002</v>
      </c>
      <c r="V680" s="7">
        <v>1325.27</v>
      </c>
      <c r="W680" s="7">
        <v>904.24</v>
      </c>
      <c r="X680" s="7" t="s">
        <v>32</v>
      </c>
    </row>
    <row r="681" spans="1:24" x14ac:dyDescent="0.25">
      <c r="A681" s="16" t="s">
        <v>1154</v>
      </c>
      <c r="B681" s="17">
        <v>45434</v>
      </c>
      <c r="C681" s="6" t="s">
        <v>1155</v>
      </c>
      <c r="D681" s="6" t="s">
        <v>87</v>
      </c>
      <c r="E681" s="6" t="s">
        <v>132</v>
      </c>
      <c r="F681" s="6" t="s">
        <v>133</v>
      </c>
      <c r="G681" s="6" t="s">
        <v>51</v>
      </c>
      <c r="H681" s="6" t="s">
        <v>134</v>
      </c>
      <c r="I681" s="6" t="s">
        <v>53</v>
      </c>
      <c r="J681" s="6" t="s">
        <v>232</v>
      </c>
      <c r="K681" s="6" t="s">
        <v>178</v>
      </c>
      <c r="L681" s="6" t="s">
        <v>256</v>
      </c>
      <c r="M681" s="6" t="s">
        <v>30</v>
      </c>
      <c r="N681" s="6" t="s">
        <v>31</v>
      </c>
      <c r="O681" s="6">
        <v>7</v>
      </c>
      <c r="P681" s="6">
        <v>61.41</v>
      </c>
      <c r="Q681" s="6">
        <v>36.58</v>
      </c>
      <c r="R681" s="6">
        <v>429.84</v>
      </c>
      <c r="S681" s="6">
        <v>0.1</v>
      </c>
      <c r="T681" s="6">
        <v>42.98</v>
      </c>
      <c r="U681" s="6">
        <v>386.86</v>
      </c>
      <c r="V681" s="6">
        <v>256.06</v>
      </c>
      <c r="W681" s="6">
        <v>130.80000000000001</v>
      </c>
      <c r="X681" s="6" t="s">
        <v>45</v>
      </c>
    </row>
    <row r="682" spans="1:24" x14ac:dyDescent="0.25">
      <c r="A682" s="5" t="s">
        <v>1156</v>
      </c>
      <c r="B682" s="18">
        <v>45404</v>
      </c>
      <c r="C682" s="7" t="s">
        <v>237</v>
      </c>
      <c r="D682" s="7" t="s">
        <v>105</v>
      </c>
      <c r="E682" s="7" t="s">
        <v>36</v>
      </c>
      <c r="F682" s="7" t="s">
        <v>37</v>
      </c>
      <c r="G682" s="7" t="s">
        <v>38</v>
      </c>
      <c r="H682" s="7" t="s">
        <v>39</v>
      </c>
      <c r="I682" s="7" t="s">
        <v>58</v>
      </c>
      <c r="J682" s="7" t="s">
        <v>345</v>
      </c>
      <c r="K682" s="7" t="s">
        <v>170</v>
      </c>
      <c r="L682" s="7" t="s">
        <v>2671</v>
      </c>
      <c r="M682" s="7" t="s">
        <v>61</v>
      </c>
      <c r="N682" s="7" t="s">
        <v>84</v>
      </c>
      <c r="O682" s="7">
        <v>51</v>
      </c>
      <c r="P682" s="7">
        <v>174.96</v>
      </c>
      <c r="Q682" s="7">
        <v>102.81</v>
      </c>
      <c r="R682" s="7">
        <v>8923.1</v>
      </c>
      <c r="S682" s="7">
        <v>0.15</v>
      </c>
      <c r="T682" s="7">
        <v>1338.46</v>
      </c>
      <c r="U682" s="7">
        <v>7584.63</v>
      </c>
      <c r="V682" s="7">
        <v>5243.5</v>
      </c>
      <c r="W682" s="7">
        <v>2341.13</v>
      </c>
      <c r="X682" s="7" t="s">
        <v>45</v>
      </c>
    </row>
    <row r="683" spans="1:24" x14ac:dyDescent="0.25">
      <c r="A683" s="16" t="s">
        <v>1157</v>
      </c>
      <c r="B683" s="17">
        <v>45473</v>
      </c>
      <c r="C683" s="6" t="s">
        <v>314</v>
      </c>
      <c r="D683" s="6" t="s">
        <v>163</v>
      </c>
      <c r="E683" s="6" t="s">
        <v>66</v>
      </c>
      <c r="F683" s="6" t="s">
        <v>67</v>
      </c>
      <c r="G683" s="6" t="s">
        <v>38</v>
      </c>
      <c r="H683" s="6" t="s">
        <v>68</v>
      </c>
      <c r="I683" s="6" t="s">
        <v>40</v>
      </c>
      <c r="J683" s="6" t="s">
        <v>117</v>
      </c>
      <c r="K683" s="6" t="s">
        <v>178</v>
      </c>
      <c r="L683" s="6" t="s">
        <v>256</v>
      </c>
      <c r="M683" s="6" t="s">
        <v>30</v>
      </c>
      <c r="N683" s="6" t="s">
        <v>44</v>
      </c>
      <c r="O683" s="6">
        <v>56</v>
      </c>
      <c r="P683" s="6">
        <v>155.02000000000001</v>
      </c>
      <c r="Q683" s="6">
        <v>99.22</v>
      </c>
      <c r="R683" s="6">
        <v>8680.89</v>
      </c>
      <c r="S683" s="6">
        <v>0.02</v>
      </c>
      <c r="T683" s="6">
        <v>173.62</v>
      </c>
      <c r="U683" s="6">
        <v>8507.2800000000007</v>
      </c>
      <c r="V683" s="6">
        <v>5556.23</v>
      </c>
      <c r="W683" s="6">
        <v>2951.04</v>
      </c>
      <c r="X683" s="6" t="s">
        <v>45</v>
      </c>
    </row>
    <row r="684" spans="1:24" x14ac:dyDescent="0.25">
      <c r="A684" s="5" t="s">
        <v>1158</v>
      </c>
      <c r="B684" s="18">
        <v>45458</v>
      </c>
      <c r="C684" s="7" t="s">
        <v>1159</v>
      </c>
      <c r="D684" s="7" t="s">
        <v>159</v>
      </c>
      <c r="E684" s="7" t="s">
        <v>93</v>
      </c>
      <c r="F684" s="7" t="s">
        <v>94</v>
      </c>
      <c r="G684" s="7" t="s">
        <v>95</v>
      </c>
      <c r="H684" s="7" t="s">
        <v>96</v>
      </c>
      <c r="I684" s="7" t="s">
        <v>88</v>
      </c>
      <c r="J684" s="7" t="s">
        <v>89</v>
      </c>
      <c r="K684" s="7" t="s">
        <v>42</v>
      </c>
      <c r="L684" s="7" t="s">
        <v>2661</v>
      </c>
      <c r="M684" s="7" t="s">
        <v>61</v>
      </c>
      <c r="N684" s="7" t="s">
        <v>84</v>
      </c>
      <c r="O684" s="7">
        <v>47</v>
      </c>
      <c r="P684" s="7">
        <v>54.63</v>
      </c>
      <c r="Q684" s="7">
        <v>33.15</v>
      </c>
      <c r="R684" s="7">
        <v>2567.81</v>
      </c>
      <c r="S684" s="7">
        <v>0.2</v>
      </c>
      <c r="T684" s="7">
        <v>513.55999999999995</v>
      </c>
      <c r="U684" s="7">
        <v>2054.25</v>
      </c>
      <c r="V684" s="7">
        <v>1558.15</v>
      </c>
      <c r="W684" s="7">
        <v>496.1</v>
      </c>
      <c r="X684" s="7" t="s">
        <v>32</v>
      </c>
    </row>
    <row r="685" spans="1:24" x14ac:dyDescent="0.25">
      <c r="A685" s="16" t="s">
        <v>1160</v>
      </c>
      <c r="B685" s="17">
        <v>45324</v>
      </c>
      <c r="C685" s="6" t="s">
        <v>511</v>
      </c>
      <c r="D685" s="6" t="s">
        <v>163</v>
      </c>
      <c r="E685" s="6" t="s">
        <v>49</v>
      </c>
      <c r="F685" s="6" t="s">
        <v>50</v>
      </c>
      <c r="G685" s="6" t="s">
        <v>51</v>
      </c>
      <c r="H685" s="6" t="s">
        <v>52</v>
      </c>
      <c r="I685" s="6" t="s">
        <v>40</v>
      </c>
      <c r="J685" s="6" t="s">
        <v>117</v>
      </c>
      <c r="K685" s="6" t="s">
        <v>74</v>
      </c>
      <c r="L685" s="6" t="s">
        <v>2664</v>
      </c>
      <c r="M685" s="6" t="s">
        <v>43</v>
      </c>
      <c r="N685" s="6" t="s">
        <v>31</v>
      </c>
      <c r="O685" s="6">
        <v>61</v>
      </c>
      <c r="P685" s="6">
        <v>24.12</v>
      </c>
      <c r="Q685" s="6">
        <v>12.01</v>
      </c>
      <c r="R685" s="6">
        <v>1471.51</v>
      </c>
      <c r="S685" s="6">
        <v>0.1</v>
      </c>
      <c r="T685" s="6">
        <v>147.15</v>
      </c>
      <c r="U685" s="6">
        <v>1324.36</v>
      </c>
      <c r="V685" s="6">
        <v>732.65</v>
      </c>
      <c r="W685" s="6">
        <v>591.71</v>
      </c>
      <c r="X685" s="6" t="s">
        <v>32</v>
      </c>
    </row>
    <row r="686" spans="1:24" x14ac:dyDescent="0.25">
      <c r="A686" s="5" t="s">
        <v>1161</v>
      </c>
      <c r="B686" s="18">
        <v>45384</v>
      </c>
      <c r="C686" s="7" t="s">
        <v>263</v>
      </c>
      <c r="D686" s="7" t="s">
        <v>264</v>
      </c>
      <c r="E686" s="7" t="s">
        <v>176</v>
      </c>
      <c r="F686" s="7" t="s">
        <v>177</v>
      </c>
      <c r="G686" s="7" t="s">
        <v>101</v>
      </c>
      <c r="H686" s="7" t="s">
        <v>39</v>
      </c>
      <c r="I686" s="7" t="s">
        <v>58</v>
      </c>
      <c r="J686" s="7" t="s">
        <v>323</v>
      </c>
      <c r="K686" s="7" t="s">
        <v>29</v>
      </c>
      <c r="L686" s="7" t="s">
        <v>2660</v>
      </c>
      <c r="M686" s="7" t="s">
        <v>153</v>
      </c>
      <c r="N686" s="7" t="s">
        <v>44</v>
      </c>
      <c r="O686" s="7">
        <v>54</v>
      </c>
      <c r="P686" s="7">
        <v>99.86</v>
      </c>
      <c r="Q686" s="7">
        <v>66.62</v>
      </c>
      <c r="R686" s="7">
        <v>5392.27</v>
      </c>
      <c r="S686" s="7">
        <v>0</v>
      </c>
      <c r="T686" s="7">
        <v>0</v>
      </c>
      <c r="U686" s="7">
        <v>5392.27</v>
      </c>
      <c r="V686" s="7">
        <v>3597.31</v>
      </c>
      <c r="W686" s="7">
        <v>1794.96</v>
      </c>
      <c r="X686" s="7" t="s">
        <v>45</v>
      </c>
    </row>
    <row r="687" spans="1:24" x14ac:dyDescent="0.25">
      <c r="A687" s="16" t="s">
        <v>1162</v>
      </c>
      <c r="B687" s="17">
        <v>45391</v>
      </c>
      <c r="C687" s="6" t="s">
        <v>466</v>
      </c>
      <c r="D687" s="6" t="s">
        <v>221</v>
      </c>
      <c r="E687" s="6" t="s">
        <v>216</v>
      </c>
      <c r="F687" s="6" t="s">
        <v>217</v>
      </c>
      <c r="G687" s="6" t="s">
        <v>38</v>
      </c>
      <c r="H687" s="6" t="s">
        <v>134</v>
      </c>
      <c r="I687" s="6" t="s">
        <v>88</v>
      </c>
      <c r="J687" s="6" t="s">
        <v>183</v>
      </c>
      <c r="K687" s="6" t="s">
        <v>83</v>
      </c>
      <c r="L687" s="6" t="s">
        <v>2665</v>
      </c>
      <c r="M687" s="6" t="s">
        <v>43</v>
      </c>
      <c r="N687" s="6" t="s">
        <v>31</v>
      </c>
      <c r="O687" s="6">
        <v>68</v>
      </c>
      <c r="P687" s="6">
        <v>105.86</v>
      </c>
      <c r="Q687" s="6">
        <v>68.739999999999995</v>
      </c>
      <c r="R687" s="6">
        <v>7198.32</v>
      </c>
      <c r="S687" s="6">
        <v>0.05</v>
      </c>
      <c r="T687" s="6">
        <v>359.92</v>
      </c>
      <c r="U687" s="6">
        <v>6838.4</v>
      </c>
      <c r="V687" s="6">
        <v>4674.07</v>
      </c>
      <c r="W687" s="6">
        <v>2164.33</v>
      </c>
      <c r="X687" s="6" t="s">
        <v>129</v>
      </c>
    </row>
    <row r="688" spans="1:24" x14ac:dyDescent="0.25">
      <c r="A688" s="5" t="s">
        <v>1163</v>
      </c>
      <c r="B688" s="18">
        <v>45597</v>
      </c>
      <c r="C688" s="7" t="s">
        <v>711</v>
      </c>
      <c r="D688" s="7" t="s">
        <v>57</v>
      </c>
      <c r="E688" s="7" t="s">
        <v>209</v>
      </c>
      <c r="F688" s="7" t="s">
        <v>210</v>
      </c>
      <c r="G688" s="7" t="s">
        <v>51</v>
      </c>
      <c r="H688" s="7" t="s">
        <v>116</v>
      </c>
      <c r="I688" s="7" t="s">
        <v>27</v>
      </c>
      <c r="J688" s="7" t="s">
        <v>106</v>
      </c>
      <c r="K688" s="7" t="s">
        <v>218</v>
      </c>
      <c r="L688" s="7" t="s">
        <v>2674</v>
      </c>
      <c r="M688" s="7" t="s">
        <v>43</v>
      </c>
      <c r="N688" s="7" t="s">
        <v>84</v>
      </c>
      <c r="O688" s="7">
        <v>3</v>
      </c>
      <c r="P688" s="7">
        <v>19.11</v>
      </c>
      <c r="Q688" s="7">
        <v>10.19</v>
      </c>
      <c r="R688" s="7">
        <v>57.33</v>
      </c>
      <c r="S688" s="7">
        <v>0.15</v>
      </c>
      <c r="T688" s="7">
        <v>8.6</v>
      </c>
      <c r="U688" s="7">
        <v>48.73</v>
      </c>
      <c r="V688" s="7">
        <v>30.56</v>
      </c>
      <c r="W688" s="7">
        <v>18.18</v>
      </c>
      <c r="X688" s="7" t="s">
        <v>45</v>
      </c>
    </row>
    <row r="689" spans="1:24" x14ac:dyDescent="0.25">
      <c r="A689" s="16" t="s">
        <v>1164</v>
      </c>
      <c r="B689" s="17">
        <v>45559</v>
      </c>
      <c r="C689" s="6" t="s">
        <v>430</v>
      </c>
      <c r="D689" s="6" t="s">
        <v>156</v>
      </c>
      <c r="E689" s="6" t="s">
        <v>141</v>
      </c>
      <c r="F689" s="6" t="s">
        <v>142</v>
      </c>
      <c r="G689" s="6" t="s">
        <v>25</v>
      </c>
      <c r="H689" s="6" t="s">
        <v>26</v>
      </c>
      <c r="I689" s="6" t="s">
        <v>27</v>
      </c>
      <c r="J689" s="6" t="s">
        <v>189</v>
      </c>
      <c r="K689" s="6" t="s">
        <v>144</v>
      </c>
      <c r="L689" s="6" t="s">
        <v>2669</v>
      </c>
      <c r="M689" s="6" t="s">
        <v>43</v>
      </c>
      <c r="N689" s="6" t="s">
        <v>75</v>
      </c>
      <c r="O689" s="6">
        <v>9</v>
      </c>
      <c r="P689" s="6">
        <v>100.5</v>
      </c>
      <c r="Q689" s="6">
        <v>61.2</v>
      </c>
      <c r="R689" s="6">
        <v>904.53</v>
      </c>
      <c r="S689" s="6">
        <v>0</v>
      </c>
      <c r="T689" s="6">
        <v>0</v>
      </c>
      <c r="U689" s="6">
        <v>904.53</v>
      </c>
      <c r="V689" s="6">
        <v>550.78</v>
      </c>
      <c r="W689" s="6">
        <v>353.75</v>
      </c>
      <c r="X689" s="6" t="s">
        <v>45</v>
      </c>
    </row>
    <row r="690" spans="1:24" x14ac:dyDescent="0.25">
      <c r="A690" s="5" t="s">
        <v>1165</v>
      </c>
      <c r="B690" s="18">
        <v>45355</v>
      </c>
      <c r="C690" s="7" t="s">
        <v>408</v>
      </c>
      <c r="D690" s="7" t="s">
        <v>65</v>
      </c>
      <c r="E690" s="7" t="s">
        <v>99</v>
      </c>
      <c r="F690" s="7" t="s">
        <v>100</v>
      </c>
      <c r="G690" s="7" t="s">
        <v>101</v>
      </c>
      <c r="H690" s="7" t="s">
        <v>102</v>
      </c>
      <c r="I690" s="7" t="s">
        <v>58</v>
      </c>
      <c r="J690" s="7" t="s">
        <v>73</v>
      </c>
      <c r="K690" s="7" t="s">
        <v>178</v>
      </c>
      <c r="L690" s="7" t="s">
        <v>256</v>
      </c>
      <c r="M690" s="7" t="s">
        <v>153</v>
      </c>
      <c r="N690" s="7" t="s">
        <v>44</v>
      </c>
      <c r="O690" s="7">
        <v>60</v>
      </c>
      <c r="P690" s="7">
        <v>71.5</v>
      </c>
      <c r="Q690" s="7">
        <v>41.23</v>
      </c>
      <c r="R690" s="7">
        <v>4289.7299999999996</v>
      </c>
      <c r="S690" s="7">
        <v>0.2</v>
      </c>
      <c r="T690" s="7">
        <v>857.95</v>
      </c>
      <c r="U690" s="7">
        <v>3431.79</v>
      </c>
      <c r="V690" s="7">
        <v>2474.08</v>
      </c>
      <c r="W690" s="7">
        <v>957.7</v>
      </c>
      <c r="X690" s="7" t="s">
        <v>32</v>
      </c>
    </row>
    <row r="691" spans="1:24" x14ac:dyDescent="0.25">
      <c r="A691" s="16" t="s">
        <v>1166</v>
      </c>
      <c r="B691" s="17">
        <v>45604</v>
      </c>
      <c r="C691" s="6" t="s">
        <v>487</v>
      </c>
      <c r="D691" s="6" t="s">
        <v>156</v>
      </c>
      <c r="E691" s="6" t="s">
        <v>109</v>
      </c>
      <c r="F691" s="6" t="s">
        <v>110</v>
      </c>
      <c r="G691" s="6" t="s">
        <v>80</v>
      </c>
      <c r="H691" s="6" t="s">
        <v>81</v>
      </c>
      <c r="I691" s="6" t="s">
        <v>88</v>
      </c>
      <c r="J691" s="6" t="s">
        <v>89</v>
      </c>
      <c r="K691" s="6" t="s">
        <v>184</v>
      </c>
      <c r="L691" s="6" t="s">
        <v>2672</v>
      </c>
      <c r="M691" s="6" t="s">
        <v>30</v>
      </c>
      <c r="N691" s="6" t="s">
        <v>84</v>
      </c>
      <c r="O691" s="6">
        <v>21</v>
      </c>
      <c r="P691" s="6">
        <v>124.88</v>
      </c>
      <c r="Q691" s="6">
        <v>72.67</v>
      </c>
      <c r="R691" s="6">
        <v>2622.4</v>
      </c>
      <c r="S691" s="6">
        <v>0.05</v>
      </c>
      <c r="T691" s="6">
        <v>131.12</v>
      </c>
      <c r="U691" s="6">
        <v>2491.2800000000002</v>
      </c>
      <c r="V691" s="6">
        <v>1526.06</v>
      </c>
      <c r="W691" s="6">
        <v>965.22</v>
      </c>
      <c r="X691" s="6" t="s">
        <v>45</v>
      </c>
    </row>
    <row r="692" spans="1:24" x14ac:dyDescent="0.25">
      <c r="A692" s="5" t="s">
        <v>1167</v>
      </c>
      <c r="B692" s="18">
        <v>45442</v>
      </c>
      <c r="C692" s="7" t="s">
        <v>454</v>
      </c>
      <c r="D692" s="7" t="s">
        <v>156</v>
      </c>
      <c r="E692" s="7" t="s">
        <v>23</v>
      </c>
      <c r="F692" s="7" t="s">
        <v>24</v>
      </c>
      <c r="G692" s="7" t="s">
        <v>25</v>
      </c>
      <c r="H692" s="7" t="s">
        <v>26</v>
      </c>
      <c r="I692" s="7" t="s">
        <v>27</v>
      </c>
      <c r="J692" s="7" t="s">
        <v>211</v>
      </c>
      <c r="K692" s="7" t="s">
        <v>152</v>
      </c>
      <c r="L692" s="7" t="s">
        <v>2670</v>
      </c>
      <c r="M692" s="7" t="s">
        <v>153</v>
      </c>
      <c r="N692" s="7" t="s">
        <v>44</v>
      </c>
      <c r="O692" s="7">
        <v>35</v>
      </c>
      <c r="P692" s="7">
        <v>80.81</v>
      </c>
      <c r="Q692" s="7">
        <v>42.51</v>
      </c>
      <c r="R692" s="7">
        <v>2828.29</v>
      </c>
      <c r="S692" s="7">
        <v>0.15</v>
      </c>
      <c r="T692" s="7">
        <v>424.24</v>
      </c>
      <c r="U692" s="7">
        <v>2404.04</v>
      </c>
      <c r="V692" s="7">
        <v>1487.86</v>
      </c>
      <c r="W692" s="7">
        <v>916.18</v>
      </c>
      <c r="X692" s="7" t="s">
        <v>129</v>
      </c>
    </row>
    <row r="693" spans="1:24" x14ac:dyDescent="0.25">
      <c r="A693" s="16" t="s">
        <v>1168</v>
      </c>
      <c r="B693" s="17">
        <v>45315</v>
      </c>
      <c r="C693" s="6" t="s">
        <v>227</v>
      </c>
      <c r="D693" s="6" t="s">
        <v>159</v>
      </c>
      <c r="E693" s="6" t="s">
        <v>23</v>
      </c>
      <c r="F693" s="6" t="s">
        <v>24</v>
      </c>
      <c r="G693" s="6" t="s">
        <v>25</v>
      </c>
      <c r="H693" s="6" t="s">
        <v>26</v>
      </c>
      <c r="I693" s="6" t="s">
        <v>88</v>
      </c>
      <c r="J693" s="6" t="s">
        <v>173</v>
      </c>
      <c r="K693" s="6" t="s">
        <v>74</v>
      </c>
      <c r="L693" s="6" t="s">
        <v>2664</v>
      </c>
      <c r="M693" s="6" t="s">
        <v>153</v>
      </c>
      <c r="N693" s="6" t="s">
        <v>31</v>
      </c>
      <c r="O693" s="6">
        <v>39</v>
      </c>
      <c r="P693" s="6">
        <v>70.819999999999993</v>
      </c>
      <c r="Q693" s="6">
        <v>42.67</v>
      </c>
      <c r="R693" s="6">
        <v>2761.98</v>
      </c>
      <c r="S693" s="6">
        <v>0.05</v>
      </c>
      <c r="T693" s="6">
        <v>138.1</v>
      </c>
      <c r="U693" s="6">
        <v>2623.88</v>
      </c>
      <c r="V693" s="6">
        <v>1664.31</v>
      </c>
      <c r="W693" s="6">
        <v>959.58</v>
      </c>
      <c r="X693" s="6" t="s">
        <v>129</v>
      </c>
    </row>
    <row r="694" spans="1:24" x14ac:dyDescent="0.25">
      <c r="A694" s="5" t="s">
        <v>1169</v>
      </c>
      <c r="B694" s="18">
        <v>45329</v>
      </c>
      <c r="C694" s="7" t="s">
        <v>199</v>
      </c>
      <c r="D694" s="7" t="s">
        <v>105</v>
      </c>
      <c r="E694" s="7" t="s">
        <v>222</v>
      </c>
      <c r="F694" s="7" t="s">
        <v>223</v>
      </c>
      <c r="G694" s="7" t="s">
        <v>101</v>
      </c>
      <c r="H694" s="7" t="s">
        <v>68</v>
      </c>
      <c r="I694" s="7" t="s">
        <v>88</v>
      </c>
      <c r="J694" s="7" t="s">
        <v>89</v>
      </c>
      <c r="K694" s="7" t="s">
        <v>111</v>
      </c>
      <c r="L694" s="7" t="s">
        <v>2667</v>
      </c>
      <c r="M694" s="7" t="s">
        <v>61</v>
      </c>
      <c r="N694" s="7" t="s">
        <v>75</v>
      </c>
      <c r="O694" s="7">
        <v>20</v>
      </c>
      <c r="P694" s="7">
        <v>119.69</v>
      </c>
      <c r="Q694" s="7">
        <v>71.83</v>
      </c>
      <c r="R694" s="7">
        <v>2393.85</v>
      </c>
      <c r="S694" s="7">
        <v>0.1</v>
      </c>
      <c r="T694" s="7">
        <v>239.39</v>
      </c>
      <c r="U694" s="7">
        <v>2154.4699999999998</v>
      </c>
      <c r="V694" s="7">
        <v>1436.53</v>
      </c>
      <c r="W694" s="7">
        <v>717.94</v>
      </c>
      <c r="X694" s="7" t="s">
        <v>45</v>
      </c>
    </row>
    <row r="695" spans="1:24" x14ac:dyDescent="0.25">
      <c r="A695" s="16" t="s">
        <v>1170</v>
      </c>
      <c r="B695" s="17">
        <v>45396</v>
      </c>
      <c r="C695" s="6" t="s">
        <v>1171</v>
      </c>
      <c r="D695" s="6" t="s">
        <v>35</v>
      </c>
      <c r="E695" s="6" t="s">
        <v>114</v>
      </c>
      <c r="F695" s="6" t="s">
        <v>115</v>
      </c>
      <c r="G695" s="6" t="s">
        <v>95</v>
      </c>
      <c r="H695" s="6" t="s">
        <v>116</v>
      </c>
      <c r="I695" s="6" t="s">
        <v>88</v>
      </c>
      <c r="J695" s="6" t="s">
        <v>135</v>
      </c>
      <c r="K695" s="6" t="s">
        <v>184</v>
      </c>
      <c r="L695" s="6" t="s">
        <v>2672</v>
      </c>
      <c r="M695" s="6" t="s">
        <v>43</v>
      </c>
      <c r="N695" s="6" t="s">
        <v>75</v>
      </c>
      <c r="O695" s="6">
        <v>33</v>
      </c>
      <c r="P695" s="6">
        <v>35.76</v>
      </c>
      <c r="Q695" s="6">
        <v>21.33</v>
      </c>
      <c r="R695" s="6">
        <v>1180.1199999999999</v>
      </c>
      <c r="S695" s="6">
        <v>0</v>
      </c>
      <c r="T695" s="6">
        <v>0</v>
      </c>
      <c r="U695" s="6">
        <v>1180.1199999999999</v>
      </c>
      <c r="V695" s="6">
        <v>704.01</v>
      </c>
      <c r="W695" s="6">
        <v>476.11</v>
      </c>
      <c r="X695" s="6" t="s">
        <v>45</v>
      </c>
    </row>
    <row r="696" spans="1:24" x14ac:dyDescent="0.25">
      <c r="A696" s="5" t="s">
        <v>1172</v>
      </c>
      <c r="B696" s="18">
        <v>45591</v>
      </c>
      <c r="C696" s="7" t="s">
        <v>197</v>
      </c>
      <c r="D696" s="7" t="s">
        <v>159</v>
      </c>
      <c r="E696" s="7" t="s">
        <v>126</v>
      </c>
      <c r="F696" s="7" t="s">
        <v>127</v>
      </c>
      <c r="G696" s="7" t="s">
        <v>95</v>
      </c>
      <c r="H696" s="7" t="s">
        <v>128</v>
      </c>
      <c r="I696" s="7" t="s">
        <v>58</v>
      </c>
      <c r="J696" s="7" t="s">
        <v>323</v>
      </c>
      <c r="K696" s="7" t="s">
        <v>265</v>
      </c>
      <c r="L696" s="7" t="s">
        <v>2678</v>
      </c>
      <c r="M696" s="7" t="s">
        <v>385</v>
      </c>
      <c r="N696" s="7" t="s">
        <v>84</v>
      </c>
      <c r="O696" s="7">
        <v>56</v>
      </c>
      <c r="P696" s="7">
        <v>83.39</v>
      </c>
      <c r="Q696" s="7">
        <v>53.77</v>
      </c>
      <c r="R696" s="7">
        <v>4669.68</v>
      </c>
      <c r="S696" s="7">
        <v>0.2</v>
      </c>
      <c r="T696" s="7">
        <v>933.94</v>
      </c>
      <c r="U696" s="7">
        <v>3735.74</v>
      </c>
      <c r="V696" s="7">
        <v>3011.16</v>
      </c>
      <c r="W696" s="7">
        <v>724.58</v>
      </c>
      <c r="X696" s="7" t="s">
        <v>45</v>
      </c>
    </row>
    <row r="697" spans="1:24" x14ac:dyDescent="0.25">
      <c r="A697" s="16" t="s">
        <v>1173</v>
      </c>
      <c r="B697" s="17">
        <v>45333</v>
      </c>
      <c r="C697" s="6" t="s">
        <v>373</v>
      </c>
      <c r="D697" s="6" t="s">
        <v>264</v>
      </c>
      <c r="E697" s="6" t="s">
        <v>36</v>
      </c>
      <c r="F697" s="6" t="s">
        <v>37</v>
      </c>
      <c r="G697" s="6" t="s">
        <v>38</v>
      </c>
      <c r="H697" s="6" t="s">
        <v>39</v>
      </c>
      <c r="I697" s="6" t="s">
        <v>27</v>
      </c>
      <c r="J697" s="6" t="s">
        <v>106</v>
      </c>
      <c r="K697" s="6" t="s">
        <v>265</v>
      </c>
      <c r="L697" s="6" t="s">
        <v>2678</v>
      </c>
      <c r="M697" s="6" t="s">
        <v>153</v>
      </c>
      <c r="N697" s="6" t="s">
        <v>70</v>
      </c>
      <c r="O697" s="6">
        <v>38</v>
      </c>
      <c r="P697" s="6">
        <v>160.83000000000001</v>
      </c>
      <c r="Q697" s="6">
        <v>99.44</v>
      </c>
      <c r="R697" s="6">
        <v>6111.4</v>
      </c>
      <c r="S697" s="6">
        <v>0.2</v>
      </c>
      <c r="T697" s="6">
        <v>1222.28</v>
      </c>
      <c r="U697" s="6">
        <v>4889.12</v>
      </c>
      <c r="V697" s="6">
        <v>3778.66</v>
      </c>
      <c r="W697" s="6">
        <v>1110.46</v>
      </c>
      <c r="X697" s="6" t="s">
        <v>45</v>
      </c>
    </row>
    <row r="698" spans="1:24" x14ac:dyDescent="0.25">
      <c r="A698" s="5" t="s">
        <v>1174</v>
      </c>
      <c r="B698" s="18">
        <v>45455</v>
      </c>
      <c r="C698" s="7" t="s">
        <v>1175</v>
      </c>
      <c r="D698" s="7" t="s">
        <v>156</v>
      </c>
      <c r="E698" s="7" t="s">
        <v>150</v>
      </c>
      <c r="F698" s="7" t="s">
        <v>151</v>
      </c>
      <c r="G698" s="7" t="s">
        <v>101</v>
      </c>
      <c r="H698" s="7" t="s">
        <v>134</v>
      </c>
      <c r="I698" s="7" t="s">
        <v>53</v>
      </c>
      <c r="J698" s="7" t="s">
        <v>54</v>
      </c>
      <c r="K698" s="7" t="s">
        <v>111</v>
      </c>
      <c r="L698" s="7" t="s">
        <v>2667</v>
      </c>
      <c r="M698" s="7" t="s">
        <v>547</v>
      </c>
      <c r="N698" s="7" t="s">
        <v>75</v>
      </c>
      <c r="O698" s="7">
        <v>64</v>
      </c>
      <c r="P698" s="7">
        <v>78.5</v>
      </c>
      <c r="Q698" s="7">
        <v>52.34</v>
      </c>
      <c r="R698" s="7">
        <v>5023.8</v>
      </c>
      <c r="S698" s="7">
        <v>0.1</v>
      </c>
      <c r="T698" s="7">
        <v>502.38</v>
      </c>
      <c r="U698" s="7">
        <v>3747.39</v>
      </c>
      <c r="V698" s="7">
        <v>3349.54</v>
      </c>
      <c r="W698" s="7">
        <v>1171.8800000000001</v>
      </c>
      <c r="X698" s="7" t="s">
        <v>129</v>
      </c>
    </row>
    <row r="699" spans="1:24" x14ac:dyDescent="0.25">
      <c r="A699" s="16" t="s">
        <v>1176</v>
      </c>
      <c r="B699" s="17">
        <v>45591</v>
      </c>
      <c r="C699" s="6" t="s">
        <v>917</v>
      </c>
      <c r="D699" s="6" t="s">
        <v>57</v>
      </c>
      <c r="E699" s="6" t="s">
        <v>176</v>
      </c>
      <c r="F699" s="6" t="s">
        <v>177</v>
      </c>
      <c r="G699" s="6" t="s">
        <v>101</v>
      </c>
      <c r="H699" s="6" t="s">
        <v>39</v>
      </c>
      <c r="I699" s="6" t="s">
        <v>288</v>
      </c>
      <c r="J699" s="6" t="s">
        <v>289</v>
      </c>
      <c r="K699" s="6" t="s">
        <v>195</v>
      </c>
      <c r="L699" s="6" t="s">
        <v>2673</v>
      </c>
      <c r="M699" s="6" t="s">
        <v>61</v>
      </c>
      <c r="N699" s="6" t="s">
        <v>84</v>
      </c>
      <c r="O699" s="6">
        <v>30</v>
      </c>
      <c r="P699" s="6">
        <v>107.45</v>
      </c>
      <c r="Q699" s="6">
        <v>63.71</v>
      </c>
      <c r="R699" s="6">
        <v>3223.54</v>
      </c>
      <c r="S699" s="6">
        <v>0.02</v>
      </c>
      <c r="T699" s="6">
        <v>64.47</v>
      </c>
      <c r="U699" s="6">
        <v>3159.07</v>
      </c>
      <c r="V699" s="6">
        <v>1911.4</v>
      </c>
      <c r="W699" s="6">
        <v>1247.67</v>
      </c>
      <c r="X699" s="6" t="s">
        <v>32</v>
      </c>
    </row>
    <row r="700" spans="1:24" x14ac:dyDescent="0.25">
      <c r="A700" s="5" t="s">
        <v>1177</v>
      </c>
      <c r="B700" s="18">
        <v>45473</v>
      </c>
      <c r="C700" s="7" t="s">
        <v>584</v>
      </c>
      <c r="D700" s="7" t="s">
        <v>105</v>
      </c>
      <c r="E700" s="7" t="s">
        <v>78</v>
      </c>
      <c r="F700" s="7" t="s">
        <v>79</v>
      </c>
      <c r="G700" s="7" t="s">
        <v>80</v>
      </c>
      <c r="H700" s="7" t="s">
        <v>81</v>
      </c>
      <c r="I700" s="7" t="s">
        <v>88</v>
      </c>
      <c r="J700" s="7" t="s">
        <v>183</v>
      </c>
      <c r="K700" s="7" t="s">
        <v>265</v>
      </c>
      <c r="L700" s="7" t="s">
        <v>2678</v>
      </c>
      <c r="M700" s="7" t="s">
        <v>61</v>
      </c>
      <c r="N700" s="7" t="s">
        <v>44</v>
      </c>
      <c r="O700" s="7">
        <v>27</v>
      </c>
      <c r="P700" s="7">
        <v>147.44999999999999</v>
      </c>
      <c r="Q700" s="7">
        <v>78.23</v>
      </c>
      <c r="R700" s="7">
        <v>3981.06</v>
      </c>
      <c r="S700" s="7">
        <v>0.2</v>
      </c>
      <c r="T700" s="7">
        <v>796.21</v>
      </c>
      <c r="U700" s="7">
        <v>3184.85</v>
      </c>
      <c r="V700" s="7">
        <v>2112.1</v>
      </c>
      <c r="W700" s="7">
        <v>1072.75</v>
      </c>
      <c r="X700" s="7" t="s">
        <v>129</v>
      </c>
    </row>
    <row r="701" spans="1:24" x14ac:dyDescent="0.25">
      <c r="A701" s="16" t="s">
        <v>1178</v>
      </c>
      <c r="B701" s="17">
        <v>45641</v>
      </c>
      <c r="C701" s="6" t="s">
        <v>408</v>
      </c>
      <c r="D701" s="6" t="s">
        <v>65</v>
      </c>
      <c r="E701" s="6" t="s">
        <v>216</v>
      </c>
      <c r="F701" s="6" t="s">
        <v>217</v>
      </c>
      <c r="G701" s="6" t="s">
        <v>38</v>
      </c>
      <c r="H701" s="6" t="s">
        <v>134</v>
      </c>
      <c r="I701" s="6" t="s">
        <v>53</v>
      </c>
      <c r="J701" s="6" t="s">
        <v>232</v>
      </c>
      <c r="K701" s="6" t="s">
        <v>218</v>
      </c>
      <c r="L701" s="6" t="s">
        <v>2674</v>
      </c>
      <c r="M701" s="6" t="s">
        <v>1066</v>
      </c>
      <c r="N701" s="6" t="s">
        <v>31</v>
      </c>
      <c r="O701" s="6">
        <v>13</v>
      </c>
      <c r="P701" s="6">
        <v>104.9</v>
      </c>
      <c r="Q701" s="6">
        <v>70.31</v>
      </c>
      <c r="R701" s="6">
        <v>1363.76</v>
      </c>
      <c r="S701" s="6">
        <v>0.05</v>
      </c>
      <c r="T701" s="6">
        <v>68.19</v>
      </c>
      <c r="U701" s="6">
        <v>1295.58</v>
      </c>
      <c r="V701" s="6">
        <v>914.07</v>
      </c>
      <c r="W701" s="6">
        <v>381.51</v>
      </c>
      <c r="X701" s="6" t="s">
        <v>32</v>
      </c>
    </row>
    <row r="702" spans="1:24" x14ac:dyDescent="0.25">
      <c r="A702" s="5" t="s">
        <v>1179</v>
      </c>
      <c r="B702" s="18">
        <v>45556</v>
      </c>
      <c r="C702" s="7" t="s">
        <v>681</v>
      </c>
      <c r="D702" s="7" t="s">
        <v>105</v>
      </c>
      <c r="E702" s="7" t="s">
        <v>49</v>
      </c>
      <c r="F702" s="7" t="s">
        <v>50</v>
      </c>
      <c r="G702" s="7" t="s">
        <v>51</v>
      </c>
      <c r="H702" s="7" t="s">
        <v>52</v>
      </c>
      <c r="I702" s="7" t="s">
        <v>53</v>
      </c>
      <c r="J702" s="7" t="s">
        <v>122</v>
      </c>
      <c r="K702" s="7" t="s">
        <v>60</v>
      </c>
      <c r="L702" s="7" t="s">
        <v>2662</v>
      </c>
      <c r="M702" s="7" t="s">
        <v>43</v>
      </c>
      <c r="N702" s="7" t="s">
        <v>190</v>
      </c>
      <c r="O702" s="7">
        <v>47</v>
      </c>
      <c r="P702" s="7">
        <v>23.09</v>
      </c>
      <c r="Q702" s="7">
        <v>13.3</v>
      </c>
      <c r="R702" s="7">
        <v>1085.44</v>
      </c>
      <c r="S702" s="7">
        <v>0</v>
      </c>
      <c r="T702" s="7">
        <v>0</v>
      </c>
      <c r="U702" s="7">
        <v>1085.44</v>
      </c>
      <c r="V702" s="7">
        <v>624.88</v>
      </c>
      <c r="W702" s="7">
        <v>460.56</v>
      </c>
      <c r="X702" s="7" t="s">
        <v>45</v>
      </c>
    </row>
    <row r="703" spans="1:24" x14ac:dyDescent="0.25">
      <c r="A703" s="16" t="s">
        <v>1180</v>
      </c>
      <c r="B703" s="17">
        <v>45381</v>
      </c>
      <c r="C703" s="6" t="s">
        <v>524</v>
      </c>
      <c r="D703" s="6" t="s">
        <v>125</v>
      </c>
      <c r="E703" s="6" t="s">
        <v>49</v>
      </c>
      <c r="F703" s="6" t="s">
        <v>50</v>
      </c>
      <c r="G703" s="6" t="s">
        <v>51</v>
      </c>
      <c r="H703" s="6" t="s">
        <v>52</v>
      </c>
      <c r="I703" s="6" t="s">
        <v>27</v>
      </c>
      <c r="J703" s="6" t="s">
        <v>211</v>
      </c>
      <c r="K703" s="6" t="s">
        <v>195</v>
      </c>
      <c r="L703" s="6" t="s">
        <v>2673</v>
      </c>
      <c r="M703" s="6" t="s">
        <v>61</v>
      </c>
      <c r="N703" s="6" t="s">
        <v>84</v>
      </c>
      <c r="O703" s="6">
        <v>28</v>
      </c>
      <c r="P703" s="6">
        <v>26.05</v>
      </c>
      <c r="Q703" s="6">
        <v>12.04</v>
      </c>
      <c r="R703" s="6">
        <v>729.38</v>
      </c>
      <c r="S703" s="6">
        <v>0.05</v>
      </c>
      <c r="T703" s="6">
        <v>36.47</v>
      </c>
      <c r="U703" s="6">
        <v>692.91</v>
      </c>
      <c r="V703" s="6">
        <v>337.15</v>
      </c>
      <c r="W703" s="6">
        <v>355.76</v>
      </c>
      <c r="X703" s="6" t="s">
        <v>129</v>
      </c>
    </row>
    <row r="704" spans="1:24" x14ac:dyDescent="0.25">
      <c r="A704" s="5" t="s">
        <v>1181</v>
      </c>
      <c r="B704" s="18">
        <v>45372</v>
      </c>
      <c r="C704" s="7" t="s">
        <v>1044</v>
      </c>
      <c r="D704" s="7" t="s">
        <v>359</v>
      </c>
      <c r="E704" s="7" t="s">
        <v>165</v>
      </c>
      <c r="F704" s="7" t="s">
        <v>166</v>
      </c>
      <c r="G704" s="7" t="s">
        <v>95</v>
      </c>
      <c r="H704" s="7" t="s">
        <v>167</v>
      </c>
      <c r="I704" s="7" t="s">
        <v>53</v>
      </c>
      <c r="J704" s="7" t="s">
        <v>232</v>
      </c>
      <c r="K704" s="7" t="s">
        <v>195</v>
      </c>
      <c r="L704" s="7" t="s">
        <v>2673</v>
      </c>
      <c r="M704" s="7" t="s">
        <v>43</v>
      </c>
      <c r="N704" s="7" t="s">
        <v>31</v>
      </c>
      <c r="O704" s="7">
        <v>13</v>
      </c>
      <c r="P704" s="7">
        <v>41.95</v>
      </c>
      <c r="Q704" s="7">
        <v>24.62</v>
      </c>
      <c r="R704" s="7">
        <v>545.38</v>
      </c>
      <c r="S704" s="7">
        <v>0</v>
      </c>
      <c r="T704" s="7">
        <v>0</v>
      </c>
      <c r="U704" s="7">
        <v>545.38</v>
      </c>
      <c r="V704" s="7">
        <v>320.02</v>
      </c>
      <c r="W704" s="7">
        <v>225.35</v>
      </c>
      <c r="X704" s="7" t="s">
        <v>45</v>
      </c>
    </row>
    <row r="705" spans="1:24" x14ac:dyDescent="0.25">
      <c r="A705" s="16" t="s">
        <v>1182</v>
      </c>
      <c r="B705" s="17">
        <v>45377</v>
      </c>
      <c r="C705" s="6" t="s">
        <v>602</v>
      </c>
      <c r="D705" s="6" t="s">
        <v>159</v>
      </c>
      <c r="E705" s="6" t="s">
        <v>132</v>
      </c>
      <c r="F705" s="6" t="s">
        <v>133</v>
      </c>
      <c r="G705" s="6" t="s">
        <v>51</v>
      </c>
      <c r="H705" s="6" t="s">
        <v>134</v>
      </c>
      <c r="I705" s="6" t="s">
        <v>40</v>
      </c>
      <c r="J705" s="6" t="s">
        <v>289</v>
      </c>
      <c r="K705" s="6" t="s">
        <v>42</v>
      </c>
      <c r="L705" s="6" t="s">
        <v>2661</v>
      </c>
      <c r="M705" s="6" t="s">
        <v>43</v>
      </c>
      <c r="N705" s="6" t="s">
        <v>75</v>
      </c>
      <c r="O705" s="6">
        <v>44</v>
      </c>
      <c r="P705" s="6">
        <v>56.94</v>
      </c>
      <c r="Q705" s="6">
        <v>34.450000000000003</v>
      </c>
      <c r="R705" s="6">
        <v>2505.44</v>
      </c>
      <c r="S705" s="6">
        <v>0.1</v>
      </c>
      <c r="T705" s="6">
        <v>250.54</v>
      </c>
      <c r="U705" s="6">
        <v>2254.89</v>
      </c>
      <c r="V705" s="6">
        <v>1515.88</v>
      </c>
      <c r="W705" s="6">
        <v>739.02</v>
      </c>
      <c r="X705" s="6" t="s">
        <v>45</v>
      </c>
    </row>
    <row r="706" spans="1:24" x14ac:dyDescent="0.25">
      <c r="A706" s="5" t="s">
        <v>1183</v>
      </c>
      <c r="B706" s="18">
        <v>45306</v>
      </c>
      <c r="C706" s="7" t="s">
        <v>1184</v>
      </c>
      <c r="D706" s="7" t="s">
        <v>65</v>
      </c>
      <c r="E706" s="7" t="s">
        <v>93</v>
      </c>
      <c r="F706" s="7" t="s">
        <v>94</v>
      </c>
      <c r="G706" s="7" t="s">
        <v>95</v>
      </c>
      <c r="H706" s="7" t="s">
        <v>96</v>
      </c>
      <c r="I706" s="7" t="s">
        <v>88</v>
      </c>
      <c r="J706" s="7" t="s">
        <v>89</v>
      </c>
      <c r="K706" s="7" t="s">
        <v>83</v>
      </c>
      <c r="L706" s="7" t="s">
        <v>2665</v>
      </c>
      <c r="M706" s="7" t="s">
        <v>30</v>
      </c>
      <c r="N706" s="7" t="s">
        <v>31</v>
      </c>
      <c r="O706" s="7">
        <v>5</v>
      </c>
      <c r="P706" s="7">
        <v>53.54</v>
      </c>
      <c r="Q706" s="7">
        <v>33.39</v>
      </c>
      <c r="R706" s="7">
        <v>267.70999999999998</v>
      </c>
      <c r="S706" s="7">
        <v>0.2</v>
      </c>
      <c r="T706" s="7">
        <v>53.54</v>
      </c>
      <c r="U706" s="7">
        <v>214.17</v>
      </c>
      <c r="V706" s="7">
        <v>166.94</v>
      </c>
      <c r="W706" s="7">
        <v>47.23</v>
      </c>
      <c r="X706" s="7" t="s">
        <v>32</v>
      </c>
    </row>
    <row r="707" spans="1:24" x14ac:dyDescent="0.25">
      <c r="A707" s="16" t="s">
        <v>1185</v>
      </c>
      <c r="B707" s="17">
        <v>45490</v>
      </c>
      <c r="C707" s="6" t="s">
        <v>800</v>
      </c>
      <c r="D707" s="6" t="s">
        <v>264</v>
      </c>
      <c r="E707" s="6" t="s">
        <v>176</v>
      </c>
      <c r="F707" s="6" t="s">
        <v>177</v>
      </c>
      <c r="G707" s="6" t="s">
        <v>101</v>
      </c>
      <c r="H707" s="6" t="s">
        <v>39</v>
      </c>
      <c r="I707" s="6" t="s">
        <v>88</v>
      </c>
      <c r="J707" s="6" t="s">
        <v>173</v>
      </c>
      <c r="K707" s="6" t="s">
        <v>218</v>
      </c>
      <c r="L707" s="6" t="s">
        <v>2674</v>
      </c>
      <c r="M707" s="6" t="s">
        <v>61</v>
      </c>
      <c r="N707" s="6" t="s">
        <v>75</v>
      </c>
      <c r="O707" s="6">
        <v>23</v>
      </c>
      <c r="P707" s="6">
        <v>97.73</v>
      </c>
      <c r="Q707" s="6">
        <v>63.19</v>
      </c>
      <c r="R707" s="6">
        <v>2247.88</v>
      </c>
      <c r="S707" s="6">
        <v>0.1</v>
      </c>
      <c r="T707" s="6">
        <v>224.79</v>
      </c>
      <c r="U707" s="6">
        <v>2023.09</v>
      </c>
      <c r="V707" s="6">
        <v>1453.34</v>
      </c>
      <c r="W707" s="6">
        <v>569.76</v>
      </c>
      <c r="X707" s="6" t="s">
        <v>45</v>
      </c>
    </row>
    <row r="708" spans="1:24" x14ac:dyDescent="0.25">
      <c r="A708" s="5" t="s">
        <v>1186</v>
      </c>
      <c r="B708" s="18">
        <v>45541</v>
      </c>
      <c r="C708" s="7" t="s">
        <v>341</v>
      </c>
      <c r="D708" s="7" t="s">
        <v>259</v>
      </c>
      <c r="E708" s="7" t="s">
        <v>187</v>
      </c>
      <c r="F708" s="7" t="s">
        <v>188</v>
      </c>
      <c r="G708" s="7" t="s">
        <v>25</v>
      </c>
      <c r="H708" s="7" t="s">
        <v>26</v>
      </c>
      <c r="I708" s="7" t="s">
        <v>58</v>
      </c>
      <c r="J708" s="7" t="s">
        <v>73</v>
      </c>
      <c r="K708" s="7" t="s">
        <v>265</v>
      </c>
      <c r="L708" s="7" t="s">
        <v>2678</v>
      </c>
      <c r="M708" s="7" t="s">
        <v>30</v>
      </c>
      <c r="N708" s="7" t="s">
        <v>84</v>
      </c>
      <c r="O708" s="7"/>
      <c r="P708" s="7">
        <v>50.78</v>
      </c>
      <c r="Q708" s="7">
        <v>31.09</v>
      </c>
      <c r="R708" s="7">
        <v>2132.88</v>
      </c>
      <c r="S708" s="7">
        <v>0.15</v>
      </c>
      <c r="T708" s="7">
        <v>319.93</v>
      </c>
      <c r="U708" s="7">
        <v>1812.95</v>
      </c>
      <c r="V708" s="7">
        <v>1305.5999999999999</v>
      </c>
      <c r="W708" s="7">
        <v>507.35</v>
      </c>
      <c r="X708" s="7" t="s">
        <v>45</v>
      </c>
    </row>
    <row r="709" spans="1:24" x14ac:dyDescent="0.25">
      <c r="A709" s="16" t="s">
        <v>1187</v>
      </c>
      <c r="B709" s="17">
        <v>45573</v>
      </c>
      <c r="C709" s="6" t="s">
        <v>817</v>
      </c>
      <c r="D709" s="6" t="s">
        <v>121</v>
      </c>
      <c r="E709" s="6" t="s">
        <v>132</v>
      </c>
      <c r="F709" s="6" t="s">
        <v>133</v>
      </c>
      <c r="G709" s="6" t="s">
        <v>51</v>
      </c>
      <c r="H709" s="6" t="s">
        <v>134</v>
      </c>
      <c r="I709" s="6" t="s">
        <v>53</v>
      </c>
      <c r="J709" s="6" t="s">
        <v>143</v>
      </c>
      <c r="K709" s="6" t="s">
        <v>144</v>
      </c>
      <c r="L709" s="6" t="s">
        <v>2669</v>
      </c>
      <c r="M709" s="6" t="s">
        <v>30</v>
      </c>
      <c r="N709" s="6" t="s">
        <v>31</v>
      </c>
      <c r="O709" s="6">
        <v>33</v>
      </c>
      <c r="P709" s="6">
        <v>58.61</v>
      </c>
      <c r="Q709" s="6">
        <v>35.54</v>
      </c>
      <c r="R709" s="6">
        <v>1934.19</v>
      </c>
      <c r="S709" s="6">
        <v>0.05</v>
      </c>
      <c r="T709" s="6">
        <v>96.71</v>
      </c>
      <c r="U709" s="6">
        <v>1837.48</v>
      </c>
      <c r="V709" s="6">
        <v>1172.95</v>
      </c>
      <c r="W709" s="6">
        <v>664.53</v>
      </c>
      <c r="X709" s="6" t="s">
        <v>45</v>
      </c>
    </row>
    <row r="710" spans="1:24" x14ac:dyDescent="0.25">
      <c r="A710" s="5" t="s">
        <v>1188</v>
      </c>
      <c r="B710" s="18">
        <v>45371</v>
      </c>
      <c r="C710" s="7" t="s">
        <v>693</v>
      </c>
      <c r="D710" s="7" t="s">
        <v>57</v>
      </c>
      <c r="E710" s="7" t="s">
        <v>93</v>
      </c>
      <c r="F710" s="7" t="s">
        <v>94</v>
      </c>
      <c r="G710" s="7" t="s">
        <v>95</v>
      </c>
      <c r="H710" s="7" t="s">
        <v>96</v>
      </c>
      <c r="I710" s="7" t="s">
        <v>53</v>
      </c>
      <c r="J710" s="7" t="s">
        <v>232</v>
      </c>
      <c r="K710" s="7" t="s">
        <v>74</v>
      </c>
      <c r="L710" s="7" t="s">
        <v>2664</v>
      </c>
      <c r="M710" s="7" t="s">
        <v>153</v>
      </c>
      <c r="N710" s="7" t="s">
        <v>31</v>
      </c>
      <c r="O710" s="7">
        <v>25</v>
      </c>
      <c r="P710" s="7">
        <v>56.41</v>
      </c>
      <c r="Q710" s="7">
        <v>33.35</v>
      </c>
      <c r="R710" s="7">
        <v>1410.27</v>
      </c>
      <c r="S710" s="7">
        <v>0</v>
      </c>
      <c r="T710" s="7">
        <v>0</v>
      </c>
      <c r="U710" s="7">
        <v>1410.27</v>
      </c>
      <c r="V710" s="7">
        <v>833.84</v>
      </c>
      <c r="W710" s="7">
        <v>576.42999999999995</v>
      </c>
      <c r="X710" s="7" t="s">
        <v>45</v>
      </c>
    </row>
    <row r="711" spans="1:24" x14ac:dyDescent="0.25">
      <c r="A711" s="16" t="s">
        <v>1189</v>
      </c>
      <c r="B711" s="17">
        <v>45571</v>
      </c>
      <c r="C711" s="6" t="s">
        <v>727</v>
      </c>
      <c r="D711" s="6" t="s">
        <v>65</v>
      </c>
      <c r="E711" s="6" t="s">
        <v>99</v>
      </c>
      <c r="F711" s="6" t="s">
        <v>100</v>
      </c>
      <c r="G711" s="6" t="s">
        <v>101</v>
      </c>
      <c r="H711" s="6" t="s">
        <v>102</v>
      </c>
      <c r="I711" s="6" t="s">
        <v>40</v>
      </c>
      <c r="J711" s="6" t="s">
        <v>82</v>
      </c>
      <c r="K711" s="6" t="s">
        <v>60</v>
      </c>
      <c r="L711" s="6" t="s">
        <v>2662</v>
      </c>
      <c r="M711" s="6" t="s">
        <v>30</v>
      </c>
      <c r="N711" s="6" t="s">
        <v>75</v>
      </c>
      <c r="O711" s="6">
        <v>26</v>
      </c>
      <c r="P711" s="6">
        <v>70.239999999999995</v>
      </c>
      <c r="Q711" s="6">
        <v>44.13</v>
      </c>
      <c r="R711" s="6">
        <v>1826.25</v>
      </c>
      <c r="S711" s="6">
        <v>0.05</v>
      </c>
      <c r="T711" s="6">
        <v>91.31</v>
      </c>
      <c r="U711" s="6">
        <v>1734.94</v>
      </c>
      <c r="V711" s="6">
        <v>1147.4100000000001</v>
      </c>
      <c r="W711" s="6">
        <v>587.53</v>
      </c>
      <c r="X711" s="6" t="s">
        <v>45</v>
      </c>
    </row>
    <row r="712" spans="1:24" x14ac:dyDescent="0.25">
      <c r="A712" s="5" t="s">
        <v>1190</v>
      </c>
      <c r="B712" s="18">
        <v>45642</v>
      </c>
      <c r="C712" s="7" t="s">
        <v>852</v>
      </c>
      <c r="D712" s="7" t="s">
        <v>57</v>
      </c>
      <c r="E712" s="7" t="s">
        <v>126</v>
      </c>
      <c r="F712" s="7" t="s">
        <v>127</v>
      </c>
      <c r="G712" s="7" t="s">
        <v>95</v>
      </c>
      <c r="H712" s="7" t="s">
        <v>128</v>
      </c>
      <c r="I712" s="7" t="s">
        <v>53</v>
      </c>
      <c r="J712" s="7" t="s">
        <v>54</v>
      </c>
      <c r="K712" s="7" t="s">
        <v>29</v>
      </c>
      <c r="L712" s="7" t="s">
        <v>2660</v>
      </c>
      <c r="M712" s="7" t="s">
        <v>61</v>
      </c>
      <c r="N712" s="7" t="s">
        <v>70</v>
      </c>
      <c r="O712" s="7">
        <v>16</v>
      </c>
      <c r="P712" s="7">
        <v>89.19</v>
      </c>
      <c r="Q712" s="7">
        <v>54.07</v>
      </c>
      <c r="R712" s="7">
        <v>1427.11</v>
      </c>
      <c r="S712" s="7">
        <v>0.15</v>
      </c>
      <c r="T712" s="7">
        <v>214.07</v>
      </c>
      <c r="U712" s="7">
        <v>1213.04</v>
      </c>
      <c r="V712" s="7">
        <v>865.13</v>
      </c>
      <c r="W712" s="7">
        <v>347.91</v>
      </c>
      <c r="X712" s="7" t="s">
        <v>45</v>
      </c>
    </row>
    <row r="713" spans="1:24" x14ac:dyDescent="0.25">
      <c r="A713" s="16" t="s">
        <v>1191</v>
      </c>
      <c r="B713" s="17">
        <v>45412</v>
      </c>
      <c r="C713" s="6" t="s">
        <v>1075</v>
      </c>
      <c r="D713" s="6" t="s">
        <v>65</v>
      </c>
      <c r="E713" s="6" t="s">
        <v>176</v>
      </c>
      <c r="F713" s="6" t="s">
        <v>177</v>
      </c>
      <c r="G713" s="6" t="s">
        <v>101</v>
      </c>
      <c r="H713" s="6" t="s">
        <v>39</v>
      </c>
      <c r="I713" s="6" t="s">
        <v>53</v>
      </c>
      <c r="J713" s="6" t="s">
        <v>232</v>
      </c>
      <c r="K713" s="6" t="s">
        <v>265</v>
      </c>
      <c r="L713" s="6" t="s">
        <v>2678</v>
      </c>
      <c r="M713" s="6" t="s">
        <v>43</v>
      </c>
      <c r="N713" s="6" t="s">
        <v>70</v>
      </c>
      <c r="O713" s="6">
        <v>3</v>
      </c>
      <c r="P713" s="6">
        <v>101.15</v>
      </c>
      <c r="Q713" s="6">
        <v>60.46</v>
      </c>
      <c r="R713" s="6">
        <v>303.45</v>
      </c>
      <c r="S713" s="6">
        <v>0.02</v>
      </c>
      <c r="T713" s="6">
        <v>6.07</v>
      </c>
      <c r="U713" s="6">
        <v>297.38</v>
      </c>
      <c r="V713" s="6">
        <v>181.37</v>
      </c>
      <c r="W713" s="6">
        <v>116.01</v>
      </c>
      <c r="X713" s="6" t="s">
        <v>45</v>
      </c>
    </row>
    <row r="714" spans="1:24" x14ac:dyDescent="0.25">
      <c r="A714" s="5" t="s">
        <v>1192</v>
      </c>
      <c r="B714" s="18">
        <v>45419</v>
      </c>
      <c r="C714" s="7" t="s">
        <v>318</v>
      </c>
      <c r="D714" s="7" t="s">
        <v>121</v>
      </c>
      <c r="E714" s="7" t="s">
        <v>250</v>
      </c>
      <c r="F714" s="7" t="s">
        <v>251</v>
      </c>
      <c r="G714" s="7" t="s">
        <v>51</v>
      </c>
      <c r="H714" s="7" t="s">
        <v>252</v>
      </c>
      <c r="I714" s="7" t="s">
        <v>53</v>
      </c>
      <c r="J714" s="7" t="s">
        <v>143</v>
      </c>
      <c r="K714" s="7" t="s">
        <v>218</v>
      </c>
      <c r="L714" s="7" t="s">
        <v>2674</v>
      </c>
      <c r="M714" s="7" t="s">
        <v>43</v>
      </c>
      <c r="N714" s="7" t="s">
        <v>70</v>
      </c>
      <c r="O714" s="7">
        <v>26</v>
      </c>
      <c r="P714" s="7">
        <v>61.01</v>
      </c>
      <c r="Q714" s="7">
        <v>39.93</v>
      </c>
      <c r="R714" s="7">
        <v>1586.27</v>
      </c>
      <c r="S714" s="7">
        <v>0.02</v>
      </c>
      <c r="T714" s="7">
        <v>31.73</v>
      </c>
      <c r="U714" s="7">
        <v>1554.54</v>
      </c>
      <c r="V714" s="7">
        <v>1038.18</v>
      </c>
      <c r="W714" s="7">
        <v>516.36</v>
      </c>
      <c r="X714" s="7" t="s">
        <v>45</v>
      </c>
    </row>
    <row r="715" spans="1:24" x14ac:dyDescent="0.25">
      <c r="A715" s="16" t="s">
        <v>1193</v>
      </c>
      <c r="B715" s="17">
        <v>45383</v>
      </c>
      <c r="C715" s="6" t="s">
        <v>461</v>
      </c>
      <c r="D715" s="6" t="s">
        <v>87</v>
      </c>
      <c r="E715" s="6" t="s">
        <v>126</v>
      </c>
      <c r="F715" s="6" t="s">
        <v>127</v>
      </c>
      <c r="G715" s="6" t="s">
        <v>95</v>
      </c>
      <c r="H715" s="6" t="s">
        <v>128</v>
      </c>
      <c r="I715" s="6" t="s">
        <v>27</v>
      </c>
      <c r="J715" s="6" t="s">
        <v>106</v>
      </c>
      <c r="K715" s="6" t="s">
        <v>248</v>
      </c>
      <c r="L715" s="6" t="s">
        <v>2675</v>
      </c>
      <c r="M715" s="6" t="s">
        <v>30</v>
      </c>
      <c r="N715" s="6" t="s">
        <v>31</v>
      </c>
      <c r="O715" s="6">
        <v>31</v>
      </c>
      <c r="P715" s="6">
        <v>83.26</v>
      </c>
      <c r="Q715" s="6">
        <v>52.35</v>
      </c>
      <c r="R715" s="6">
        <v>2580.9699999999998</v>
      </c>
      <c r="S715" s="6">
        <v>0.15</v>
      </c>
      <c r="T715" s="6">
        <v>387.15</v>
      </c>
      <c r="U715" s="6">
        <v>2193.8200000000002</v>
      </c>
      <c r="V715" s="6">
        <v>1622.85</v>
      </c>
      <c r="W715" s="6">
        <v>570.98</v>
      </c>
      <c r="X715" s="6" t="s">
        <v>45</v>
      </c>
    </row>
    <row r="716" spans="1:24" x14ac:dyDescent="0.25">
      <c r="A716" s="5" t="s">
        <v>1194</v>
      </c>
      <c r="B716" s="18">
        <v>45440</v>
      </c>
      <c r="C716" s="7" t="s">
        <v>475</v>
      </c>
      <c r="D716" s="7" t="s">
        <v>57</v>
      </c>
      <c r="E716" s="7" t="s">
        <v>250</v>
      </c>
      <c r="F716" s="7" t="s">
        <v>251</v>
      </c>
      <c r="G716" s="7" t="s">
        <v>51</v>
      </c>
      <c r="H716" s="7" t="s">
        <v>252</v>
      </c>
      <c r="I716" s="7" t="s">
        <v>40</v>
      </c>
      <c r="J716" s="7" t="s">
        <v>117</v>
      </c>
      <c r="K716" s="7" t="s">
        <v>261</v>
      </c>
      <c r="L716" s="7" t="s">
        <v>2677</v>
      </c>
      <c r="M716" s="7" t="s">
        <v>61</v>
      </c>
      <c r="N716" s="7" t="s">
        <v>70</v>
      </c>
      <c r="O716" s="7">
        <v>39</v>
      </c>
      <c r="P716" s="7">
        <v>66.48</v>
      </c>
      <c r="Q716" s="7">
        <v>35.35</v>
      </c>
      <c r="R716" s="7">
        <v>2592.73</v>
      </c>
      <c r="S716" s="7">
        <v>0.1</v>
      </c>
      <c r="T716" s="7">
        <v>259.27</v>
      </c>
      <c r="U716" s="7">
        <v>2333.4499999999998</v>
      </c>
      <c r="V716" s="7">
        <v>1378.82</v>
      </c>
      <c r="W716" s="7">
        <v>954.64</v>
      </c>
      <c r="X716" s="7" t="s">
        <v>129</v>
      </c>
    </row>
    <row r="717" spans="1:24" x14ac:dyDescent="0.25">
      <c r="A717" s="16" t="s">
        <v>1195</v>
      </c>
      <c r="B717" s="17">
        <v>45460</v>
      </c>
      <c r="C717" s="6" t="s">
        <v>608</v>
      </c>
      <c r="D717" s="6" t="s">
        <v>22</v>
      </c>
      <c r="E717" s="6" t="s">
        <v>209</v>
      </c>
      <c r="F717" s="6" t="s">
        <v>210</v>
      </c>
      <c r="G717" s="6" t="s">
        <v>51</v>
      </c>
      <c r="H717" s="6" t="s">
        <v>116</v>
      </c>
      <c r="I717" s="6" t="s">
        <v>40</v>
      </c>
      <c r="J717" s="6" t="s">
        <v>82</v>
      </c>
      <c r="K717" s="6"/>
      <c r="L717" s="6"/>
      <c r="M717" s="6" t="s">
        <v>153</v>
      </c>
      <c r="N717" s="6" t="s">
        <v>75</v>
      </c>
      <c r="O717" s="6">
        <v>39</v>
      </c>
      <c r="P717" s="6">
        <v>18.170000000000002</v>
      </c>
      <c r="Q717" s="6">
        <v>10.17</v>
      </c>
      <c r="R717" s="6">
        <v>708.81</v>
      </c>
      <c r="S717" s="6">
        <v>0.05</v>
      </c>
      <c r="T717" s="6">
        <v>35.44</v>
      </c>
      <c r="U717" s="6">
        <v>673.37</v>
      </c>
      <c r="V717" s="6">
        <v>396.46</v>
      </c>
      <c r="W717" s="6">
        <v>276.92</v>
      </c>
      <c r="X717" s="6" t="s">
        <v>45</v>
      </c>
    </row>
    <row r="718" spans="1:24" x14ac:dyDescent="0.25">
      <c r="A718" s="5" t="s">
        <v>1196</v>
      </c>
      <c r="B718" s="18">
        <v>45432</v>
      </c>
      <c r="C718" s="7" t="s">
        <v>438</v>
      </c>
      <c r="D718" s="7" t="s">
        <v>221</v>
      </c>
      <c r="E718" s="7" t="s">
        <v>250</v>
      </c>
      <c r="F718" s="7" t="s">
        <v>251</v>
      </c>
      <c r="G718" s="7" t="s">
        <v>51</v>
      </c>
      <c r="H718" s="7" t="s">
        <v>252</v>
      </c>
      <c r="I718" s="7" t="s">
        <v>53</v>
      </c>
      <c r="J718" s="7" t="s">
        <v>122</v>
      </c>
      <c r="K718" s="7" t="s">
        <v>170</v>
      </c>
      <c r="L718" s="7" t="s">
        <v>2671</v>
      </c>
      <c r="M718" s="7" t="s">
        <v>30</v>
      </c>
      <c r="N718" s="7" t="s">
        <v>31</v>
      </c>
      <c r="O718" s="7">
        <v>56</v>
      </c>
      <c r="P718" s="7">
        <v>68.5</v>
      </c>
      <c r="Q718" s="7">
        <v>39.950000000000003</v>
      </c>
      <c r="R718" s="7">
        <v>3835.75</v>
      </c>
      <c r="S718" s="7">
        <v>0</v>
      </c>
      <c r="T718" s="7">
        <v>0</v>
      </c>
      <c r="U718" s="7">
        <v>3835.75</v>
      </c>
      <c r="V718" s="7">
        <v>2237.4299999999998</v>
      </c>
      <c r="W718" s="7">
        <v>1598.33</v>
      </c>
      <c r="X718" s="7" t="s">
        <v>45</v>
      </c>
    </row>
    <row r="719" spans="1:24" x14ac:dyDescent="0.25">
      <c r="A719" s="16" t="s">
        <v>1197</v>
      </c>
      <c r="B719" s="17">
        <v>45557</v>
      </c>
      <c r="C719" s="6" t="s">
        <v>213</v>
      </c>
      <c r="D719" s="6" t="s">
        <v>87</v>
      </c>
      <c r="E719" s="6" t="s">
        <v>109</v>
      </c>
      <c r="F719" s="6" t="s">
        <v>110</v>
      </c>
      <c r="G719" s="6" t="s">
        <v>80</v>
      </c>
      <c r="H719" s="6" t="s">
        <v>81</v>
      </c>
      <c r="I719" s="6" t="s">
        <v>27</v>
      </c>
      <c r="J719" s="6" t="s">
        <v>211</v>
      </c>
      <c r="K719" s="6" t="s">
        <v>118</v>
      </c>
      <c r="L719" s="6" t="s">
        <v>2668</v>
      </c>
      <c r="M719" s="6" t="s">
        <v>153</v>
      </c>
      <c r="N719" s="6" t="s">
        <v>70</v>
      </c>
      <c r="O719" s="6">
        <v>59</v>
      </c>
      <c r="P719" s="6">
        <v>133.06</v>
      </c>
      <c r="Q719" s="6">
        <v>78.17</v>
      </c>
      <c r="R719" s="6">
        <v>7850.42</v>
      </c>
      <c r="S719" s="6">
        <v>1.25</v>
      </c>
      <c r="T719" s="6">
        <v>0</v>
      </c>
      <c r="U719" s="6">
        <v>7850.42</v>
      </c>
      <c r="V719" s="6">
        <v>4612.08</v>
      </c>
      <c r="W719" s="6">
        <v>3238.34</v>
      </c>
      <c r="X719" s="6" t="s">
        <v>45</v>
      </c>
    </row>
    <row r="720" spans="1:24" x14ac:dyDescent="0.25">
      <c r="A720" s="5" t="s">
        <v>1198</v>
      </c>
      <c r="B720" s="18">
        <v>45504</v>
      </c>
      <c r="C720" s="7" t="s">
        <v>449</v>
      </c>
      <c r="D720" s="7" t="s">
        <v>65</v>
      </c>
      <c r="E720" s="7" t="s">
        <v>99</v>
      </c>
      <c r="F720" s="7" t="s">
        <v>100</v>
      </c>
      <c r="G720" s="7" t="s">
        <v>101</v>
      </c>
      <c r="H720" s="7" t="s">
        <v>102</v>
      </c>
      <c r="I720" s="7" t="s">
        <v>27</v>
      </c>
      <c r="J720" s="7" t="s">
        <v>106</v>
      </c>
      <c r="K720" s="7" t="s">
        <v>152</v>
      </c>
      <c r="L720" s="7" t="s">
        <v>2670</v>
      </c>
      <c r="M720" s="7" t="s">
        <v>43</v>
      </c>
      <c r="N720" s="7" t="s">
        <v>75</v>
      </c>
      <c r="O720" s="7">
        <v>15</v>
      </c>
      <c r="P720" s="7">
        <v>64.75</v>
      </c>
      <c r="Q720" s="7">
        <v>39.42</v>
      </c>
      <c r="R720" s="7">
        <v>971.23</v>
      </c>
      <c r="S720" s="7">
        <v>0.15</v>
      </c>
      <c r="T720" s="7">
        <v>145.68</v>
      </c>
      <c r="U720" s="7">
        <v>825.55</v>
      </c>
      <c r="V720" s="7">
        <v>591.34</v>
      </c>
      <c r="W720" s="7">
        <v>234.21</v>
      </c>
      <c r="X720" s="7" t="s">
        <v>129</v>
      </c>
    </row>
    <row r="721" spans="1:24" x14ac:dyDescent="0.25">
      <c r="A721" s="16" t="s">
        <v>1199</v>
      </c>
      <c r="B721" s="17">
        <v>45487</v>
      </c>
      <c r="C721" s="6" t="s">
        <v>664</v>
      </c>
      <c r="D721" s="6" t="s">
        <v>125</v>
      </c>
      <c r="E721" s="6" t="s">
        <v>36</v>
      </c>
      <c r="F721" s="6" t="s">
        <v>37</v>
      </c>
      <c r="G721" s="6" t="s">
        <v>38</v>
      </c>
      <c r="H721" s="6" t="s">
        <v>39</v>
      </c>
      <c r="I721" s="6" t="s">
        <v>88</v>
      </c>
      <c r="J721" s="6" t="s">
        <v>173</v>
      </c>
      <c r="K721" s="6" t="s">
        <v>184</v>
      </c>
      <c r="L721" s="6" t="s">
        <v>2672</v>
      </c>
      <c r="M721" s="6" t="s">
        <v>153</v>
      </c>
      <c r="N721" s="6" t="s">
        <v>44</v>
      </c>
      <c r="O721" s="6">
        <v>46</v>
      </c>
      <c r="P721" s="6">
        <v>163.19999999999999</v>
      </c>
      <c r="Q721" s="6">
        <v>93.1</v>
      </c>
      <c r="R721" s="6">
        <v>7507.01</v>
      </c>
      <c r="S721" s="6">
        <v>0.1</v>
      </c>
      <c r="T721" s="6">
        <v>750.7</v>
      </c>
      <c r="U721" s="6">
        <v>6756.31</v>
      </c>
      <c r="V721" s="6">
        <v>4282.6400000000003</v>
      </c>
      <c r="W721" s="6">
        <v>2473.67</v>
      </c>
      <c r="X721" s="6" t="s">
        <v>32</v>
      </c>
    </row>
    <row r="722" spans="1:24" x14ac:dyDescent="0.25">
      <c r="A722" s="5" t="s">
        <v>1200</v>
      </c>
      <c r="B722" s="18">
        <v>45427</v>
      </c>
      <c r="C722" s="7" t="s">
        <v>535</v>
      </c>
      <c r="D722" s="7" t="s">
        <v>221</v>
      </c>
      <c r="E722" s="7" t="s">
        <v>176</v>
      </c>
      <c r="F722" s="7" t="s">
        <v>177</v>
      </c>
      <c r="G722" s="7" t="s">
        <v>101</v>
      </c>
      <c r="H722" s="7" t="s">
        <v>39</v>
      </c>
      <c r="I722" s="7" t="s">
        <v>88</v>
      </c>
      <c r="J722" s="7" t="s">
        <v>173</v>
      </c>
      <c r="K722" s="7" t="s">
        <v>69</v>
      </c>
      <c r="L722" s="7" t="s">
        <v>2663</v>
      </c>
      <c r="M722" s="7" t="s">
        <v>153</v>
      </c>
      <c r="N722" s="7" t="s">
        <v>31</v>
      </c>
      <c r="O722" s="7">
        <v>48</v>
      </c>
      <c r="P722" s="7">
        <v>110.04</v>
      </c>
      <c r="Q722" s="7">
        <v>59.76</v>
      </c>
      <c r="R722" s="7">
        <v>5281.85</v>
      </c>
      <c r="S722" s="7">
        <v>0.02</v>
      </c>
      <c r="T722" s="7">
        <v>105.64</v>
      </c>
      <c r="U722" s="7">
        <v>5176.22</v>
      </c>
      <c r="V722" s="7">
        <v>2868.47</v>
      </c>
      <c r="W722" s="7">
        <v>2307.75</v>
      </c>
      <c r="X722" s="7" t="s">
        <v>45</v>
      </c>
    </row>
    <row r="723" spans="1:24" x14ac:dyDescent="0.25">
      <c r="A723" s="16" t="s">
        <v>1201</v>
      </c>
      <c r="B723" s="17">
        <v>45485</v>
      </c>
      <c r="C723" s="6" t="s">
        <v>373</v>
      </c>
      <c r="D723" s="6" t="s">
        <v>264</v>
      </c>
      <c r="E723" s="6" t="s">
        <v>99</v>
      </c>
      <c r="F723" s="6" t="s">
        <v>100</v>
      </c>
      <c r="G723" s="6" t="s">
        <v>101</v>
      </c>
      <c r="H723" s="6" t="s">
        <v>102</v>
      </c>
      <c r="I723" s="6" t="s">
        <v>53</v>
      </c>
      <c r="J723" s="6" t="s">
        <v>54</v>
      </c>
      <c r="K723" s="6" t="s">
        <v>60</v>
      </c>
      <c r="L723" s="6" t="s">
        <v>2662</v>
      </c>
      <c r="M723" s="6" t="s">
        <v>61</v>
      </c>
      <c r="N723" s="6" t="s">
        <v>44</v>
      </c>
      <c r="O723" s="6">
        <v>61</v>
      </c>
      <c r="P723" s="6">
        <v>70.37</v>
      </c>
      <c r="Q723" s="6">
        <v>39.85</v>
      </c>
      <c r="R723" s="6">
        <v>4292.5200000000004</v>
      </c>
      <c r="S723" s="6">
        <v>0.2</v>
      </c>
      <c r="T723" s="6">
        <v>858.5</v>
      </c>
      <c r="U723" s="6">
        <v>3434.01</v>
      </c>
      <c r="V723" s="6">
        <v>2430.71</v>
      </c>
      <c r="W723" s="6">
        <v>1003.31</v>
      </c>
      <c r="X723" s="6" t="s">
        <v>129</v>
      </c>
    </row>
    <row r="724" spans="1:24" x14ac:dyDescent="0.25">
      <c r="A724" s="5" t="s">
        <v>1202</v>
      </c>
      <c r="B724" s="18">
        <v>45299</v>
      </c>
      <c r="C724" s="7" t="s">
        <v>375</v>
      </c>
      <c r="D724" s="7" t="s">
        <v>221</v>
      </c>
      <c r="E724" s="7" t="s">
        <v>23</v>
      </c>
      <c r="F724" s="7" t="s">
        <v>24</v>
      </c>
      <c r="G724" s="7" t="s">
        <v>25</v>
      </c>
      <c r="H724" s="7" t="s">
        <v>26</v>
      </c>
      <c r="I724" s="7" t="s">
        <v>27</v>
      </c>
      <c r="J724" s="7" t="s">
        <v>106</v>
      </c>
      <c r="K724" s="7" t="s">
        <v>218</v>
      </c>
      <c r="L724" s="7" t="s">
        <v>2674</v>
      </c>
      <c r="M724" s="7" t="s">
        <v>43</v>
      </c>
      <c r="N724" s="7" t="s">
        <v>70</v>
      </c>
      <c r="O724" s="7">
        <v>59</v>
      </c>
      <c r="P724" s="7">
        <v>77.72</v>
      </c>
      <c r="Q724" s="7">
        <v>42.63</v>
      </c>
      <c r="R724" s="7">
        <v>4585.4799999999996</v>
      </c>
      <c r="S724" s="7">
        <v>0</v>
      </c>
      <c r="T724" s="7">
        <v>0</v>
      </c>
      <c r="U724" s="7">
        <v>4585.4799999999996</v>
      </c>
      <c r="V724" s="7">
        <v>2514.9</v>
      </c>
      <c r="W724" s="7">
        <v>2070.58</v>
      </c>
      <c r="X724" s="7" t="s">
        <v>1042</v>
      </c>
    </row>
    <row r="725" spans="1:24" x14ac:dyDescent="0.25">
      <c r="A725" s="16" t="s">
        <v>1203</v>
      </c>
      <c r="B725" s="17">
        <v>45318</v>
      </c>
      <c r="C725" s="6" t="s">
        <v>1137</v>
      </c>
      <c r="D725" s="6" t="s">
        <v>163</v>
      </c>
      <c r="E725" s="6" t="s">
        <v>78</v>
      </c>
      <c r="F725" s="6" t="s">
        <v>79</v>
      </c>
      <c r="G725" s="6" t="s">
        <v>80</v>
      </c>
      <c r="H725" s="6" t="s">
        <v>81</v>
      </c>
      <c r="I725" s="6" t="s">
        <v>88</v>
      </c>
      <c r="J725" s="6" t="s">
        <v>183</v>
      </c>
      <c r="K725" s="6" t="s">
        <v>144</v>
      </c>
      <c r="L725" s="6" t="s">
        <v>2669</v>
      </c>
      <c r="M725" s="6" t="s">
        <v>153</v>
      </c>
      <c r="N725" s="6" t="s">
        <v>70</v>
      </c>
      <c r="O725" s="6">
        <v>55</v>
      </c>
      <c r="P725" s="6">
        <v>141.97999999999999</v>
      </c>
      <c r="Q725" s="6">
        <v>81.75</v>
      </c>
      <c r="R725" s="6">
        <v>7808.67</v>
      </c>
      <c r="S725" s="6">
        <v>0.1</v>
      </c>
      <c r="T725" s="6">
        <v>780.87</v>
      </c>
      <c r="U725" s="6">
        <v>7027.8</v>
      </c>
      <c r="V725" s="6">
        <v>4496.2700000000004</v>
      </c>
      <c r="W725" s="6">
        <v>2531.5300000000002</v>
      </c>
      <c r="X725" s="6" t="s">
        <v>45</v>
      </c>
    </row>
    <row r="726" spans="1:24" x14ac:dyDescent="0.25">
      <c r="A726" s="5" t="s">
        <v>1204</v>
      </c>
      <c r="B726" s="18">
        <v>45591</v>
      </c>
      <c r="C726" s="7" t="s">
        <v>626</v>
      </c>
      <c r="D726" s="7" t="s">
        <v>163</v>
      </c>
      <c r="E726" s="7" t="s">
        <v>222</v>
      </c>
      <c r="F726" s="7" t="s">
        <v>223</v>
      </c>
      <c r="G726" s="7" t="s">
        <v>101</v>
      </c>
      <c r="H726" s="7" t="s">
        <v>68</v>
      </c>
      <c r="I726" s="7" t="s">
        <v>58</v>
      </c>
      <c r="J726" s="7" t="s">
        <v>345</v>
      </c>
      <c r="K726" s="7" t="s">
        <v>90</v>
      </c>
      <c r="L726" s="7" t="s">
        <v>2666</v>
      </c>
      <c r="M726" s="7" t="s">
        <v>43</v>
      </c>
      <c r="N726" s="7" t="s">
        <v>70</v>
      </c>
      <c r="O726" s="7">
        <v>31</v>
      </c>
      <c r="P726" s="7">
        <v>121.58</v>
      </c>
      <c r="Q726" s="7">
        <v>81.099999999999994</v>
      </c>
      <c r="R726" s="7">
        <v>3769.06</v>
      </c>
      <c r="S726" s="7">
        <v>0.1</v>
      </c>
      <c r="T726" s="7">
        <v>376.91</v>
      </c>
      <c r="U726" s="7">
        <v>3392.15</v>
      </c>
      <c r="V726" s="7">
        <v>2513.9699999999998</v>
      </c>
      <c r="W726" s="7">
        <v>878.18</v>
      </c>
      <c r="X726" s="7" t="s">
        <v>45</v>
      </c>
    </row>
    <row r="727" spans="1:24" x14ac:dyDescent="0.25">
      <c r="A727" s="16" t="s">
        <v>1205</v>
      </c>
      <c r="B727" s="17">
        <v>45413</v>
      </c>
      <c r="C727" s="6" t="s">
        <v>515</v>
      </c>
      <c r="D727" s="6" t="s">
        <v>48</v>
      </c>
      <c r="E727" s="6" t="s">
        <v>66</v>
      </c>
      <c r="F727" s="6" t="s">
        <v>67</v>
      </c>
      <c r="G727" s="6" t="s">
        <v>38</v>
      </c>
      <c r="H727" s="6" t="s">
        <v>68</v>
      </c>
      <c r="I727" s="6" t="s">
        <v>88</v>
      </c>
      <c r="J727" s="6" t="s">
        <v>89</v>
      </c>
      <c r="K727" s="6" t="s">
        <v>253</v>
      </c>
      <c r="L727" s="6" t="s">
        <v>2676</v>
      </c>
      <c r="M727" s="6" t="s">
        <v>153</v>
      </c>
      <c r="N727" s="6" t="s">
        <v>31</v>
      </c>
      <c r="O727" s="6">
        <v>64</v>
      </c>
      <c r="P727" s="6">
        <v>149.01</v>
      </c>
      <c r="Q727" s="6">
        <v>106.37</v>
      </c>
      <c r="R727" s="6">
        <v>9536.42</v>
      </c>
      <c r="S727" s="6">
        <v>0</v>
      </c>
      <c r="T727" s="6">
        <v>0</v>
      </c>
      <c r="U727" s="6">
        <v>9536.42</v>
      </c>
      <c r="V727" s="6">
        <v>6807.67</v>
      </c>
      <c r="W727" s="6">
        <v>2728.75</v>
      </c>
      <c r="X727" s="6" t="s">
        <v>32</v>
      </c>
    </row>
    <row r="728" spans="1:24" x14ac:dyDescent="0.25">
      <c r="A728" s="5" t="s">
        <v>1206</v>
      </c>
      <c r="B728" s="18">
        <v>45400</v>
      </c>
      <c r="C728" s="7" t="s">
        <v>953</v>
      </c>
      <c r="D728" s="7" t="s">
        <v>221</v>
      </c>
      <c r="E728" s="7" t="s">
        <v>187</v>
      </c>
      <c r="F728" s="7" t="s">
        <v>188</v>
      </c>
      <c r="G728" s="7" t="s">
        <v>25</v>
      </c>
      <c r="H728" s="7" t="s">
        <v>26</v>
      </c>
      <c r="I728" s="7" t="s">
        <v>58</v>
      </c>
      <c r="J728" s="7" t="s">
        <v>323</v>
      </c>
      <c r="K728" s="7" t="s">
        <v>261</v>
      </c>
      <c r="L728" s="7" t="s">
        <v>2677</v>
      </c>
      <c r="M728" s="7" t="s">
        <v>43</v>
      </c>
      <c r="N728" s="7" t="s">
        <v>31</v>
      </c>
      <c r="O728" s="7">
        <v>24</v>
      </c>
      <c r="P728" s="7">
        <v>47.34</v>
      </c>
      <c r="Q728" s="7">
        <v>27.25</v>
      </c>
      <c r="R728" s="7">
        <v>1136.07</v>
      </c>
      <c r="S728" s="7">
        <v>0</v>
      </c>
      <c r="T728" s="7">
        <v>0</v>
      </c>
      <c r="U728" s="7">
        <v>1136.07</v>
      </c>
      <c r="V728" s="7">
        <v>653.89</v>
      </c>
      <c r="W728" s="7">
        <v>482.17</v>
      </c>
      <c r="X728" s="7" t="s">
        <v>32</v>
      </c>
    </row>
    <row r="729" spans="1:24" x14ac:dyDescent="0.25">
      <c r="A729" s="16" t="s">
        <v>1207</v>
      </c>
      <c r="B729" s="17">
        <v>45412</v>
      </c>
      <c r="C729" s="6" t="s">
        <v>631</v>
      </c>
      <c r="D729" s="6" t="s">
        <v>105</v>
      </c>
      <c r="E729" s="6" t="s">
        <v>187</v>
      </c>
      <c r="F729" s="6" t="s">
        <v>188</v>
      </c>
      <c r="G729" s="6" t="s">
        <v>25</v>
      </c>
      <c r="H729" s="6" t="s">
        <v>26</v>
      </c>
      <c r="I729" s="6" t="s">
        <v>58</v>
      </c>
      <c r="J729" s="6" t="s">
        <v>345</v>
      </c>
      <c r="K729" s="6" t="s">
        <v>248</v>
      </c>
      <c r="L729" s="6" t="s">
        <v>2675</v>
      </c>
      <c r="M729" s="6" t="s">
        <v>153</v>
      </c>
      <c r="N729" s="6" t="s">
        <v>31</v>
      </c>
      <c r="O729" s="6">
        <v>39</v>
      </c>
      <c r="P729" s="6">
        <v>51.66</v>
      </c>
      <c r="Q729" s="6">
        <v>28.57</v>
      </c>
      <c r="R729" s="6">
        <v>2014.92</v>
      </c>
      <c r="S729" s="6">
        <v>0.02</v>
      </c>
      <c r="T729" s="6">
        <v>40.299999999999997</v>
      </c>
      <c r="U729" s="6">
        <v>1974.62</v>
      </c>
      <c r="V729" s="6">
        <v>1114.1500000000001</v>
      </c>
      <c r="W729" s="6">
        <v>860.47</v>
      </c>
      <c r="X729" s="6" t="s">
        <v>45</v>
      </c>
    </row>
    <row r="730" spans="1:24" x14ac:dyDescent="0.25">
      <c r="A730" s="5" t="s">
        <v>1208</v>
      </c>
      <c r="B730" s="18">
        <v>45421</v>
      </c>
      <c r="C730" s="7" t="s">
        <v>526</v>
      </c>
      <c r="D730" s="7" t="s">
        <v>159</v>
      </c>
      <c r="E730" s="7" t="s">
        <v>126</v>
      </c>
      <c r="F730" s="7" t="s">
        <v>127</v>
      </c>
      <c r="G730" s="7" t="s">
        <v>95</v>
      </c>
      <c r="H730" s="7" t="s">
        <v>128</v>
      </c>
      <c r="I730" s="7" t="s">
        <v>27</v>
      </c>
      <c r="J730" s="7" t="s">
        <v>106</v>
      </c>
      <c r="K730" s="7" t="s">
        <v>74</v>
      </c>
      <c r="L730" s="7" t="s">
        <v>2664</v>
      </c>
      <c r="M730" s="7" t="s">
        <v>43</v>
      </c>
      <c r="N730" s="7" t="s">
        <v>44</v>
      </c>
      <c r="O730" s="7">
        <v>42</v>
      </c>
      <c r="P730" s="7">
        <v>90.17</v>
      </c>
      <c r="Q730" s="7">
        <v>50.68</v>
      </c>
      <c r="R730" s="7">
        <v>3787.31</v>
      </c>
      <c r="S730" s="7">
        <v>0</v>
      </c>
      <c r="T730" s="7">
        <v>0</v>
      </c>
      <c r="U730" s="7">
        <v>3787.31</v>
      </c>
      <c r="V730" s="7">
        <v>2128.59</v>
      </c>
      <c r="W730" s="7">
        <v>1658.73</v>
      </c>
      <c r="X730" s="7" t="s">
        <v>45</v>
      </c>
    </row>
    <row r="731" spans="1:24" x14ac:dyDescent="0.25">
      <c r="A731" s="16" t="s">
        <v>1209</v>
      </c>
      <c r="B731" s="17">
        <v>45490</v>
      </c>
      <c r="C731" s="6" t="s">
        <v>1210</v>
      </c>
      <c r="D731" s="6" t="s">
        <v>65</v>
      </c>
      <c r="E731" s="6" t="s">
        <v>216</v>
      </c>
      <c r="F731" s="6" t="s">
        <v>217</v>
      </c>
      <c r="G731" s="6" t="s">
        <v>38</v>
      </c>
      <c r="H731" s="6" t="s">
        <v>134</v>
      </c>
      <c r="I731" s="6" t="s">
        <v>53</v>
      </c>
      <c r="J731" s="6" t="s">
        <v>122</v>
      </c>
      <c r="K731" s="6" t="s">
        <v>261</v>
      </c>
      <c r="L731" s="6" t="s">
        <v>2677</v>
      </c>
      <c r="M731" s="6" t="s">
        <v>30</v>
      </c>
      <c r="N731" s="6" t="s">
        <v>84</v>
      </c>
      <c r="O731" s="6">
        <v>5</v>
      </c>
      <c r="P731" s="6">
        <v>115.47</v>
      </c>
      <c r="Q731" s="6">
        <v>70.599999999999994</v>
      </c>
      <c r="R731" s="6">
        <v>577.36</v>
      </c>
      <c r="S731" s="6">
        <v>0.2</v>
      </c>
      <c r="T731" s="6">
        <v>115.47</v>
      </c>
      <c r="U731" s="6">
        <v>461.89</v>
      </c>
      <c r="V731" s="6">
        <v>353</v>
      </c>
      <c r="W731" s="6">
        <v>108.89</v>
      </c>
      <c r="X731" s="6" t="s">
        <v>45</v>
      </c>
    </row>
    <row r="732" spans="1:24" x14ac:dyDescent="0.25">
      <c r="A732" s="5" t="s">
        <v>1211</v>
      </c>
      <c r="B732" s="18">
        <v>45294</v>
      </c>
      <c r="C732" s="7" t="s">
        <v>660</v>
      </c>
      <c r="D732" s="7" t="s">
        <v>264</v>
      </c>
      <c r="E732" s="7" t="s">
        <v>114</v>
      </c>
      <c r="F732" s="7" t="s">
        <v>115</v>
      </c>
      <c r="G732" s="7" t="s">
        <v>95</v>
      </c>
      <c r="H732" s="7" t="s">
        <v>116</v>
      </c>
      <c r="I732" s="7" t="s">
        <v>58</v>
      </c>
      <c r="J732" s="7" t="s">
        <v>323</v>
      </c>
      <c r="K732" s="7" t="s">
        <v>74</v>
      </c>
      <c r="L732" s="7" t="s">
        <v>2664</v>
      </c>
      <c r="M732" s="7" t="s">
        <v>153</v>
      </c>
      <c r="N732" s="7" t="s">
        <v>75</v>
      </c>
      <c r="O732" s="7">
        <v>70</v>
      </c>
      <c r="P732" s="7">
        <v>35.229999999999997</v>
      </c>
      <c r="Q732" s="7">
        <v>22.16</v>
      </c>
      <c r="R732" s="7">
        <v>2465.8000000000002</v>
      </c>
      <c r="S732" s="7">
        <v>0.15</v>
      </c>
      <c r="T732" s="7">
        <v>369.87</v>
      </c>
      <c r="U732" s="7">
        <v>2095.9299999999998</v>
      </c>
      <c r="V732" s="7">
        <v>1551.07</v>
      </c>
      <c r="W732" s="7">
        <v>544.86</v>
      </c>
      <c r="X732" s="7" t="s">
        <v>45</v>
      </c>
    </row>
    <row r="733" spans="1:24" x14ac:dyDescent="0.25">
      <c r="A733" s="16" t="s">
        <v>635</v>
      </c>
      <c r="B733" s="17">
        <v>45501</v>
      </c>
      <c r="C733" s="6" t="s">
        <v>636</v>
      </c>
      <c r="D733" s="6" t="s">
        <v>87</v>
      </c>
      <c r="E733" s="6" t="s">
        <v>109</v>
      </c>
      <c r="F733" s="6" t="s">
        <v>110</v>
      </c>
      <c r="G733" s="6" t="s">
        <v>80</v>
      </c>
      <c r="H733" s="6" t="s">
        <v>81</v>
      </c>
      <c r="I733" s="6" t="s">
        <v>88</v>
      </c>
      <c r="J733" s="6" t="s">
        <v>183</v>
      </c>
      <c r="K733" s="6" t="s">
        <v>111</v>
      </c>
      <c r="L733" s="6" t="s">
        <v>2667</v>
      </c>
      <c r="M733" s="6" t="s">
        <v>153</v>
      </c>
      <c r="N733" s="6" t="s">
        <v>84</v>
      </c>
      <c r="O733" s="6">
        <v>47</v>
      </c>
      <c r="P733" s="6">
        <v>126.04</v>
      </c>
      <c r="Q733" s="6">
        <v>73.239999999999995</v>
      </c>
      <c r="R733" s="6">
        <v>5923.92</v>
      </c>
      <c r="S733" s="6">
        <v>0</v>
      </c>
      <c r="T733" s="6">
        <v>0</v>
      </c>
      <c r="U733" s="6">
        <v>5923.92</v>
      </c>
      <c r="V733" s="6">
        <v>3442.46</v>
      </c>
      <c r="W733" s="6">
        <v>2481.4699999999998</v>
      </c>
      <c r="X733" s="6" t="s">
        <v>32</v>
      </c>
    </row>
    <row r="734" spans="1:24" x14ac:dyDescent="0.25">
      <c r="A734" s="5" t="s">
        <v>1212</v>
      </c>
      <c r="B734" s="18">
        <v>45349</v>
      </c>
      <c r="C734" s="7" t="s">
        <v>519</v>
      </c>
      <c r="D734" s="7" t="s">
        <v>121</v>
      </c>
      <c r="E734" s="7" t="s">
        <v>93</v>
      </c>
      <c r="F734" s="7" t="s">
        <v>94</v>
      </c>
      <c r="G734" s="7" t="s">
        <v>95</v>
      </c>
      <c r="H734" s="7" t="s">
        <v>96</v>
      </c>
      <c r="I734" s="7" t="s">
        <v>88</v>
      </c>
      <c r="J734" s="7" t="s">
        <v>1213</v>
      </c>
      <c r="K734" s="7" t="s">
        <v>248</v>
      </c>
      <c r="L734" s="7" t="s">
        <v>2675</v>
      </c>
      <c r="M734" s="7" t="s">
        <v>153</v>
      </c>
      <c r="N734" s="7" t="s">
        <v>44</v>
      </c>
      <c r="O734" s="7">
        <v>18</v>
      </c>
      <c r="P734" s="7">
        <v>53.36</v>
      </c>
      <c r="Q734" s="7">
        <v>32.979999999999997</v>
      </c>
      <c r="R734" s="7">
        <v>960.52</v>
      </c>
      <c r="S734" s="7">
        <v>0.02</v>
      </c>
      <c r="T734" s="7">
        <v>19.21</v>
      </c>
      <c r="U734" s="7">
        <v>941.31</v>
      </c>
      <c r="V734" s="7">
        <v>593.61</v>
      </c>
      <c r="W734" s="7">
        <v>347.7</v>
      </c>
      <c r="X734" s="7" t="s">
        <v>32</v>
      </c>
    </row>
    <row r="735" spans="1:24" x14ac:dyDescent="0.25">
      <c r="A735" s="16" t="s">
        <v>1214</v>
      </c>
      <c r="B735" s="17">
        <v>45444</v>
      </c>
      <c r="C735" s="6" t="s">
        <v>1215</v>
      </c>
      <c r="D735" s="6" t="s">
        <v>163</v>
      </c>
      <c r="E735" s="6" t="s">
        <v>176</v>
      </c>
      <c r="F735" s="6" t="s">
        <v>177</v>
      </c>
      <c r="G735" s="6" t="s">
        <v>101</v>
      </c>
      <c r="H735" s="6" t="s">
        <v>39</v>
      </c>
      <c r="I735" s="6" t="s">
        <v>27</v>
      </c>
      <c r="J735" s="6" t="s">
        <v>106</v>
      </c>
      <c r="K735" s="6" t="s">
        <v>253</v>
      </c>
      <c r="L735" s="6" t="s">
        <v>2676</v>
      </c>
      <c r="M735" s="6" t="s">
        <v>61</v>
      </c>
      <c r="N735" s="6" t="s">
        <v>31</v>
      </c>
      <c r="O735" s="6">
        <v>50</v>
      </c>
      <c r="P735" s="6">
        <v>100.44</v>
      </c>
      <c r="Q735" s="6">
        <v>58.74</v>
      </c>
      <c r="R735" s="6">
        <v>5022.1899999999996</v>
      </c>
      <c r="S735" s="6">
        <v>0.1</v>
      </c>
      <c r="T735" s="6">
        <v>502.22</v>
      </c>
      <c r="U735" s="6">
        <v>4519.97</v>
      </c>
      <c r="V735" s="6">
        <v>2936.8</v>
      </c>
      <c r="W735" s="6">
        <v>1583.17</v>
      </c>
      <c r="X735" s="6" t="s">
        <v>45</v>
      </c>
    </row>
    <row r="736" spans="1:24" x14ac:dyDescent="0.25">
      <c r="A736" s="5" t="s">
        <v>1216</v>
      </c>
      <c r="B736" s="18">
        <v>45366</v>
      </c>
      <c r="C736" s="7" t="s">
        <v>926</v>
      </c>
      <c r="D736" s="7" t="s">
        <v>22</v>
      </c>
      <c r="E736" s="7" t="s">
        <v>126</v>
      </c>
      <c r="F736" s="7" t="s">
        <v>127</v>
      </c>
      <c r="G736" s="7" t="s">
        <v>95</v>
      </c>
      <c r="H736" s="7" t="s">
        <v>128</v>
      </c>
      <c r="I736" s="7" t="s">
        <v>40</v>
      </c>
      <c r="J736" s="7" t="s">
        <v>289</v>
      </c>
      <c r="K736" s="7" t="s">
        <v>261</v>
      </c>
      <c r="L736" s="7" t="s">
        <v>2677</v>
      </c>
      <c r="M736" s="7" t="s">
        <v>43</v>
      </c>
      <c r="N736" s="7" t="s">
        <v>31</v>
      </c>
      <c r="O736" s="7">
        <v>33</v>
      </c>
      <c r="P736" s="7">
        <v>93.41</v>
      </c>
      <c r="Q736" s="7">
        <v>56.25</v>
      </c>
      <c r="R736" s="7">
        <v>3082.4</v>
      </c>
      <c r="S736" s="7">
        <v>0.15</v>
      </c>
      <c r="T736" s="7">
        <v>462.36</v>
      </c>
      <c r="U736" s="7">
        <v>2620.04</v>
      </c>
      <c r="V736" s="7">
        <v>1856.18</v>
      </c>
      <c r="W736" s="7">
        <v>763.86</v>
      </c>
      <c r="X736" s="7" t="s">
        <v>32</v>
      </c>
    </row>
    <row r="737" spans="1:24" x14ac:dyDescent="0.25">
      <c r="A737" s="16" t="s">
        <v>1217</v>
      </c>
      <c r="B737" s="17">
        <v>45372</v>
      </c>
      <c r="C737" s="6" t="s">
        <v>113</v>
      </c>
      <c r="D737" s="6" t="s">
        <v>65</v>
      </c>
      <c r="E737" s="6" t="s">
        <v>114</v>
      </c>
      <c r="F737" s="6" t="s">
        <v>115</v>
      </c>
      <c r="G737" s="6" t="s">
        <v>95</v>
      </c>
      <c r="H737" s="6" t="s">
        <v>116</v>
      </c>
      <c r="I737" s="6" t="s">
        <v>40</v>
      </c>
      <c r="J737" s="6" t="s">
        <v>41</v>
      </c>
      <c r="K737" s="6" t="s">
        <v>90</v>
      </c>
      <c r="L737" s="6" t="s">
        <v>2666</v>
      </c>
      <c r="M737" s="6" t="s">
        <v>43</v>
      </c>
      <c r="N737" s="6" t="s">
        <v>75</v>
      </c>
      <c r="O737" s="6">
        <v>4</v>
      </c>
      <c r="P737" s="6">
        <v>32.69</v>
      </c>
      <c r="Q737" s="6">
        <v>20.5</v>
      </c>
      <c r="R737" s="6">
        <v>130.77000000000001</v>
      </c>
      <c r="S737" s="6">
        <v>0.1</v>
      </c>
      <c r="T737" s="6">
        <v>13.08</v>
      </c>
      <c r="U737" s="6">
        <v>117.69</v>
      </c>
      <c r="V737" s="6">
        <v>81.99</v>
      </c>
      <c r="W737" s="6">
        <v>35.700000000000003</v>
      </c>
      <c r="X737" s="6" t="s">
        <v>129</v>
      </c>
    </row>
    <row r="738" spans="1:24" x14ac:dyDescent="0.25">
      <c r="A738" s="5" t="s">
        <v>1218</v>
      </c>
      <c r="B738" s="18">
        <v>45398</v>
      </c>
      <c r="C738" s="7" t="s">
        <v>1219</v>
      </c>
      <c r="D738" s="7" t="s">
        <v>359</v>
      </c>
      <c r="E738" s="7" t="s">
        <v>132</v>
      </c>
      <c r="F738" s="7" t="s">
        <v>133</v>
      </c>
      <c r="G738" s="7" t="s">
        <v>51</v>
      </c>
      <c r="H738" s="7" t="s">
        <v>134</v>
      </c>
      <c r="I738" s="7" t="s">
        <v>27</v>
      </c>
      <c r="J738" s="7" t="s">
        <v>28</v>
      </c>
      <c r="K738" s="7" t="s">
        <v>83</v>
      </c>
      <c r="L738" s="7" t="s">
        <v>2665</v>
      </c>
      <c r="M738" s="7" t="s">
        <v>43</v>
      </c>
      <c r="N738" s="7" t="s">
        <v>44</v>
      </c>
      <c r="O738" s="7">
        <v>39</v>
      </c>
      <c r="P738" s="7">
        <v>59.87</v>
      </c>
      <c r="Q738" s="7">
        <v>36.03</v>
      </c>
      <c r="R738" s="7">
        <v>2335.0100000000002</v>
      </c>
      <c r="S738" s="7">
        <v>0.1</v>
      </c>
      <c r="T738" s="7">
        <v>233.5</v>
      </c>
      <c r="U738" s="7">
        <v>2101.5100000000002</v>
      </c>
      <c r="V738" s="7">
        <v>1405.23</v>
      </c>
      <c r="W738" s="7">
        <v>696.28</v>
      </c>
      <c r="X738" s="7" t="s">
        <v>45</v>
      </c>
    </row>
    <row r="739" spans="1:24" x14ac:dyDescent="0.25">
      <c r="A739" s="16" t="s">
        <v>1220</v>
      </c>
      <c r="B739" s="17">
        <v>45327</v>
      </c>
      <c r="C739" s="6" t="s">
        <v>131</v>
      </c>
      <c r="D739" s="6" t="s">
        <v>65</v>
      </c>
      <c r="E739" s="6" t="s">
        <v>78</v>
      </c>
      <c r="F739" s="6" t="s">
        <v>79</v>
      </c>
      <c r="G739" s="6" t="s">
        <v>80</v>
      </c>
      <c r="H739" s="6" t="s">
        <v>81</v>
      </c>
      <c r="I739" s="6" t="s">
        <v>27</v>
      </c>
      <c r="J739" s="6" t="s">
        <v>189</v>
      </c>
      <c r="K739" s="6" t="s">
        <v>111</v>
      </c>
      <c r="L739" s="6" t="s">
        <v>2667</v>
      </c>
      <c r="M739" s="6" t="s">
        <v>61</v>
      </c>
      <c r="N739" s="6" t="s">
        <v>75</v>
      </c>
      <c r="O739" s="6">
        <v>61</v>
      </c>
      <c r="P739" s="6">
        <v>137.18</v>
      </c>
      <c r="Q739" s="6">
        <v>80.3</v>
      </c>
      <c r="R739" s="6">
        <v>8368.2000000000007</v>
      </c>
      <c r="S739" s="6">
        <v>0</v>
      </c>
      <c r="T739" s="6">
        <v>0</v>
      </c>
      <c r="U739" s="6">
        <v>8368.2000000000007</v>
      </c>
      <c r="V739" s="6">
        <v>4898.47</v>
      </c>
      <c r="W739" s="6">
        <v>3469.73</v>
      </c>
      <c r="X739" s="6" t="s">
        <v>129</v>
      </c>
    </row>
    <row r="740" spans="1:24" x14ac:dyDescent="0.25">
      <c r="A740" s="5" t="s">
        <v>1221</v>
      </c>
      <c r="B740" s="18">
        <v>45342</v>
      </c>
      <c r="C740" s="7" t="s">
        <v>1028</v>
      </c>
      <c r="D740" s="7" t="s">
        <v>57</v>
      </c>
      <c r="E740" s="7" t="s">
        <v>126</v>
      </c>
      <c r="F740" s="7" t="s">
        <v>127</v>
      </c>
      <c r="G740" s="7" t="s">
        <v>95</v>
      </c>
      <c r="H740" s="7" t="s">
        <v>128</v>
      </c>
      <c r="I740" s="7" t="s">
        <v>88</v>
      </c>
      <c r="J740" s="7" t="s">
        <v>183</v>
      </c>
      <c r="K740" s="7" t="s">
        <v>29</v>
      </c>
      <c r="L740" s="7" t="s">
        <v>2660</v>
      </c>
      <c r="M740" s="7" t="s">
        <v>43</v>
      </c>
      <c r="N740" s="7" t="s">
        <v>31</v>
      </c>
      <c r="O740" s="7">
        <v>48</v>
      </c>
      <c r="P740" s="7">
        <v>96.81</v>
      </c>
      <c r="Q740" s="7">
        <v>52.09</v>
      </c>
      <c r="R740" s="7">
        <v>4646.9399999999996</v>
      </c>
      <c r="S740" s="7">
        <v>0.15</v>
      </c>
      <c r="T740" s="7">
        <v>697.04</v>
      </c>
      <c r="U740" s="7">
        <v>3949.9</v>
      </c>
      <c r="V740" s="7">
        <v>2500.4899999999998</v>
      </c>
      <c r="W740" s="7">
        <v>1449.42</v>
      </c>
      <c r="X740" s="7" t="s">
        <v>45</v>
      </c>
    </row>
    <row r="741" spans="1:24" x14ac:dyDescent="0.25">
      <c r="A741" s="16" t="s">
        <v>1222</v>
      </c>
      <c r="B741" s="17">
        <v>45606</v>
      </c>
      <c r="C741" s="6" t="s">
        <v>449</v>
      </c>
      <c r="D741" s="6" t="s">
        <v>65</v>
      </c>
      <c r="E741" s="6" t="s">
        <v>114</v>
      </c>
      <c r="F741" s="6" t="s">
        <v>115</v>
      </c>
      <c r="G741" s="6" t="s">
        <v>95</v>
      </c>
      <c r="H741" s="6" t="s">
        <v>116</v>
      </c>
      <c r="I741" s="6" t="s">
        <v>88</v>
      </c>
      <c r="J741" s="6" t="s">
        <v>89</v>
      </c>
      <c r="K741" s="6" t="s">
        <v>195</v>
      </c>
      <c r="L741" s="6" t="s">
        <v>2673</v>
      </c>
      <c r="M741" s="6" t="s">
        <v>61</v>
      </c>
      <c r="N741" s="6" t="s">
        <v>75</v>
      </c>
      <c r="O741" s="6">
        <v>38</v>
      </c>
      <c r="P741" s="6">
        <v>36.590000000000003</v>
      </c>
      <c r="Q741" s="6">
        <v>20.21</v>
      </c>
      <c r="R741" s="6">
        <v>1390.29</v>
      </c>
      <c r="S741" s="6">
        <v>25</v>
      </c>
      <c r="T741" s="6">
        <v>208.54</v>
      </c>
      <c r="U741" s="6">
        <v>1181.74</v>
      </c>
      <c r="V741" s="6">
        <v>768.11</v>
      </c>
      <c r="W741" s="6">
        <v>413.63</v>
      </c>
      <c r="X741" s="6" t="s">
        <v>45</v>
      </c>
    </row>
    <row r="742" spans="1:24" x14ac:dyDescent="0.25">
      <c r="A742" s="5" t="s">
        <v>1223</v>
      </c>
      <c r="B742" s="18">
        <v>45331</v>
      </c>
      <c r="C742" s="7" t="s">
        <v>563</v>
      </c>
      <c r="D742" s="7" t="s">
        <v>156</v>
      </c>
      <c r="E742" s="7" t="s">
        <v>209</v>
      </c>
      <c r="F742" s="7" t="s">
        <v>210</v>
      </c>
      <c r="G742" s="7" t="s">
        <v>51</v>
      </c>
      <c r="H742" s="7" t="s">
        <v>116</v>
      </c>
      <c r="I742" s="7" t="s">
        <v>40</v>
      </c>
      <c r="J742" s="7" t="s">
        <v>82</v>
      </c>
      <c r="K742" s="7" t="s">
        <v>69</v>
      </c>
      <c r="L742" s="7" t="s">
        <v>2663</v>
      </c>
      <c r="M742" s="7" t="s">
        <v>43</v>
      </c>
      <c r="N742" s="7" t="s">
        <v>75</v>
      </c>
      <c r="O742" s="7">
        <v>30</v>
      </c>
      <c r="P742" s="7">
        <v>16.62</v>
      </c>
      <c r="Q742" s="7">
        <v>-10</v>
      </c>
      <c r="R742" s="7">
        <v>498.45</v>
      </c>
      <c r="S742" s="7">
        <v>0.02</v>
      </c>
      <c r="T742" s="7">
        <v>9.9700000000000006</v>
      </c>
      <c r="U742" s="7">
        <v>488.48</v>
      </c>
      <c r="V742" s="7">
        <v>298.89</v>
      </c>
      <c r="W742" s="7">
        <v>189.59</v>
      </c>
      <c r="X742" s="7" t="s">
        <v>45</v>
      </c>
    </row>
    <row r="743" spans="1:24" x14ac:dyDescent="0.25">
      <c r="A743" s="16" t="s">
        <v>1224</v>
      </c>
      <c r="B743" s="17">
        <v>45417</v>
      </c>
      <c r="C743" s="6" t="s">
        <v>636</v>
      </c>
      <c r="D743" s="6" t="s">
        <v>87</v>
      </c>
      <c r="E743" s="6" t="s">
        <v>114</v>
      </c>
      <c r="F743" s="6" t="s">
        <v>115</v>
      </c>
      <c r="G743" s="6" t="s">
        <v>95</v>
      </c>
      <c r="H743" s="6" t="s">
        <v>116</v>
      </c>
      <c r="I743" s="6" t="s">
        <v>40</v>
      </c>
      <c r="J743" s="6" t="s">
        <v>117</v>
      </c>
      <c r="K743" s="6" t="s">
        <v>90</v>
      </c>
      <c r="L743" s="6" t="s">
        <v>2666</v>
      </c>
      <c r="M743" s="6" t="s">
        <v>153</v>
      </c>
      <c r="N743" s="6" t="s">
        <v>31</v>
      </c>
      <c r="O743" s="6">
        <v>72</v>
      </c>
      <c r="P743" s="6">
        <v>33.119999999999997</v>
      </c>
      <c r="Q743" s="6">
        <v>20.43</v>
      </c>
      <c r="R743" s="6">
        <v>2384.81</v>
      </c>
      <c r="S743" s="6">
        <v>0</v>
      </c>
      <c r="T743" s="6">
        <v>0</v>
      </c>
      <c r="U743" s="6">
        <v>2384.81</v>
      </c>
      <c r="V743" s="6">
        <v>1470.93</v>
      </c>
      <c r="W743" s="6">
        <v>913.88</v>
      </c>
      <c r="X743" s="6" t="s">
        <v>270</v>
      </c>
    </row>
    <row r="744" spans="1:24" x14ac:dyDescent="0.25">
      <c r="A744" s="5" t="s">
        <v>1225</v>
      </c>
      <c r="B744" s="18">
        <v>45579</v>
      </c>
      <c r="C744" s="7" t="s">
        <v>140</v>
      </c>
      <c r="D744" s="7" t="s">
        <v>87</v>
      </c>
      <c r="E744" s="7" t="s">
        <v>150</v>
      </c>
      <c r="F744" s="7" t="s">
        <v>151</v>
      </c>
      <c r="G744" s="7" t="s">
        <v>101</v>
      </c>
      <c r="H744" s="7" t="s">
        <v>134</v>
      </c>
      <c r="I744" s="7" t="s">
        <v>53</v>
      </c>
      <c r="J744" s="7" t="s">
        <v>122</v>
      </c>
      <c r="K744" s="7" t="s">
        <v>248</v>
      </c>
      <c r="L744" s="7" t="s">
        <v>2675</v>
      </c>
      <c r="M744" s="7" t="s">
        <v>61</v>
      </c>
      <c r="N744" s="7" t="s">
        <v>44</v>
      </c>
      <c r="O744" s="7">
        <v>16</v>
      </c>
      <c r="P744" s="7">
        <v>83.29</v>
      </c>
      <c r="Q744" s="7">
        <v>52.03</v>
      </c>
      <c r="R744" s="7">
        <v>1332.72</v>
      </c>
      <c r="S744" s="7">
        <v>0.05</v>
      </c>
      <c r="T744" s="7">
        <v>66.64</v>
      </c>
      <c r="U744" s="7">
        <v>1266.08</v>
      </c>
      <c r="V744" s="7">
        <v>832.43</v>
      </c>
      <c r="W744" s="7">
        <v>433.65</v>
      </c>
      <c r="X744" s="7" t="s">
        <v>45</v>
      </c>
    </row>
    <row r="745" spans="1:24" x14ac:dyDescent="0.25">
      <c r="A745" s="16" t="s">
        <v>1226</v>
      </c>
      <c r="B745" s="17">
        <v>45529</v>
      </c>
      <c r="C745" s="6" t="s">
        <v>389</v>
      </c>
      <c r="D745" s="6" t="s">
        <v>264</v>
      </c>
      <c r="E745" s="6" t="s">
        <v>176</v>
      </c>
      <c r="F745" s="6" t="s">
        <v>177</v>
      </c>
      <c r="G745" s="6" t="s">
        <v>101</v>
      </c>
      <c r="H745" s="6" t="s">
        <v>39</v>
      </c>
      <c r="I745" s="6" t="s">
        <v>27</v>
      </c>
      <c r="J745" s="6" t="s">
        <v>106</v>
      </c>
      <c r="K745" s="6" t="s">
        <v>170</v>
      </c>
      <c r="L745" s="6" t="s">
        <v>2671</v>
      </c>
      <c r="M745" s="6" t="s">
        <v>153</v>
      </c>
      <c r="N745" s="6" t="s">
        <v>75</v>
      </c>
      <c r="O745" s="6">
        <v>53</v>
      </c>
      <c r="P745" s="6">
        <v>109.93</v>
      </c>
      <c r="Q745" s="6">
        <v>61.15</v>
      </c>
      <c r="R745" s="6">
        <v>5826.12</v>
      </c>
      <c r="S745" s="6">
        <v>0.2</v>
      </c>
      <c r="T745" s="6">
        <v>1165.22</v>
      </c>
      <c r="U745" s="6">
        <v>4660.8999999999996</v>
      </c>
      <c r="V745" s="6">
        <v>3241.11</v>
      </c>
      <c r="W745" s="6">
        <v>1419.79</v>
      </c>
      <c r="X745" s="6" t="s">
        <v>32</v>
      </c>
    </row>
    <row r="746" spans="1:24" x14ac:dyDescent="0.25">
      <c r="A746" s="5" t="s">
        <v>1227</v>
      </c>
      <c r="B746" s="18">
        <v>45499</v>
      </c>
      <c r="C746" s="7" t="s">
        <v>458</v>
      </c>
      <c r="D746" s="7" t="s">
        <v>163</v>
      </c>
      <c r="E746" s="7" t="s">
        <v>99</v>
      </c>
      <c r="F746" s="7" t="s">
        <v>100</v>
      </c>
      <c r="G746" s="7" t="s">
        <v>101</v>
      </c>
      <c r="H746" s="7" t="s">
        <v>102</v>
      </c>
      <c r="I746" s="7" t="s">
        <v>88</v>
      </c>
      <c r="J746" s="7" t="s">
        <v>173</v>
      </c>
      <c r="K746" s="7" t="s">
        <v>265</v>
      </c>
      <c r="L746" s="7" t="s">
        <v>2678</v>
      </c>
      <c r="M746" s="7" t="s">
        <v>153</v>
      </c>
      <c r="N746" s="7" t="s">
        <v>44</v>
      </c>
      <c r="O746" s="7">
        <v>14</v>
      </c>
      <c r="P746" s="7">
        <v>72.92</v>
      </c>
      <c r="Q746" s="7">
        <v>41.27</v>
      </c>
      <c r="R746" s="7">
        <v>1020.93</v>
      </c>
      <c r="S746" s="7">
        <v>0.05</v>
      </c>
      <c r="T746" s="7">
        <v>51.05</v>
      </c>
      <c r="U746" s="7">
        <v>969.88</v>
      </c>
      <c r="V746" s="7">
        <v>577.79</v>
      </c>
      <c r="W746" s="7">
        <v>392.09</v>
      </c>
      <c r="X746" s="7" t="s">
        <v>45</v>
      </c>
    </row>
    <row r="747" spans="1:24" x14ac:dyDescent="0.25">
      <c r="A747" s="16" t="s">
        <v>1228</v>
      </c>
      <c r="B747" s="17">
        <v>45540</v>
      </c>
      <c r="C747" s="6" t="s">
        <v>477</v>
      </c>
      <c r="D747" s="6" t="s">
        <v>221</v>
      </c>
      <c r="E747" s="6" t="s">
        <v>132</v>
      </c>
      <c r="F747" s="6" t="s">
        <v>133</v>
      </c>
      <c r="G747" s="6" t="s">
        <v>51</v>
      </c>
      <c r="H747" s="6" t="s">
        <v>134</v>
      </c>
      <c r="I747" s="6" t="s">
        <v>27</v>
      </c>
      <c r="J747" s="6" t="s">
        <v>211</v>
      </c>
      <c r="K747" s="6" t="s">
        <v>152</v>
      </c>
      <c r="L747" s="6" t="s">
        <v>2670</v>
      </c>
      <c r="M747" s="6" t="s">
        <v>153</v>
      </c>
      <c r="N747" s="6" t="s">
        <v>75</v>
      </c>
      <c r="O747" s="6">
        <v>1</v>
      </c>
      <c r="P747" s="6">
        <v>58.5</v>
      </c>
      <c r="Q747" s="6">
        <v>35.82</v>
      </c>
      <c r="R747" s="6">
        <v>58.5</v>
      </c>
      <c r="S747" s="6">
        <v>0</v>
      </c>
      <c r="T747" s="6">
        <v>0</v>
      </c>
      <c r="U747" s="6">
        <v>58.5</v>
      </c>
      <c r="V747" s="6">
        <v>35.82</v>
      </c>
      <c r="W747" s="6">
        <v>22.68</v>
      </c>
      <c r="X747" s="6" t="s">
        <v>45</v>
      </c>
    </row>
    <row r="748" spans="1:24" x14ac:dyDescent="0.25">
      <c r="A748" s="5" t="s">
        <v>1229</v>
      </c>
      <c r="B748" s="18">
        <v>45409</v>
      </c>
      <c r="C748" s="7" t="s">
        <v>305</v>
      </c>
      <c r="D748" s="7" t="s">
        <v>87</v>
      </c>
      <c r="E748" s="7" t="s">
        <v>209</v>
      </c>
      <c r="F748" s="7" t="s">
        <v>210</v>
      </c>
      <c r="G748" s="7" t="s">
        <v>51</v>
      </c>
      <c r="H748" s="7" t="s">
        <v>116</v>
      </c>
      <c r="I748" s="7" t="s">
        <v>27</v>
      </c>
      <c r="J748" s="7" t="s">
        <v>189</v>
      </c>
      <c r="K748" s="7" t="s">
        <v>265</v>
      </c>
      <c r="L748" s="7" t="s">
        <v>2678</v>
      </c>
      <c r="M748" s="7" t="s">
        <v>547</v>
      </c>
      <c r="N748" s="7" t="s">
        <v>84</v>
      </c>
      <c r="O748" s="7">
        <v>9</v>
      </c>
      <c r="P748" s="7">
        <v>17.440000000000001</v>
      </c>
      <c r="Q748" s="7">
        <v>9.36</v>
      </c>
      <c r="R748" s="7">
        <v>156.94</v>
      </c>
      <c r="S748" s="7">
        <v>0</v>
      </c>
      <c r="T748" s="7">
        <v>0</v>
      </c>
      <c r="U748" s="7">
        <v>156.94</v>
      </c>
      <c r="V748" s="7">
        <v>84.21</v>
      </c>
      <c r="W748" s="7">
        <v>72.73</v>
      </c>
      <c r="X748" s="7" t="s">
        <v>129</v>
      </c>
    </row>
    <row r="749" spans="1:24" x14ac:dyDescent="0.25">
      <c r="A749" s="16" t="s">
        <v>1230</v>
      </c>
      <c r="B749" s="17">
        <v>45377</v>
      </c>
      <c r="C749" s="6" t="s">
        <v>859</v>
      </c>
      <c r="D749" s="6" t="s">
        <v>221</v>
      </c>
      <c r="E749" s="6" t="s">
        <v>36</v>
      </c>
      <c r="F749" s="6" t="s">
        <v>37</v>
      </c>
      <c r="G749" s="6" t="s">
        <v>38</v>
      </c>
      <c r="H749" s="6" t="s">
        <v>39</v>
      </c>
      <c r="I749" s="6" t="s">
        <v>27</v>
      </c>
      <c r="J749" s="6" t="s">
        <v>883</v>
      </c>
      <c r="K749" s="6" t="s">
        <v>265</v>
      </c>
      <c r="L749" s="6" t="s">
        <v>2678</v>
      </c>
      <c r="M749" s="6" t="s">
        <v>61</v>
      </c>
      <c r="N749" s="6" t="s">
        <v>75</v>
      </c>
      <c r="O749" s="6">
        <v>69</v>
      </c>
      <c r="P749" s="6">
        <v>154.05000000000001</v>
      </c>
      <c r="Q749" s="6">
        <v>-10</v>
      </c>
      <c r="R749" s="6">
        <v>10629.67</v>
      </c>
      <c r="S749" s="6">
        <v>0.15</v>
      </c>
      <c r="T749" s="6">
        <v>1594.45</v>
      </c>
      <c r="U749" s="6">
        <v>9035.2199999999993</v>
      </c>
      <c r="V749" s="6">
        <v>7374.06</v>
      </c>
      <c r="W749" s="6">
        <v>1661.16</v>
      </c>
      <c r="X749" s="6" t="s">
        <v>129</v>
      </c>
    </row>
    <row r="750" spans="1:24" x14ac:dyDescent="0.25">
      <c r="A750" s="5" t="s">
        <v>1231</v>
      </c>
      <c r="B750" s="18">
        <v>45610</v>
      </c>
      <c r="C750" s="7" t="s">
        <v>533</v>
      </c>
      <c r="D750" s="7" t="s">
        <v>163</v>
      </c>
      <c r="E750" s="7" t="s">
        <v>222</v>
      </c>
      <c r="F750" s="7" t="s">
        <v>223</v>
      </c>
      <c r="G750" s="7" t="s">
        <v>101</v>
      </c>
      <c r="H750" s="7" t="s">
        <v>68</v>
      </c>
      <c r="I750" s="7" t="s">
        <v>53</v>
      </c>
      <c r="J750" s="7" t="s">
        <v>54</v>
      </c>
      <c r="K750" s="7" t="s">
        <v>178</v>
      </c>
      <c r="L750" s="7" t="s">
        <v>256</v>
      </c>
      <c r="M750" s="7" t="s">
        <v>61</v>
      </c>
      <c r="N750" s="7" t="s">
        <v>84</v>
      </c>
      <c r="O750" s="7">
        <v>64</v>
      </c>
      <c r="P750" s="7">
        <v>117.85</v>
      </c>
      <c r="Q750" s="7">
        <v>80.17</v>
      </c>
      <c r="R750" s="7">
        <v>7542.58</v>
      </c>
      <c r="S750" s="7">
        <v>0.2</v>
      </c>
      <c r="T750" s="7">
        <v>1508.52</v>
      </c>
      <c r="U750" s="7">
        <v>6034.06</v>
      </c>
      <c r="V750" s="7">
        <v>5131.08</v>
      </c>
      <c r="W750" s="7">
        <v>902.98</v>
      </c>
      <c r="X750" s="7" t="s">
        <v>129</v>
      </c>
    </row>
    <row r="751" spans="1:24" x14ac:dyDescent="0.25">
      <c r="A751" s="16" t="s">
        <v>1232</v>
      </c>
      <c r="B751" s="17">
        <v>45651</v>
      </c>
      <c r="C751" s="6" t="s">
        <v>267</v>
      </c>
      <c r="D751" s="6" t="s">
        <v>65</v>
      </c>
      <c r="E751" s="6" t="s">
        <v>114</v>
      </c>
      <c r="F751" s="6" t="s">
        <v>115</v>
      </c>
      <c r="G751" s="6" t="s">
        <v>95</v>
      </c>
      <c r="H751" s="6" t="s">
        <v>116</v>
      </c>
      <c r="I751" s="6" t="s">
        <v>58</v>
      </c>
      <c r="J751" s="6" t="s">
        <v>323</v>
      </c>
      <c r="K751" s="6" t="s">
        <v>83</v>
      </c>
      <c r="L751" s="6" t="s">
        <v>2665</v>
      </c>
      <c r="M751" s="6" t="s">
        <v>61</v>
      </c>
      <c r="N751" s="6" t="s">
        <v>31</v>
      </c>
      <c r="O751" s="6">
        <v>17</v>
      </c>
      <c r="P751" s="6">
        <v>35.08</v>
      </c>
      <c r="Q751" s="6">
        <v>21.95</v>
      </c>
      <c r="R751" s="6">
        <v>596.33000000000004</v>
      </c>
      <c r="S751" s="6">
        <v>0.02</v>
      </c>
      <c r="T751" s="6">
        <v>11.93</v>
      </c>
      <c r="U751" s="6">
        <v>584.41</v>
      </c>
      <c r="V751" s="6">
        <v>373.2</v>
      </c>
      <c r="W751" s="6">
        <v>211.2</v>
      </c>
      <c r="X751" s="6" t="s">
        <v>45</v>
      </c>
    </row>
    <row r="752" spans="1:24" x14ac:dyDescent="0.25">
      <c r="A752" s="5" t="s">
        <v>1233</v>
      </c>
      <c r="B752" s="18">
        <v>45330</v>
      </c>
      <c r="C752" s="7" t="s">
        <v>837</v>
      </c>
      <c r="D752" s="7" t="s">
        <v>65</v>
      </c>
      <c r="E752" s="7" t="s">
        <v>187</v>
      </c>
      <c r="F752" s="7" t="s">
        <v>188</v>
      </c>
      <c r="G752" s="7" t="s">
        <v>25</v>
      </c>
      <c r="H752" s="7" t="s">
        <v>26</v>
      </c>
      <c r="I752" s="7" t="s">
        <v>58</v>
      </c>
      <c r="J752" s="7" t="s">
        <v>73</v>
      </c>
      <c r="K752" s="7" t="s">
        <v>184</v>
      </c>
      <c r="L752" s="7" t="s">
        <v>2672</v>
      </c>
      <c r="M752" s="7" t="s">
        <v>153</v>
      </c>
      <c r="N752" s="7" t="s">
        <v>84</v>
      </c>
      <c r="O752" s="7">
        <v>68</v>
      </c>
      <c r="P752" s="7">
        <v>49.55</v>
      </c>
      <c r="Q752" s="7">
        <v>27.48</v>
      </c>
      <c r="R752" s="7">
        <v>3369.57</v>
      </c>
      <c r="S752" s="7">
        <v>0.05</v>
      </c>
      <c r="T752" s="7">
        <v>168.48</v>
      </c>
      <c r="U752" s="7">
        <v>3201.09</v>
      </c>
      <c r="V752" s="7">
        <v>1868.41</v>
      </c>
      <c r="W752" s="7">
        <v>1332.68</v>
      </c>
      <c r="X752" s="7" t="s">
        <v>45</v>
      </c>
    </row>
    <row r="753" spans="1:24" x14ac:dyDescent="0.25">
      <c r="A753" s="16" t="s">
        <v>1234</v>
      </c>
      <c r="B753" s="17">
        <v>45436</v>
      </c>
      <c r="C753" s="6" t="s">
        <v>389</v>
      </c>
      <c r="D753" s="6" t="s">
        <v>264</v>
      </c>
      <c r="E753" s="6" t="s">
        <v>23</v>
      </c>
      <c r="F753" s="6" t="s">
        <v>24</v>
      </c>
      <c r="G753" s="6" t="s">
        <v>25</v>
      </c>
      <c r="H753" s="6" t="s">
        <v>26</v>
      </c>
      <c r="I753" s="6" t="s">
        <v>40</v>
      </c>
      <c r="J753" s="6" t="s">
        <v>117</v>
      </c>
      <c r="K753" s="6" t="s">
        <v>170</v>
      </c>
      <c r="L753" s="6" t="s">
        <v>2671</v>
      </c>
      <c r="M753" s="6" t="s">
        <v>30</v>
      </c>
      <c r="N753" s="6" t="s">
        <v>75</v>
      </c>
      <c r="O753" s="6">
        <v>57</v>
      </c>
      <c r="P753" s="6">
        <v>69.44</v>
      </c>
      <c r="Q753" s="6">
        <v>43.8</v>
      </c>
      <c r="R753" s="6">
        <v>3958</v>
      </c>
      <c r="S753" s="6">
        <v>0.1</v>
      </c>
      <c r="T753" s="6">
        <v>395.8</v>
      </c>
      <c r="U753" s="6">
        <v>3562.2</v>
      </c>
      <c r="V753" s="6">
        <v>2496.79</v>
      </c>
      <c r="W753" s="6">
        <v>1065.4100000000001</v>
      </c>
      <c r="X753" s="6" t="s">
        <v>32</v>
      </c>
    </row>
    <row r="754" spans="1:24" x14ac:dyDescent="0.25">
      <c r="A754" s="5" t="s">
        <v>1235</v>
      </c>
      <c r="B754" s="18">
        <v>45415</v>
      </c>
      <c r="C754" s="7" t="s">
        <v>1236</v>
      </c>
      <c r="D754" s="7" t="s">
        <v>156</v>
      </c>
      <c r="E754" s="7" t="s">
        <v>250</v>
      </c>
      <c r="F754" s="7" t="s">
        <v>251</v>
      </c>
      <c r="G754" s="7" t="s">
        <v>51</v>
      </c>
      <c r="H754" s="7" t="s">
        <v>252</v>
      </c>
      <c r="I754" s="7" t="s">
        <v>53</v>
      </c>
      <c r="J754" s="7" t="s">
        <v>232</v>
      </c>
      <c r="K754" s="7" t="s">
        <v>144</v>
      </c>
      <c r="L754" s="7" t="s">
        <v>2669</v>
      </c>
      <c r="M754" s="7" t="s">
        <v>61</v>
      </c>
      <c r="N754" s="7" t="s">
        <v>84</v>
      </c>
      <c r="O754" s="7">
        <v>59</v>
      </c>
      <c r="P754" s="7">
        <v>69.959999999999994</v>
      </c>
      <c r="Q754" s="7">
        <v>35.58</v>
      </c>
      <c r="R754" s="7">
        <v>4127.6899999999996</v>
      </c>
      <c r="S754" s="7">
        <v>0.15</v>
      </c>
      <c r="T754" s="7">
        <v>619.15</v>
      </c>
      <c r="U754" s="7">
        <v>3508.54</v>
      </c>
      <c r="V754" s="7">
        <v>2099.19</v>
      </c>
      <c r="W754" s="7">
        <v>1409.35</v>
      </c>
      <c r="X754" s="7" t="s">
        <v>45</v>
      </c>
    </row>
    <row r="755" spans="1:24" x14ac:dyDescent="0.25">
      <c r="A755" s="16" t="s">
        <v>1237</v>
      </c>
      <c r="B755" s="17">
        <v>45504</v>
      </c>
      <c r="C755" s="6" t="s">
        <v>276</v>
      </c>
      <c r="D755" s="6" t="s">
        <v>221</v>
      </c>
      <c r="E755" s="6" t="s">
        <v>132</v>
      </c>
      <c r="F755" s="6" t="s">
        <v>133</v>
      </c>
      <c r="G755" s="6" t="s">
        <v>51</v>
      </c>
      <c r="H755" s="6" t="s">
        <v>134</v>
      </c>
      <c r="I755" s="6" t="s">
        <v>53</v>
      </c>
      <c r="J755" s="6" t="s">
        <v>143</v>
      </c>
      <c r="K755" s="6" t="s">
        <v>69</v>
      </c>
      <c r="L755" s="6" t="s">
        <v>2663</v>
      </c>
      <c r="M755" s="6" t="s">
        <v>385</v>
      </c>
      <c r="N755" s="6" t="s">
        <v>70</v>
      </c>
      <c r="O755" s="6">
        <v>64</v>
      </c>
      <c r="P755" s="6">
        <v>58.59</v>
      </c>
      <c r="Q755" s="6">
        <v>32.57</v>
      </c>
      <c r="R755" s="6">
        <v>3749.94</v>
      </c>
      <c r="S755" s="6">
        <v>0.05</v>
      </c>
      <c r="T755" s="6">
        <v>187.5</v>
      </c>
      <c r="U755" s="6">
        <v>3562.44</v>
      </c>
      <c r="V755" s="6">
        <v>2084.39</v>
      </c>
      <c r="W755" s="6">
        <v>1478.06</v>
      </c>
      <c r="X755" s="6" t="s">
        <v>45</v>
      </c>
    </row>
    <row r="756" spans="1:24" x14ac:dyDescent="0.25">
      <c r="A756" s="5" t="s">
        <v>1238</v>
      </c>
      <c r="B756" s="18">
        <v>45565</v>
      </c>
      <c r="C756" s="7" t="s">
        <v>477</v>
      </c>
      <c r="D756" s="7" t="s">
        <v>221</v>
      </c>
      <c r="E756" s="7" t="s">
        <v>78</v>
      </c>
      <c r="F756" s="7" t="s">
        <v>79</v>
      </c>
      <c r="G756" s="7" t="s">
        <v>80</v>
      </c>
      <c r="H756" s="7" t="s">
        <v>81</v>
      </c>
      <c r="I756" s="7" t="s">
        <v>53</v>
      </c>
      <c r="J756" s="7" t="s">
        <v>232</v>
      </c>
      <c r="K756" s="7" t="s">
        <v>178</v>
      </c>
      <c r="L756" s="7" t="s">
        <v>256</v>
      </c>
      <c r="M756" s="7" t="s">
        <v>30</v>
      </c>
      <c r="N756" s="7" t="s">
        <v>75</v>
      </c>
      <c r="O756" s="7">
        <v>39</v>
      </c>
      <c r="P756" s="7">
        <v>130.41999999999999</v>
      </c>
      <c r="Q756" s="7">
        <v>75.84</v>
      </c>
      <c r="R756" s="7">
        <v>5086.2700000000004</v>
      </c>
      <c r="S756" s="7">
        <v>0</v>
      </c>
      <c r="T756" s="7">
        <v>0</v>
      </c>
      <c r="U756" s="7">
        <v>5086.2700000000004</v>
      </c>
      <c r="V756" s="7">
        <v>2957.84</v>
      </c>
      <c r="W756" s="7">
        <v>2128.4299999999998</v>
      </c>
      <c r="X756" s="7" t="s">
        <v>45</v>
      </c>
    </row>
    <row r="757" spans="1:24" x14ac:dyDescent="0.25">
      <c r="A757" s="16" t="s">
        <v>1239</v>
      </c>
      <c r="B757" s="17">
        <v>45351</v>
      </c>
      <c r="C757" s="6" t="s">
        <v>447</v>
      </c>
      <c r="D757" s="6" t="s">
        <v>48</v>
      </c>
      <c r="E757" s="6" t="s">
        <v>66</v>
      </c>
      <c r="F757" s="6" t="s">
        <v>67</v>
      </c>
      <c r="G757" s="6" t="s">
        <v>38</v>
      </c>
      <c r="H757" s="6" t="s">
        <v>68</v>
      </c>
      <c r="I757" s="6" t="s">
        <v>88</v>
      </c>
      <c r="J757" s="6" t="s">
        <v>183</v>
      </c>
      <c r="K757" s="6" t="s">
        <v>60</v>
      </c>
      <c r="L757" s="6" t="s">
        <v>2662</v>
      </c>
      <c r="M757" s="6" t="s">
        <v>153</v>
      </c>
      <c r="N757" s="6" t="s">
        <v>84</v>
      </c>
      <c r="O757" s="6">
        <v>14</v>
      </c>
      <c r="P757" s="6">
        <v>168.42</v>
      </c>
      <c r="Q757" s="6">
        <v>101.62</v>
      </c>
      <c r="R757" s="6">
        <v>2357.8200000000002</v>
      </c>
      <c r="S757" s="6">
        <v>0.2</v>
      </c>
      <c r="T757" s="6">
        <v>471.56</v>
      </c>
      <c r="U757" s="6">
        <v>1886.26</v>
      </c>
      <c r="V757" s="6">
        <v>1422.63</v>
      </c>
      <c r="W757" s="6">
        <v>463.63</v>
      </c>
      <c r="X757" s="6" t="s">
        <v>32</v>
      </c>
    </row>
    <row r="758" spans="1:24" x14ac:dyDescent="0.25">
      <c r="A758" s="5" t="s">
        <v>1240</v>
      </c>
      <c r="B758" s="18">
        <v>45469</v>
      </c>
      <c r="C758" s="7" t="s">
        <v>617</v>
      </c>
      <c r="D758" s="7" t="s">
        <v>22</v>
      </c>
      <c r="E758" s="7" t="s">
        <v>141</v>
      </c>
      <c r="F758" s="7" t="s">
        <v>142</v>
      </c>
      <c r="G758" s="7" t="s">
        <v>25</v>
      </c>
      <c r="H758" s="7" t="s">
        <v>26</v>
      </c>
      <c r="I758" s="7" t="s">
        <v>88</v>
      </c>
      <c r="J758" s="7" t="s">
        <v>89</v>
      </c>
      <c r="K758" s="7" t="s">
        <v>152</v>
      </c>
      <c r="L758" s="7" t="s">
        <v>2670</v>
      </c>
      <c r="M758" s="7" t="s">
        <v>153</v>
      </c>
      <c r="N758" s="7" t="s">
        <v>70</v>
      </c>
      <c r="O758" s="7">
        <v>76</v>
      </c>
      <c r="P758" s="7">
        <v>93.41</v>
      </c>
      <c r="Q758" s="7">
        <v>55.05</v>
      </c>
      <c r="R758" s="7">
        <v>7099</v>
      </c>
      <c r="S758" s="7">
        <v>0.05</v>
      </c>
      <c r="T758" s="7">
        <v>354.95</v>
      </c>
      <c r="U758" s="7">
        <v>6744.05</v>
      </c>
      <c r="V758" s="7">
        <v>4183.5600000000004</v>
      </c>
      <c r="W758" s="7">
        <v>2560.4899999999998</v>
      </c>
      <c r="X758" s="7" t="s">
        <v>45</v>
      </c>
    </row>
    <row r="759" spans="1:24" x14ac:dyDescent="0.25">
      <c r="A759" s="16" t="s">
        <v>1241</v>
      </c>
      <c r="B759" s="17">
        <v>45415</v>
      </c>
      <c r="C759" s="6" t="s">
        <v>843</v>
      </c>
      <c r="D759" s="6" t="s">
        <v>22</v>
      </c>
      <c r="E759" s="6" t="s">
        <v>78</v>
      </c>
      <c r="F759" s="6" t="s">
        <v>79</v>
      </c>
      <c r="G759" s="6" t="s">
        <v>80</v>
      </c>
      <c r="H759" s="6" t="s">
        <v>81</v>
      </c>
      <c r="I759" s="6" t="s">
        <v>53</v>
      </c>
      <c r="J759" s="6" t="s">
        <v>232</v>
      </c>
      <c r="K759" s="6" t="s">
        <v>111</v>
      </c>
      <c r="L759" s="6" t="s">
        <v>2667</v>
      </c>
      <c r="M759" s="6" t="s">
        <v>30</v>
      </c>
      <c r="N759" s="6" t="s">
        <v>84</v>
      </c>
      <c r="O759" s="6">
        <v>20</v>
      </c>
      <c r="P759" s="6">
        <v>148.25</v>
      </c>
      <c r="Q759" s="6">
        <v>77.760000000000005</v>
      </c>
      <c r="R759" s="6">
        <v>2964.93</v>
      </c>
      <c r="S759" s="6">
        <v>0.2</v>
      </c>
      <c r="T759" s="6">
        <v>592.99</v>
      </c>
      <c r="U759" s="6">
        <v>2371.94</v>
      </c>
      <c r="V759" s="6">
        <v>1555.28</v>
      </c>
      <c r="W759" s="6">
        <v>816.66</v>
      </c>
      <c r="X759" s="6" t="s">
        <v>45</v>
      </c>
    </row>
    <row r="760" spans="1:24" x14ac:dyDescent="0.25">
      <c r="A760" s="5" t="s">
        <v>1242</v>
      </c>
      <c r="B760" s="18">
        <v>45602</v>
      </c>
      <c r="C760" s="7" t="s">
        <v>1219</v>
      </c>
      <c r="D760" s="7" t="s">
        <v>359</v>
      </c>
      <c r="E760" s="7" t="s">
        <v>66</v>
      </c>
      <c r="F760" s="7" t="s">
        <v>67</v>
      </c>
      <c r="G760" s="7" t="s">
        <v>38</v>
      </c>
      <c r="H760" s="7" t="s">
        <v>68</v>
      </c>
      <c r="I760" s="7" t="s">
        <v>40</v>
      </c>
      <c r="J760" s="7" t="s">
        <v>117</v>
      </c>
      <c r="K760" s="7" t="s">
        <v>74</v>
      </c>
      <c r="L760" s="7" t="s">
        <v>2664</v>
      </c>
      <c r="M760" s="7" t="s">
        <v>30</v>
      </c>
      <c r="N760" s="7" t="s">
        <v>84</v>
      </c>
      <c r="O760" s="7">
        <v>61</v>
      </c>
      <c r="P760" s="7">
        <v>166.43</v>
      </c>
      <c r="Q760" s="7">
        <v>96.86</v>
      </c>
      <c r="R760" s="7">
        <v>10152.24</v>
      </c>
      <c r="S760" s="7">
        <v>0.2</v>
      </c>
      <c r="T760" s="7">
        <v>2030.45</v>
      </c>
      <c r="U760" s="7">
        <v>8121.79</v>
      </c>
      <c r="V760" s="7">
        <v>5908.56</v>
      </c>
      <c r="W760" s="7">
        <v>2213.2399999999998</v>
      </c>
      <c r="X760" s="7" t="s">
        <v>45</v>
      </c>
    </row>
    <row r="761" spans="1:24" x14ac:dyDescent="0.25">
      <c r="A761" s="16" t="s">
        <v>1243</v>
      </c>
      <c r="B761" s="17">
        <v>45626</v>
      </c>
      <c r="C761" s="6" t="s">
        <v>276</v>
      </c>
      <c r="D761" s="6" t="s">
        <v>221</v>
      </c>
      <c r="E761" s="6" t="s">
        <v>99</v>
      </c>
      <c r="F761" s="6" t="s">
        <v>100</v>
      </c>
      <c r="G761" s="6" t="s">
        <v>101</v>
      </c>
      <c r="H761" s="6" t="s">
        <v>102</v>
      </c>
      <c r="I761" s="6" t="s">
        <v>27</v>
      </c>
      <c r="J761" s="6" t="s">
        <v>106</v>
      </c>
      <c r="K761" s="6" t="s">
        <v>118</v>
      </c>
      <c r="L761" s="6" t="s">
        <v>2668</v>
      </c>
      <c r="M761" s="6" t="s">
        <v>43</v>
      </c>
      <c r="N761" s="6" t="s">
        <v>31</v>
      </c>
      <c r="O761" s="6">
        <v>47</v>
      </c>
      <c r="P761" s="6">
        <v>68.33</v>
      </c>
      <c r="Q761" s="6">
        <v>38.49</v>
      </c>
      <c r="R761" s="6">
        <v>3211.52</v>
      </c>
      <c r="S761" s="6">
        <v>0.2</v>
      </c>
      <c r="T761" s="6">
        <v>642.29999999999995</v>
      </c>
      <c r="U761" s="6">
        <v>2569.2199999999998</v>
      </c>
      <c r="V761" s="6">
        <v>1808.93</v>
      </c>
      <c r="W761" s="6">
        <v>760.28</v>
      </c>
      <c r="X761" s="6" t="s">
        <v>45</v>
      </c>
    </row>
    <row r="762" spans="1:24" x14ac:dyDescent="0.25">
      <c r="A762" s="5" t="s">
        <v>1244</v>
      </c>
      <c r="B762" s="18">
        <v>45583</v>
      </c>
      <c r="C762" s="7" t="s">
        <v>98</v>
      </c>
      <c r="D762" s="7" t="s">
        <v>48</v>
      </c>
      <c r="E762" s="7" t="s">
        <v>250</v>
      </c>
      <c r="F762" s="7" t="s">
        <v>251</v>
      </c>
      <c r="G762" s="7" t="s">
        <v>51</v>
      </c>
      <c r="H762" s="7" t="s">
        <v>252</v>
      </c>
      <c r="I762" s="7" t="s">
        <v>88</v>
      </c>
      <c r="J762" s="7" t="s">
        <v>89</v>
      </c>
      <c r="K762" s="7" t="s">
        <v>152</v>
      </c>
      <c r="L762" s="7" t="s">
        <v>2670</v>
      </c>
      <c r="M762" s="7" t="s">
        <v>153</v>
      </c>
      <c r="N762" s="7" t="s">
        <v>31</v>
      </c>
      <c r="O762" s="7">
        <v>25</v>
      </c>
      <c r="P762" s="7">
        <v>62.1</v>
      </c>
      <c r="Q762" s="7">
        <v>35.200000000000003</v>
      </c>
      <c r="R762" s="7">
        <v>1552.42</v>
      </c>
      <c r="S762" s="7">
        <v>0.2</v>
      </c>
      <c r="T762" s="7">
        <v>310.48</v>
      </c>
      <c r="U762" s="7">
        <v>1241.94</v>
      </c>
      <c r="V762" s="7">
        <v>879.92</v>
      </c>
      <c r="W762" s="7">
        <v>362.02</v>
      </c>
      <c r="X762" s="7" t="s">
        <v>32</v>
      </c>
    </row>
    <row r="763" spans="1:24" x14ac:dyDescent="0.25">
      <c r="A763" s="16" t="s">
        <v>1245</v>
      </c>
      <c r="B763" s="17">
        <v>45305</v>
      </c>
      <c r="C763" s="6" t="s">
        <v>491</v>
      </c>
      <c r="D763" s="6" t="s">
        <v>57</v>
      </c>
      <c r="E763" s="6" t="s">
        <v>132</v>
      </c>
      <c r="F763" s="6" t="s">
        <v>133</v>
      </c>
      <c r="G763" s="6" t="s">
        <v>51</v>
      </c>
      <c r="H763" s="6" t="s">
        <v>134</v>
      </c>
      <c r="I763" s="6" t="s">
        <v>58</v>
      </c>
      <c r="J763" s="6" t="s">
        <v>345</v>
      </c>
      <c r="K763" s="6" t="s">
        <v>118</v>
      </c>
      <c r="L763" s="6" t="s">
        <v>2668</v>
      </c>
      <c r="M763" s="6" t="s">
        <v>61</v>
      </c>
      <c r="N763" s="6" t="s">
        <v>31</v>
      </c>
      <c r="O763" s="6">
        <v>43</v>
      </c>
      <c r="P763" s="6">
        <v>56.39</v>
      </c>
      <c r="Q763" s="6">
        <v>33.53</v>
      </c>
      <c r="R763" s="6">
        <v>2424.94</v>
      </c>
      <c r="S763" s="6">
        <v>0</v>
      </c>
      <c r="T763" s="6">
        <v>0</v>
      </c>
      <c r="U763" s="6">
        <v>2424.94</v>
      </c>
      <c r="V763" s="6">
        <v>1441.8</v>
      </c>
      <c r="W763" s="6">
        <v>983.14</v>
      </c>
      <c r="X763" s="6" t="s">
        <v>45</v>
      </c>
    </row>
    <row r="764" spans="1:24" x14ac:dyDescent="0.25">
      <c r="A764" s="5" t="s">
        <v>1246</v>
      </c>
      <c r="B764" s="18">
        <v>45323</v>
      </c>
      <c r="C764" s="7" t="s">
        <v>643</v>
      </c>
      <c r="D764" s="7" t="s">
        <v>359</v>
      </c>
      <c r="E764" s="7" t="s">
        <v>49</v>
      </c>
      <c r="F764" s="7" t="s">
        <v>50</v>
      </c>
      <c r="G764" s="7" t="s">
        <v>51</v>
      </c>
      <c r="H764" s="7" t="s">
        <v>52</v>
      </c>
      <c r="I764" s="7" t="s">
        <v>40</v>
      </c>
      <c r="J764" s="7" t="s">
        <v>82</v>
      </c>
      <c r="K764" s="7" t="s">
        <v>60</v>
      </c>
      <c r="L764" s="7" t="s">
        <v>2662</v>
      </c>
      <c r="M764" s="7" t="s">
        <v>30</v>
      </c>
      <c r="N764" s="7" t="s">
        <v>75</v>
      </c>
      <c r="O764" s="7">
        <v>12</v>
      </c>
      <c r="P764" s="7">
        <v>25.35</v>
      </c>
      <c r="Q764" s="7">
        <v>13.51</v>
      </c>
      <c r="R764" s="7">
        <v>304.17</v>
      </c>
      <c r="S764" s="7">
        <v>0.05</v>
      </c>
      <c r="T764" s="7">
        <v>15.21</v>
      </c>
      <c r="U764" s="7">
        <v>288.95999999999998</v>
      </c>
      <c r="V764" s="7">
        <v>162.13</v>
      </c>
      <c r="W764" s="7">
        <v>126.83</v>
      </c>
      <c r="X764" s="7" t="s">
        <v>129</v>
      </c>
    </row>
    <row r="765" spans="1:24" x14ac:dyDescent="0.25">
      <c r="A765" s="16" t="s">
        <v>1247</v>
      </c>
      <c r="B765" s="17">
        <v>45298</v>
      </c>
      <c r="C765" s="6" t="s">
        <v>563</v>
      </c>
      <c r="D765" s="6" t="s">
        <v>156</v>
      </c>
      <c r="E765" s="6" t="s">
        <v>209</v>
      </c>
      <c r="F765" s="6" t="s">
        <v>210</v>
      </c>
      <c r="G765" s="6" t="s">
        <v>51</v>
      </c>
      <c r="H765" s="6" t="s">
        <v>116</v>
      </c>
      <c r="I765" s="6" t="s">
        <v>40</v>
      </c>
      <c r="J765" s="6" t="s">
        <v>289</v>
      </c>
      <c r="K765" s="6" t="s">
        <v>253</v>
      </c>
      <c r="L765" s="6" t="s">
        <v>2676</v>
      </c>
      <c r="M765" s="6" t="s">
        <v>43</v>
      </c>
      <c r="N765" s="6" t="s">
        <v>44</v>
      </c>
      <c r="O765" s="6">
        <v>59</v>
      </c>
      <c r="P765" s="6">
        <v>19.12</v>
      </c>
      <c r="Q765" s="6">
        <v>10.73</v>
      </c>
      <c r="R765" s="6">
        <v>1128.06</v>
      </c>
      <c r="S765" s="6">
        <v>0.1</v>
      </c>
      <c r="T765" s="6">
        <v>112.81</v>
      </c>
      <c r="U765" s="6">
        <v>1015.25</v>
      </c>
      <c r="V765" s="6">
        <v>633.01</v>
      </c>
      <c r="W765" s="6">
        <v>382.24</v>
      </c>
      <c r="X765" s="6" t="s">
        <v>45</v>
      </c>
    </row>
    <row r="766" spans="1:24" x14ac:dyDescent="0.25">
      <c r="A766" s="5" t="s">
        <v>1248</v>
      </c>
      <c r="B766" s="18">
        <v>45502</v>
      </c>
      <c r="C766" s="7" t="s">
        <v>924</v>
      </c>
      <c r="D766" s="7" t="s">
        <v>48</v>
      </c>
      <c r="E766" s="7" t="s">
        <v>165</v>
      </c>
      <c r="F766" s="7" t="s">
        <v>166</v>
      </c>
      <c r="G766" s="7" t="s">
        <v>95</v>
      </c>
      <c r="H766" s="7" t="s">
        <v>167</v>
      </c>
      <c r="I766" s="7" t="s">
        <v>58</v>
      </c>
      <c r="J766" s="7" t="s">
        <v>345</v>
      </c>
      <c r="K766" s="7" t="s">
        <v>69</v>
      </c>
      <c r="L766" s="7" t="s">
        <v>2663</v>
      </c>
      <c r="M766" s="7" t="s">
        <v>30</v>
      </c>
      <c r="N766" s="7" t="s">
        <v>84</v>
      </c>
      <c r="O766" s="7">
        <v>49</v>
      </c>
      <c r="P766" s="7">
        <v>44.2</v>
      </c>
      <c r="Q766" s="7">
        <v>23.68</v>
      </c>
      <c r="R766" s="7">
        <v>2165.86</v>
      </c>
      <c r="S766" s="7">
        <v>0</v>
      </c>
      <c r="T766" s="7">
        <v>0</v>
      </c>
      <c r="U766" s="7">
        <v>2165.86</v>
      </c>
      <c r="V766" s="7">
        <v>1160.46</v>
      </c>
      <c r="W766" s="7">
        <v>1005.4</v>
      </c>
      <c r="X766" s="7" t="s">
        <v>45</v>
      </c>
    </row>
    <row r="767" spans="1:24" x14ac:dyDescent="0.25">
      <c r="A767" s="16" t="s">
        <v>1249</v>
      </c>
      <c r="B767" s="17">
        <v>45637</v>
      </c>
      <c r="C767" s="6" t="s">
        <v>299</v>
      </c>
      <c r="D767" s="6" t="s">
        <v>159</v>
      </c>
      <c r="E767" s="6" t="s">
        <v>78</v>
      </c>
      <c r="F767" s="6" t="s">
        <v>79</v>
      </c>
      <c r="G767" s="6" t="s">
        <v>80</v>
      </c>
      <c r="H767" s="6" t="s">
        <v>81</v>
      </c>
      <c r="I767" s="6" t="s">
        <v>88</v>
      </c>
      <c r="J767" s="6" t="s">
        <v>173</v>
      </c>
      <c r="K767" s="6" t="s">
        <v>178</v>
      </c>
      <c r="L767" s="6" t="s">
        <v>256</v>
      </c>
      <c r="M767" s="6" t="s">
        <v>30</v>
      </c>
      <c r="N767" s="6" t="s">
        <v>44</v>
      </c>
      <c r="O767" s="6">
        <v>63</v>
      </c>
      <c r="P767" s="6">
        <v>132.54</v>
      </c>
      <c r="Q767" s="6">
        <v>77.64</v>
      </c>
      <c r="R767" s="6">
        <v>8350.1299999999992</v>
      </c>
      <c r="S767" s="6">
        <v>0.2</v>
      </c>
      <c r="T767" s="6">
        <v>1670.03</v>
      </c>
      <c r="U767" s="6">
        <v>6680.1</v>
      </c>
      <c r="V767" s="6">
        <v>4891.2700000000004</v>
      </c>
      <c r="W767" s="6">
        <v>1788.84</v>
      </c>
      <c r="X767" s="6" t="s">
        <v>129</v>
      </c>
    </row>
    <row r="768" spans="1:24" x14ac:dyDescent="0.25">
      <c r="A768" s="5" t="s">
        <v>1250</v>
      </c>
      <c r="B768" s="18">
        <v>45489</v>
      </c>
      <c r="C768" s="7" t="s">
        <v>272</v>
      </c>
      <c r="D768" s="7" t="s">
        <v>105</v>
      </c>
      <c r="E768" s="7" t="s">
        <v>132</v>
      </c>
      <c r="F768" s="7" t="s">
        <v>133</v>
      </c>
      <c r="G768" s="7" t="s">
        <v>51</v>
      </c>
      <c r="H768" s="7" t="s">
        <v>134</v>
      </c>
      <c r="I768" s="7" t="s">
        <v>40</v>
      </c>
      <c r="J768" s="7" t="s">
        <v>82</v>
      </c>
      <c r="K768" s="7" t="s">
        <v>265</v>
      </c>
      <c r="L768" s="7" t="s">
        <v>2678</v>
      </c>
      <c r="M768" s="7" t="s">
        <v>153</v>
      </c>
      <c r="N768" s="7" t="s">
        <v>368</v>
      </c>
      <c r="O768" s="7">
        <v>16</v>
      </c>
      <c r="P768" s="7">
        <v>60.74</v>
      </c>
      <c r="Q768" s="7">
        <v>33.799999999999997</v>
      </c>
      <c r="R768" s="7">
        <v>971.81</v>
      </c>
      <c r="S768" s="7">
        <v>0</v>
      </c>
      <c r="T768" s="7">
        <v>0</v>
      </c>
      <c r="U768" s="7">
        <v>971.81</v>
      </c>
      <c r="V768" s="7">
        <v>540.86</v>
      </c>
      <c r="W768" s="7">
        <v>430.94</v>
      </c>
      <c r="X768" s="7" t="s">
        <v>45</v>
      </c>
    </row>
    <row r="769" spans="1:24" x14ac:dyDescent="0.25">
      <c r="A769" s="16" t="s">
        <v>1251</v>
      </c>
      <c r="B769" s="17">
        <v>45327</v>
      </c>
      <c r="C769" s="6" t="s">
        <v>802</v>
      </c>
      <c r="D769" s="6" t="s">
        <v>22</v>
      </c>
      <c r="E769" s="6" t="s">
        <v>126</v>
      </c>
      <c r="F769" s="6" t="s">
        <v>127</v>
      </c>
      <c r="G769" s="6" t="s">
        <v>95</v>
      </c>
      <c r="H769" s="6" t="s">
        <v>128</v>
      </c>
      <c r="I769" s="6" t="s">
        <v>27</v>
      </c>
      <c r="J769" s="6" t="s">
        <v>211</v>
      </c>
      <c r="K769" s="6" t="s">
        <v>218</v>
      </c>
      <c r="L769" s="6" t="s">
        <v>2674</v>
      </c>
      <c r="M769" s="6" t="s">
        <v>61</v>
      </c>
      <c r="N769" s="6" t="s">
        <v>75</v>
      </c>
      <c r="O769" s="6">
        <v>32</v>
      </c>
      <c r="P769" s="6">
        <v>93.76</v>
      </c>
      <c r="Q769" s="6">
        <v>51.91</v>
      </c>
      <c r="R769" s="6">
        <v>3000.27</v>
      </c>
      <c r="S769" s="6">
        <v>0.15</v>
      </c>
      <c r="T769" s="6">
        <v>450.04</v>
      </c>
      <c r="U769" s="6">
        <v>2550.23</v>
      </c>
      <c r="V769" s="6">
        <v>1661.19</v>
      </c>
      <c r="W769" s="6">
        <v>889.04</v>
      </c>
      <c r="X769" s="6" t="s">
        <v>32</v>
      </c>
    </row>
    <row r="770" spans="1:24" x14ac:dyDescent="0.25">
      <c r="A770" s="5" t="s">
        <v>1252</v>
      </c>
      <c r="B770" s="18">
        <v>45329</v>
      </c>
      <c r="C770" s="7" t="s">
        <v>1253</v>
      </c>
      <c r="D770" s="7" t="s">
        <v>259</v>
      </c>
      <c r="E770" s="7" t="s">
        <v>250</v>
      </c>
      <c r="F770" s="7" t="s">
        <v>251</v>
      </c>
      <c r="G770" s="7" t="s">
        <v>51</v>
      </c>
      <c r="H770" s="7" t="s">
        <v>252</v>
      </c>
      <c r="I770" s="7" t="s">
        <v>431</v>
      </c>
      <c r="J770" s="7" t="s">
        <v>135</v>
      </c>
      <c r="K770" s="7" t="s">
        <v>83</v>
      </c>
      <c r="L770" s="7" t="s">
        <v>2665</v>
      </c>
      <c r="M770" s="7" t="s">
        <v>153</v>
      </c>
      <c r="N770" s="7" t="s">
        <v>70</v>
      </c>
      <c r="O770" s="7">
        <v>5</v>
      </c>
      <c r="P770" s="7">
        <v>61.58</v>
      </c>
      <c r="Q770" s="7">
        <v>39.03</v>
      </c>
      <c r="R770" s="7">
        <v>307.89</v>
      </c>
      <c r="S770" s="7">
        <v>0.05</v>
      </c>
      <c r="T770" s="7">
        <v>15.39</v>
      </c>
      <c r="U770" s="7">
        <v>292.49</v>
      </c>
      <c r="V770" s="7">
        <v>195.13</v>
      </c>
      <c r="W770" s="7">
        <v>97.37</v>
      </c>
      <c r="X770" s="7" t="s">
        <v>45</v>
      </c>
    </row>
    <row r="771" spans="1:24" x14ac:dyDescent="0.25">
      <c r="A771" s="16" t="s">
        <v>1254</v>
      </c>
      <c r="B771" s="17">
        <v>45542</v>
      </c>
      <c r="C771" s="6" t="s">
        <v>1098</v>
      </c>
      <c r="D771" s="6" t="s">
        <v>121</v>
      </c>
      <c r="E771" s="6" t="s">
        <v>209</v>
      </c>
      <c r="F771" s="6" t="s">
        <v>210</v>
      </c>
      <c r="G771" s="6" t="s">
        <v>51</v>
      </c>
      <c r="H771" s="6" t="s">
        <v>116</v>
      </c>
      <c r="I771" s="6" t="s">
        <v>40</v>
      </c>
      <c r="J771" s="6" t="s">
        <v>41</v>
      </c>
      <c r="K771" s="6" t="s">
        <v>218</v>
      </c>
      <c r="L771" s="6" t="s">
        <v>2674</v>
      </c>
      <c r="M771" s="6" t="s">
        <v>30</v>
      </c>
      <c r="N771" s="6" t="s">
        <v>70</v>
      </c>
      <c r="O771" s="6">
        <v>50</v>
      </c>
      <c r="P771" s="6">
        <v>16.739999999999998</v>
      </c>
      <c r="Q771" s="6">
        <v>10.130000000000001</v>
      </c>
      <c r="R771" s="6">
        <v>837.25</v>
      </c>
      <c r="S771" s="6">
        <v>0</v>
      </c>
      <c r="T771" s="6">
        <v>0</v>
      </c>
      <c r="U771" s="6">
        <v>837.25</v>
      </c>
      <c r="V771" s="6">
        <v>506.56</v>
      </c>
      <c r="W771" s="6">
        <v>330.69</v>
      </c>
      <c r="X771" s="6" t="s">
        <v>45</v>
      </c>
    </row>
    <row r="772" spans="1:24" x14ac:dyDescent="0.25">
      <c r="A772" s="5" t="s">
        <v>1255</v>
      </c>
      <c r="B772" s="18">
        <v>45471</v>
      </c>
      <c r="C772" s="7" t="s">
        <v>169</v>
      </c>
      <c r="D772" s="7" t="s">
        <v>57</v>
      </c>
      <c r="E772" s="7" t="s">
        <v>141</v>
      </c>
      <c r="F772" s="7" t="s">
        <v>142</v>
      </c>
      <c r="G772" s="7" t="s">
        <v>25</v>
      </c>
      <c r="H772" s="7" t="s">
        <v>26</v>
      </c>
      <c r="I772" s="7" t="s">
        <v>27</v>
      </c>
      <c r="J772" s="7" t="s">
        <v>28</v>
      </c>
      <c r="K772" s="7" t="s">
        <v>178</v>
      </c>
      <c r="L772" s="7" t="s">
        <v>256</v>
      </c>
      <c r="M772" s="7" t="s">
        <v>61</v>
      </c>
      <c r="N772" s="7" t="s">
        <v>44</v>
      </c>
      <c r="O772" s="7">
        <v>40</v>
      </c>
      <c r="P772" s="7">
        <v>89.33</v>
      </c>
      <c r="Q772" s="7">
        <v>58.21</v>
      </c>
      <c r="R772" s="7">
        <v>3573.25</v>
      </c>
      <c r="S772" s="7">
        <v>0.2</v>
      </c>
      <c r="T772" s="7">
        <v>714.65</v>
      </c>
      <c r="U772" s="7">
        <v>2858.6</v>
      </c>
      <c r="V772" s="7">
        <v>2328.2600000000002</v>
      </c>
      <c r="W772" s="7">
        <v>530.35</v>
      </c>
      <c r="X772" s="7" t="s">
        <v>129</v>
      </c>
    </row>
    <row r="773" spans="1:24" x14ac:dyDescent="0.25">
      <c r="A773" s="16" t="s">
        <v>1256</v>
      </c>
      <c r="B773" s="17">
        <v>45596</v>
      </c>
      <c r="C773" s="6" t="s">
        <v>199</v>
      </c>
      <c r="D773" s="6" t="s">
        <v>105</v>
      </c>
      <c r="E773" s="6" t="s">
        <v>109</v>
      </c>
      <c r="F773" s="6" t="s">
        <v>110</v>
      </c>
      <c r="G773" s="6" t="s">
        <v>80</v>
      </c>
      <c r="H773" s="6" t="s">
        <v>81</v>
      </c>
      <c r="I773" s="6" t="s">
        <v>40</v>
      </c>
      <c r="J773" s="6" t="s">
        <v>41</v>
      </c>
      <c r="K773" s="6" t="s">
        <v>261</v>
      </c>
      <c r="L773" s="6" t="s">
        <v>2677</v>
      </c>
      <c r="M773" s="6" t="s">
        <v>30</v>
      </c>
      <c r="N773" s="6" t="s">
        <v>84</v>
      </c>
      <c r="O773" s="6">
        <v>57</v>
      </c>
      <c r="P773" s="6">
        <v>131.55000000000001</v>
      </c>
      <c r="Q773" s="6">
        <v>76.33</v>
      </c>
      <c r="R773" s="6">
        <v>7498.36</v>
      </c>
      <c r="S773" s="6">
        <v>0.05</v>
      </c>
      <c r="T773" s="6">
        <v>374.92</v>
      </c>
      <c r="U773" s="6">
        <v>7123.44</v>
      </c>
      <c r="V773" s="6">
        <v>4351.09</v>
      </c>
      <c r="W773" s="6">
        <v>2772.35</v>
      </c>
      <c r="X773" s="6" t="s">
        <v>45</v>
      </c>
    </row>
    <row r="774" spans="1:24" x14ac:dyDescent="0.25">
      <c r="A774" s="5" t="s">
        <v>1257</v>
      </c>
      <c r="B774" s="18">
        <v>45655</v>
      </c>
      <c r="C774" s="7" t="s">
        <v>711</v>
      </c>
      <c r="D774" s="7" t="s">
        <v>57</v>
      </c>
      <c r="E774" s="7" t="s">
        <v>150</v>
      </c>
      <c r="F774" s="7" t="s">
        <v>151</v>
      </c>
      <c r="G774" s="7" t="s">
        <v>101</v>
      </c>
      <c r="H774" s="7" t="s">
        <v>134</v>
      </c>
      <c r="I774" s="7" t="s">
        <v>27</v>
      </c>
      <c r="J774" s="7" t="s">
        <v>106</v>
      </c>
      <c r="K774" s="7" t="s">
        <v>74</v>
      </c>
      <c r="L774" s="7" t="s">
        <v>2664</v>
      </c>
      <c r="M774" s="7" t="s">
        <v>43</v>
      </c>
      <c r="N774" s="7" t="s">
        <v>75</v>
      </c>
      <c r="O774" s="7">
        <v>65</v>
      </c>
      <c r="P774" s="7">
        <v>90.96</v>
      </c>
      <c r="Q774" s="7">
        <v>48.4</v>
      </c>
      <c r="R774" s="7">
        <v>5912.49</v>
      </c>
      <c r="S774" s="7">
        <v>0.1</v>
      </c>
      <c r="T774" s="7">
        <v>591.25</v>
      </c>
      <c r="U774" s="7">
        <v>5321.24</v>
      </c>
      <c r="V774" s="7">
        <v>3145.93</v>
      </c>
      <c r="W774" s="7">
        <v>2175.3200000000002</v>
      </c>
      <c r="X774" s="7" t="s">
        <v>45</v>
      </c>
    </row>
    <row r="775" spans="1:24" x14ac:dyDescent="0.25">
      <c r="A775" s="16" t="s">
        <v>1258</v>
      </c>
      <c r="B775" s="17">
        <v>45636</v>
      </c>
      <c r="C775" s="6" t="s">
        <v>148</v>
      </c>
      <c r="D775" s="6" t="s">
        <v>149</v>
      </c>
      <c r="E775" s="6" t="s">
        <v>250</v>
      </c>
      <c r="F775" s="6" t="s">
        <v>251</v>
      </c>
      <c r="G775" s="6" t="s">
        <v>51</v>
      </c>
      <c r="H775" s="6" t="s">
        <v>252</v>
      </c>
      <c r="I775" s="6" t="s">
        <v>40</v>
      </c>
      <c r="J775" s="6" t="s">
        <v>117</v>
      </c>
      <c r="K775" s="6" t="s">
        <v>144</v>
      </c>
      <c r="L775" s="6" t="s">
        <v>2669</v>
      </c>
      <c r="M775" s="6" t="s">
        <v>30</v>
      </c>
      <c r="N775" s="6" t="s">
        <v>44</v>
      </c>
      <c r="O775" s="6">
        <v>35</v>
      </c>
      <c r="P775" s="6">
        <v>63.14</v>
      </c>
      <c r="Q775" s="6">
        <v>36.090000000000003</v>
      </c>
      <c r="R775" s="6">
        <v>2209.7600000000002</v>
      </c>
      <c r="S775" s="6">
        <v>0.15</v>
      </c>
      <c r="T775" s="6">
        <v>331.46</v>
      </c>
      <c r="U775" s="6">
        <v>1878.3</v>
      </c>
      <c r="V775" s="6">
        <v>1263.29</v>
      </c>
      <c r="W775" s="6">
        <v>615.01</v>
      </c>
      <c r="X775" s="6" t="s">
        <v>129</v>
      </c>
    </row>
    <row r="776" spans="1:24" x14ac:dyDescent="0.25">
      <c r="A776" s="5" t="s">
        <v>1259</v>
      </c>
      <c r="B776" s="18">
        <v>45627</v>
      </c>
      <c r="C776" s="7" t="s">
        <v>594</v>
      </c>
      <c r="D776" s="7" t="s">
        <v>105</v>
      </c>
      <c r="E776" s="7" t="s">
        <v>109</v>
      </c>
      <c r="F776" s="7" t="s">
        <v>110</v>
      </c>
      <c r="G776" s="7" t="s">
        <v>80</v>
      </c>
      <c r="H776" s="7" t="s">
        <v>81</v>
      </c>
      <c r="I776" s="7" t="s">
        <v>88</v>
      </c>
      <c r="J776" s="7" t="s">
        <v>89</v>
      </c>
      <c r="K776" s="7" t="s">
        <v>195</v>
      </c>
      <c r="L776" s="7" t="s">
        <v>2673</v>
      </c>
      <c r="M776" s="7" t="s">
        <v>61</v>
      </c>
      <c r="N776" s="7" t="s">
        <v>44</v>
      </c>
      <c r="O776" s="7">
        <v>1</v>
      </c>
      <c r="P776" s="7">
        <v>125.45</v>
      </c>
      <c r="Q776" s="7">
        <v>73.14</v>
      </c>
      <c r="R776" s="7">
        <v>125.45</v>
      </c>
      <c r="S776" s="7">
        <v>0</v>
      </c>
      <c r="T776" s="7">
        <v>0</v>
      </c>
      <c r="U776" s="7">
        <v>125.45</v>
      </c>
      <c r="V776" s="7">
        <v>73.14</v>
      </c>
      <c r="W776" s="7">
        <v>52.31</v>
      </c>
      <c r="X776" s="7" t="s">
        <v>45</v>
      </c>
    </row>
    <row r="777" spans="1:24" x14ac:dyDescent="0.25">
      <c r="A777" s="16" t="s">
        <v>1260</v>
      </c>
      <c r="B777" s="17">
        <v>45647</v>
      </c>
      <c r="C777" s="6" t="s">
        <v>1261</v>
      </c>
      <c r="D777" s="6" t="s">
        <v>393</v>
      </c>
      <c r="E777" s="6" t="s">
        <v>36</v>
      </c>
      <c r="F777" s="6" t="s">
        <v>37</v>
      </c>
      <c r="G777" s="6" t="s">
        <v>38</v>
      </c>
      <c r="H777" s="6" t="s">
        <v>39</v>
      </c>
      <c r="I777" s="6" t="s">
        <v>712</v>
      </c>
      <c r="J777" s="6" t="s">
        <v>59</v>
      </c>
      <c r="K777" s="6" t="s">
        <v>184</v>
      </c>
      <c r="L777" s="6" t="s">
        <v>2672</v>
      </c>
      <c r="M777" s="6" t="s">
        <v>61</v>
      </c>
      <c r="N777" s="6"/>
      <c r="O777" s="6">
        <v>57</v>
      </c>
      <c r="P777" s="6">
        <v>152.29</v>
      </c>
      <c r="Q777" s="6">
        <v>105.56</v>
      </c>
      <c r="R777" s="6">
        <v>8680.27</v>
      </c>
      <c r="S777" s="6">
        <v>0.1</v>
      </c>
      <c r="T777" s="6">
        <v>868.03</v>
      </c>
      <c r="U777" s="6">
        <v>7812.25</v>
      </c>
      <c r="V777" s="6">
        <v>6017.06</v>
      </c>
      <c r="W777" s="6">
        <v>1795.18</v>
      </c>
      <c r="X777" s="6" t="s">
        <v>45</v>
      </c>
    </row>
    <row r="778" spans="1:24" x14ac:dyDescent="0.25">
      <c r="A778" s="5" t="s">
        <v>1262</v>
      </c>
      <c r="B778" s="18">
        <v>45554</v>
      </c>
      <c r="C778" s="7" t="s">
        <v>1033</v>
      </c>
      <c r="D778" s="7" t="s">
        <v>105</v>
      </c>
      <c r="E778" s="7" t="s">
        <v>150</v>
      </c>
      <c r="F778" s="7" t="s">
        <v>151</v>
      </c>
      <c r="G778" s="7" t="s">
        <v>101</v>
      </c>
      <c r="H778" s="7" t="s">
        <v>134</v>
      </c>
      <c r="I778" s="7" t="s">
        <v>58</v>
      </c>
      <c r="J778" s="7" t="s">
        <v>73</v>
      </c>
      <c r="K778" s="7" t="s">
        <v>195</v>
      </c>
      <c r="L778" s="7" t="s">
        <v>2673</v>
      </c>
      <c r="M778" s="7" t="s">
        <v>30</v>
      </c>
      <c r="N778" s="7" t="s">
        <v>84</v>
      </c>
      <c r="O778" s="7">
        <v>19</v>
      </c>
      <c r="P778" s="7">
        <v>84.17</v>
      </c>
      <c r="Q778" s="7">
        <v>47.56</v>
      </c>
      <c r="R778" s="7">
        <v>1599.23</v>
      </c>
      <c r="S778" s="7">
        <v>0.1</v>
      </c>
      <c r="T778" s="7">
        <v>159.91999999999999</v>
      </c>
      <c r="U778" s="7">
        <v>1439.31</v>
      </c>
      <c r="V778" s="7">
        <v>903.64</v>
      </c>
      <c r="W778" s="7">
        <v>535.66</v>
      </c>
      <c r="X778" s="7" t="s">
        <v>45</v>
      </c>
    </row>
    <row r="779" spans="1:24" x14ac:dyDescent="0.25">
      <c r="A779" s="16" t="s">
        <v>1263</v>
      </c>
      <c r="B779" s="17">
        <v>45600</v>
      </c>
      <c r="C779" s="6" t="s">
        <v>931</v>
      </c>
      <c r="D779" s="6" t="s">
        <v>105</v>
      </c>
      <c r="E779" s="6" t="s">
        <v>150</v>
      </c>
      <c r="F779" s="6" t="s">
        <v>151</v>
      </c>
      <c r="G779" s="6" t="s">
        <v>101</v>
      </c>
      <c r="H779" s="6" t="s">
        <v>134</v>
      </c>
      <c r="I779" s="6" t="s">
        <v>88</v>
      </c>
      <c r="J779" s="6" t="s">
        <v>89</v>
      </c>
      <c r="K779" s="6" t="s">
        <v>42</v>
      </c>
      <c r="L779" s="6" t="s">
        <v>2661</v>
      </c>
      <c r="M779" s="6" t="s">
        <v>43</v>
      </c>
      <c r="N779" s="6" t="s">
        <v>31</v>
      </c>
      <c r="O779" s="6">
        <v>62</v>
      </c>
      <c r="P779" s="6">
        <v>82.97</v>
      </c>
      <c r="Q779" s="6">
        <v>49.88</v>
      </c>
      <c r="R779" s="6">
        <v>5144.21</v>
      </c>
      <c r="S779" s="6">
        <v>0.05</v>
      </c>
      <c r="T779" s="6">
        <v>257.20999999999998</v>
      </c>
      <c r="U779" s="6">
        <v>4887</v>
      </c>
      <c r="V779" s="6">
        <v>3092.47</v>
      </c>
      <c r="W779" s="6">
        <v>1794.53</v>
      </c>
      <c r="X779" s="6" t="s">
        <v>45</v>
      </c>
    </row>
    <row r="780" spans="1:24" x14ac:dyDescent="0.25">
      <c r="A780" s="5" t="s">
        <v>1264</v>
      </c>
      <c r="B780" s="18">
        <v>45608</v>
      </c>
      <c r="C780" s="7" t="s">
        <v>1265</v>
      </c>
      <c r="D780" s="7" t="s">
        <v>48</v>
      </c>
      <c r="E780" s="7" t="s">
        <v>99</v>
      </c>
      <c r="F780" s="7" t="s">
        <v>100</v>
      </c>
      <c r="G780" s="7" t="s">
        <v>101</v>
      </c>
      <c r="H780" s="7" t="s">
        <v>102</v>
      </c>
      <c r="I780" s="7" t="s">
        <v>88</v>
      </c>
      <c r="J780" s="7" t="s">
        <v>173</v>
      </c>
      <c r="K780" s="7" t="s">
        <v>178</v>
      </c>
      <c r="L780" s="7" t="s">
        <v>256</v>
      </c>
      <c r="M780" s="7" t="s">
        <v>43</v>
      </c>
      <c r="N780" s="7" t="s">
        <v>75</v>
      </c>
      <c r="O780" s="7">
        <v>70</v>
      </c>
      <c r="P780" s="7">
        <v>69.33</v>
      </c>
      <c r="Q780" s="7">
        <v>41.76</v>
      </c>
      <c r="R780" s="7">
        <v>4853.21</v>
      </c>
      <c r="S780" s="7">
        <v>0</v>
      </c>
      <c r="T780" s="7">
        <v>0</v>
      </c>
      <c r="U780" s="7">
        <v>4853.21</v>
      </c>
      <c r="V780" s="7">
        <v>2922.94</v>
      </c>
      <c r="W780" s="7">
        <v>1930.27</v>
      </c>
      <c r="X780" s="7" t="s">
        <v>45</v>
      </c>
    </row>
    <row r="781" spans="1:24" x14ac:dyDescent="0.25">
      <c r="A781" s="16" t="s">
        <v>1266</v>
      </c>
      <c r="B781" s="17">
        <v>45476</v>
      </c>
      <c r="C781" s="6" t="s">
        <v>1267</v>
      </c>
      <c r="D781" s="6" t="s">
        <v>149</v>
      </c>
      <c r="E781" s="6" t="s">
        <v>209</v>
      </c>
      <c r="F781" s="6" t="s">
        <v>210</v>
      </c>
      <c r="G781" s="6" t="s">
        <v>51</v>
      </c>
      <c r="H781" s="6" t="s">
        <v>116</v>
      </c>
      <c r="I781" s="6" t="s">
        <v>88</v>
      </c>
      <c r="J781" s="6" t="s">
        <v>135</v>
      </c>
      <c r="K781" s="6" t="s">
        <v>42</v>
      </c>
      <c r="L781" s="6" t="s">
        <v>2661</v>
      </c>
      <c r="M781" s="6" t="s">
        <v>138</v>
      </c>
      <c r="N781" s="6" t="s">
        <v>84</v>
      </c>
      <c r="O781" s="6">
        <v>68</v>
      </c>
      <c r="P781" s="6">
        <v>19.420000000000002</v>
      </c>
      <c r="Q781" s="6">
        <v>10.61</v>
      </c>
      <c r="R781" s="6">
        <v>1320.72</v>
      </c>
      <c r="S781" s="6">
        <v>0.02</v>
      </c>
      <c r="T781" s="6">
        <v>26.41</v>
      </c>
      <c r="U781" s="6">
        <v>1294.3</v>
      </c>
      <c r="V781" s="6">
        <v>721.38</v>
      </c>
      <c r="W781" s="6">
        <v>572.91999999999996</v>
      </c>
      <c r="X781" s="6" t="s">
        <v>45</v>
      </c>
    </row>
    <row r="782" spans="1:24" x14ac:dyDescent="0.25">
      <c r="A782" s="5" t="s">
        <v>1268</v>
      </c>
      <c r="B782" s="18">
        <v>45656</v>
      </c>
      <c r="C782" s="7" t="s">
        <v>1075</v>
      </c>
      <c r="D782" s="7" t="s">
        <v>65</v>
      </c>
      <c r="E782" s="7" t="s">
        <v>216</v>
      </c>
      <c r="F782" s="7" t="s">
        <v>217</v>
      </c>
      <c r="G782" s="7" t="s">
        <v>38</v>
      </c>
      <c r="H782" s="7" t="s">
        <v>134</v>
      </c>
      <c r="I782" s="7" t="s">
        <v>58</v>
      </c>
      <c r="J782" s="7" t="s">
        <v>59</v>
      </c>
      <c r="K782" s="7" t="s">
        <v>184</v>
      </c>
      <c r="L782" s="7" t="s">
        <v>2672</v>
      </c>
      <c r="M782" s="7" t="s">
        <v>43</v>
      </c>
      <c r="N782" s="7" t="s">
        <v>44</v>
      </c>
      <c r="O782" s="7">
        <v>11</v>
      </c>
      <c r="P782" s="7">
        <v>107.04</v>
      </c>
      <c r="Q782" s="7">
        <v>70.81</v>
      </c>
      <c r="R782" s="7">
        <v>1177.3900000000001</v>
      </c>
      <c r="S782" s="7">
        <v>0.05</v>
      </c>
      <c r="T782" s="7">
        <v>58.87</v>
      </c>
      <c r="U782" s="7">
        <v>1118.52</v>
      </c>
      <c r="V782" s="7">
        <v>778.87</v>
      </c>
      <c r="W782" s="7">
        <v>339.66</v>
      </c>
      <c r="X782" s="7" t="s">
        <v>32</v>
      </c>
    </row>
    <row r="783" spans="1:24" x14ac:dyDescent="0.25">
      <c r="A783" s="16" t="s">
        <v>1269</v>
      </c>
      <c r="B783" s="17">
        <v>45584</v>
      </c>
      <c r="C783" s="6" t="s">
        <v>1270</v>
      </c>
      <c r="D783" s="6" t="s">
        <v>87</v>
      </c>
      <c r="E783" s="6" t="s">
        <v>187</v>
      </c>
      <c r="F783" s="6" t="s">
        <v>188</v>
      </c>
      <c r="G783" s="6" t="s">
        <v>25</v>
      </c>
      <c r="H783" s="6" t="s">
        <v>26</v>
      </c>
      <c r="I783" s="6" t="s">
        <v>58</v>
      </c>
      <c r="J783" s="6" t="s">
        <v>345</v>
      </c>
      <c r="K783" s="6" t="s">
        <v>152</v>
      </c>
      <c r="L783" s="6" t="s">
        <v>2670</v>
      </c>
      <c r="M783" s="6" t="s">
        <v>30</v>
      </c>
      <c r="N783" s="6" t="s">
        <v>31</v>
      </c>
      <c r="O783" s="6">
        <v>4</v>
      </c>
      <c r="P783" s="6">
        <v>48.93</v>
      </c>
      <c r="Q783" s="6">
        <v>27.61</v>
      </c>
      <c r="R783" s="6">
        <v>195.71</v>
      </c>
      <c r="S783" s="6">
        <v>0.2</v>
      </c>
      <c r="T783" s="6">
        <v>39.14</v>
      </c>
      <c r="U783" s="6">
        <v>156.57</v>
      </c>
      <c r="V783" s="6">
        <v>110.46</v>
      </c>
      <c r="W783" s="6">
        <v>46.11</v>
      </c>
      <c r="X783" s="6" t="s">
        <v>45</v>
      </c>
    </row>
    <row r="784" spans="1:24" x14ac:dyDescent="0.25">
      <c r="A784" s="5" t="s">
        <v>976</v>
      </c>
      <c r="B784" s="18">
        <v>45439</v>
      </c>
      <c r="C784" s="7" t="s">
        <v>339</v>
      </c>
      <c r="D784" s="7" t="s">
        <v>221</v>
      </c>
      <c r="E784" s="7" t="s">
        <v>132</v>
      </c>
      <c r="F784" s="7" t="s">
        <v>133</v>
      </c>
      <c r="G784" s="7" t="s">
        <v>51</v>
      </c>
      <c r="H784" s="7" t="s">
        <v>134</v>
      </c>
      <c r="I784" s="7" t="s">
        <v>40</v>
      </c>
      <c r="J784" s="7" t="s">
        <v>82</v>
      </c>
      <c r="K784" s="7" t="s">
        <v>60</v>
      </c>
      <c r="L784" s="7" t="s">
        <v>2662</v>
      </c>
      <c r="M784" s="7" t="s">
        <v>61</v>
      </c>
      <c r="N784" s="7" t="s">
        <v>84</v>
      </c>
      <c r="O784" s="7">
        <v>63</v>
      </c>
      <c r="P784" s="7">
        <v>63.74</v>
      </c>
      <c r="Q784" s="7">
        <v>34.43</v>
      </c>
      <c r="R784" s="7">
        <v>4015.34</v>
      </c>
      <c r="S784" s="7">
        <v>0.15</v>
      </c>
      <c r="T784" s="7">
        <v>602.29999999999995</v>
      </c>
      <c r="U784" s="7">
        <v>3413.04</v>
      </c>
      <c r="V784" s="7">
        <v>2169.0100000000002</v>
      </c>
      <c r="W784" s="7">
        <v>1244.03</v>
      </c>
      <c r="X784" s="7" t="s">
        <v>32</v>
      </c>
    </row>
    <row r="785" spans="1:24" x14ac:dyDescent="0.25">
      <c r="A785" s="16" t="s">
        <v>1271</v>
      </c>
      <c r="B785" s="17">
        <v>45547</v>
      </c>
      <c r="C785" s="6" t="s">
        <v>297</v>
      </c>
      <c r="D785" s="6" t="s">
        <v>87</v>
      </c>
      <c r="E785" s="6" t="s">
        <v>141</v>
      </c>
      <c r="F785" s="6" t="s">
        <v>142</v>
      </c>
      <c r="G785" s="6" t="s">
        <v>25</v>
      </c>
      <c r="H785" s="6" t="s">
        <v>26</v>
      </c>
      <c r="I785" s="6" t="s">
        <v>53</v>
      </c>
      <c r="J785" s="6" t="s">
        <v>54</v>
      </c>
      <c r="K785" s="6" t="s">
        <v>83</v>
      </c>
      <c r="L785" s="6" t="s">
        <v>2665</v>
      </c>
      <c r="M785" s="6" t="s">
        <v>43</v>
      </c>
      <c r="N785" s="6" t="s">
        <v>75</v>
      </c>
      <c r="O785" s="6">
        <v>48</v>
      </c>
      <c r="P785" s="6">
        <v>90.21</v>
      </c>
      <c r="Q785" s="6">
        <v>58.39</v>
      </c>
      <c r="R785" s="6">
        <v>4330.2700000000004</v>
      </c>
      <c r="S785" s="6">
        <v>0.1</v>
      </c>
      <c r="T785" s="6">
        <v>433.03</v>
      </c>
      <c r="U785" s="6">
        <v>3897.25</v>
      </c>
      <c r="V785" s="6">
        <v>2802.66</v>
      </c>
      <c r="W785" s="6">
        <v>1094.58</v>
      </c>
      <c r="X785" s="6" t="s">
        <v>45</v>
      </c>
    </row>
    <row r="786" spans="1:24" x14ac:dyDescent="0.25">
      <c r="A786" s="5" t="s">
        <v>566</v>
      </c>
      <c r="B786" s="18">
        <v>45449</v>
      </c>
      <c r="C786" s="7" t="s">
        <v>567</v>
      </c>
      <c r="D786" s="7" t="s">
        <v>22</v>
      </c>
      <c r="E786" s="7" t="s">
        <v>126</v>
      </c>
      <c r="F786" s="7" t="s">
        <v>127</v>
      </c>
      <c r="G786" s="7" t="s">
        <v>95</v>
      </c>
      <c r="H786" s="7" t="s">
        <v>128</v>
      </c>
      <c r="I786" s="7" t="s">
        <v>58</v>
      </c>
      <c r="J786" s="7" t="s">
        <v>73</v>
      </c>
      <c r="K786" s="7" t="s">
        <v>248</v>
      </c>
      <c r="L786" s="7" t="s">
        <v>2675</v>
      </c>
      <c r="M786" s="7" t="s">
        <v>153</v>
      </c>
      <c r="N786" s="7" t="s">
        <v>368</v>
      </c>
      <c r="O786" s="7">
        <v>80</v>
      </c>
      <c r="P786" s="7">
        <v>94.26</v>
      </c>
      <c r="Q786" s="7">
        <v>50.25</v>
      </c>
      <c r="R786" s="7">
        <v>7540.91</v>
      </c>
      <c r="S786" s="7">
        <v>0</v>
      </c>
      <c r="T786" s="7">
        <v>0</v>
      </c>
      <c r="U786" s="7">
        <v>7540.91</v>
      </c>
      <c r="V786" s="7">
        <v>4019.6</v>
      </c>
      <c r="W786" s="7">
        <v>3521.3</v>
      </c>
      <c r="X786" s="7" t="s">
        <v>550</v>
      </c>
    </row>
    <row r="787" spans="1:24" x14ac:dyDescent="0.25">
      <c r="A787" s="16" t="s">
        <v>1272</v>
      </c>
      <c r="B787" s="17">
        <v>45620</v>
      </c>
      <c r="C787" s="6" t="s">
        <v>1013</v>
      </c>
      <c r="D787" s="6" t="s">
        <v>48</v>
      </c>
      <c r="E787" s="6" t="s">
        <v>222</v>
      </c>
      <c r="F787" s="6" t="s">
        <v>223</v>
      </c>
      <c r="G787" s="6" t="s">
        <v>101</v>
      </c>
      <c r="H787" s="6" t="s">
        <v>68</v>
      </c>
      <c r="I787" s="6" t="s">
        <v>88</v>
      </c>
      <c r="J787" s="6" t="s">
        <v>183</v>
      </c>
      <c r="K787" s="6" t="s">
        <v>74</v>
      </c>
      <c r="L787" s="6" t="s">
        <v>2664</v>
      </c>
      <c r="M787" s="6" t="s">
        <v>153</v>
      </c>
      <c r="N787" s="6" t="s">
        <v>75</v>
      </c>
      <c r="O787" s="6">
        <v>10</v>
      </c>
      <c r="P787" s="6">
        <v>128.44999999999999</v>
      </c>
      <c r="Q787" s="6">
        <v>78.94</v>
      </c>
      <c r="R787" s="6">
        <v>1284.52</v>
      </c>
      <c r="S787" s="6">
        <v>0.1</v>
      </c>
      <c r="T787" s="6">
        <v>128.44999999999999</v>
      </c>
      <c r="U787" s="6">
        <v>1156.07</v>
      </c>
      <c r="V787" s="6">
        <v>789.42</v>
      </c>
      <c r="W787" s="6">
        <v>366.65</v>
      </c>
      <c r="X787" s="6" t="s">
        <v>32</v>
      </c>
    </row>
    <row r="788" spans="1:24" x14ac:dyDescent="0.25">
      <c r="A788" s="5" t="s">
        <v>1273</v>
      </c>
      <c r="B788" s="18">
        <v>45336</v>
      </c>
      <c r="C788" s="7" t="s">
        <v>638</v>
      </c>
      <c r="D788" s="7" t="s">
        <v>87</v>
      </c>
      <c r="E788" s="7" t="s">
        <v>150</v>
      </c>
      <c r="F788" s="7" t="s">
        <v>151</v>
      </c>
      <c r="G788" s="7" t="s">
        <v>101</v>
      </c>
      <c r="H788" s="7" t="s">
        <v>134</v>
      </c>
      <c r="I788" s="7" t="s">
        <v>53</v>
      </c>
      <c r="J788" s="7" t="s">
        <v>232</v>
      </c>
      <c r="K788" s="7" t="s">
        <v>90</v>
      </c>
      <c r="L788" s="7" t="s">
        <v>2666</v>
      </c>
      <c r="M788" s="7" t="s">
        <v>61</v>
      </c>
      <c r="N788" s="7" t="s">
        <v>70</v>
      </c>
      <c r="O788" s="7">
        <v>75</v>
      </c>
      <c r="P788" s="7">
        <v>81.430000000000007</v>
      </c>
      <c r="Q788" s="7">
        <v>51.1</v>
      </c>
      <c r="R788" s="7">
        <v>6107.18</v>
      </c>
      <c r="S788" s="7">
        <v>0</v>
      </c>
      <c r="T788" s="7">
        <v>0</v>
      </c>
      <c r="U788" s="7">
        <v>6107.18</v>
      </c>
      <c r="V788" s="7">
        <v>3832.57</v>
      </c>
      <c r="W788" s="7">
        <v>2274.62</v>
      </c>
      <c r="X788" s="7" t="s">
        <v>45</v>
      </c>
    </row>
    <row r="789" spans="1:24" x14ac:dyDescent="0.25">
      <c r="A789" s="16" t="s">
        <v>1274</v>
      </c>
      <c r="B789" s="17">
        <v>45577</v>
      </c>
      <c r="C789" s="6" t="s">
        <v>1219</v>
      </c>
      <c r="D789" s="6" t="s">
        <v>359</v>
      </c>
      <c r="E789" s="6" t="s">
        <v>222</v>
      </c>
      <c r="F789" s="6" t="s">
        <v>223</v>
      </c>
      <c r="G789" s="6" t="s">
        <v>101</v>
      </c>
      <c r="H789" s="6" t="s">
        <v>68</v>
      </c>
      <c r="I789" s="6" t="s">
        <v>58</v>
      </c>
      <c r="J789" s="6" t="s">
        <v>345</v>
      </c>
      <c r="K789" s="6" t="s">
        <v>60</v>
      </c>
      <c r="L789" s="6" t="s">
        <v>2662</v>
      </c>
      <c r="M789" s="6" t="s">
        <v>153</v>
      </c>
      <c r="N789" s="6" t="s">
        <v>70</v>
      </c>
      <c r="O789" s="6">
        <v>51</v>
      </c>
      <c r="P789" s="6">
        <v>113.11</v>
      </c>
      <c r="Q789" s="6">
        <v>78.88</v>
      </c>
      <c r="R789" s="6">
        <v>5768.69</v>
      </c>
      <c r="S789" s="6">
        <v>0.2</v>
      </c>
      <c r="T789" s="6">
        <v>1153.74</v>
      </c>
      <c r="U789" s="6">
        <v>4614.95</v>
      </c>
      <c r="V789" s="6">
        <v>4023.11</v>
      </c>
      <c r="W789" s="6">
        <v>591.84</v>
      </c>
      <c r="X789" s="6" t="s">
        <v>32</v>
      </c>
    </row>
    <row r="790" spans="1:24" x14ac:dyDescent="0.25">
      <c r="A790" s="5" t="s">
        <v>1275</v>
      </c>
      <c r="B790" s="18">
        <v>45347</v>
      </c>
      <c r="C790" s="7" t="s">
        <v>948</v>
      </c>
      <c r="D790" s="7" t="s">
        <v>87</v>
      </c>
      <c r="E790" s="7" t="s">
        <v>222</v>
      </c>
      <c r="F790" s="7" t="s">
        <v>223</v>
      </c>
      <c r="G790" s="7" t="s">
        <v>101</v>
      </c>
      <c r="H790" s="7" t="s">
        <v>68</v>
      </c>
      <c r="I790" s="7" t="s">
        <v>452</v>
      </c>
      <c r="J790" s="7" t="s">
        <v>106</v>
      </c>
      <c r="K790" s="7" t="s">
        <v>195</v>
      </c>
      <c r="L790" s="7" t="s">
        <v>2673</v>
      </c>
      <c r="M790" s="7" t="s">
        <v>30</v>
      </c>
      <c r="N790" s="7" t="s">
        <v>44</v>
      </c>
      <c r="O790" s="7">
        <v>70</v>
      </c>
      <c r="P790" s="7">
        <v>111.15</v>
      </c>
      <c r="Q790" s="7">
        <v>80.08</v>
      </c>
      <c r="R790" s="7">
        <v>7780.39</v>
      </c>
      <c r="S790" s="7">
        <v>0.05</v>
      </c>
      <c r="T790" s="7">
        <v>389.02</v>
      </c>
      <c r="U790" s="7">
        <v>7391.37</v>
      </c>
      <c r="V790" s="7">
        <v>5605.76</v>
      </c>
      <c r="W790" s="7">
        <v>1785.61</v>
      </c>
      <c r="X790" s="7" t="s">
        <v>45</v>
      </c>
    </row>
    <row r="791" spans="1:24" x14ac:dyDescent="0.25">
      <c r="A791" s="16" t="s">
        <v>1276</v>
      </c>
      <c r="B791" s="17">
        <v>45617</v>
      </c>
      <c r="C791" s="6" t="s">
        <v>475</v>
      </c>
      <c r="D791" s="6" t="s">
        <v>57</v>
      </c>
      <c r="E791" s="6" t="s">
        <v>49</v>
      </c>
      <c r="F791" s="6" t="s">
        <v>50</v>
      </c>
      <c r="G791" s="6" t="s">
        <v>51</v>
      </c>
      <c r="H791" s="6" t="s">
        <v>52</v>
      </c>
      <c r="I791" s="6" t="s">
        <v>53</v>
      </c>
      <c r="J791" s="6" t="s">
        <v>143</v>
      </c>
      <c r="K791" s="6" t="s">
        <v>265</v>
      </c>
      <c r="L791" s="6" t="s">
        <v>2678</v>
      </c>
      <c r="M791" s="6" t="s">
        <v>30</v>
      </c>
      <c r="N791" s="6" t="s">
        <v>70</v>
      </c>
      <c r="O791" s="6">
        <v>22</v>
      </c>
      <c r="P791" s="6">
        <v>26.92</v>
      </c>
      <c r="Q791" s="6">
        <v>13.21</v>
      </c>
      <c r="R791" s="6">
        <v>592.24</v>
      </c>
      <c r="S791" s="6">
        <v>0</v>
      </c>
      <c r="T791" s="6">
        <v>0</v>
      </c>
      <c r="U791" s="6">
        <v>592.24</v>
      </c>
      <c r="V791" s="6">
        <v>290.66000000000003</v>
      </c>
      <c r="W791" s="6">
        <v>301.58</v>
      </c>
      <c r="X791" s="6" t="s">
        <v>45</v>
      </c>
    </row>
    <row r="792" spans="1:24" x14ac:dyDescent="0.25">
      <c r="A792" s="5" t="s">
        <v>1277</v>
      </c>
      <c r="B792" s="18">
        <v>45575</v>
      </c>
      <c r="C792" s="7" t="s">
        <v>1278</v>
      </c>
      <c r="D792" s="7" t="s">
        <v>156</v>
      </c>
      <c r="E792" s="7" t="s">
        <v>23</v>
      </c>
      <c r="F792" s="7" t="s">
        <v>24</v>
      </c>
      <c r="G792" s="7" t="s">
        <v>25</v>
      </c>
      <c r="H792" s="7" t="s">
        <v>26</v>
      </c>
      <c r="I792" s="7" t="s">
        <v>53</v>
      </c>
      <c r="J792" s="7" t="s">
        <v>122</v>
      </c>
      <c r="K792" s="7" t="s">
        <v>178</v>
      </c>
      <c r="L792" s="7" t="s">
        <v>256</v>
      </c>
      <c r="M792" s="7" t="s">
        <v>61</v>
      </c>
      <c r="N792" s="7" t="s">
        <v>75</v>
      </c>
      <c r="O792" s="7">
        <v>11</v>
      </c>
      <c r="P792" s="7">
        <v>78.28</v>
      </c>
      <c r="Q792" s="7">
        <v>44.13</v>
      </c>
      <c r="R792" s="7">
        <v>861.05</v>
      </c>
      <c r="S792" s="7">
        <v>0.15</v>
      </c>
      <c r="T792" s="7">
        <v>129.16</v>
      </c>
      <c r="U792" s="7">
        <v>731.9</v>
      </c>
      <c r="V792" s="7">
        <v>485.39</v>
      </c>
      <c r="W792" s="7">
        <v>246.51</v>
      </c>
      <c r="X792" s="7" t="s">
        <v>129</v>
      </c>
    </row>
    <row r="793" spans="1:24" x14ac:dyDescent="0.25">
      <c r="A793" s="16" t="s">
        <v>1279</v>
      </c>
      <c r="B793" s="17">
        <v>45523</v>
      </c>
      <c r="C793" s="6" t="s">
        <v>175</v>
      </c>
      <c r="D793" s="6" t="s">
        <v>65</v>
      </c>
      <c r="E793" s="6" t="s">
        <v>36</v>
      </c>
      <c r="F793" s="6" t="s">
        <v>37</v>
      </c>
      <c r="G793" s="6" t="s">
        <v>38</v>
      </c>
      <c r="H793" s="6" t="s">
        <v>39</v>
      </c>
      <c r="I793" s="6" t="s">
        <v>40</v>
      </c>
      <c r="J793" s="6" t="s">
        <v>289</v>
      </c>
      <c r="K793" s="6" t="s">
        <v>42</v>
      </c>
      <c r="L793" s="6" t="s">
        <v>2661</v>
      </c>
      <c r="M793" s="6" t="s">
        <v>61</v>
      </c>
      <c r="N793" s="6" t="s">
        <v>31</v>
      </c>
      <c r="O793" s="6">
        <v>21</v>
      </c>
      <c r="P793" s="6">
        <v>173.04</v>
      </c>
      <c r="Q793" s="6">
        <v>103.32</v>
      </c>
      <c r="R793" s="6">
        <v>3633.81</v>
      </c>
      <c r="S793" s="6">
        <v>0.15</v>
      </c>
      <c r="T793" s="6">
        <v>545.07000000000005</v>
      </c>
      <c r="U793" s="6">
        <v>3088.74</v>
      </c>
      <c r="V793" s="6">
        <v>2169.75</v>
      </c>
      <c r="W793" s="6">
        <v>918.99</v>
      </c>
      <c r="X793" s="6" t="s">
        <v>45</v>
      </c>
    </row>
    <row r="794" spans="1:24" x14ac:dyDescent="0.25">
      <c r="A794" s="5" t="s">
        <v>1280</v>
      </c>
      <c r="B794" s="18">
        <v>45459</v>
      </c>
      <c r="C794" s="7" t="s">
        <v>1281</v>
      </c>
      <c r="D794" s="7" t="s">
        <v>35</v>
      </c>
      <c r="E794" s="7" t="s">
        <v>114</v>
      </c>
      <c r="F794" s="7" t="s">
        <v>115</v>
      </c>
      <c r="G794" s="7" t="s">
        <v>95</v>
      </c>
      <c r="H794" s="7" t="s">
        <v>116</v>
      </c>
      <c r="I794" s="7" t="s">
        <v>58</v>
      </c>
      <c r="J794" s="7" t="s">
        <v>323</v>
      </c>
      <c r="K794" s="7" t="s">
        <v>60</v>
      </c>
      <c r="L794" s="7" t="s">
        <v>2662</v>
      </c>
      <c r="M794" s="7" t="s">
        <v>43</v>
      </c>
      <c r="N794" s="7" t="s">
        <v>31</v>
      </c>
      <c r="O794" s="7">
        <v>65</v>
      </c>
      <c r="P794" s="7">
        <v>36.5</v>
      </c>
      <c r="Q794" s="7">
        <v>20.67</v>
      </c>
      <c r="R794" s="7">
        <v>2372.2600000000002</v>
      </c>
      <c r="S794" s="7">
        <v>0.2</v>
      </c>
      <c r="T794" s="7">
        <v>474.45</v>
      </c>
      <c r="U794" s="7">
        <v>1897.81</v>
      </c>
      <c r="V794" s="7">
        <v>1343.58</v>
      </c>
      <c r="W794" s="7">
        <v>554.22</v>
      </c>
      <c r="X794" s="7" t="s">
        <v>1042</v>
      </c>
    </row>
    <row r="795" spans="1:24" x14ac:dyDescent="0.25">
      <c r="A795" s="16" t="s">
        <v>1282</v>
      </c>
      <c r="B795" s="17">
        <v>45397</v>
      </c>
      <c r="C795" s="6" t="s">
        <v>691</v>
      </c>
      <c r="D795" s="6" t="s">
        <v>35</v>
      </c>
      <c r="E795" s="6" t="s">
        <v>216</v>
      </c>
      <c r="F795" s="6" t="s">
        <v>217</v>
      </c>
      <c r="G795" s="6" t="s">
        <v>38</v>
      </c>
      <c r="H795" s="6" t="s">
        <v>134</v>
      </c>
      <c r="I795" s="6" t="s">
        <v>27</v>
      </c>
      <c r="J795" s="6" t="s">
        <v>189</v>
      </c>
      <c r="K795" s="6" t="s">
        <v>265</v>
      </c>
      <c r="L795" s="6" t="s">
        <v>2678</v>
      </c>
      <c r="M795" s="6" t="s">
        <v>30</v>
      </c>
      <c r="N795" s="6" t="s">
        <v>70</v>
      </c>
      <c r="O795" s="6">
        <v>22</v>
      </c>
      <c r="P795" s="6">
        <v>110.13</v>
      </c>
      <c r="Q795" s="6">
        <v>64.239999999999995</v>
      </c>
      <c r="R795" s="6">
        <v>2422.9499999999998</v>
      </c>
      <c r="S795" s="6">
        <v>0.2</v>
      </c>
      <c r="T795" s="6">
        <v>484.59</v>
      </c>
      <c r="U795" s="6">
        <v>1938.36</v>
      </c>
      <c r="V795" s="6">
        <v>1413.25</v>
      </c>
      <c r="W795" s="6">
        <v>525.11</v>
      </c>
      <c r="X795" s="6" t="s">
        <v>45</v>
      </c>
    </row>
    <row r="796" spans="1:24" x14ac:dyDescent="0.25">
      <c r="A796" s="5" t="s">
        <v>1283</v>
      </c>
      <c r="B796" s="18">
        <v>45406</v>
      </c>
      <c r="C796" s="7" t="s">
        <v>456</v>
      </c>
      <c r="D796" s="7" t="s">
        <v>22</v>
      </c>
      <c r="E796" s="7" t="s">
        <v>114</v>
      </c>
      <c r="F796" s="7" t="s">
        <v>115</v>
      </c>
      <c r="G796" s="7" t="s">
        <v>95</v>
      </c>
      <c r="H796" s="7" t="s">
        <v>116</v>
      </c>
      <c r="I796" s="7" t="s">
        <v>53</v>
      </c>
      <c r="J796" s="7" t="s">
        <v>143</v>
      </c>
      <c r="K796" s="7" t="s">
        <v>265</v>
      </c>
      <c r="L796" s="7" t="s">
        <v>2678</v>
      </c>
      <c r="M796" s="7" t="s">
        <v>43</v>
      </c>
      <c r="N796" s="7" t="s">
        <v>190</v>
      </c>
      <c r="O796" s="7">
        <v>5</v>
      </c>
      <c r="P796" s="7">
        <v>35.43</v>
      </c>
      <c r="Q796" s="7">
        <v>20.52</v>
      </c>
      <c r="R796" s="7">
        <v>177.16</v>
      </c>
      <c r="S796" s="7">
        <v>0.15</v>
      </c>
      <c r="T796" s="7">
        <v>26.57</v>
      </c>
      <c r="U796" s="7">
        <v>150.59</v>
      </c>
      <c r="V796" s="7">
        <v>102.6</v>
      </c>
      <c r="W796" s="7">
        <v>47.99</v>
      </c>
      <c r="X796" s="7" t="s">
        <v>32</v>
      </c>
    </row>
    <row r="797" spans="1:24" x14ac:dyDescent="0.25">
      <c r="A797" s="16" t="s">
        <v>1141</v>
      </c>
      <c r="B797" s="17">
        <v>45311</v>
      </c>
      <c r="C797" s="6" t="s">
        <v>1142</v>
      </c>
      <c r="D797" s="6" t="s">
        <v>149</v>
      </c>
      <c r="E797" s="6" t="s">
        <v>150</v>
      </c>
      <c r="F797" s="6" t="s">
        <v>151</v>
      </c>
      <c r="G797" s="6" t="s">
        <v>101</v>
      </c>
      <c r="H797" s="6" t="s">
        <v>134</v>
      </c>
      <c r="I797" s="6" t="s">
        <v>58</v>
      </c>
      <c r="J797" s="6" t="s">
        <v>59</v>
      </c>
      <c r="K797" s="6" t="s">
        <v>170</v>
      </c>
      <c r="L797" s="6" t="s">
        <v>2671</v>
      </c>
      <c r="M797" s="6" t="s">
        <v>30</v>
      </c>
      <c r="N797" s="6" t="s">
        <v>70</v>
      </c>
      <c r="O797" s="6">
        <v>19</v>
      </c>
      <c r="P797" s="6">
        <v>90.69</v>
      </c>
      <c r="Q797" s="6">
        <v>54.68</v>
      </c>
      <c r="R797" s="6">
        <v>1723.12</v>
      </c>
      <c r="S797" s="6">
        <v>0</v>
      </c>
      <c r="T797" s="6">
        <v>0</v>
      </c>
      <c r="U797" s="6">
        <v>1723.12</v>
      </c>
      <c r="V797" s="6">
        <v>1038.9100000000001</v>
      </c>
      <c r="W797" s="6">
        <v>684.21</v>
      </c>
      <c r="X797" s="6" t="s">
        <v>32</v>
      </c>
    </row>
    <row r="798" spans="1:24" x14ac:dyDescent="0.25">
      <c r="A798" s="5" t="s">
        <v>1284</v>
      </c>
      <c r="B798" s="18">
        <v>45483</v>
      </c>
      <c r="C798" s="7" t="s">
        <v>660</v>
      </c>
      <c r="D798" s="7" t="s">
        <v>264</v>
      </c>
      <c r="E798" s="7" t="s">
        <v>36</v>
      </c>
      <c r="F798" s="7" t="s">
        <v>37</v>
      </c>
      <c r="G798" s="7" t="s">
        <v>38</v>
      </c>
      <c r="H798" s="7" t="s">
        <v>39</v>
      </c>
      <c r="I798" s="7" t="s">
        <v>40</v>
      </c>
      <c r="J798" s="7" t="s">
        <v>289</v>
      </c>
      <c r="K798" s="7" t="s">
        <v>74</v>
      </c>
      <c r="L798" s="7" t="s">
        <v>2664</v>
      </c>
      <c r="M798" s="7" t="s">
        <v>30</v>
      </c>
      <c r="N798" s="7" t="s">
        <v>84</v>
      </c>
      <c r="O798" s="7">
        <v>11</v>
      </c>
      <c r="P798" s="7">
        <v>157.12</v>
      </c>
      <c r="Q798" s="7">
        <v>95.18</v>
      </c>
      <c r="R798" s="7">
        <v>1728.28</v>
      </c>
      <c r="S798" s="7">
        <v>0.2</v>
      </c>
      <c r="T798" s="7">
        <v>345.66</v>
      </c>
      <c r="U798" s="7">
        <v>1382.62</v>
      </c>
      <c r="V798" s="7">
        <v>1046.94</v>
      </c>
      <c r="W798" s="7">
        <v>335.68</v>
      </c>
      <c r="X798" s="7" t="s">
        <v>129</v>
      </c>
    </row>
    <row r="799" spans="1:24" x14ac:dyDescent="0.25">
      <c r="A799" s="16" t="s">
        <v>553</v>
      </c>
      <c r="B799" s="17">
        <v>45454</v>
      </c>
      <c r="C799" s="6" t="s">
        <v>506</v>
      </c>
      <c r="D799" s="6" t="s">
        <v>264</v>
      </c>
      <c r="E799" s="6" t="s">
        <v>49</v>
      </c>
      <c r="F799" s="6" t="s">
        <v>50</v>
      </c>
      <c r="G799" s="6" t="s">
        <v>51</v>
      </c>
      <c r="H799" s="6" t="s">
        <v>52</v>
      </c>
      <c r="I799" s="6" t="s">
        <v>58</v>
      </c>
      <c r="J799" s="6" t="s">
        <v>59</v>
      </c>
      <c r="K799" s="6" t="s">
        <v>253</v>
      </c>
      <c r="L799" s="6" t="s">
        <v>2676</v>
      </c>
      <c r="M799" s="6" t="s">
        <v>153</v>
      </c>
      <c r="N799" s="6" t="s">
        <v>31</v>
      </c>
      <c r="O799" s="6">
        <v>45</v>
      </c>
      <c r="P799" s="6">
        <v>23.57</v>
      </c>
      <c r="Q799" s="6">
        <v>12.68</v>
      </c>
      <c r="R799" s="6">
        <v>1060.55</v>
      </c>
      <c r="S799" s="6">
        <v>0.1</v>
      </c>
      <c r="T799" s="6">
        <v>106.06</v>
      </c>
      <c r="U799" s="6">
        <v>954.5</v>
      </c>
      <c r="V799" s="6">
        <v>570.77</v>
      </c>
      <c r="W799" s="6">
        <v>383.73</v>
      </c>
      <c r="X799" s="6" t="s">
        <v>32</v>
      </c>
    </row>
    <row r="800" spans="1:24" x14ac:dyDescent="0.25">
      <c r="A800" s="5" t="s">
        <v>1285</v>
      </c>
      <c r="B800" s="18">
        <v>45325</v>
      </c>
      <c r="C800" s="7"/>
      <c r="D800" s="7"/>
      <c r="E800" s="7" t="s">
        <v>126</v>
      </c>
      <c r="F800" s="7" t="s">
        <v>127</v>
      </c>
      <c r="G800" s="7" t="s">
        <v>95</v>
      </c>
      <c r="H800" s="7" t="s">
        <v>128</v>
      </c>
      <c r="I800" s="7" t="s">
        <v>53</v>
      </c>
      <c r="J800" s="7" t="s">
        <v>122</v>
      </c>
      <c r="K800" s="7" t="s">
        <v>248</v>
      </c>
      <c r="L800" s="7" t="s">
        <v>2675</v>
      </c>
      <c r="M800" s="7" t="s">
        <v>43</v>
      </c>
      <c r="N800" s="7" t="s">
        <v>84</v>
      </c>
      <c r="O800" s="7">
        <v>22</v>
      </c>
      <c r="P800" s="7">
        <v>94.42</v>
      </c>
      <c r="Q800" s="7">
        <v>52.66</v>
      </c>
      <c r="R800" s="7">
        <v>2077.25</v>
      </c>
      <c r="S800" s="7">
        <v>0</v>
      </c>
      <c r="T800" s="7">
        <v>0</v>
      </c>
      <c r="U800" s="7">
        <v>2077.25</v>
      </c>
      <c r="V800" s="7">
        <v>1158.48</v>
      </c>
      <c r="W800" s="7">
        <v>918.77</v>
      </c>
      <c r="X800" s="7" t="s">
        <v>45</v>
      </c>
    </row>
    <row r="801" spans="1:24" x14ac:dyDescent="0.25">
      <c r="A801" s="16" t="s">
        <v>1286</v>
      </c>
      <c r="B801" s="17">
        <v>45524</v>
      </c>
      <c r="C801" s="6" t="s">
        <v>723</v>
      </c>
      <c r="D801" s="6" t="s">
        <v>156</v>
      </c>
      <c r="E801" s="6" t="s">
        <v>132</v>
      </c>
      <c r="F801" s="6" t="s">
        <v>133</v>
      </c>
      <c r="G801" s="6" t="s">
        <v>51</v>
      </c>
      <c r="H801" s="6" t="s">
        <v>134</v>
      </c>
      <c r="I801" s="6" t="s">
        <v>53</v>
      </c>
      <c r="J801" s="6" t="s">
        <v>232</v>
      </c>
      <c r="K801" s="6" t="s">
        <v>248</v>
      </c>
      <c r="L801" s="6" t="s">
        <v>2675</v>
      </c>
      <c r="M801" s="6" t="s">
        <v>30</v>
      </c>
      <c r="N801" s="6" t="s">
        <v>84</v>
      </c>
      <c r="O801" s="6">
        <v>66</v>
      </c>
      <c r="P801" s="6">
        <v>55.41</v>
      </c>
      <c r="Q801" s="6">
        <v>33.04</v>
      </c>
      <c r="R801" s="6">
        <v>3657.22</v>
      </c>
      <c r="S801" s="6">
        <v>0.1</v>
      </c>
      <c r="T801" s="6">
        <v>365.72</v>
      </c>
      <c r="U801" s="6">
        <v>3291.5</v>
      </c>
      <c r="V801" s="6">
        <v>2180.67</v>
      </c>
      <c r="W801" s="6">
        <v>1110.83</v>
      </c>
      <c r="X801" s="6" t="s">
        <v>45</v>
      </c>
    </row>
    <row r="802" spans="1:24" x14ac:dyDescent="0.25">
      <c r="A802" s="5" t="s">
        <v>1287</v>
      </c>
      <c r="B802" s="18">
        <v>45520</v>
      </c>
      <c r="C802" s="7" t="s">
        <v>422</v>
      </c>
      <c r="D802" s="7" t="s">
        <v>48</v>
      </c>
      <c r="E802" s="7" t="s">
        <v>66</v>
      </c>
      <c r="F802" s="7" t="s">
        <v>67</v>
      </c>
      <c r="G802" s="7" t="s">
        <v>38</v>
      </c>
      <c r="H802" s="7" t="s">
        <v>68</v>
      </c>
      <c r="I802" s="7" t="s">
        <v>40</v>
      </c>
      <c r="J802" s="7" t="s">
        <v>117</v>
      </c>
      <c r="K802" s="7" t="s">
        <v>74</v>
      </c>
      <c r="L802" s="7" t="s">
        <v>2664</v>
      </c>
      <c r="M802" s="7" t="s">
        <v>30</v>
      </c>
      <c r="N802" s="7" t="s">
        <v>75</v>
      </c>
      <c r="O802" s="7">
        <v>18</v>
      </c>
      <c r="P802" s="7">
        <v>159.72999999999999</v>
      </c>
      <c r="Q802" s="7">
        <v>106.41</v>
      </c>
      <c r="R802" s="7">
        <v>2875.22</v>
      </c>
      <c r="S802" s="7">
        <v>0.2</v>
      </c>
      <c r="T802" s="7">
        <v>575.04</v>
      </c>
      <c r="U802" s="7">
        <v>2300.1799999999998</v>
      </c>
      <c r="V802" s="7">
        <v>1915.35</v>
      </c>
      <c r="W802" s="7">
        <v>384.82</v>
      </c>
      <c r="X802" s="7" t="s">
        <v>45</v>
      </c>
    </row>
    <row r="803" spans="1:24" x14ac:dyDescent="0.25">
      <c r="A803" s="16" t="s">
        <v>1288</v>
      </c>
      <c r="B803" s="17">
        <v>45390</v>
      </c>
      <c r="C803" s="6" t="s">
        <v>438</v>
      </c>
      <c r="D803" s="6" t="s">
        <v>221</v>
      </c>
      <c r="E803" s="6" t="s">
        <v>36</v>
      </c>
      <c r="F803" s="6" t="s">
        <v>37</v>
      </c>
      <c r="G803" s="6" t="s">
        <v>38</v>
      </c>
      <c r="H803" s="6" t="s">
        <v>39</v>
      </c>
      <c r="I803" s="6" t="s">
        <v>88</v>
      </c>
      <c r="J803" s="6" t="s">
        <v>89</v>
      </c>
      <c r="K803" s="6" t="s">
        <v>29</v>
      </c>
      <c r="L803" s="6" t="s">
        <v>2660</v>
      </c>
      <c r="M803" s="6" t="s">
        <v>153</v>
      </c>
      <c r="N803" s="6" t="s">
        <v>31</v>
      </c>
      <c r="O803" s="6">
        <v>80</v>
      </c>
      <c r="P803" s="6">
        <v>153</v>
      </c>
      <c r="Q803" s="6">
        <v>95.53</v>
      </c>
      <c r="R803" s="6">
        <v>12239.98</v>
      </c>
      <c r="S803" s="6">
        <v>0.15</v>
      </c>
      <c r="T803" s="6">
        <v>1836</v>
      </c>
      <c r="U803" s="6">
        <v>10403.99</v>
      </c>
      <c r="V803" s="6">
        <v>7642.44</v>
      </c>
      <c r="W803" s="6">
        <v>2761.55</v>
      </c>
      <c r="X803" s="6" t="s">
        <v>45</v>
      </c>
    </row>
    <row r="804" spans="1:24" x14ac:dyDescent="0.25">
      <c r="A804" s="5" t="s">
        <v>1289</v>
      </c>
      <c r="B804" s="18">
        <v>45635</v>
      </c>
      <c r="C804" s="7" t="s">
        <v>608</v>
      </c>
      <c r="D804" s="7" t="s">
        <v>22</v>
      </c>
      <c r="E804" s="7" t="s">
        <v>165</v>
      </c>
      <c r="F804" s="7" t="s">
        <v>166</v>
      </c>
      <c r="G804" s="7" t="s">
        <v>95</v>
      </c>
      <c r="H804" s="7" t="s">
        <v>167</v>
      </c>
      <c r="I804" s="7" t="s">
        <v>27</v>
      </c>
      <c r="J804" s="7" t="s">
        <v>189</v>
      </c>
      <c r="K804" s="7" t="s">
        <v>60</v>
      </c>
      <c r="L804" s="7" t="s">
        <v>2662</v>
      </c>
      <c r="M804" s="7" t="s">
        <v>43</v>
      </c>
      <c r="N804" s="7" t="s">
        <v>70</v>
      </c>
      <c r="O804" s="7">
        <v>47</v>
      </c>
      <c r="P804" s="7">
        <v>38.64</v>
      </c>
      <c r="Q804" s="7">
        <v>26.48</v>
      </c>
      <c r="R804" s="7">
        <v>1816.29</v>
      </c>
      <c r="S804" s="7">
        <v>0.1</v>
      </c>
      <c r="T804" s="7">
        <v>181.63</v>
      </c>
      <c r="U804" s="7">
        <v>1634.66</v>
      </c>
      <c r="V804" s="7">
        <v>1244.69</v>
      </c>
      <c r="W804" s="7">
        <v>389.97</v>
      </c>
      <c r="X804" s="7" t="s">
        <v>45</v>
      </c>
    </row>
    <row r="805" spans="1:24" x14ac:dyDescent="0.25">
      <c r="A805" s="16" t="s">
        <v>1290</v>
      </c>
      <c r="B805" s="17">
        <v>45578</v>
      </c>
      <c r="C805" s="6" t="s">
        <v>1075</v>
      </c>
      <c r="D805" s="6" t="s">
        <v>65</v>
      </c>
      <c r="E805" s="6" t="s">
        <v>176</v>
      </c>
      <c r="F805" s="6" t="s">
        <v>177</v>
      </c>
      <c r="G805" s="6" t="s">
        <v>101</v>
      </c>
      <c r="H805" s="6" t="s">
        <v>39</v>
      </c>
      <c r="I805" s="6" t="s">
        <v>27</v>
      </c>
      <c r="J805" s="6" t="s">
        <v>28</v>
      </c>
      <c r="K805" s="6" t="s">
        <v>111</v>
      </c>
      <c r="L805" s="6" t="s">
        <v>2667</v>
      </c>
      <c r="M805" s="6" t="s">
        <v>43</v>
      </c>
      <c r="N805" s="6" t="s">
        <v>70</v>
      </c>
      <c r="O805" s="6">
        <v>48</v>
      </c>
      <c r="P805" s="6">
        <v>97.77</v>
      </c>
      <c r="Q805" s="6">
        <v>63.19</v>
      </c>
      <c r="R805" s="6">
        <v>4692.78</v>
      </c>
      <c r="S805" s="6">
        <v>0</v>
      </c>
      <c r="T805" s="6">
        <v>0</v>
      </c>
      <c r="U805" s="6">
        <v>4692.78</v>
      </c>
      <c r="V805" s="6">
        <v>3033.22</v>
      </c>
      <c r="W805" s="6">
        <v>1659.56</v>
      </c>
      <c r="X805" s="6" t="s">
        <v>45</v>
      </c>
    </row>
    <row r="806" spans="1:24" x14ac:dyDescent="0.25">
      <c r="A806" s="5" t="s">
        <v>1291</v>
      </c>
      <c r="B806" s="18">
        <v>45319</v>
      </c>
      <c r="C806" s="7" t="s">
        <v>531</v>
      </c>
      <c r="D806" s="7" t="s">
        <v>264</v>
      </c>
      <c r="E806" s="7" t="s">
        <v>49</v>
      </c>
      <c r="F806" s="7" t="s">
        <v>50</v>
      </c>
      <c r="G806" s="7" t="s">
        <v>51</v>
      </c>
      <c r="H806" s="7" t="s">
        <v>52</v>
      </c>
      <c r="I806" s="7" t="s">
        <v>53</v>
      </c>
      <c r="J806" s="7" t="s">
        <v>54</v>
      </c>
      <c r="K806" s="7" t="s">
        <v>83</v>
      </c>
      <c r="L806" s="7" t="s">
        <v>2665</v>
      </c>
      <c r="M806" s="7" t="s">
        <v>43</v>
      </c>
      <c r="N806" s="7" t="s">
        <v>84</v>
      </c>
      <c r="O806" s="7">
        <v>35</v>
      </c>
      <c r="P806" s="7">
        <v>23.62</v>
      </c>
      <c r="Q806" s="7">
        <v>12.01</v>
      </c>
      <c r="R806" s="7">
        <v>826.62</v>
      </c>
      <c r="S806" s="7">
        <v>0.1</v>
      </c>
      <c r="T806" s="7">
        <v>82.66</v>
      </c>
      <c r="U806" s="7">
        <v>743.96</v>
      </c>
      <c r="V806" s="7">
        <v>420.45</v>
      </c>
      <c r="W806" s="7">
        <v>323.51</v>
      </c>
      <c r="X806" s="7" t="s">
        <v>45</v>
      </c>
    </row>
    <row r="807" spans="1:24" x14ac:dyDescent="0.25">
      <c r="A807" s="16" t="s">
        <v>1292</v>
      </c>
      <c r="B807" s="17">
        <v>45512</v>
      </c>
      <c r="C807" s="6" t="s">
        <v>1293</v>
      </c>
      <c r="D807" s="6" t="s">
        <v>264</v>
      </c>
      <c r="E807" s="6" t="s">
        <v>209</v>
      </c>
      <c r="F807" s="6" t="s">
        <v>210</v>
      </c>
      <c r="G807" s="6" t="s">
        <v>51</v>
      </c>
      <c r="H807" s="6" t="s">
        <v>116</v>
      </c>
      <c r="I807" s="6" t="s">
        <v>58</v>
      </c>
      <c r="J807" s="6" t="s">
        <v>323</v>
      </c>
      <c r="K807" s="6" t="s">
        <v>218</v>
      </c>
      <c r="L807" s="6" t="s">
        <v>2674</v>
      </c>
      <c r="M807" s="6" t="s">
        <v>61</v>
      </c>
      <c r="N807" s="6" t="s">
        <v>31</v>
      </c>
      <c r="O807" s="6">
        <v>54</v>
      </c>
      <c r="P807" s="6">
        <v>18.920000000000002</v>
      </c>
      <c r="Q807" s="6">
        <v>10.77</v>
      </c>
      <c r="R807" s="6">
        <v>1021.57</v>
      </c>
      <c r="S807" s="6">
        <v>0.15</v>
      </c>
      <c r="T807" s="6">
        <v>153.24</v>
      </c>
      <c r="U807" s="6">
        <v>868.33</v>
      </c>
      <c r="V807" s="6">
        <v>581.78</v>
      </c>
      <c r="W807" s="6">
        <v>286.55</v>
      </c>
      <c r="X807" s="6" t="s">
        <v>32</v>
      </c>
    </row>
    <row r="808" spans="1:24" x14ac:dyDescent="0.25">
      <c r="A808" s="5" t="s">
        <v>1294</v>
      </c>
      <c r="B808" s="18">
        <v>45480</v>
      </c>
      <c r="C808" s="7" t="s">
        <v>1131</v>
      </c>
      <c r="D808" s="7" t="s">
        <v>259</v>
      </c>
      <c r="E808" s="7" t="s">
        <v>132</v>
      </c>
      <c r="F808" s="7" t="s">
        <v>133</v>
      </c>
      <c r="G808" s="7" t="s">
        <v>51</v>
      </c>
      <c r="H808" s="7" t="s">
        <v>134</v>
      </c>
      <c r="I808" s="7" t="s">
        <v>88</v>
      </c>
      <c r="J808" s="7" t="s">
        <v>135</v>
      </c>
      <c r="K808" s="7" t="s">
        <v>253</v>
      </c>
      <c r="L808" s="7" t="s">
        <v>2676</v>
      </c>
      <c r="M808" s="7" t="s">
        <v>61</v>
      </c>
      <c r="N808" s="7" t="s">
        <v>75</v>
      </c>
      <c r="O808" s="7">
        <v>76</v>
      </c>
      <c r="P808" s="7">
        <v>61.14</v>
      </c>
      <c r="Q808" s="7">
        <v>33.29</v>
      </c>
      <c r="R808" s="7">
        <v>4646.28</v>
      </c>
      <c r="S808" s="7">
        <v>0.1</v>
      </c>
      <c r="T808" s="7">
        <v>464.63</v>
      </c>
      <c r="U808" s="7">
        <v>4181.6499999999996</v>
      </c>
      <c r="V808" s="7">
        <v>2529.8000000000002</v>
      </c>
      <c r="W808" s="7">
        <v>1651.85</v>
      </c>
      <c r="X808" s="7" t="s">
        <v>45</v>
      </c>
    </row>
    <row r="809" spans="1:24" x14ac:dyDescent="0.25">
      <c r="A809" s="16" t="s">
        <v>1295</v>
      </c>
      <c r="B809" s="17">
        <v>45453</v>
      </c>
      <c r="C809" s="6" t="s">
        <v>1267</v>
      </c>
      <c r="D809" s="6" t="s">
        <v>149</v>
      </c>
      <c r="E809" s="6" t="s">
        <v>99</v>
      </c>
      <c r="F809" s="6" t="s">
        <v>100</v>
      </c>
      <c r="G809" s="6" t="s">
        <v>101</v>
      </c>
      <c r="H809" s="6" t="s">
        <v>102</v>
      </c>
      <c r="I809" s="6" t="s">
        <v>40</v>
      </c>
      <c r="J809" s="6" t="s">
        <v>289</v>
      </c>
      <c r="K809" s="6" t="s">
        <v>83</v>
      </c>
      <c r="L809" s="6" t="s">
        <v>2665</v>
      </c>
      <c r="M809" s="6" t="s">
        <v>61</v>
      </c>
      <c r="N809" s="6" t="s">
        <v>75</v>
      </c>
      <c r="O809" s="6">
        <v>55</v>
      </c>
      <c r="P809" s="6">
        <v>68.58</v>
      </c>
      <c r="Q809" s="6">
        <v>39.5</v>
      </c>
      <c r="R809" s="6">
        <v>3771.96</v>
      </c>
      <c r="S809" s="6">
        <v>0.02</v>
      </c>
      <c r="T809" s="6">
        <v>75.44</v>
      </c>
      <c r="U809" s="6">
        <v>3696.52</v>
      </c>
      <c r="V809" s="6">
        <v>2172.2800000000002</v>
      </c>
      <c r="W809" s="6">
        <v>1524.23</v>
      </c>
      <c r="X809" s="6" t="s">
        <v>129</v>
      </c>
    </row>
    <row r="810" spans="1:24" x14ac:dyDescent="0.25">
      <c r="A810" s="5" t="s">
        <v>1296</v>
      </c>
      <c r="B810" s="18">
        <v>45327</v>
      </c>
      <c r="C810" s="7" t="s">
        <v>297</v>
      </c>
      <c r="D810" s="7" t="s">
        <v>87</v>
      </c>
      <c r="E810" s="7" t="s">
        <v>23</v>
      </c>
      <c r="F810" s="7" t="s">
        <v>24</v>
      </c>
      <c r="G810" s="7" t="s">
        <v>25</v>
      </c>
      <c r="H810" s="7" t="s">
        <v>26</v>
      </c>
      <c r="I810" s="7" t="s">
        <v>58</v>
      </c>
      <c r="J810" s="7" t="s">
        <v>345</v>
      </c>
      <c r="K810" s="7" t="s">
        <v>42</v>
      </c>
      <c r="L810" s="7" t="s">
        <v>2661</v>
      </c>
      <c r="M810" s="7" t="s">
        <v>43</v>
      </c>
      <c r="N810" s="7" t="s">
        <v>31</v>
      </c>
      <c r="O810" s="7">
        <v>2</v>
      </c>
      <c r="P810" s="7">
        <v>70.760000000000005</v>
      </c>
      <c r="Q810" s="7">
        <v>46.34</v>
      </c>
      <c r="R810" s="7">
        <v>141.51</v>
      </c>
      <c r="S810" s="7">
        <v>0.2</v>
      </c>
      <c r="T810" s="7">
        <v>28.3</v>
      </c>
      <c r="U810" s="7">
        <v>113.21</v>
      </c>
      <c r="V810" s="7">
        <v>92.69</v>
      </c>
      <c r="W810" s="7">
        <v>20.52</v>
      </c>
      <c r="X810" s="7" t="s">
        <v>129</v>
      </c>
    </row>
    <row r="811" spans="1:24" x14ac:dyDescent="0.25">
      <c r="A811" s="16" t="s">
        <v>1297</v>
      </c>
      <c r="B811" s="17">
        <v>45548</v>
      </c>
      <c r="C811" s="6" t="s">
        <v>674</v>
      </c>
      <c r="D811" s="6" t="s">
        <v>264</v>
      </c>
      <c r="E811" s="6" t="s">
        <v>93</v>
      </c>
      <c r="F811" s="6" t="s">
        <v>94</v>
      </c>
      <c r="G811" s="6" t="s">
        <v>95</v>
      </c>
      <c r="H811" s="6" t="s">
        <v>96</v>
      </c>
      <c r="I811" s="6" t="s">
        <v>88</v>
      </c>
      <c r="J811" s="6" t="s">
        <v>183</v>
      </c>
      <c r="K811" s="6" t="s">
        <v>118</v>
      </c>
      <c r="L811" s="6" t="s">
        <v>2668</v>
      </c>
      <c r="M811" s="6" t="s">
        <v>153</v>
      </c>
      <c r="N811" s="6" t="s">
        <v>31</v>
      </c>
      <c r="O811" s="6">
        <v>2</v>
      </c>
      <c r="P811" s="6">
        <v>54.47</v>
      </c>
      <c r="Q811" s="6">
        <v>30.19</v>
      </c>
      <c r="R811" s="6">
        <v>108.95</v>
      </c>
      <c r="S811" s="6">
        <v>1.1000000000000001</v>
      </c>
      <c r="T811" s="6">
        <v>21.79</v>
      </c>
      <c r="U811" s="6">
        <v>87.16</v>
      </c>
      <c r="V811" s="6">
        <v>60.39</v>
      </c>
      <c r="W811" s="6">
        <v>26.77</v>
      </c>
      <c r="X811" s="6" t="s">
        <v>32</v>
      </c>
    </row>
    <row r="812" spans="1:24" x14ac:dyDescent="0.25">
      <c r="A812" s="5" t="s">
        <v>1298</v>
      </c>
      <c r="B812" s="18">
        <v>45298</v>
      </c>
      <c r="C812" s="7" t="s">
        <v>1270</v>
      </c>
      <c r="D812" s="7" t="s">
        <v>87</v>
      </c>
      <c r="E812" s="7" t="s">
        <v>36</v>
      </c>
      <c r="F812" s="7" t="s">
        <v>37</v>
      </c>
      <c r="G812" s="7" t="s">
        <v>38</v>
      </c>
      <c r="H812" s="7" t="s">
        <v>39</v>
      </c>
      <c r="I812" s="7" t="s">
        <v>27</v>
      </c>
      <c r="J812" s="7" t="s">
        <v>189</v>
      </c>
      <c r="K812" s="7" t="s">
        <v>29</v>
      </c>
      <c r="L812" s="7" t="s">
        <v>2660</v>
      </c>
      <c r="M812" s="7" t="s">
        <v>30</v>
      </c>
      <c r="N812" s="7" t="s">
        <v>75</v>
      </c>
      <c r="O812" s="7">
        <v>32</v>
      </c>
      <c r="P812" s="7">
        <v>153.41</v>
      </c>
      <c r="Q812" s="7">
        <v>95.47</v>
      </c>
      <c r="R812" s="7">
        <v>4909.2</v>
      </c>
      <c r="S812" s="7">
        <v>0</v>
      </c>
      <c r="T812" s="7">
        <v>0</v>
      </c>
      <c r="U812" s="7">
        <v>4909.2</v>
      </c>
      <c r="V812" s="7">
        <v>3054.9</v>
      </c>
      <c r="W812" s="7">
        <v>1854.29</v>
      </c>
      <c r="X812" s="7" t="s">
        <v>45</v>
      </c>
    </row>
    <row r="813" spans="1:24" x14ac:dyDescent="0.25">
      <c r="A813" s="16" t="s">
        <v>1299</v>
      </c>
      <c r="B813" s="17">
        <v>45313</v>
      </c>
      <c r="C813" s="6" t="s">
        <v>602</v>
      </c>
      <c r="D813" s="6" t="s">
        <v>159</v>
      </c>
      <c r="E813" s="6" t="s">
        <v>165</v>
      </c>
      <c r="F813" s="6" t="s">
        <v>166</v>
      </c>
      <c r="G813" s="6" t="s">
        <v>95</v>
      </c>
      <c r="H813" s="6" t="s">
        <v>167</v>
      </c>
      <c r="I813" s="6" t="s">
        <v>88</v>
      </c>
      <c r="J813" s="6" t="s">
        <v>173</v>
      </c>
      <c r="K813" s="6" t="s">
        <v>178</v>
      </c>
      <c r="L813" s="6" t="s">
        <v>256</v>
      </c>
      <c r="M813" s="6" t="s">
        <v>43</v>
      </c>
      <c r="N813" s="6" t="s">
        <v>84</v>
      </c>
      <c r="O813" s="6">
        <v>1</v>
      </c>
      <c r="P813" s="6">
        <v>43.85</v>
      </c>
      <c r="Q813" s="6">
        <v>24.81</v>
      </c>
      <c r="R813" s="6">
        <v>43.85</v>
      </c>
      <c r="S813" s="6">
        <v>0.15</v>
      </c>
      <c r="T813" s="6">
        <v>6.58</v>
      </c>
      <c r="U813" s="6">
        <v>37.270000000000003</v>
      </c>
      <c r="V813" s="6">
        <v>24.81</v>
      </c>
      <c r="W813" s="6">
        <v>12.46</v>
      </c>
      <c r="X813" s="6" t="s">
        <v>45</v>
      </c>
    </row>
    <row r="814" spans="1:24" x14ac:dyDescent="0.25">
      <c r="A814" s="5" t="s">
        <v>1300</v>
      </c>
      <c r="B814" s="18">
        <v>45655</v>
      </c>
      <c r="C814" s="7" t="s">
        <v>175</v>
      </c>
      <c r="D814" s="7" t="s">
        <v>65</v>
      </c>
      <c r="E814" s="7" t="s">
        <v>36</v>
      </c>
      <c r="F814" s="7" t="s">
        <v>37</v>
      </c>
      <c r="G814" s="7" t="s">
        <v>38</v>
      </c>
      <c r="H814" s="7" t="s">
        <v>39</v>
      </c>
      <c r="I814" s="7" t="s">
        <v>27</v>
      </c>
      <c r="J814" s="7" t="s">
        <v>211</v>
      </c>
      <c r="K814" s="7" t="s">
        <v>218</v>
      </c>
      <c r="L814" s="7" t="s">
        <v>2674</v>
      </c>
      <c r="M814" s="7" t="s">
        <v>30</v>
      </c>
      <c r="N814" s="7" t="s">
        <v>44</v>
      </c>
      <c r="O814" s="7">
        <v>69</v>
      </c>
      <c r="P814" s="7">
        <v>158.32</v>
      </c>
      <c r="Q814" s="7">
        <v>93.61</v>
      </c>
      <c r="R814" s="7">
        <v>10924.32</v>
      </c>
      <c r="S814" s="7">
        <v>0.2</v>
      </c>
      <c r="T814" s="7">
        <v>2184.86</v>
      </c>
      <c r="U814" s="7">
        <v>8739.4599999999991</v>
      </c>
      <c r="V814" s="7">
        <v>6458.9</v>
      </c>
      <c r="W814" s="7">
        <v>2280.56</v>
      </c>
      <c r="X814" s="7" t="s">
        <v>45</v>
      </c>
    </row>
    <row r="815" spans="1:24" x14ac:dyDescent="0.25">
      <c r="A815" s="16" t="s">
        <v>381</v>
      </c>
      <c r="B815" s="17">
        <v>45506</v>
      </c>
      <c r="C815" s="6" t="s">
        <v>382</v>
      </c>
      <c r="D815" s="6" t="s">
        <v>22</v>
      </c>
      <c r="E815" s="6" t="s">
        <v>176</v>
      </c>
      <c r="F815" s="6" t="s">
        <v>177</v>
      </c>
      <c r="G815" s="6" t="s">
        <v>101</v>
      </c>
      <c r="H815" s="6" t="s">
        <v>39</v>
      </c>
      <c r="I815" s="6" t="s">
        <v>58</v>
      </c>
      <c r="J815" s="6" t="s">
        <v>59</v>
      </c>
      <c r="K815" s="6" t="s">
        <v>42</v>
      </c>
      <c r="L815" s="6" t="s">
        <v>2661</v>
      </c>
      <c r="M815" s="6" t="s">
        <v>61</v>
      </c>
      <c r="N815" s="6" t="s">
        <v>84</v>
      </c>
      <c r="O815" s="6">
        <v>52</v>
      </c>
      <c r="P815" s="6">
        <v>104.37</v>
      </c>
      <c r="Q815" s="6">
        <v>61</v>
      </c>
      <c r="R815" s="6">
        <v>5427.4</v>
      </c>
      <c r="S815" s="6">
        <v>0.1</v>
      </c>
      <c r="T815" s="6">
        <v>542.74</v>
      </c>
      <c r="U815" s="6">
        <v>4884.66</v>
      </c>
      <c r="V815" s="6">
        <v>3171.89</v>
      </c>
      <c r="W815" s="6">
        <v>1712.77</v>
      </c>
      <c r="X815" s="6" t="s">
        <v>129</v>
      </c>
    </row>
    <row r="816" spans="1:24" x14ac:dyDescent="0.25">
      <c r="A816" s="5" t="s">
        <v>1301</v>
      </c>
      <c r="B816" s="18">
        <v>45648</v>
      </c>
      <c r="C816" s="7" t="s">
        <v>1302</v>
      </c>
      <c r="D816" s="7"/>
      <c r="E816" s="7" t="s">
        <v>36</v>
      </c>
      <c r="F816" s="7" t="s">
        <v>37</v>
      </c>
      <c r="G816" s="7" t="s">
        <v>38</v>
      </c>
      <c r="H816" s="7" t="s">
        <v>39</v>
      </c>
      <c r="I816" s="7" t="s">
        <v>53</v>
      </c>
      <c r="J816" s="7" t="s">
        <v>232</v>
      </c>
      <c r="K816" s="7" t="s">
        <v>90</v>
      </c>
      <c r="L816" s="7" t="s">
        <v>2666</v>
      </c>
      <c r="M816" s="7" t="s">
        <v>43</v>
      </c>
      <c r="N816" s="7" t="s">
        <v>31</v>
      </c>
      <c r="O816" s="7">
        <v>27</v>
      </c>
      <c r="P816" s="7">
        <v>153.94</v>
      </c>
      <c r="Q816" s="7">
        <v>94.57</v>
      </c>
      <c r="R816" s="7">
        <v>4156.37</v>
      </c>
      <c r="S816" s="7">
        <v>0.15</v>
      </c>
      <c r="T816" s="7">
        <v>623.46</v>
      </c>
      <c r="U816" s="7">
        <v>3532.91</v>
      </c>
      <c r="V816" s="7">
        <v>2553.33</v>
      </c>
      <c r="W816" s="7">
        <v>979.59</v>
      </c>
      <c r="X816" s="7" t="s">
        <v>129</v>
      </c>
    </row>
    <row r="817" spans="1:24" x14ac:dyDescent="0.25">
      <c r="A817" s="16" t="s">
        <v>1303</v>
      </c>
      <c r="B817" s="17">
        <v>45325</v>
      </c>
      <c r="C817" s="6" t="s">
        <v>182</v>
      </c>
      <c r="D817" s="6" t="s">
        <v>35</v>
      </c>
      <c r="E817" s="6" t="s">
        <v>23</v>
      </c>
      <c r="F817" s="6" t="s">
        <v>24</v>
      </c>
      <c r="G817" s="6" t="s">
        <v>25</v>
      </c>
      <c r="H817" s="6" t="s">
        <v>26</v>
      </c>
      <c r="I817" s="6" t="s">
        <v>88</v>
      </c>
      <c r="J817" s="6" t="s">
        <v>173</v>
      </c>
      <c r="K817" s="6" t="s">
        <v>218</v>
      </c>
      <c r="L817" s="6" t="s">
        <v>2674</v>
      </c>
      <c r="M817" s="6" t="s">
        <v>61</v>
      </c>
      <c r="N817" s="6" t="s">
        <v>44</v>
      </c>
      <c r="O817" s="6">
        <v>28</v>
      </c>
      <c r="P817" s="6">
        <v>79.319999999999993</v>
      </c>
      <c r="Q817" s="6">
        <v>45.57</v>
      </c>
      <c r="R817" s="6">
        <v>2221.0100000000002</v>
      </c>
      <c r="S817" s="6">
        <v>0.15</v>
      </c>
      <c r="T817" s="6">
        <v>333.15</v>
      </c>
      <c r="U817" s="6">
        <v>1887.86</v>
      </c>
      <c r="V817" s="6">
        <v>1275.92</v>
      </c>
      <c r="W817" s="6">
        <v>611.92999999999995</v>
      </c>
      <c r="X817" s="6" t="s">
        <v>45</v>
      </c>
    </row>
    <row r="818" spans="1:24" x14ac:dyDescent="0.25">
      <c r="A818" s="5" t="s">
        <v>1304</v>
      </c>
      <c r="B818" s="18">
        <v>45469</v>
      </c>
      <c r="C818" s="7" t="s">
        <v>506</v>
      </c>
      <c r="D818" s="7" t="s">
        <v>264</v>
      </c>
      <c r="E818" s="7" t="s">
        <v>150</v>
      </c>
      <c r="F818" s="7" t="s">
        <v>151</v>
      </c>
      <c r="G818" s="7" t="s">
        <v>101</v>
      </c>
      <c r="H818" s="7" t="s">
        <v>134</v>
      </c>
      <c r="I818" s="7" t="s">
        <v>58</v>
      </c>
      <c r="J818" s="7" t="s">
        <v>323</v>
      </c>
      <c r="K818" s="7" t="s">
        <v>261</v>
      </c>
      <c r="L818" s="7" t="s">
        <v>2677</v>
      </c>
      <c r="M818" s="7" t="s">
        <v>61</v>
      </c>
      <c r="N818" s="7" t="s">
        <v>44</v>
      </c>
      <c r="O818" s="7">
        <v>67</v>
      </c>
      <c r="P818" s="7">
        <v>84.43</v>
      </c>
      <c r="Q818" s="7">
        <v>51.37</v>
      </c>
      <c r="R818" s="7">
        <v>5656.96</v>
      </c>
      <c r="S818" s="7">
        <v>0.05</v>
      </c>
      <c r="T818" s="7">
        <v>282.85000000000002</v>
      </c>
      <c r="U818" s="7">
        <v>5374.11</v>
      </c>
      <c r="V818" s="7">
        <v>3441.94</v>
      </c>
      <c r="W818" s="7">
        <v>1932.17</v>
      </c>
      <c r="X818" s="7" t="s">
        <v>45</v>
      </c>
    </row>
    <row r="819" spans="1:24" x14ac:dyDescent="0.25">
      <c r="A819" s="16" t="s">
        <v>1188</v>
      </c>
      <c r="B819" s="17">
        <v>45371</v>
      </c>
      <c r="C819" s="6" t="s">
        <v>693</v>
      </c>
      <c r="D819" s="6" t="s">
        <v>57</v>
      </c>
      <c r="E819" s="6" t="s">
        <v>93</v>
      </c>
      <c r="F819" s="6" t="s">
        <v>94</v>
      </c>
      <c r="G819" s="6" t="s">
        <v>95</v>
      </c>
      <c r="H819" s="6" t="s">
        <v>96</v>
      </c>
      <c r="I819" s="6" t="s">
        <v>53</v>
      </c>
      <c r="J819" s="6" t="s">
        <v>232</v>
      </c>
      <c r="K819" s="6" t="s">
        <v>74</v>
      </c>
      <c r="L819" s="6" t="s">
        <v>2664</v>
      </c>
      <c r="M819" s="6" t="s">
        <v>153</v>
      </c>
      <c r="N819" s="6" t="s">
        <v>31</v>
      </c>
      <c r="O819" s="6">
        <v>25</v>
      </c>
      <c r="P819" s="6"/>
      <c r="Q819" s="6">
        <v>33.35</v>
      </c>
      <c r="R819" s="6">
        <v>1410.27</v>
      </c>
      <c r="S819" s="6">
        <v>0</v>
      </c>
      <c r="T819" s="6">
        <v>0</v>
      </c>
      <c r="U819" s="6">
        <v>1410.27</v>
      </c>
      <c r="V819" s="6">
        <v>833.84</v>
      </c>
      <c r="W819" s="6">
        <v>576.42999999999995</v>
      </c>
      <c r="X819" s="6" t="s">
        <v>45</v>
      </c>
    </row>
    <row r="820" spans="1:24" x14ac:dyDescent="0.25">
      <c r="A820" s="5" t="s">
        <v>1305</v>
      </c>
      <c r="B820" s="18">
        <v>45424</v>
      </c>
      <c r="C820" s="7" t="s">
        <v>617</v>
      </c>
      <c r="D820" s="7" t="s">
        <v>22</v>
      </c>
      <c r="E820" s="7" t="s">
        <v>109</v>
      </c>
      <c r="F820" s="7" t="s">
        <v>110</v>
      </c>
      <c r="G820" s="7" t="s">
        <v>80</v>
      </c>
      <c r="H820" s="7" t="s">
        <v>81</v>
      </c>
      <c r="I820" s="7" t="s">
        <v>58</v>
      </c>
      <c r="J820" s="7" t="s">
        <v>345</v>
      </c>
      <c r="K820" s="7" t="s">
        <v>265</v>
      </c>
      <c r="L820" s="7" t="s">
        <v>2678</v>
      </c>
      <c r="M820" s="7" t="s">
        <v>30</v>
      </c>
      <c r="N820" s="7" t="s">
        <v>75</v>
      </c>
      <c r="O820" s="7">
        <v>34</v>
      </c>
      <c r="P820" s="7">
        <v>130.41999999999999</v>
      </c>
      <c r="Q820" s="7">
        <v>78.08</v>
      </c>
      <c r="R820" s="7">
        <v>4434.2299999999996</v>
      </c>
      <c r="S820" s="7">
        <v>0.02</v>
      </c>
      <c r="T820" s="7">
        <v>88.68</v>
      </c>
      <c r="U820" s="7">
        <v>4345.54</v>
      </c>
      <c r="V820" s="7">
        <v>2654.8</v>
      </c>
      <c r="W820" s="7">
        <v>1690.75</v>
      </c>
      <c r="X820" s="7" t="s">
        <v>32</v>
      </c>
    </row>
    <row r="821" spans="1:24" x14ac:dyDescent="0.25">
      <c r="A821" s="16" t="s">
        <v>1306</v>
      </c>
      <c r="B821" s="17">
        <v>45338</v>
      </c>
      <c r="C821" s="6" t="s">
        <v>21</v>
      </c>
      <c r="D821" s="6" t="s">
        <v>22</v>
      </c>
      <c r="E821" s="6" t="s">
        <v>78</v>
      </c>
      <c r="F821" s="6" t="s">
        <v>79</v>
      </c>
      <c r="G821" s="6" t="s">
        <v>80</v>
      </c>
      <c r="H821" s="6" t="s">
        <v>81</v>
      </c>
      <c r="I821" s="6" t="s">
        <v>27</v>
      </c>
      <c r="J821" s="6" t="s">
        <v>28</v>
      </c>
      <c r="K821" s="6" t="s">
        <v>253</v>
      </c>
      <c r="L821" s="6" t="s">
        <v>2676</v>
      </c>
      <c r="M821" s="6" t="s">
        <v>43</v>
      </c>
      <c r="N821" s="6" t="s">
        <v>84</v>
      </c>
      <c r="O821" s="6">
        <v>21</v>
      </c>
      <c r="P821" s="6">
        <v>133.26</v>
      </c>
      <c r="Q821" s="6">
        <v>86.95</v>
      </c>
      <c r="R821" s="6">
        <v>2798.54</v>
      </c>
      <c r="S821" s="6">
        <v>0</v>
      </c>
      <c r="T821" s="6">
        <v>0</v>
      </c>
      <c r="U821" s="6">
        <v>2798.54</v>
      </c>
      <c r="V821" s="6">
        <v>1826</v>
      </c>
      <c r="W821" s="6">
        <v>972.54</v>
      </c>
      <c r="X821" s="6" t="s">
        <v>45</v>
      </c>
    </row>
    <row r="822" spans="1:24" x14ac:dyDescent="0.25">
      <c r="A822" s="5" t="s">
        <v>1307</v>
      </c>
      <c r="B822" s="18">
        <v>45331</v>
      </c>
      <c r="C822" s="7"/>
      <c r="D822" s="7"/>
      <c r="E822" s="7" t="s">
        <v>187</v>
      </c>
      <c r="F822" s="7" t="s">
        <v>188</v>
      </c>
      <c r="G822" s="7" t="s">
        <v>25</v>
      </c>
      <c r="H822" s="7" t="s">
        <v>26</v>
      </c>
      <c r="I822" s="7" t="s">
        <v>40</v>
      </c>
      <c r="J822" s="7" t="s">
        <v>41</v>
      </c>
      <c r="K822" s="7" t="s">
        <v>69</v>
      </c>
      <c r="L822" s="7" t="s">
        <v>2663</v>
      </c>
      <c r="M822" s="7" t="s">
        <v>153</v>
      </c>
      <c r="N822" s="7" t="s">
        <v>75</v>
      </c>
      <c r="O822" s="7">
        <v>76</v>
      </c>
      <c r="P822" s="7">
        <v>47.54</v>
      </c>
      <c r="Q822" s="7">
        <v>28.08</v>
      </c>
      <c r="R822" s="7">
        <v>3613.24</v>
      </c>
      <c r="S822" s="7">
        <v>0.02</v>
      </c>
      <c r="T822" s="7">
        <v>72.260000000000005</v>
      </c>
      <c r="U822" s="7">
        <v>3540.97</v>
      </c>
      <c r="V822" s="7">
        <v>2134.29</v>
      </c>
      <c r="W822" s="7">
        <v>1406.68</v>
      </c>
      <c r="X822" s="7" t="s">
        <v>45</v>
      </c>
    </row>
    <row r="823" spans="1:24" x14ac:dyDescent="0.25">
      <c r="A823" s="16" t="s">
        <v>1308</v>
      </c>
      <c r="B823" s="17">
        <v>45644</v>
      </c>
      <c r="C823" s="6" t="s">
        <v>402</v>
      </c>
      <c r="D823" s="6" t="s">
        <v>35</v>
      </c>
      <c r="E823" s="6" t="s">
        <v>165</v>
      </c>
      <c r="F823" s="6" t="s">
        <v>166</v>
      </c>
      <c r="G823" s="6" t="s">
        <v>95</v>
      </c>
      <c r="H823" s="6" t="s">
        <v>167</v>
      </c>
      <c r="I823" s="6" t="s">
        <v>40</v>
      </c>
      <c r="J823" s="6" t="s">
        <v>117</v>
      </c>
      <c r="K823" s="6" t="s">
        <v>152</v>
      </c>
      <c r="L823" s="6" t="s">
        <v>2670</v>
      </c>
      <c r="M823" s="6" t="s">
        <v>61</v>
      </c>
      <c r="N823" s="6" t="s">
        <v>31</v>
      </c>
      <c r="O823" s="6">
        <v>49</v>
      </c>
      <c r="P823" s="6">
        <v>41.58</v>
      </c>
      <c r="Q823" s="6">
        <v>25.92</v>
      </c>
      <c r="R823" s="6">
        <v>2037.21</v>
      </c>
      <c r="S823" s="6">
        <v>0.2</v>
      </c>
      <c r="T823" s="6">
        <v>407.44</v>
      </c>
      <c r="U823" s="6">
        <v>1629.76</v>
      </c>
      <c r="V823" s="6">
        <v>1269.98</v>
      </c>
      <c r="W823" s="6">
        <v>359.78</v>
      </c>
      <c r="X823" s="6" t="s">
        <v>45</v>
      </c>
    </row>
    <row r="824" spans="1:24" x14ac:dyDescent="0.25">
      <c r="A824" s="5" t="s">
        <v>1309</v>
      </c>
      <c r="B824" s="18">
        <v>45438</v>
      </c>
      <c r="C824" s="7" t="s">
        <v>1310</v>
      </c>
      <c r="D824" s="7" t="s">
        <v>264</v>
      </c>
      <c r="E824" s="7" t="s">
        <v>66</v>
      </c>
      <c r="F824" s="7" t="s">
        <v>67</v>
      </c>
      <c r="G824" s="7" t="s">
        <v>38</v>
      </c>
      <c r="H824" s="7" t="s">
        <v>68</v>
      </c>
      <c r="I824" s="7" t="s">
        <v>40</v>
      </c>
      <c r="J824" s="7" t="s">
        <v>41</v>
      </c>
      <c r="K824" s="7" t="s">
        <v>265</v>
      </c>
      <c r="L824" s="7" t="s">
        <v>2678</v>
      </c>
      <c r="M824" s="7" t="s">
        <v>61</v>
      </c>
      <c r="N824" s="7" t="s">
        <v>84</v>
      </c>
      <c r="O824" s="7">
        <v>19</v>
      </c>
      <c r="P824" s="7">
        <v>152.34</v>
      </c>
      <c r="Q824" s="7">
        <v>104.6</v>
      </c>
      <c r="R824" s="7">
        <v>2894.53</v>
      </c>
      <c r="S824" s="7">
        <v>0.02</v>
      </c>
      <c r="T824" s="7">
        <v>57.89</v>
      </c>
      <c r="U824" s="7">
        <v>2836.64</v>
      </c>
      <c r="V824" s="7">
        <v>1987.33</v>
      </c>
      <c r="W824" s="7">
        <v>849.32</v>
      </c>
      <c r="X824" s="7" t="s">
        <v>45</v>
      </c>
    </row>
    <row r="825" spans="1:24" x14ac:dyDescent="0.25">
      <c r="A825" s="16" t="s">
        <v>1311</v>
      </c>
      <c r="B825" s="17">
        <v>45537</v>
      </c>
      <c r="C825" s="6" t="s">
        <v>843</v>
      </c>
      <c r="D825" s="6" t="s">
        <v>22</v>
      </c>
      <c r="E825" s="6" t="s">
        <v>141</v>
      </c>
      <c r="F825" s="6" t="s">
        <v>142</v>
      </c>
      <c r="G825" s="6" t="s">
        <v>25</v>
      </c>
      <c r="H825" s="6" t="s">
        <v>26</v>
      </c>
      <c r="I825" s="6" t="s">
        <v>520</v>
      </c>
      <c r="J825" s="6" t="s">
        <v>54</v>
      </c>
      <c r="K825" s="6" t="s">
        <v>184</v>
      </c>
      <c r="L825" s="6" t="s">
        <v>2672</v>
      </c>
      <c r="M825" s="6" t="s">
        <v>1066</v>
      </c>
      <c r="N825" s="6" t="s">
        <v>44</v>
      </c>
      <c r="O825" s="6">
        <v>48</v>
      </c>
      <c r="P825" s="6">
        <v>90.81</v>
      </c>
      <c r="Q825" s="6">
        <v>59.51</v>
      </c>
      <c r="R825" s="6">
        <v>4358.84</v>
      </c>
      <c r="S825" s="6">
        <v>0.1</v>
      </c>
      <c r="T825" s="6">
        <v>435.88</v>
      </c>
      <c r="U825" s="6">
        <v>3922.96</v>
      </c>
      <c r="V825" s="6">
        <v>2856.63</v>
      </c>
      <c r="W825" s="6">
        <v>1066.33</v>
      </c>
      <c r="X825" s="6" t="s">
        <v>129</v>
      </c>
    </row>
    <row r="826" spans="1:24" x14ac:dyDescent="0.25">
      <c r="A826" s="5" t="s">
        <v>1312</v>
      </c>
      <c r="B826" s="18">
        <v>45655</v>
      </c>
      <c r="C826" s="7" t="s">
        <v>287</v>
      </c>
      <c r="D826" s="7" t="s">
        <v>65</v>
      </c>
      <c r="E826" s="7" t="s">
        <v>222</v>
      </c>
      <c r="F826" s="7" t="s">
        <v>223</v>
      </c>
      <c r="G826" s="7" t="s">
        <v>101</v>
      </c>
      <c r="H826" s="7" t="s">
        <v>68</v>
      </c>
      <c r="I826" s="7" t="s">
        <v>40</v>
      </c>
      <c r="J826" s="7" t="s">
        <v>82</v>
      </c>
      <c r="K826" s="7" t="s">
        <v>60</v>
      </c>
      <c r="L826" s="7" t="s">
        <v>2662</v>
      </c>
      <c r="M826" s="7" t="s">
        <v>61</v>
      </c>
      <c r="N826" s="7" t="s">
        <v>44</v>
      </c>
      <c r="O826" s="7">
        <v>33</v>
      </c>
      <c r="P826" s="7">
        <v>126.16</v>
      </c>
      <c r="Q826" s="7">
        <v>78.83</v>
      </c>
      <c r="R826" s="7">
        <v>4163.37</v>
      </c>
      <c r="S826" s="7">
        <v>0.02</v>
      </c>
      <c r="T826" s="7">
        <v>83.27</v>
      </c>
      <c r="U826" s="7">
        <v>4080.11</v>
      </c>
      <c r="V826" s="7">
        <v>2601.4299999999998</v>
      </c>
      <c r="W826" s="7">
        <v>1478.68</v>
      </c>
      <c r="X826" s="7" t="s">
        <v>129</v>
      </c>
    </row>
    <row r="827" spans="1:24" x14ac:dyDescent="0.25">
      <c r="A827" s="16" t="s">
        <v>1313</v>
      </c>
      <c r="B827" s="17">
        <v>45408</v>
      </c>
      <c r="C827" s="6" t="s">
        <v>205</v>
      </c>
      <c r="D827" s="6" t="s">
        <v>22</v>
      </c>
      <c r="E827" s="6" t="s">
        <v>209</v>
      </c>
      <c r="F827" s="6" t="s">
        <v>210</v>
      </c>
      <c r="G827" s="6" t="s">
        <v>51</v>
      </c>
      <c r="H827" s="6" t="s">
        <v>116</v>
      </c>
      <c r="I827" s="6" t="s">
        <v>40</v>
      </c>
      <c r="J827" s="6" t="s">
        <v>289</v>
      </c>
      <c r="K827" s="6" t="s">
        <v>69</v>
      </c>
      <c r="L827" s="6" t="s">
        <v>2663</v>
      </c>
      <c r="M827" s="6" t="s">
        <v>30</v>
      </c>
      <c r="N827" s="6" t="s">
        <v>44</v>
      </c>
      <c r="O827" s="6">
        <v>74</v>
      </c>
      <c r="P827" s="6">
        <v>17.52</v>
      </c>
      <c r="Q827" s="6">
        <v>9.83</v>
      </c>
      <c r="R827" s="6">
        <v>1296.71</v>
      </c>
      <c r="S827" s="6">
        <v>0.2</v>
      </c>
      <c r="T827" s="6">
        <v>259.33999999999997</v>
      </c>
      <c r="U827" s="6">
        <v>1037.3699999999999</v>
      </c>
      <c r="V827" s="6">
        <v>727.52</v>
      </c>
      <c r="W827" s="6">
        <v>309.85000000000002</v>
      </c>
      <c r="X827" s="6" t="s">
        <v>129</v>
      </c>
    </row>
    <row r="828" spans="1:24" x14ac:dyDescent="0.25">
      <c r="A828" s="5" t="s">
        <v>1314</v>
      </c>
      <c r="B828" s="18">
        <v>45331</v>
      </c>
      <c r="C828" s="7" t="s">
        <v>983</v>
      </c>
      <c r="D828" s="7" t="s">
        <v>22</v>
      </c>
      <c r="E828" s="7" t="s">
        <v>176</v>
      </c>
      <c r="F828" s="7" t="s">
        <v>177</v>
      </c>
      <c r="G828" s="7" t="s">
        <v>101</v>
      </c>
      <c r="H828" s="7" t="s">
        <v>39</v>
      </c>
      <c r="I828" s="7" t="s">
        <v>27</v>
      </c>
      <c r="J828" s="7" t="s">
        <v>106</v>
      </c>
      <c r="K828" s="7" t="s">
        <v>248</v>
      </c>
      <c r="L828" s="7" t="s">
        <v>2675</v>
      </c>
      <c r="M828" s="7" t="s">
        <v>30</v>
      </c>
      <c r="N828" s="7" t="s">
        <v>31</v>
      </c>
      <c r="O828" s="7">
        <v>7</v>
      </c>
      <c r="P828" s="7">
        <v>101.14</v>
      </c>
      <c r="Q828" s="7">
        <v>67.7</v>
      </c>
      <c r="R828" s="7">
        <v>707.98</v>
      </c>
      <c r="S828" s="7">
        <v>0.02</v>
      </c>
      <c r="T828" s="7">
        <v>14.16</v>
      </c>
      <c r="U828" s="7">
        <v>693.82</v>
      </c>
      <c r="V828" s="7">
        <v>473.91</v>
      </c>
      <c r="W828" s="7">
        <v>219.91</v>
      </c>
      <c r="X828" s="7" t="s">
        <v>45</v>
      </c>
    </row>
    <row r="829" spans="1:24" x14ac:dyDescent="0.25">
      <c r="A829" s="16" t="s">
        <v>1315</v>
      </c>
      <c r="B829" s="17">
        <v>45343</v>
      </c>
      <c r="C829" s="6" t="s">
        <v>785</v>
      </c>
      <c r="D829" s="6" t="s">
        <v>264</v>
      </c>
      <c r="E829" s="6" t="s">
        <v>126</v>
      </c>
      <c r="F829" s="6" t="s">
        <v>127</v>
      </c>
      <c r="G829" s="6" t="s">
        <v>95</v>
      </c>
      <c r="H829" s="6" t="s">
        <v>128</v>
      </c>
      <c r="I829" s="6" t="s">
        <v>88</v>
      </c>
      <c r="J829" s="6" t="s">
        <v>173</v>
      </c>
      <c r="K829" s="6" t="s">
        <v>178</v>
      </c>
      <c r="L829" s="6" t="s">
        <v>256</v>
      </c>
      <c r="M829" s="6" t="s">
        <v>153</v>
      </c>
      <c r="N829" s="6" t="s">
        <v>31</v>
      </c>
      <c r="O829" s="6">
        <v>18</v>
      </c>
      <c r="P829" s="6">
        <v>85.42</v>
      </c>
      <c r="Q829" s="6">
        <v>51.69</v>
      </c>
      <c r="R829" s="6">
        <v>1537.54</v>
      </c>
      <c r="S829" s="6">
        <v>0</v>
      </c>
      <c r="T829" s="6">
        <v>0</v>
      </c>
      <c r="U829" s="6">
        <v>1537.54</v>
      </c>
      <c r="V829" s="6">
        <v>930.44</v>
      </c>
      <c r="W829" s="6">
        <v>607.1</v>
      </c>
      <c r="X829" s="6" t="s">
        <v>45</v>
      </c>
    </row>
    <row r="830" spans="1:24" x14ac:dyDescent="0.25">
      <c r="A830" s="5" t="s">
        <v>1316</v>
      </c>
      <c r="B830" s="18">
        <v>45480</v>
      </c>
      <c r="C830" s="7" t="s">
        <v>1317</v>
      </c>
      <c r="D830" s="7" t="s">
        <v>35</v>
      </c>
      <c r="E830" s="7" t="s">
        <v>109</v>
      </c>
      <c r="F830" s="7" t="s">
        <v>110</v>
      </c>
      <c r="G830" s="7" t="s">
        <v>80</v>
      </c>
      <c r="H830" s="7" t="s">
        <v>81</v>
      </c>
      <c r="I830" s="7" t="s">
        <v>58</v>
      </c>
      <c r="J830" s="7" t="s">
        <v>73</v>
      </c>
      <c r="K830" s="7" t="s">
        <v>265</v>
      </c>
      <c r="L830" s="7" t="s">
        <v>2678</v>
      </c>
      <c r="M830" s="7" t="s">
        <v>43</v>
      </c>
      <c r="N830" s="7" t="s">
        <v>31</v>
      </c>
      <c r="O830" s="7">
        <v>2</v>
      </c>
      <c r="P830" s="7">
        <v>128.78</v>
      </c>
      <c r="Q830" s="7">
        <v>78.42</v>
      </c>
      <c r="R830" s="7">
        <v>257.56</v>
      </c>
      <c r="S830" s="7">
        <v>0</v>
      </c>
      <c r="T830" s="7">
        <v>0</v>
      </c>
      <c r="U830" s="7">
        <v>257.56</v>
      </c>
      <c r="V830" s="7">
        <v>156.84</v>
      </c>
      <c r="W830" s="7">
        <v>100.72</v>
      </c>
      <c r="X830" s="7" t="s">
        <v>129</v>
      </c>
    </row>
    <row r="831" spans="1:24" x14ac:dyDescent="0.25">
      <c r="A831" s="16" t="s">
        <v>1318</v>
      </c>
      <c r="B831" s="17">
        <v>45491</v>
      </c>
      <c r="C831" s="6" t="s">
        <v>267</v>
      </c>
      <c r="D831" s="6" t="s">
        <v>65</v>
      </c>
      <c r="E831" s="6" t="s">
        <v>132</v>
      </c>
      <c r="F831" s="6" t="s">
        <v>133</v>
      </c>
      <c r="G831" s="6" t="s">
        <v>51</v>
      </c>
      <c r="H831" s="6" t="s">
        <v>134</v>
      </c>
      <c r="I831" s="6" t="s">
        <v>27</v>
      </c>
      <c r="J831" s="6" t="s">
        <v>28</v>
      </c>
      <c r="K831" s="6" t="s">
        <v>184</v>
      </c>
      <c r="L831" s="6" t="s">
        <v>2672</v>
      </c>
      <c r="M831" s="6" t="s">
        <v>30</v>
      </c>
      <c r="N831" s="6" t="s">
        <v>70</v>
      </c>
      <c r="O831" s="6">
        <v>1</v>
      </c>
      <c r="P831" s="6">
        <v>0</v>
      </c>
      <c r="Q831" s="6">
        <v>35.630000000000003</v>
      </c>
      <c r="R831" s="6">
        <v>63.79</v>
      </c>
      <c r="S831" s="6">
        <v>0</v>
      </c>
      <c r="T831" s="6">
        <v>0</v>
      </c>
      <c r="U831" s="6">
        <v>63.79</v>
      </c>
      <c r="V831" s="6">
        <v>35.630000000000003</v>
      </c>
      <c r="W831" s="6">
        <v>28.16</v>
      </c>
      <c r="X831" s="6" t="s">
        <v>45</v>
      </c>
    </row>
    <row r="832" spans="1:24" x14ac:dyDescent="0.25">
      <c r="A832" s="5" t="s">
        <v>1319</v>
      </c>
      <c r="B832" s="18">
        <v>45362</v>
      </c>
      <c r="C832" s="7" t="s">
        <v>1047</v>
      </c>
      <c r="D832" s="7" t="s">
        <v>156</v>
      </c>
      <c r="E832" s="7" t="s">
        <v>216</v>
      </c>
      <c r="F832" s="7" t="s">
        <v>217</v>
      </c>
      <c r="G832" s="7" t="s">
        <v>38</v>
      </c>
      <c r="H832" s="7" t="s">
        <v>134</v>
      </c>
      <c r="I832" s="7" t="s">
        <v>58</v>
      </c>
      <c r="J832" s="7" t="s">
        <v>345</v>
      </c>
      <c r="K832" s="7" t="s">
        <v>170</v>
      </c>
      <c r="L832" s="7" t="s">
        <v>2671</v>
      </c>
      <c r="M832" s="7" t="s">
        <v>30</v>
      </c>
      <c r="N832" s="7" t="s">
        <v>75</v>
      </c>
      <c r="O832" s="7">
        <v>57</v>
      </c>
      <c r="P832" s="7">
        <v>114.2</v>
      </c>
      <c r="Q832" s="7">
        <v>65.02</v>
      </c>
      <c r="R832" s="7">
        <v>6509.36</v>
      </c>
      <c r="S832" s="7">
        <v>0</v>
      </c>
      <c r="T832" s="7">
        <v>0</v>
      </c>
      <c r="U832" s="7">
        <v>6509.36</v>
      </c>
      <c r="V832" s="7">
        <v>3706.34</v>
      </c>
      <c r="W832" s="7">
        <v>2803.02</v>
      </c>
      <c r="X832" s="7" t="s">
        <v>45</v>
      </c>
    </row>
    <row r="833" spans="1:24" x14ac:dyDescent="0.25">
      <c r="A833" s="16" t="s">
        <v>1320</v>
      </c>
      <c r="B833" s="17">
        <v>45432</v>
      </c>
      <c r="C833" s="6" t="s">
        <v>917</v>
      </c>
      <c r="D833" s="6" t="s">
        <v>57</v>
      </c>
      <c r="E833" s="6" t="s">
        <v>36</v>
      </c>
      <c r="F833" s="6" t="s">
        <v>37</v>
      </c>
      <c r="G833" s="6" t="s">
        <v>38</v>
      </c>
      <c r="H833" s="6" t="s">
        <v>39</v>
      </c>
      <c r="I833" s="6" t="s">
        <v>27</v>
      </c>
      <c r="J833" s="6" t="s">
        <v>106</v>
      </c>
      <c r="K833" s="6" t="s">
        <v>261</v>
      </c>
      <c r="L833" s="6" t="s">
        <v>2677</v>
      </c>
      <c r="M833" s="6" t="s">
        <v>30</v>
      </c>
      <c r="N833" s="6" t="s">
        <v>31</v>
      </c>
      <c r="O833" s="6">
        <v>59</v>
      </c>
      <c r="P833" s="6">
        <v>164.62</v>
      </c>
      <c r="Q833" s="6">
        <v>91.52</v>
      </c>
      <c r="R833" s="6">
        <v>9712.5499999999993</v>
      </c>
      <c r="S833" s="6">
        <v>0.02</v>
      </c>
      <c r="T833" s="6">
        <v>194.25</v>
      </c>
      <c r="U833" s="6">
        <v>9518.2999999999993</v>
      </c>
      <c r="V833" s="6">
        <v>5399.45</v>
      </c>
      <c r="W833" s="6">
        <v>4118.8500000000004</v>
      </c>
      <c r="X833" s="6" t="s">
        <v>45</v>
      </c>
    </row>
    <row r="834" spans="1:24" x14ac:dyDescent="0.25">
      <c r="A834" s="5" t="s">
        <v>1321</v>
      </c>
      <c r="B834" s="18">
        <v>45358</v>
      </c>
      <c r="C834" s="7" t="s">
        <v>864</v>
      </c>
      <c r="D834" s="7" t="s">
        <v>22</v>
      </c>
      <c r="E834" s="7" t="s">
        <v>150</v>
      </c>
      <c r="F834" s="7" t="s">
        <v>151</v>
      </c>
      <c r="G834" s="7" t="s">
        <v>101</v>
      </c>
      <c r="H834" s="7" t="s">
        <v>134</v>
      </c>
      <c r="I834" s="7" t="s">
        <v>53</v>
      </c>
      <c r="J834" s="7" t="s">
        <v>143</v>
      </c>
      <c r="K834" s="7" t="s">
        <v>111</v>
      </c>
      <c r="L834" s="7" t="s">
        <v>2667</v>
      </c>
      <c r="M834" s="7" t="s">
        <v>30</v>
      </c>
      <c r="N834" s="7" t="s">
        <v>31</v>
      </c>
      <c r="O834" s="7">
        <v>79</v>
      </c>
      <c r="P834" s="7">
        <v>80.09</v>
      </c>
      <c r="Q834" s="7">
        <v>53.4</v>
      </c>
      <c r="R834" s="7">
        <v>6327.43</v>
      </c>
      <c r="S834" s="7">
        <v>0.1</v>
      </c>
      <c r="T834" s="7">
        <v>632.74</v>
      </c>
      <c r="U834" s="7">
        <v>5694.69</v>
      </c>
      <c r="V834" s="7">
        <v>4218.54</v>
      </c>
      <c r="W834" s="7">
        <v>1476.15</v>
      </c>
      <c r="X834" s="7" t="s">
        <v>45</v>
      </c>
    </row>
    <row r="835" spans="1:24" x14ac:dyDescent="0.25">
      <c r="A835" s="16" t="s">
        <v>1322</v>
      </c>
      <c r="B835" s="17">
        <v>45342</v>
      </c>
      <c r="C835" s="6" t="s">
        <v>594</v>
      </c>
      <c r="D835" s="6" t="s">
        <v>105</v>
      </c>
      <c r="E835" s="6" t="s">
        <v>216</v>
      </c>
      <c r="F835" s="6" t="s">
        <v>217</v>
      </c>
      <c r="G835" s="6" t="s">
        <v>38</v>
      </c>
      <c r="H835" s="6" t="s">
        <v>134</v>
      </c>
      <c r="I835" s="6" t="s">
        <v>58</v>
      </c>
      <c r="J835" s="6" t="s">
        <v>73</v>
      </c>
      <c r="K835" s="6" t="s">
        <v>111</v>
      </c>
      <c r="L835" s="6" t="s">
        <v>2667</v>
      </c>
      <c r="M835" s="6" t="s">
        <v>43</v>
      </c>
      <c r="N835" s="6" t="s">
        <v>70</v>
      </c>
      <c r="O835" s="6">
        <v>19</v>
      </c>
      <c r="P835" s="6">
        <v>106.03</v>
      </c>
      <c r="Q835" s="6">
        <v>62.49</v>
      </c>
      <c r="R835" s="6">
        <v>2014.48</v>
      </c>
      <c r="S835" s="6">
        <v>0.2</v>
      </c>
      <c r="T835" s="6">
        <v>402.9</v>
      </c>
      <c r="U835" s="6">
        <v>1611.58</v>
      </c>
      <c r="V835" s="6">
        <v>1187.3399999999999</v>
      </c>
      <c r="W835" s="6">
        <v>424.25</v>
      </c>
      <c r="X835" s="6" t="s">
        <v>45</v>
      </c>
    </row>
    <row r="836" spans="1:24" x14ac:dyDescent="0.25">
      <c r="A836" s="5" t="s">
        <v>1323</v>
      </c>
      <c r="B836" s="18">
        <v>45602</v>
      </c>
      <c r="C836" s="7" t="s">
        <v>727</v>
      </c>
      <c r="D836" s="7" t="s">
        <v>65</v>
      </c>
      <c r="E836" s="7" t="s">
        <v>222</v>
      </c>
      <c r="F836" s="7" t="s">
        <v>223</v>
      </c>
      <c r="G836" s="7" t="s">
        <v>101</v>
      </c>
      <c r="H836" s="7" t="s">
        <v>68</v>
      </c>
      <c r="I836" s="7" t="s">
        <v>53</v>
      </c>
      <c r="J836" s="7" t="s">
        <v>54</v>
      </c>
      <c r="K836" s="7" t="s">
        <v>90</v>
      </c>
      <c r="L836" s="7" t="s">
        <v>2666</v>
      </c>
      <c r="M836" s="7" t="s">
        <v>30</v>
      </c>
      <c r="N836" s="7" t="s">
        <v>31</v>
      </c>
      <c r="O836" s="7">
        <v>4</v>
      </c>
      <c r="P836" s="7">
        <v>122.06</v>
      </c>
      <c r="Q836" s="7">
        <v>79.64</v>
      </c>
      <c r="R836" s="7">
        <v>488.22</v>
      </c>
      <c r="S836" s="7">
        <v>0.02</v>
      </c>
      <c r="T836" s="7">
        <v>9.76</v>
      </c>
      <c r="U836" s="7">
        <v>478.46</v>
      </c>
      <c r="V836" s="7">
        <v>318.55</v>
      </c>
      <c r="W836" s="7">
        <v>159.91</v>
      </c>
      <c r="X836" s="7" t="s">
        <v>45</v>
      </c>
    </row>
    <row r="837" spans="1:24" x14ac:dyDescent="0.25">
      <c r="A837" s="16" t="s">
        <v>1324</v>
      </c>
      <c r="B837" s="17">
        <v>45450</v>
      </c>
      <c r="C837" s="6" t="s">
        <v>471</v>
      </c>
      <c r="D837" s="6" t="s">
        <v>125</v>
      </c>
      <c r="E837" s="6" t="s">
        <v>93</v>
      </c>
      <c r="F837" s="6" t="s">
        <v>94</v>
      </c>
      <c r="G837" s="6" t="s">
        <v>95</v>
      </c>
      <c r="H837" s="6" t="s">
        <v>96</v>
      </c>
      <c r="I837" s="6" t="s">
        <v>27</v>
      </c>
      <c r="J837" s="6" t="s">
        <v>189</v>
      </c>
      <c r="K837" s="6" t="s">
        <v>29</v>
      </c>
      <c r="L837" s="6" t="s">
        <v>2660</v>
      </c>
      <c r="M837" s="6" t="s">
        <v>61</v>
      </c>
      <c r="N837" s="6" t="s">
        <v>70</v>
      </c>
      <c r="O837" s="6">
        <v>57</v>
      </c>
      <c r="P837" s="6">
        <v>55.43</v>
      </c>
      <c r="Q837" s="6">
        <v>32.979999999999997</v>
      </c>
      <c r="R837" s="6">
        <v>3159.44</v>
      </c>
      <c r="S837" s="6">
        <v>0</v>
      </c>
      <c r="T837" s="6">
        <v>0</v>
      </c>
      <c r="U837" s="6">
        <v>3159.44</v>
      </c>
      <c r="V837" s="6">
        <v>1880</v>
      </c>
      <c r="W837" s="6">
        <v>1279.44</v>
      </c>
      <c r="X837" s="6" t="s">
        <v>45</v>
      </c>
    </row>
    <row r="838" spans="1:24" x14ac:dyDescent="0.25">
      <c r="A838" s="5" t="s">
        <v>1325</v>
      </c>
      <c r="B838" s="18">
        <v>45471</v>
      </c>
      <c r="C838" s="7" t="s">
        <v>739</v>
      </c>
      <c r="D838" s="7" t="s">
        <v>48</v>
      </c>
      <c r="E838" s="7" t="s">
        <v>176</v>
      </c>
      <c r="F838" s="7" t="s">
        <v>177</v>
      </c>
      <c r="G838" s="7" t="s">
        <v>101</v>
      </c>
      <c r="H838" s="7" t="s">
        <v>39</v>
      </c>
      <c r="I838" s="7" t="s">
        <v>88</v>
      </c>
      <c r="J838" s="7" t="s">
        <v>173</v>
      </c>
      <c r="K838" s="7" t="s">
        <v>261</v>
      </c>
      <c r="L838" s="7" t="s">
        <v>2677</v>
      </c>
      <c r="M838" s="7" t="s">
        <v>61</v>
      </c>
      <c r="N838" s="7" t="s">
        <v>31</v>
      </c>
      <c r="O838" s="7">
        <v>72</v>
      </c>
      <c r="P838" s="7">
        <v>110.9</v>
      </c>
      <c r="Q838" s="7">
        <v>61.15</v>
      </c>
      <c r="R838" s="7">
        <v>7984.73</v>
      </c>
      <c r="S838" s="7"/>
      <c r="T838" s="7">
        <v>399.24</v>
      </c>
      <c r="U838" s="7">
        <v>7585.5</v>
      </c>
      <c r="V838" s="7">
        <v>4403.13</v>
      </c>
      <c r="W838" s="7">
        <v>3182.37</v>
      </c>
      <c r="X838" s="7" t="s">
        <v>32</v>
      </c>
    </row>
    <row r="839" spans="1:24" x14ac:dyDescent="0.25">
      <c r="A839" s="16" t="s">
        <v>1326</v>
      </c>
      <c r="B839" s="17">
        <v>45309</v>
      </c>
      <c r="C839" s="6" t="s">
        <v>410</v>
      </c>
      <c r="D839" s="6" t="s">
        <v>149</v>
      </c>
      <c r="E839" s="6" t="s">
        <v>222</v>
      </c>
      <c r="F839" s="6" t="s">
        <v>223</v>
      </c>
      <c r="G839" s="6" t="s">
        <v>101</v>
      </c>
      <c r="H839" s="6" t="s">
        <v>68</v>
      </c>
      <c r="I839" s="6" t="s">
        <v>53</v>
      </c>
      <c r="J839" s="6" t="s">
        <v>232</v>
      </c>
      <c r="K839" s="6" t="s">
        <v>178</v>
      </c>
      <c r="L839" s="6" t="s">
        <v>256</v>
      </c>
      <c r="M839" s="6" t="s">
        <v>153</v>
      </c>
      <c r="N839" s="6" t="s">
        <v>84</v>
      </c>
      <c r="O839" s="6">
        <v>26</v>
      </c>
      <c r="P839" s="6">
        <v>120.57</v>
      </c>
      <c r="Q839" s="6">
        <v>73.77</v>
      </c>
      <c r="R839" s="6">
        <v>3134.95</v>
      </c>
      <c r="S839" s="6">
        <v>25</v>
      </c>
      <c r="T839" s="6">
        <v>0</v>
      </c>
      <c r="U839" s="6">
        <v>3134.95</v>
      </c>
      <c r="V839" s="6">
        <v>1918.12</v>
      </c>
      <c r="W839" s="6">
        <v>1216.83</v>
      </c>
      <c r="X839" s="6" t="s">
        <v>129</v>
      </c>
    </row>
    <row r="840" spans="1:24" x14ac:dyDescent="0.25">
      <c r="A840" s="5" t="s">
        <v>1327</v>
      </c>
      <c r="B840" s="18">
        <v>45427</v>
      </c>
      <c r="C840" s="7" t="s">
        <v>794</v>
      </c>
      <c r="D840" s="7" t="s">
        <v>65</v>
      </c>
      <c r="E840" s="7" t="s">
        <v>66</v>
      </c>
      <c r="F840" s="7" t="s">
        <v>67</v>
      </c>
      <c r="G840" s="7" t="s">
        <v>38</v>
      </c>
      <c r="H840" s="7" t="s">
        <v>68</v>
      </c>
      <c r="I840" s="7" t="s">
        <v>58</v>
      </c>
      <c r="J840" s="7" t="s">
        <v>59</v>
      </c>
      <c r="K840" s="7" t="s">
        <v>170</v>
      </c>
      <c r="L840" s="7" t="s">
        <v>2671</v>
      </c>
      <c r="M840" s="7" t="s">
        <v>30</v>
      </c>
      <c r="N840" s="7" t="s">
        <v>70</v>
      </c>
      <c r="O840" s="7">
        <v>23</v>
      </c>
      <c r="P840" s="7">
        <v>170.43</v>
      </c>
      <c r="Q840" s="7">
        <v>107.56</v>
      </c>
      <c r="R840" s="7">
        <v>3920</v>
      </c>
      <c r="S840" s="7">
        <v>0.1</v>
      </c>
      <c r="T840" s="7">
        <v>392</v>
      </c>
      <c r="U840" s="7">
        <v>3528</v>
      </c>
      <c r="V840" s="7">
        <v>2473.91</v>
      </c>
      <c r="W840" s="7">
        <v>1054.0899999999999</v>
      </c>
      <c r="X840" s="7" t="s">
        <v>45</v>
      </c>
    </row>
    <row r="841" spans="1:24" x14ac:dyDescent="0.25">
      <c r="A841" s="16" t="s">
        <v>1328</v>
      </c>
      <c r="B841" s="17">
        <v>45326</v>
      </c>
      <c r="C841" s="6" t="s">
        <v>420</v>
      </c>
      <c r="D841" s="6" t="s">
        <v>156</v>
      </c>
      <c r="E841" s="6" t="s">
        <v>23</v>
      </c>
      <c r="F841" s="6" t="s">
        <v>24</v>
      </c>
      <c r="G841" s="6" t="s">
        <v>25</v>
      </c>
      <c r="H841" s="6" t="s">
        <v>26</v>
      </c>
      <c r="I841" s="6" t="s">
        <v>27</v>
      </c>
      <c r="J841" s="6" t="s">
        <v>28</v>
      </c>
      <c r="K841" s="6" t="s">
        <v>69</v>
      </c>
      <c r="L841" s="6" t="s">
        <v>2663</v>
      </c>
      <c r="M841" s="6" t="s">
        <v>61</v>
      </c>
      <c r="N841" s="6" t="s">
        <v>84</v>
      </c>
      <c r="O841" s="6">
        <v>41</v>
      </c>
      <c r="P841" s="6">
        <v>80.48</v>
      </c>
      <c r="Q841" s="6">
        <v>44</v>
      </c>
      <c r="R841" s="6">
        <v>3299.75</v>
      </c>
      <c r="S841" s="6">
        <v>0.05</v>
      </c>
      <c r="T841" s="6">
        <v>164.99</v>
      </c>
      <c r="U841" s="6">
        <v>3134.76</v>
      </c>
      <c r="V841" s="6">
        <v>1804.12</v>
      </c>
      <c r="W841" s="6">
        <v>1330.64</v>
      </c>
      <c r="X841" s="6" t="s">
        <v>45</v>
      </c>
    </row>
    <row r="842" spans="1:24" x14ac:dyDescent="0.25">
      <c r="A842" s="5" t="s">
        <v>1329</v>
      </c>
      <c r="B842" s="18">
        <v>45346</v>
      </c>
      <c r="C842" s="7" t="s">
        <v>131</v>
      </c>
      <c r="D842" s="7" t="s">
        <v>65</v>
      </c>
      <c r="E842" s="7" t="s">
        <v>93</v>
      </c>
      <c r="F842" s="7" t="s">
        <v>94</v>
      </c>
      <c r="G842" s="7" t="s">
        <v>95</v>
      </c>
      <c r="H842" s="7" t="s">
        <v>96</v>
      </c>
      <c r="I842" s="7" t="s">
        <v>40</v>
      </c>
      <c r="J842" s="7" t="s">
        <v>117</v>
      </c>
      <c r="K842" s="7" t="s">
        <v>253</v>
      </c>
      <c r="L842" s="7" t="s">
        <v>2676</v>
      </c>
      <c r="M842" s="7" t="s">
        <v>153</v>
      </c>
      <c r="N842" s="7" t="s">
        <v>31</v>
      </c>
      <c r="O842" s="7">
        <v>73</v>
      </c>
      <c r="P842" s="7">
        <v>57.29</v>
      </c>
      <c r="Q842" s="7">
        <v>32.49</v>
      </c>
      <c r="R842" s="7">
        <v>4182.17</v>
      </c>
      <c r="S842" s="7">
        <v>0</v>
      </c>
      <c r="T842" s="7">
        <v>0</v>
      </c>
      <c r="U842" s="7">
        <v>4182.17</v>
      </c>
      <c r="V842" s="7">
        <v>2371.75</v>
      </c>
      <c r="W842" s="7">
        <v>1810.42</v>
      </c>
      <c r="X842" s="7" t="s">
        <v>45</v>
      </c>
    </row>
    <row r="843" spans="1:24" x14ac:dyDescent="0.25">
      <c r="A843" s="16" t="s">
        <v>1330</v>
      </c>
      <c r="B843" s="17">
        <v>45308</v>
      </c>
      <c r="C843" s="6" t="s">
        <v>361</v>
      </c>
      <c r="D843" s="6" t="s">
        <v>35</v>
      </c>
      <c r="E843" s="6" t="s">
        <v>126</v>
      </c>
      <c r="F843" s="6" t="s">
        <v>127</v>
      </c>
      <c r="G843" s="6" t="s">
        <v>95</v>
      </c>
      <c r="H843" s="6" t="s">
        <v>128</v>
      </c>
      <c r="I843" s="6" t="s">
        <v>88</v>
      </c>
      <c r="J843" s="6" t="s">
        <v>89</v>
      </c>
      <c r="K843" s="6" t="s">
        <v>29</v>
      </c>
      <c r="L843" s="6" t="s">
        <v>2660</v>
      </c>
      <c r="M843" s="6" t="s">
        <v>153</v>
      </c>
      <c r="N843" s="6" t="s">
        <v>368</v>
      </c>
      <c r="O843" s="6">
        <v>16</v>
      </c>
      <c r="P843" s="6">
        <v>93.01</v>
      </c>
      <c r="Q843" s="6">
        <v>48.83</v>
      </c>
      <c r="R843" s="6">
        <v>1488.1</v>
      </c>
      <c r="S843" s="6">
        <v>0.2</v>
      </c>
      <c r="T843" s="6">
        <v>297.62</v>
      </c>
      <c r="U843" s="6">
        <v>1190.48</v>
      </c>
      <c r="V843" s="6">
        <v>781.29</v>
      </c>
      <c r="W843" s="6">
        <v>409.18</v>
      </c>
      <c r="X843" s="6" t="s">
        <v>45</v>
      </c>
    </row>
    <row r="844" spans="1:24" x14ac:dyDescent="0.25">
      <c r="A844" s="5" t="s">
        <v>1331</v>
      </c>
      <c r="B844" s="18">
        <v>45613</v>
      </c>
      <c r="C844" s="7" t="s">
        <v>442</v>
      </c>
      <c r="D844" s="7" t="s">
        <v>87</v>
      </c>
      <c r="E844" s="7" t="s">
        <v>99</v>
      </c>
      <c r="F844" s="7" t="s">
        <v>100</v>
      </c>
      <c r="G844" s="7" t="s">
        <v>101</v>
      </c>
      <c r="H844" s="7" t="s">
        <v>102</v>
      </c>
      <c r="I844" s="7" t="s">
        <v>53</v>
      </c>
      <c r="J844" s="7" t="s">
        <v>54</v>
      </c>
      <c r="K844" s="7" t="s">
        <v>29</v>
      </c>
      <c r="L844" s="7" t="s">
        <v>2660</v>
      </c>
      <c r="M844" s="7" t="s">
        <v>43</v>
      </c>
      <c r="N844" s="7" t="s">
        <v>84</v>
      </c>
      <c r="O844" s="7">
        <v>61</v>
      </c>
      <c r="P844" s="7">
        <v>72.61</v>
      </c>
      <c r="Q844" s="7">
        <v>38.58</v>
      </c>
      <c r="R844" s="7">
        <v>4429.26</v>
      </c>
      <c r="S844" s="7">
        <v>0.2</v>
      </c>
      <c r="T844" s="7">
        <v>885.85</v>
      </c>
      <c r="U844" s="7">
        <v>3543.41</v>
      </c>
      <c r="V844" s="7">
        <v>2353.5700000000002</v>
      </c>
      <c r="W844" s="7">
        <v>1189.8399999999999</v>
      </c>
      <c r="X844" s="7" t="s">
        <v>45</v>
      </c>
    </row>
    <row r="845" spans="1:24" x14ac:dyDescent="0.25">
      <c r="A845" s="16" t="s">
        <v>1332</v>
      </c>
      <c r="B845" s="17">
        <v>45627</v>
      </c>
      <c r="C845" s="6" t="s">
        <v>658</v>
      </c>
      <c r="D845" s="6" t="s">
        <v>264</v>
      </c>
      <c r="E845" s="6" t="s">
        <v>23</v>
      </c>
      <c r="F845" s="6" t="s">
        <v>24</v>
      </c>
      <c r="G845" s="6" t="s">
        <v>25</v>
      </c>
      <c r="H845" s="6" t="s">
        <v>26</v>
      </c>
      <c r="I845" s="6" t="s">
        <v>58</v>
      </c>
      <c r="J845" s="6" t="s">
        <v>59</v>
      </c>
      <c r="K845" s="6" t="s">
        <v>178</v>
      </c>
      <c r="L845" s="6" t="s">
        <v>256</v>
      </c>
      <c r="M845" s="6" t="s">
        <v>61</v>
      </c>
      <c r="N845" s="6" t="s">
        <v>84</v>
      </c>
      <c r="O845" s="6">
        <v>5</v>
      </c>
      <c r="P845" s="6">
        <v>76.94</v>
      </c>
      <c r="Q845" s="6">
        <v>44.72</v>
      </c>
      <c r="R845" s="6">
        <v>384.7</v>
      </c>
      <c r="S845" s="6">
        <v>0.1</v>
      </c>
      <c r="T845" s="6">
        <v>38.47</v>
      </c>
      <c r="U845" s="6">
        <v>346.23</v>
      </c>
      <c r="V845" s="6">
        <v>223.61</v>
      </c>
      <c r="W845" s="6">
        <v>122.63</v>
      </c>
      <c r="X845" s="6" t="s">
        <v>32</v>
      </c>
    </row>
    <row r="846" spans="1:24" x14ac:dyDescent="0.25">
      <c r="A846" s="5" t="s">
        <v>1333</v>
      </c>
      <c r="B846" s="18">
        <v>45616</v>
      </c>
      <c r="C846" s="7" t="s">
        <v>1334</v>
      </c>
      <c r="D846" s="7" t="s">
        <v>35</v>
      </c>
      <c r="E846" s="7" t="s">
        <v>66</v>
      </c>
      <c r="F846" s="7" t="s">
        <v>67</v>
      </c>
      <c r="G846" s="7" t="s">
        <v>38</v>
      </c>
      <c r="H846" s="7" t="s">
        <v>68</v>
      </c>
      <c r="I846" s="7" t="s">
        <v>88</v>
      </c>
      <c r="J846" s="7" t="s">
        <v>89</v>
      </c>
      <c r="K846" s="7" t="s">
        <v>29</v>
      </c>
      <c r="L846" s="7" t="s">
        <v>2660</v>
      </c>
      <c r="M846" s="7" t="s">
        <v>30</v>
      </c>
      <c r="N846" s="7" t="s">
        <v>44</v>
      </c>
      <c r="O846" s="7">
        <v>64</v>
      </c>
      <c r="P846" s="7">
        <v>166.16</v>
      </c>
      <c r="Q846" s="7">
        <v>98.06</v>
      </c>
      <c r="R846" s="7">
        <v>10634</v>
      </c>
      <c r="S846" s="7">
        <v>0.1</v>
      </c>
      <c r="T846" s="7">
        <v>1063.4000000000001</v>
      </c>
      <c r="U846" s="7">
        <v>9570.6</v>
      </c>
      <c r="V846" s="7">
        <v>6275.65</v>
      </c>
      <c r="W846" s="7">
        <v>3294.95</v>
      </c>
      <c r="X846" s="7" t="s">
        <v>45</v>
      </c>
    </row>
    <row r="847" spans="1:24" x14ac:dyDescent="0.25">
      <c r="A847" s="16" t="s">
        <v>1335</v>
      </c>
      <c r="B847" s="17">
        <v>45513</v>
      </c>
      <c r="C847" s="6" t="s">
        <v>970</v>
      </c>
      <c r="D847" s="6" t="s">
        <v>159</v>
      </c>
      <c r="E847" s="6" t="s">
        <v>66</v>
      </c>
      <c r="F847" s="6" t="s">
        <v>67</v>
      </c>
      <c r="G847" s="6" t="s">
        <v>38</v>
      </c>
      <c r="H847" s="6" t="s">
        <v>68</v>
      </c>
      <c r="I847" s="6" t="s">
        <v>27</v>
      </c>
      <c r="J847" s="6" t="s">
        <v>211</v>
      </c>
      <c r="K847" s="6" t="s">
        <v>60</v>
      </c>
      <c r="L847" s="6" t="s">
        <v>2662</v>
      </c>
      <c r="M847" s="6" t="s">
        <v>153</v>
      </c>
      <c r="N847" s="6" t="s">
        <v>70</v>
      </c>
      <c r="O847" s="6">
        <v>64</v>
      </c>
      <c r="P847" s="6">
        <v>164.43</v>
      </c>
      <c r="Q847" s="6">
        <v>100.26</v>
      </c>
      <c r="R847" s="6">
        <v>10523.39</v>
      </c>
      <c r="S847" s="6">
        <v>0.05</v>
      </c>
      <c r="T847" s="6">
        <v>526.16999999999996</v>
      </c>
      <c r="U847" s="6">
        <v>9997.2199999999993</v>
      </c>
      <c r="V847" s="6">
        <v>6416.79</v>
      </c>
      <c r="W847" s="6">
        <v>3580.43</v>
      </c>
      <c r="X847" s="6" t="s">
        <v>45</v>
      </c>
    </row>
    <row r="848" spans="1:24" x14ac:dyDescent="0.25">
      <c r="A848" s="5" t="s">
        <v>1336</v>
      </c>
      <c r="B848" s="18">
        <v>45296</v>
      </c>
      <c r="C848" s="7" t="s">
        <v>1075</v>
      </c>
      <c r="D848" s="7" t="s">
        <v>65</v>
      </c>
      <c r="E848" s="7" t="s">
        <v>150</v>
      </c>
      <c r="F848" s="7" t="s">
        <v>151</v>
      </c>
      <c r="G848" s="7" t="s">
        <v>101</v>
      </c>
      <c r="H848" s="7" t="s">
        <v>134</v>
      </c>
      <c r="I848" s="7" t="s">
        <v>58</v>
      </c>
      <c r="J848" s="7" t="s">
        <v>345</v>
      </c>
      <c r="K848" s="7" t="s">
        <v>90</v>
      </c>
      <c r="L848" s="7" t="s">
        <v>2666</v>
      </c>
      <c r="M848" s="7" t="s">
        <v>153</v>
      </c>
      <c r="N848" s="7" t="s">
        <v>84</v>
      </c>
      <c r="O848" s="7">
        <v>39</v>
      </c>
      <c r="P848" s="7">
        <v>87.35</v>
      </c>
      <c r="Q848" s="7">
        <v>53.06</v>
      </c>
      <c r="R848" s="7">
        <v>3406.5</v>
      </c>
      <c r="S848" s="7">
        <v>0.15</v>
      </c>
      <c r="T848" s="7">
        <v>510.98</v>
      </c>
      <c r="U848" s="7">
        <v>2895.53</v>
      </c>
      <c r="V848" s="7">
        <v>2069.3200000000002</v>
      </c>
      <c r="W848" s="7">
        <v>826.21</v>
      </c>
      <c r="X848" s="7" t="s">
        <v>45</v>
      </c>
    </row>
    <row r="849" spans="1:24" x14ac:dyDescent="0.25">
      <c r="A849" s="16" t="s">
        <v>1337</v>
      </c>
      <c r="B849" s="17">
        <v>45470</v>
      </c>
      <c r="C849" s="6" t="s">
        <v>98</v>
      </c>
      <c r="D849" s="6" t="s">
        <v>48</v>
      </c>
      <c r="E849" s="6" t="s">
        <v>109</v>
      </c>
      <c r="F849" s="6" t="s">
        <v>110</v>
      </c>
      <c r="G849" s="6" t="s">
        <v>80</v>
      </c>
      <c r="H849" s="6" t="s">
        <v>81</v>
      </c>
      <c r="I849" s="6" t="s">
        <v>40</v>
      </c>
      <c r="J849" s="6" t="s">
        <v>117</v>
      </c>
      <c r="K849" s="6" t="s">
        <v>90</v>
      </c>
      <c r="L849" s="6" t="s">
        <v>2666</v>
      </c>
      <c r="M849" s="6" t="s">
        <v>30</v>
      </c>
      <c r="N849" s="6" t="s">
        <v>84</v>
      </c>
      <c r="O849" s="6">
        <v>55</v>
      </c>
      <c r="P849" s="6">
        <v>133.86000000000001</v>
      </c>
      <c r="Q849" s="6">
        <v>70.930000000000007</v>
      </c>
      <c r="R849" s="6">
        <v>7362.38</v>
      </c>
      <c r="S849" s="6">
        <v>0.1</v>
      </c>
      <c r="T849" s="6">
        <v>736.24</v>
      </c>
      <c r="U849" s="6">
        <v>6626.15</v>
      </c>
      <c r="V849" s="6">
        <v>3901.14</v>
      </c>
      <c r="W849" s="6">
        <v>2725.01</v>
      </c>
      <c r="X849" s="6" t="s">
        <v>32</v>
      </c>
    </row>
    <row r="850" spans="1:24" x14ac:dyDescent="0.25">
      <c r="A850" s="5" t="s">
        <v>1338</v>
      </c>
      <c r="B850" s="18">
        <v>45640</v>
      </c>
      <c r="C850" s="7" t="s">
        <v>696</v>
      </c>
      <c r="D850" s="7" t="s">
        <v>105</v>
      </c>
      <c r="E850" s="7" t="s">
        <v>99</v>
      </c>
      <c r="F850" s="7" t="s">
        <v>100</v>
      </c>
      <c r="G850" s="7" t="s">
        <v>101</v>
      </c>
      <c r="H850" s="7" t="s">
        <v>102</v>
      </c>
      <c r="I850" s="7" t="s">
        <v>40</v>
      </c>
      <c r="J850" s="7" t="s">
        <v>82</v>
      </c>
      <c r="K850" s="7" t="s">
        <v>152</v>
      </c>
      <c r="L850" s="7" t="s">
        <v>2670</v>
      </c>
      <c r="M850" s="7" t="s">
        <v>153</v>
      </c>
      <c r="N850" s="7" t="s">
        <v>84</v>
      </c>
      <c r="O850" s="7">
        <v>73</v>
      </c>
      <c r="P850" s="7">
        <v>74.37</v>
      </c>
      <c r="Q850" s="7">
        <v>39.94</v>
      </c>
      <c r="R850" s="7">
        <v>5428.87</v>
      </c>
      <c r="S850" s="7">
        <v>0.2</v>
      </c>
      <c r="T850" s="7">
        <v>1085.77</v>
      </c>
      <c r="U850" s="7">
        <v>4343.09</v>
      </c>
      <c r="V850" s="7">
        <v>2915.42</v>
      </c>
      <c r="W850" s="7">
        <v>1427.68</v>
      </c>
      <c r="X850" s="7" t="s">
        <v>45</v>
      </c>
    </row>
    <row r="851" spans="1:24" x14ac:dyDescent="0.25">
      <c r="A851" s="16" t="s">
        <v>1339</v>
      </c>
      <c r="B851" s="17">
        <v>45419</v>
      </c>
      <c r="C851" s="6" t="s">
        <v>182</v>
      </c>
      <c r="D851" s="6" t="s">
        <v>35</v>
      </c>
      <c r="E851" s="6" t="s">
        <v>216</v>
      </c>
      <c r="F851" s="6" t="s">
        <v>217</v>
      </c>
      <c r="G851" s="6" t="s">
        <v>38</v>
      </c>
      <c r="H851" s="6" t="s">
        <v>134</v>
      </c>
      <c r="I851" s="6" t="s">
        <v>40</v>
      </c>
      <c r="J851" s="6" t="s">
        <v>289</v>
      </c>
      <c r="K851" s="6" t="s">
        <v>218</v>
      </c>
      <c r="L851" s="6" t="s">
        <v>2674</v>
      </c>
      <c r="M851" s="6" t="s">
        <v>153</v>
      </c>
      <c r="N851" s="6" t="s">
        <v>75</v>
      </c>
      <c r="O851" s="6">
        <v>49</v>
      </c>
      <c r="P851" s="6">
        <v>110.24</v>
      </c>
      <c r="Q851" s="6">
        <v>67.099999999999994</v>
      </c>
      <c r="R851" s="6">
        <v>5401.95</v>
      </c>
      <c r="S851" s="6">
        <v>0.1</v>
      </c>
      <c r="T851" s="6">
        <v>540.19000000000005</v>
      </c>
      <c r="U851" s="6">
        <v>4861.75</v>
      </c>
      <c r="V851" s="6">
        <v>3287.67</v>
      </c>
      <c r="W851" s="6">
        <v>1574.08</v>
      </c>
      <c r="X851" s="6" t="s">
        <v>45</v>
      </c>
    </row>
    <row r="852" spans="1:24" x14ac:dyDescent="0.25">
      <c r="A852" s="5" t="s">
        <v>1340</v>
      </c>
      <c r="B852" s="18">
        <v>45453</v>
      </c>
      <c r="C852" s="7" t="s">
        <v>776</v>
      </c>
      <c r="D852" s="7" t="s">
        <v>57</v>
      </c>
      <c r="E852" s="7" t="s">
        <v>187</v>
      </c>
      <c r="F852" s="7" t="s">
        <v>188</v>
      </c>
      <c r="G852" s="7" t="s">
        <v>25</v>
      </c>
      <c r="H852" s="7" t="s">
        <v>26</v>
      </c>
      <c r="I852" s="7" t="s">
        <v>40</v>
      </c>
      <c r="J852" s="7" t="s">
        <v>117</v>
      </c>
      <c r="K852" s="7" t="s">
        <v>83</v>
      </c>
      <c r="L852" s="7" t="s">
        <v>2665</v>
      </c>
      <c r="M852" s="7" t="s">
        <v>61</v>
      </c>
      <c r="N852" s="7" t="s">
        <v>70</v>
      </c>
      <c r="O852" s="7">
        <v>32</v>
      </c>
      <c r="P852" s="7">
        <v>47.9</v>
      </c>
      <c r="Q852" s="7">
        <v>28.68</v>
      </c>
      <c r="R852" s="7">
        <v>1532.87</v>
      </c>
      <c r="S852" s="7">
        <v>0.2</v>
      </c>
      <c r="T852" s="7">
        <v>306.57</v>
      </c>
      <c r="U852" s="7">
        <v>1226.3</v>
      </c>
      <c r="V852" s="7">
        <v>917.6</v>
      </c>
      <c r="W852" s="7">
        <v>308.69</v>
      </c>
      <c r="X852" s="7" t="s">
        <v>45</v>
      </c>
    </row>
    <row r="853" spans="1:24" x14ac:dyDescent="0.25">
      <c r="A853" s="16" t="s">
        <v>1341</v>
      </c>
      <c r="B853" s="17">
        <v>45358</v>
      </c>
      <c r="C853" s="6" t="s">
        <v>282</v>
      </c>
      <c r="D853" s="6" t="s">
        <v>125</v>
      </c>
      <c r="E853" s="6" t="s">
        <v>126</v>
      </c>
      <c r="F853" s="6" t="s">
        <v>127</v>
      </c>
      <c r="G853" s="6" t="s">
        <v>95</v>
      </c>
      <c r="H853" s="6" t="s">
        <v>128</v>
      </c>
      <c r="I853" s="6" t="s">
        <v>88</v>
      </c>
      <c r="J853" s="6" t="s">
        <v>173</v>
      </c>
      <c r="K853" s="6" t="s">
        <v>248</v>
      </c>
      <c r="L853" s="6" t="s">
        <v>2675</v>
      </c>
      <c r="M853" s="6" t="s">
        <v>61</v>
      </c>
      <c r="N853" s="6" t="s">
        <v>31</v>
      </c>
      <c r="O853" s="6">
        <v>29</v>
      </c>
      <c r="P853" s="6">
        <v>86.07</v>
      </c>
      <c r="Q853" s="6">
        <v>55.86</v>
      </c>
      <c r="R853" s="6">
        <v>2496.0700000000002</v>
      </c>
      <c r="S853" s="6">
        <v>0.05</v>
      </c>
      <c r="T853" s="6">
        <v>124.8</v>
      </c>
      <c r="U853" s="6">
        <v>2371.27</v>
      </c>
      <c r="V853" s="6">
        <v>1619.89</v>
      </c>
      <c r="W853" s="6">
        <v>751.38</v>
      </c>
      <c r="X853" s="6" t="s">
        <v>45</v>
      </c>
    </row>
    <row r="854" spans="1:24" x14ac:dyDescent="0.25">
      <c r="A854" s="5" t="s">
        <v>1342</v>
      </c>
      <c r="B854" s="18">
        <v>45538</v>
      </c>
      <c r="C854" s="7" t="s">
        <v>284</v>
      </c>
      <c r="D854" s="7" t="s">
        <v>57</v>
      </c>
      <c r="E854" s="7" t="s">
        <v>165</v>
      </c>
      <c r="F854" s="7" t="s">
        <v>166</v>
      </c>
      <c r="G854" s="7" t="s">
        <v>95</v>
      </c>
      <c r="H854" s="7" t="s">
        <v>167</v>
      </c>
      <c r="I854" s="7" t="s">
        <v>53</v>
      </c>
      <c r="J854" s="7" t="s">
        <v>143</v>
      </c>
      <c r="K854" s="7" t="s">
        <v>29</v>
      </c>
      <c r="L854" s="7" t="s">
        <v>2660</v>
      </c>
      <c r="M854" s="7" t="s">
        <v>43</v>
      </c>
      <c r="N854" s="7" t="s">
        <v>84</v>
      </c>
      <c r="O854" s="7">
        <v>79</v>
      </c>
      <c r="P854" s="7">
        <v>40.26</v>
      </c>
      <c r="Q854" s="7">
        <v>24.42</v>
      </c>
      <c r="R854" s="7">
        <v>3180.79</v>
      </c>
      <c r="S854" s="7">
        <v>0.05</v>
      </c>
      <c r="T854" s="7">
        <v>159.04</v>
      </c>
      <c r="U854" s="7">
        <v>3021.75</v>
      </c>
      <c r="V854" s="7">
        <v>1928.95</v>
      </c>
      <c r="W854" s="7">
        <v>1092.8</v>
      </c>
      <c r="X854" s="7" t="s">
        <v>45</v>
      </c>
    </row>
    <row r="855" spans="1:24" x14ac:dyDescent="0.25">
      <c r="A855" s="16" t="s">
        <v>1343</v>
      </c>
      <c r="B855" s="17">
        <v>45297</v>
      </c>
      <c r="C855" s="6" t="s">
        <v>1002</v>
      </c>
      <c r="D855" s="6" t="s">
        <v>159</v>
      </c>
      <c r="E855" s="6" t="s">
        <v>126</v>
      </c>
      <c r="F855" s="6" t="s">
        <v>127</v>
      </c>
      <c r="G855" s="6" t="s">
        <v>95</v>
      </c>
      <c r="H855" s="6" t="s">
        <v>128</v>
      </c>
      <c r="I855" s="6" t="s">
        <v>27</v>
      </c>
      <c r="J855" s="6" t="s">
        <v>211</v>
      </c>
      <c r="K855" s="6" t="s">
        <v>152</v>
      </c>
      <c r="L855" s="6" t="s">
        <v>2670</v>
      </c>
      <c r="M855" s="6" t="s">
        <v>30</v>
      </c>
      <c r="N855" s="6" t="s">
        <v>70</v>
      </c>
      <c r="O855" s="6">
        <v>75</v>
      </c>
      <c r="P855" s="6">
        <v>84.15</v>
      </c>
      <c r="Q855" s="6">
        <v>56.47</v>
      </c>
      <c r="R855" s="6">
        <v>6311.37</v>
      </c>
      <c r="S855" s="6">
        <v>0.05</v>
      </c>
      <c r="T855" s="6">
        <v>315.57</v>
      </c>
      <c r="U855" s="6">
        <v>5995.8</v>
      </c>
      <c r="V855" s="6">
        <v>4235.5200000000004</v>
      </c>
      <c r="W855" s="6">
        <v>1760.27</v>
      </c>
      <c r="X855" s="6" t="s">
        <v>45</v>
      </c>
    </row>
    <row r="856" spans="1:24" x14ac:dyDescent="0.25">
      <c r="A856" s="5" t="s">
        <v>1344</v>
      </c>
      <c r="B856" s="18">
        <v>45491</v>
      </c>
      <c r="C856" s="7" t="s">
        <v>1112</v>
      </c>
      <c r="D856" s="7" t="s">
        <v>159</v>
      </c>
      <c r="E856" s="7" t="s">
        <v>114</v>
      </c>
      <c r="F856" s="7" t="s">
        <v>115</v>
      </c>
      <c r="G856" s="7" t="s">
        <v>95</v>
      </c>
      <c r="H856" s="7" t="s">
        <v>116</v>
      </c>
      <c r="I856" s="7" t="s">
        <v>40</v>
      </c>
      <c r="J856" s="7" t="s">
        <v>117</v>
      </c>
      <c r="K856" s="7" t="s">
        <v>152</v>
      </c>
      <c r="L856" s="7" t="s">
        <v>2670</v>
      </c>
      <c r="M856" s="7" t="s">
        <v>43</v>
      </c>
      <c r="N856" s="7" t="s">
        <v>70</v>
      </c>
      <c r="O856" s="7">
        <v>40</v>
      </c>
      <c r="P856" s="7">
        <v>37.200000000000003</v>
      </c>
      <c r="Q856" s="7">
        <v>22.53</v>
      </c>
      <c r="R856" s="7">
        <v>1487.83</v>
      </c>
      <c r="S856" s="7">
        <v>0.1</v>
      </c>
      <c r="T856" s="7">
        <v>148.78</v>
      </c>
      <c r="U856" s="7">
        <v>1339.04</v>
      </c>
      <c r="V856" s="7">
        <v>901.2</v>
      </c>
      <c r="W856" s="7">
        <v>437.85</v>
      </c>
      <c r="X856" s="7" t="s">
        <v>45</v>
      </c>
    </row>
    <row r="857" spans="1:24" x14ac:dyDescent="0.25">
      <c r="A857" s="16" t="s">
        <v>1345</v>
      </c>
      <c r="B857" s="17">
        <v>45453</v>
      </c>
      <c r="C857" s="6" t="s">
        <v>531</v>
      </c>
      <c r="D857" s="6" t="s">
        <v>264</v>
      </c>
      <c r="E857" s="6" t="s">
        <v>209</v>
      </c>
      <c r="F857" s="6" t="s">
        <v>210</v>
      </c>
      <c r="G857" s="6" t="s">
        <v>51</v>
      </c>
      <c r="H857" s="6" t="s">
        <v>116</v>
      </c>
      <c r="I857" s="6" t="s">
        <v>40</v>
      </c>
      <c r="J857" s="6" t="s">
        <v>82</v>
      </c>
      <c r="K857" s="6" t="s">
        <v>184</v>
      </c>
      <c r="L857" s="6" t="s">
        <v>2672</v>
      </c>
      <c r="M857" s="6" t="s">
        <v>30</v>
      </c>
      <c r="N857" s="6" t="s">
        <v>75</v>
      </c>
      <c r="O857" s="6">
        <v>19</v>
      </c>
      <c r="P857" s="6">
        <v>18.8</v>
      </c>
      <c r="Q857" s="6">
        <v>10.25</v>
      </c>
      <c r="R857" s="6">
        <v>357.13</v>
      </c>
      <c r="S857" s="6">
        <v>0.05</v>
      </c>
      <c r="T857" s="6">
        <v>17.86</v>
      </c>
      <c r="U857" s="6">
        <v>339.27</v>
      </c>
      <c r="V857" s="6">
        <v>194.75</v>
      </c>
      <c r="W857" s="6">
        <v>144.52000000000001</v>
      </c>
      <c r="X857" s="6" t="s">
        <v>32</v>
      </c>
    </row>
    <row r="858" spans="1:24" x14ac:dyDescent="0.25">
      <c r="A858" s="5" t="s">
        <v>796</v>
      </c>
      <c r="B858" s="18">
        <v>45357</v>
      </c>
      <c r="C858" s="7" t="s">
        <v>596</v>
      </c>
      <c r="D858" s="7" t="s">
        <v>597</v>
      </c>
      <c r="E858" s="7" t="s">
        <v>114</v>
      </c>
      <c r="F858" s="7" t="s">
        <v>115</v>
      </c>
      <c r="G858" s="7" t="s">
        <v>95</v>
      </c>
      <c r="H858" s="7" t="s">
        <v>116</v>
      </c>
      <c r="I858" s="7" t="s">
        <v>27</v>
      </c>
      <c r="J858" s="7" t="s">
        <v>189</v>
      </c>
      <c r="K858" s="7" t="s">
        <v>170</v>
      </c>
      <c r="L858" s="7" t="s">
        <v>2671</v>
      </c>
      <c r="M858" s="7" t="s">
        <v>153</v>
      </c>
      <c r="N858" s="7"/>
      <c r="O858" s="7">
        <v>47</v>
      </c>
      <c r="P858" s="7">
        <v>32.43</v>
      </c>
      <c r="Q858" s="7">
        <v>19.82</v>
      </c>
      <c r="R858" s="7">
        <v>1524.34</v>
      </c>
      <c r="S858" s="7">
        <v>0.05</v>
      </c>
      <c r="T858" s="7">
        <v>76.22</v>
      </c>
      <c r="U858" s="7">
        <v>1448.12</v>
      </c>
      <c r="V858" s="7">
        <v>931.47</v>
      </c>
      <c r="W858" s="7">
        <v>516.66</v>
      </c>
      <c r="X858" s="7" t="s">
        <v>45</v>
      </c>
    </row>
    <row r="859" spans="1:24" x14ac:dyDescent="0.25">
      <c r="A859" s="16" t="s">
        <v>1346</v>
      </c>
      <c r="B859" s="17">
        <v>45361</v>
      </c>
      <c r="C859" s="6" t="s">
        <v>785</v>
      </c>
      <c r="D859" s="6" t="s">
        <v>264</v>
      </c>
      <c r="E859" s="6" t="s">
        <v>209</v>
      </c>
      <c r="F859" s="6" t="s">
        <v>210</v>
      </c>
      <c r="G859" s="6" t="s">
        <v>51</v>
      </c>
      <c r="H859" s="6" t="s">
        <v>116</v>
      </c>
      <c r="I859" s="6" t="s">
        <v>53</v>
      </c>
      <c r="J859" s="6" t="s">
        <v>54</v>
      </c>
      <c r="K859" s="6" t="s">
        <v>90</v>
      </c>
      <c r="L859" s="6" t="s">
        <v>2666</v>
      </c>
      <c r="M859" s="6" t="s">
        <v>153</v>
      </c>
      <c r="N859" s="6" t="s">
        <v>75</v>
      </c>
      <c r="O859" s="6">
        <v>31</v>
      </c>
      <c r="P859" s="6">
        <v>17.34</v>
      </c>
      <c r="Q859" s="6">
        <v>10.65</v>
      </c>
      <c r="R859" s="6">
        <v>537.6</v>
      </c>
      <c r="S859" s="6">
        <v>0.05</v>
      </c>
      <c r="T859" s="6">
        <v>26.88</v>
      </c>
      <c r="U859" s="6">
        <v>510.72</v>
      </c>
      <c r="V859" s="6">
        <v>330.05</v>
      </c>
      <c r="W859" s="6">
        <v>180.67</v>
      </c>
      <c r="X859" s="6" t="s">
        <v>45</v>
      </c>
    </row>
    <row r="860" spans="1:24" x14ac:dyDescent="0.25">
      <c r="A860" s="5" t="s">
        <v>1347</v>
      </c>
      <c r="B860" s="18">
        <v>45302</v>
      </c>
      <c r="C860" s="7" t="s">
        <v>284</v>
      </c>
      <c r="D860" s="7" t="s">
        <v>57</v>
      </c>
      <c r="E860" s="7" t="s">
        <v>49</v>
      </c>
      <c r="F860" s="7" t="s">
        <v>50</v>
      </c>
      <c r="G860" s="7" t="s">
        <v>51</v>
      </c>
      <c r="H860" s="7" t="s">
        <v>52</v>
      </c>
      <c r="I860" s="7" t="s">
        <v>88</v>
      </c>
      <c r="J860" s="7" t="s">
        <v>135</v>
      </c>
      <c r="K860" s="7" t="s">
        <v>218</v>
      </c>
      <c r="L860" s="7" t="s">
        <v>2674</v>
      </c>
      <c r="M860" s="7" t="s">
        <v>61</v>
      </c>
      <c r="N860" s="7" t="s">
        <v>44</v>
      </c>
      <c r="O860" s="7">
        <v>49</v>
      </c>
      <c r="P860" s="7">
        <v>25.65</v>
      </c>
      <c r="Q860" s="7">
        <v>12.35</v>
      </c>
      <c r="R860" s="7">
        <v>1256.6300000000001</v>
      </c>
      <c r="S860" s="7">
        <v>0.1</v>
      </c>
      <c r="T860" s="7">
        <v>125.66</v>
      </c>
      <c r="U860" s="7">
        <v>1130.97</v>
      </c>
      <c r="V860" s="7">
        <v>604.91999999999996</v>
      </c>
      <c r="W860" s="7">
        <v>526.04999999999995</v>
      </c>
      <c r="X860" s="7" t="s">
        <v>129</v>
      </c>
    </row>
    <row r="861" spans="1:24" x14ac:dyDescent="0.25">
      <c r="A861" s="16" t="s">
        <v>1348</v>
      </c>
      <c r="B861" s="17">
        <v>45323</v>
      </c>
      <c r="C861" s="6" t="s">
        <v>513</v>
      </c>
      <c r="D861" s="6" t="s">
        <v>48</v>
      </c>
      <c r="E861" s="6" t="s">
        <v>109</v>
      </c>
      <c r="F861" s="6" t="s">
        <v>110</v>
      </c>
      <c r="G861" s="6" t="s">
        <v>80</v>
      </c>
      <c r="H861" s="6" t="s">
        <v>81</v>
      </c>
      <c r="I861" s="6" t="s">
        <v>27</v>
      </c>
      <c r="J861" s="6" t="s">
        <v>106</v>
      </c>
      <c r="K861" s="6" t="s">
        <v>83</v>
      </c>
      <c r="L861" s="6" t="s">
        <v>2665</v>
      </c>
      <c r="M861" s="6" t="s">
        <v>61</v>
      </c>
      <c r="N861" s="6" t="s">
        <v>70</v>
      </c>
      <c r="O861" s="6">
        <v>31</v>
      </c>
      <c r="P861" s="6">
        <v>117.37</v>
      </c>
      <c r="Q861" s="6">
        <v>79.69</v>
      </c>
      <c r="R861" s="6">
        <v>3638.6</v>
      </c>
      <c r="S861" s="6">
        <v>0.15</v>
      </c>
      <c r="T861" s="6">
        <v>545.79</v>
      </c>
      <c r="U861" s="6">
        <v>3092.81</v>
      </c>
      <c r="V861" s="6">
        <v>2470.39</v>
      </c>
      <c r="W861" s="6">
        <v>622.41999999999996</v>
      </c>
      <c r="X861" s="6" t="s">
        <v>32</v>
      </c>
    </row>
    <row r="862" spans="1:24" x14ac:dyDescent="0.25">
      <c r="A862" s="5" t="s">
        <v>1349</v>
      </c>
      <c r="B862" s="18">
        <v>45345</v>
      </c>
      <c r="C862" s="7" t="s">
        <v>611</v>
      </c>
      <c r="D862" s="7" t="s">
        <v>264</v>
      </c>
      <c r="E862" s="7" t="s">
        <v>209</v>
      </c>
      <c r="F862" s="7" t="s">
        <v>210</v>
      </c>
      <c r="G862" s="7" t="s">
        <v>51</v>
      </c>
      <c r="H862" s="7" t="s">
        <v>116</v>
      </c>
      <c r="I862" s="7" t="s">
        <v>40</v>
      </c>
      <c r="J862" s="7" t="s">
        <v>82</v>
      </c>
      <c r="K862" s="7" t="s">
        <v>253</v>
      </c>
      <c r="L862" s="7" t="s">
        <v>2676</v>
      </c>
      <c r="M862" s="7" t="s">
        <v>43</v>
      </c>
      <c r="N862" s="7" t="s">
        <v>31</v>
      </c>
      <c r="O862" s="7">
        <v>64</v>
      </c>
      <c r="P862" s="7">
        <v>19.2</v>
      </c>
      <c r="Q862" s="7">
        <v>10.050000000000001</v>
      </c>
      <c r="R862" s="7">
        <v>1228.51</v>
      </c>
      <c r="S862" s="7">
        <v>0.2</v>
      </c>
      <c r="T862" s="7">
        <v>245.7</v>
      </c>
      <c r="U862" s="7">
        <v>982.81</v>
      </c>
      <c r="V862" s="7">
        <v>643.38</v>
      </c>
      <c r="W862" s="7">
        <v>339.43</v>
      </c>
      <c r="X862" s="7" t="s">
        <v>32</v>
      </c>
    </row>
    <row r="863" spans="1:24" x14ac:dyDescent="0.25">
      <c r="A863" s="16" t="s">
        <v>1350</v>
      </c>
      <c r="B863" s="17">
        <v>45404</v>
      </c>
      <c r="C863" s="6" t="s">
        <v>814</v>
      </c>
      <c r="D863" s="6" t="s">
        <v>22</v>
      </c>
      <c r="E863" s="6" t="s">
        <v>99</v>
      </c>
      <c r="F863" s="6" t="s">
        <v>100</v>
      </c>
      <c r="G863" s="6" t="s">
        <v>101</v>
      </c>
      <c r="H863" s="6" t="s">
        <v>102</v>
      </c>
      <c r="I863" s="6" t="s">
        <v>53</v>
      </c>
      <c r="J863" s="6" t="s">
        <v>54</v>
      </c>
      <c r="K863" s="6" t="s">
        <v>265</v>
      </c>
      <c r="L863" s="6" t="s">
        <v>2678</v>
      </c>
      <c r="M863" s="6" t="s">
        <v>43</v>
      </c>
      <c r="N863" s="6" t="s">
        <v>70</v>
      </c>
      <c r="O863" s="6">
        <v>18</v>
      </c>
      <c r="P863" s="6">
        <v>71.25</v>
      </c>
      <c r="Q863" s="6">
        <v>38.64</v>
      </c>
      <c r="R863" s="6">
        <v>1282.55</v>
      </c>
      <c r="S863" s="6">
        <v>0.15</v>
      </c>
      <c r="T863" s="6">
        <v>192.38</v>
      </c>
      <c r="U863" s="6">
        <v>1090.17</v>
      </c>
      <c r="V863" s="6">
        <v>695.43</v>
      </c>
      <c r="W863" s="6">
        <v>394.74</v>
      </c>
      <c r="X863" s="6" t="s">
        <v>550</v>
      </c>
    </row>
    <row r="864" spans="1:24" x14ac:dyDescent="0.25">
      <c r="A864" s="5" t="s">
        <v>1351</v>
      </c>
      <c r="B864" s="18">
        <v>45478</v>
      </c>
      <c r="C864" s="7" t="s">
        <v>1098</v>
      </c>
      <c r="D864" s="7" t="s">
        <v>121</v>
      </c>
      <c r="E864" s="7" t="s">
        <v>36</v>
      </c>
      <c r="F864" s="7" t="s">
        <v>37</v>
      </c>
      <c r="G864" s="7" t="s">
        <v>38</v>
      </c>
      <c r="H864" s="7" t="s">
        <v>39</v>
      </c>
      <c r="I864" s="7" t="s">
        <v>88</v>
      </c>
      <c r="J864" s="7" t="s">
        <v>173</v>
      </c>
      <c r="K864" s="7" t="s">
        <v>60</v>
      </c>
      <c r="L864" s="7" t="s">
        <v>2662</v>
      </c>
      <c r="M864" s="7" t="s">
        <v>43</v>
      </c>
      <c r="N864" s="7" t="s">
        <v>75</v>
      </c>
      <c r="O864" s="7">
        <v>1</v>
      </c>
      <c r="P864" s="7">
        <v>173.93</v>
      </c>
      <c r="Q864" s="7">
        <v>103.8</v>
      </c>
      <c r="R864" s="7">
        <v>173.93</v>
      </c>
      <c r="S864" s="7">
        <v>0.1</v>
      </c>
      <c r="T864" s="7">
        <v>17.39</v>
      </c>
      <c r="U864" s="7">
        <v>156.53</v>
      </c>
      <c r="V864" s="7">
        <v>103.8</v>
      </c>
      <c r="W864" s="7">
        <v>52.74</v>
      </c>
      <c r="X864" s="7" t="s">
        <v>1042</v>
      </c>
    </row>
    <row r="865" spans="1:24" x14ac:dyDescent="0.25">
      <c r="A865" s="16" t="s">
        <v>1352</v>
      </c>
      <c r="B865" s="17">
        <v>45496</v>
      </c>
      <c r="C865" s="6" t="s">
        <v>653</v>
      </c>
      <c r="D865" s="6" t="s">
        <v>87</v>
      </c>
      <c r="E865" s="6" t="s">
        <v>250</v>
      </c>
      <c r="F865" s="6" t="s">
        <v>251</v>
      </c>
      <c r="G865" s="6" t="s">
        <v>51</v>
      </c>
      <c r="H865" s="6" t="s">
        <v>252</v>
      </c>
      <c r="I865" s="6" t="s">
        <v>27</v>
      </c>
      <c r="J865" s="6" t="s">
        <v>211</v>
      </c>
      <c r="K865" s="6" t="s">
        <v>144</v>
      </c>
      <c r="L865" s="6" t="s">
        <v>2669</v>
      </c>
      <c r="M865" s="6" t="s">
        <v>1066</v>
      </c>
      <c r="N865" s="6" t="s">
        <v>44</v>
      </c>
      <c r="O865" s="6">
        <v>36</v>
      </c>
      <c r="P865" s="6">
        <v>62.4</v>
      </c>
      <c r="Q865" s="6">
        <v>36.56</v>
      </c>
      <c r="R865" s="6">
        <v>2246.2800000000002</v>
      </c>
      <c r="S865" s="6">
        <v>0</v>
      </c>
      <c r="T865" s="6">
        <v>0</v>
      </c>
      <c r="U865" s="6">
        <v>2246.2800000000002</v>
      </c>
      <c r="V865" s="6">
        <v>1316.18</v>
      </c>
      <c r="W865" s="6">
        <v>930.1</v>
      </c>
      <c r="X865" s="6" t="s">
        <v>45</v>
      </c>
    </row>
    <row r="866" spans="1:24" x14ac:dyDescent="0.25">
      <c r="A866" s="5" t="s">
        <v>1353</v>
      </c>
      <c r="B866" s="18">
        <v>45522</v>
      </c>
      <c r="C866" s="7" t="s">
        <v>970</v>
      </c>
      <c r="D866" s="7" t="s">
        <v>159</v>
      </c>
      <c r="E866" s="7" t="s">
        <v>250</v>
      </c>
      <c r="F866" s="7" t="s">
        <v>251</v>
      </c>
      <c r="G866" s="7" t="s">
        <v>51</v>
      </c>
      <c r="H866" s="7" t="s">
        <v>252</v>
      </c>
      <c r="I866" s="7" t="s">
        <v>58</v>
      </c>
      <c r="J866" s="7" t="s">
        <v>345</v>
      </c>
      <c r="K866" s="7" t="s">
        <v>248</v>
      </c>
      <c r="L866" s="7" t="s">
        <v>2675</v>
      </c>
      <c r="M866" s="7" t="s">
        <v>43</v>
      </c>
      <c r="N866" s="7" t="s">
        <v>75</v>
      </c>
      <c r="O866" s="7">
        <v>34</v>
      </c>
      <c r="P866" s="7">
        <v>63.45</v>
      </c>
      <c r="Q866" s="7">
        <v>38.549999999999997</v>
      </c>
      <c r="R866" s="7">
        <v>2157.17</v>
      </c>
      <c r="S866" s="7">
        <v>0.05</v>
      </c>
      <c r="T866" s="7">
        <v>107.86</v>
      </c>
      <c r="U866" s="7">
        <v>2049.31</v>
      </c>
      <c r="V866" s="7">
        <v>1310.5899999999999</v>
      </c>
      <c r="W866" s="7">
        <v>738.72</v>
      </c>
      <c r="X866" s="7" t="s">
        <v>45</v>
      </c>
    </row>
    <row r="867" spans="1:24" x14ac:dyDescent="0.25">
      <c r="A867" s="16" t="s">
        <v>1354</v>
      </c>
      <c r="B867" s="17">
        <v>45353</v>
      </c>
      <c r="C867" s="6" t="s">
        <v>529</v>
      </c>
      <c r="D867" s="6" t="s">
        <v>256</v>
      </c>
      <c r="E867" s="6" t="s">
        <v>216</v>
      </c>
      <c r="F867" s="6" t="s">
        <v>217</v>
      </c>
      <c r="G867" s="6" t="s">
        <v>38</v>
      </c>
      <c r="H867" s="6" t="s">
        <v>134</v>
      </c>
      <c r="I867" s="6" t="s">
        <v>53</v>
      </c>
      <c r="J867" s="6" t="s">
        <v>143</v>
      </c>
      <c r="K867" s="6" t="s">
        <v>261</v>
      </c>
      <c r="L867" s="6" t="s">
        <v>2677</v>
      </c>
      <c r="M867" s="6" t="s">
        <v>61</v>
      </c>
      <c r="N867" s="6" t="s">
        <v>75</v>
      </c>
      <c r="O867" s="6">
        <v>69</v>
      </c>
      <c r="P867" s="6">
        <v>109.39</v>
      </c>
      <c r="Q867" s="6">
        <v>62.28</v>
      </c>
      <c r="R867" s="6">
        <v>7547.75</v>
      </c>
      <c r="S867" s="6">
        <v>0.02</v>
      </c>
      <c r="T867" s="6">
        <v>150.94999999999999</v>
      </c>
      <c r="U867" s="6">
        <v>7396.79</v>
      </c>
      <c r="V867" s="6">
        <v>4297.6499999999996</v>
      </c>
      <c r="W867" s="6">
        <v>3099.14</v>
      </c>
      <c r="X867" s="6" t="s">
        <v>129</v>
      </c>
    </row>
    <row r="868" spans="1:24" x14ac:dyDescent="0.25">
      <c r="A868" s="5" t="s">
        <v>1355</v>
      </c>
      <c r="B868" s="18">
        <v>45396</v>
      </c>
      <c r="C868" s="7" t="s">
        <v>477</v>
      </c>
      <c r="D868" s="7" t="s">
        <v>221</v>
      </c>
      <c r="E868" s="7" t="s">
        <v>36</v>
      </c>
      <c r="F868" s="7" t="s">
        <v>37</v>
      </c>
      <c r="G868" s="7" t="s">
        <v>38</v>
      </c>
      <c r="H868" s="7" t="s">
        <v>39</v>
      </c>
      <c r="I868" s="7" t="s">
        <v>27</v>
      </c>
      <c r="J868" s="7" t="s">
        <v>28</v>
      </c>
      <c r="K868" s="7" t="s">
        <v>74</v>
      </c>
      <c r="L868" s="7" t="s">
        <v>2664</v>
      </c>
      <c r="M868" s="7" t="s">
        <v>30</v>
      </c>
      <c r="N868" s="7" t="s">
        <v>31</v>
      </c>
      <c r="O868" s="7">
        <v>14</v>
      </c>
      <c r="P868" s="7">
        <v>172.78</v>
      </c>
      <c r="Q868" s="7">
        <v>91.63</v>
      </c>
      <c r="R868" s="7">
        <v>2418.88</v>
      </c>
      <c r="S868" s="7">
        <v>0.1</v>
      </c>
      <c r="T868" s="7">
        <v>241.89</v>
      </c>
      <c r="U868" s="7">
        <v>2176.9899999999998</v>
      </c>
      <c r="V868" s="7">
        <v>1282.81</v>
      </c>
      <c r="W868" s="7">
        <v>894.18</v>
      </c>
      <c r="X868" s="7" t="s">
        <v>45</v>
      </c>
    </row>
    <row r="869" spans="1:24" x14ac:dyDescent="0.25">
      <c r="A869" s="16" t="s">
        <v>1356</v>
      </c>
      <c r="B869" s="17">
        <v>45482</v>
      </c>
      <c r="C869" s="6" t="s">
        <v>389</v>
      </c>
      <c r="D869" s="6" t="s">
        <v>264</v>
      </c>
      <c r="E869" s="6" t="s">
        <v>78</v>
      </c>
      <c r="F869" s="6" t="s">
        <v>79</v>
      </c>
      <c r="G869" s="6" t="s">
        <v>80</v>
      </c>
      <c r="H869" s="6" t="s">
        <v>81</v>
      </c>
      <c r="I869" s="6" t="s">
        <v>58</v>
      </c>
      <c r="J869" s="6" t="s">
        <v>345</v>
      </c>
      <c r="K869" s="6" t="s">
        <v>218</v>
      </c>
      <c r="L869" s="6" t="s">
        <v>2674</v>
      </c>
      <c r="M869" s="6" t="s">
        <v>61</v>
      </c>
      <c r="N869" s="6" t="s">
        <v>31</v>
      </c>
      <c r="O869" s="6">
        <v>22</v>
      </c>
      <c r="P869" s="6">
        <v>139.83000000000001</v>
      </c>
      <c r="Q869" s="6">
        <v>79.75</v>
      </c>
      <c r="R869" s="6">
        <v>3076.36</v>
      </c>
      <c r="S869" s="6">
        <v>0</v>
      </c>
      <c r="T869" s="6">
        <v>0</v>
      </c>
      <c r="U869" s="6">
        <v>3076.36</v>
      </c>
      <c r="V869" s="6">
        <v>1754.57</v>
      </c>
      <c r="W869" s="6">
        <v>1321.79</v>
      </c>
      <c r="X869" s="6" t="s">
        <v>129</v>
      </c>
    </row>
    <row r="870" spans="1:24" x14ac:dyDescent="0.25">
      <c r="A870" s="5" t="s">
        <v>1357</v>
      </c>
      <c r="B870" s="18">
        <v>45505</v>
      </c>
      <c r="C870" s="7" t="s">
        <v>563</v>
      </c>
      <c r="D870" s="7" t="s">
        <v>156</v>
      </c>
      <c r="E870" s="7" t="s">
        <v>36</v>
      </c>
      <c r="F870" s="7" t="s">
        <v>37</v>
      </c>
      <c r="G870" s="7" t="s">
        <v>38</v>
      </c>
      <c r="H870" s="7" t="s">
        <v>39</v>
      </c>
      <c r="I870" s="7" t="s">
        <v>40</v>
      </c>
      <c r="J870" s="7" t="s">
        <v>41</v>
      </c>
      <c r="K870" s="7" t="s">
        <v>90</v>
      </c>
      <c r="L870" s="7" t="s">
        <v>2666</v>
      </c>
      <c r="M870" s="7" t="s">
        <v>153</v>
      </c>
      <c r="N870" s="7" t="s">
        <v>70</v>
      </c>
      <c r="O870" s="7">
        <v>10</v>
      </c>
      <c r="P870" s="7">
        <v>167.85</v>
      </c>
      <c r="Q870" s="7">
        <v>103.2</v>
      </c>
      <c r="R870" s="7">
        <v>1678.49</v>
      </c>
      <c r="S870" s="7">
        <v>0.02</v>
      </c>
      <c r="T870" s="7">
        <v>33.57</v>
      </c>
      <c r="U870" s="7">
        <v>1644.92</v>
      </c>
      <c r="V870" s="7">
        <v>1031.96</v>
      </c>
      <c r="W870" s="7">
        <v>612.96</v>
      </c>
      <c r="X870" s="7" t="s">
        <v>45</v>
      </c>
    </row>
    <row r="871" spans="1:24" x14ac:dyDescent="0.25">
      <c r="A871" s="16" t="s">
        <v>1358</v>
      </c>
      <c r="B871" s="17">
        <v>45462</v>
      </c>
      <c r="C871" s="6" t="s">
        <v>237</v>
      </c>
      <c r="D871" s="6" t="s">
        <v>105</v>
      </c>
      <c r="E871" s="6" t="s">
        <v>99</v>
      </c>
      <c r="F871" s="6" t="s">
        <v>100</v>
      </c>
      <c r="G871" s="6" t="s">
        <v>101</v>
      </c>
      <c r="H871" s="6" t="s">
        <v>102</v>
      </c>
      <c r="I871" s="6" t="s">
        <v>40</v>
      </c>
      <c r="J871" s="6" t="s">
        <v>289</v>
      </c>
      <c r="K871" s="6" t="s">
        <v>265</v>
      </c>
      <c r="L871" s="6" t="s">
        <v>2678</v>
      </c>
      <c r="M871" s="6" t="s">
        <v>153</v>
      </c>
      <c r="N871" s="6" t="s">
        <v>44</v>
      </c>
      <c r="O871" s="6">
        <v>39</v>
      </c>
      <c r="P871" s="6">
        <v>65.709999999999994</v>
      </c>
      <c r="Q871" s="6">
        <v>38.54</v>
      </c>
      <c r="R871" s="6">
        <v>2562.84</v>
      </c>
      <c r="S871" s="6">
        <v>0.1</v>
      </c>
      <c r="T871" s="6">
        <v>256.27999999999997</v>
      </c>
      <c r="U871" s="6">
        <v>2306.56</v>
      </c>
      <c r="V871" s="6">
        <v>1503.11</v>
      </c>
      <c r="W871" s="6">
        <v>803.45</v>
      </c>
      <c r="X871" s="6" t="s">
        <v>45</v>
      </c>
    </row>
    <row r="872" spans="1:24" x14ac:dyDescent="0.25">
      <c r="A872" s="5" t="s">
        <v>1359</v>
      </c>
      <c r="B872" s="18">
        <v>45342</v>
      </c>
      <c r="C872" s="7" t="s">
        <v>1068</v>
      </c>
      <c r="D872" s="7" t="s">
        <v>105</v>
      </c>
      <c r="E872" s="7" t="s">
        <v>216</v>
      </c>
      <c r="F872" s="7" t="s">
        <v>217</v>
      </c>
      <c r="G872" s="7" t="s">
        <v>38</v>
      </c>
      <c r="H872" s="7" t="s">
        <v>134</v>
      </c>
      <c r="I872" s="7" t="s">
        <v>88</v>
      </c>
      <c r="J872" s="7" t="s">
        <v>135</v>
      </c>
      <c r="K872" s="7" t="s">
        <v>83</v>
      </c>
      <c r="L872" s="7" t="s">
        <v>2665</v>
      </c>
      <c r="M872" s="7" t="s">
        <v>153</v>
      </c>
      <c r="N872" s="7" t="s">
        <v>31</v>
      </c>
      <c r="O872" s="7">
        <v>10</v>
      </c>
      <c r="P872" s="7">
        <v>107.09</v>
      </c>
      <c r="Q872" s="7">
        <v>61.92</v>
      </c>
      <c r="R872" s="7">
        <v>1070.8699999999999</v>
      </c>
      <c r="S872" s="7">
        <v>0.15</v>
      </c>
      <c r="T872" s="7">
        <v>160.63</v>
      </c>
      <c r="U872" s="7">
        <v>910.24</v>
      </c>
      <c r="V872" s="7">
        <v>619.21</v>
      </c>
      <c r="W872" s="7">
        <v>291.02999999999997</v>
      </c>
      <c r="X872" s="7" t="s">
        <v>45</v>
      </c>
    </row>
    <row r="873" spans="1:24" x14ac:dyDescent="0.25">
      <c r="A873" s="16" t="s">
        <v>1360</v>
      </c>
      <c r="B873" s="17">
        <v>45412</v>
      </c>
      <c r="C873" s="6" t="s">
        <v>468</v>
      </c>
      <c r="D873" s="6" t="s">
        <v>65</v>
      </c>
      <c r="E873" s="6" t="s">
        <v>222</v>
      </c>
      <c r="F873" s="6" t="s">
        <v>223</v>
      </c>
      <c r="G873" s="6" t="s">
        <v>101</v>
      </c>
      <c r="H873" s="6" t="s">
        <v>68</v>
      </c>
      <c r="I873" s="6" t="s">
        <v>88</v>
      </c>
      <c r="J873" s="6" t="s">
        <v>89</v>
      </c>
      <c r="K873" s="6" t="s">
        <v>248</v>
      </c>
      <c r="L873" s="6" t="s">
        <v>2675</v>
      </c>
      <c r="M873" s="6" t="s">
        <v>138</v>
      </c>
      <c r="N873" s="6" t="s">
        <v>75</v>
      </c>
      <c r="O873" s="6">
        <v>65</v>
      </c>
      <c r="P873" s="6">
        <v>128.76</v>
      </c>
      <c r="Q873" s="6">
        <v>80.959999999999994</v>
      </c>
      <c r="R873" s="6">
        <v>8369.7099999999991</v>
      </c>
      <c r="S873" s="6">
        <v>0</v>
      </c>
      <c r="T873" s="6">
        <v>0</v>
      </c>
      <c r="U873" s="6">
        <v>8369.7099999999991</v>
      </c>
      <c r="V873" s="6">
        <v>5262.67</v>
      </c>
      <c r="W873" s="6">
        <v>3107.05</v>
      </c>
      <c r="X873" s="6" t="s">
        <v>129</v>
      </c>
    </row>
    <row r="874" spans="1:24" x14ac:dyDescent="0.25">
      <c r="A874" s="5" t="s">
        <v>1361</v>
      </c>
      <c r="B874" s="18">
        <v>45466</v>
      </c>
      <c r="C874" s="7" t="s">
        <v>1362</v>
      </c>
      <c r="D874" s="7" t="s">
        <v>57</v>
      </c>
      <c r="E874" s="7" t="s">
        <v>109</v>
      </c>
      <c r="F874" s="7" t="s">
        <v>110</v>
      </c>
      <c r="G874" s="7" t="s">
        <v>80</v>
      </c>
      <c r="H874" s="7" t="s">
        <v>81</v>
      </c>
      <c r="I874" s="7" t="s">
        <v>53</v>
      </c>
      <c r="J874" s="7" t="s">
        <v>122</v>
      </c>
      <c r="K874" s="7" t="s">
        <v>83</v>
      </c>
      <c r="L874" s="7" t="s">
        <v>2665</v>
      </c>
      <c r="M874" s="7" t="s">
        <v>547</v>
      </c>
      <c r="N874" s="7" t="s">
        <v>70</v>
      </c>
      <c r="O874" s="7">
        <v>21</v>
      </c>
      <c r="P874" s="7">
        <v>126.4</v>
      </c>
      <c r="Q874" s="7">
        <v>69.23</v>
      </c>
      <c r="R874" s="7">
        <v>2654.43</v>
      </c>
      <c r="S874" s="7">
        <v>0.05</v>
      </c>
      <c r="T874" s="7">
        <v>132.72</v>
      </c>
      <c r="U874" s="7">
        <v>2521.6999999999998</v>
      </c>
      <c r="V874" s="7">
        <v>1453.84</v>
      </c>
      <c r="W874" s="7">
        <v>1067.8599999999999</v>
      </c>
      <c r="X874" s="7" t="s">
        <v>45</v>
      </c>
    </row>
    <row r="875" spans="1:24" x14ac:dyDescent="0.25">
      <c r="A875" s="16" t="s">
        <v>1363</v>
      </c>
      <c r="B875" s="17">
        <v>45579</v>
      </c>
      <c r="C875" s="6" t="s">
        <v>1159</v>
      </c>
      <c r="D875" s="6" t="s">
        <v>159</v>
      </c>
      <c r="E875" s="6" t="s">
        <v>99</v>
      </c>
      <c r="F875" s="6" t="s">
        <v>100</v>
      </c>
      <c r="G875" s="6" t="s">
        <v>101</v>
      </c>
      <c r="H875" s="6" t="s">
        <v>102</v>
      </c>
      <c r="I875" s="6" t="s">
        <v>58</v>
      </c>
      <c r="J875" s="6" t="s">
        <v>323</v>
      </c>
      <c r="K875" s="6" t="s">
        <v>83</v>
      </c>
      <c r="L875" s="6" t="s">
        <v>2665</v>
      </c>
      <c r="M875" s="6" t="s">
        <v>153</v>
      </c>
      <c r="N875" s="6" t="s">
        <v>44</v>
      </c>
      <c r="O875" s="6">
        <v>12</v>
      </c>
      <c r="P875" s="6">
        <v>64.94</v>
      </c>
      <c r="Q875" s="6">
        <v>40.08</v>
      </c>
      <c r="R875" s="6">
        <v>779.28</v>
      </c>
      <c r="S875" s="6">
        <v>0.1</v>
      </c>
      <c r="T875" s="6">
        <v>77.930000000000007</v>
      </c>
      <c r="U875" s="6">
        <v>701.35</v>
      </c>
      <c r="V875" s="6">
        <v>480.98</v>
      </c>
      <c r="W875" s="6">
        <v>220.37</v>
      </c>
      <c r="X875" s="6" t="s">
        <v>32</v>
      </c>
    </row>
    <row r="876" spans="1:24" x14ac:dyDescent="0.25">
      <c r="A876" s="5" t="s">
        <v>1364</v>
      </c>
      <c r="B876" s="18">
        <v>45451</v>
      </c>
      <c r="C876" s="7" t="s">
        <v>267</v>
      </c>
      <c r="D876" s="7" t="s">
        <v>65</v>
      </c>
      <c r="E876" s="7" t="s">
        <v>49</v>
      </c>
      <c r="F876" s="7" t="s">
        <v>50</v>
      </c>
      <c r="G876" s="7" t="s">
        <v>51</v>
      </c>
      <c r="H876" s="7" t="s">
        <v>52</v>
      </c>
      <c r="I876" s="7" t="s">
        <v>40</v>
      </c>
      <c r="J876" s="7" t="s">
        <v>289</v>
      </c>
      <c r="K876" s="7" t="s">
        <v>60</v>
      </c>
      <c r="L876" s="7" t="s">
        <v>2662</v>
      </c>
      <c r="M876" s="7" t="s">
        <v>30</v>
      </c>
      <c r="N876" s="7" t="s">
        <v>84</v>
      </c>
      <c r="O876" s="7">
        <v>75</v>
      </c>
      <c r="P876" s="7">
        <v>26.69</v>
      </c>
      <c r="Q876" s="7">
        <v>12.97</v>
      </c>
      <c r="R876" s="7">
        <v>2001.83</v>
      </c>
      <c r="S876" s="7">
        <v>0.15</v>
      </c>
      <c r="T876" s="7">
        <v>300.27</v>
      </c>
      <c r="U876" s="7">
        <v>1701.55</v>
      </c>
      <c r="V876" s="7">
        <v>972.98</v>
      </c>
      <c r="W876" s="7">
        <v>728.57</v>
      </c>
      <c r="X876" s="7" t="s">
        <v>32</v>
      </c>
    </row>
    <row r="877" spans="1:24" x14ac:dyDescent="0.25">
      <c r="A877" s="16" t="s">
        <v>1365</v>
      </c>
      <c r="B877" s="17">
        <v>45339</v>
      </c>
      <c r="C877" s="6" t="s">
        <v>535</v>
      </c>
      <c r="D877" s="6" t="s">
        <v>221</v>
      </c>
      <c r="E877" s="6" t="s">
        <v>216</v>
      </c>
      <c r="F877" s="6" t="s">
        <v>217</v>
      </c>
      <c r="G877" s="6" t="s">
        <v>38</v>
      </c>
      <c r="H877" s="6" t="s">
        <v>134</v>
      </c>
      <c r="I877" s="6" t="s">
        <v>53</v>
      </c>
      <c r="J877" s="6" t="s">
        <v>232</v>
      </c>
      <c r="K877" s="6" t="s">
        <v>248</v>
      </c>
      <c r="L877" s="6" t="s">
        <v>2675</v>
      </c>
      <c r="M877" s="6" t="s">
        <v>43</v>
      </c>
      <c r="N877" s="6" t="s">
        <v>62</v>
      </c>
      <c r="O877" s="6">
        <v>43</v>
      </c>
      <c r="P877" s="6">
        <v>111.65</v>
      </c>
      <c r="Q877" s="6">
        <v>68.92</v>
      </c>
      <c r="R877" s="6">
        <v>4800.83</v>
      </c>
      <c r="S877" s="6">
        <v>0</v>
      </c>
      <c r="T877" s="6">
        <v>0</v>
      </c>
      <c r="U877" s="6">
        <v>4800.83</v>
      </c>
      <c r="V877" s="6">
        <v>2963.56</v>
      </c>
      <c r="W877" s="6">
        <v>1837.27</v>
      </c>
      <c r="X877" s="6" t="s">
        <v>32</v>
      </c>
    </row>
    <row r="878" spans="1:24" x14ac:dyDescent="0.25">
      <c r="A878" s="5" t="s">
        <v>1366</v>
      </c>
      <c r="B878" s="18">
        <v>45556</v>
      </c>
      <c r="C878" s="7" t="s">
        <v>651</v>
      </c>
      <c r="D878" s="7" t="s">
        <v>105</v>
      </c>
      <c r="E878" s="7" t="s">
        <v>36</v>
      </c>
      <c r="F878" s="7" t="s">
        <v>37</v>
      </c>
      <c r="G878" s="7" t="s">
        <v>38</v>
      </c>
      <c r="H878" s="7" t="s">
        <v>39</v>
      </c>
      <c r="I878" s="7" t="s">
        <v>27</v>
      </c>
      <c r="J878" s="7" t="s">
        <v>28</v>
      </c>
      <c r="K878" s="7" t="s">
        <v>60</v>
      </c>
      <c r="L878" s="7" t="s">
        <v>2662</v>
      </c>
      <c r="M878" s="7" t="s">
        <v>61</v>
      </c>
      <c r="N878" s="7" t="s">
        <v>75</v>
      </c>
      <c r="O878" s="7">
        <v>19</v>
      </c>
      <c r="P878" s="7">
        <v>175.36</v>
      </c>
      <c r="Q878" s="7">
        <v>94.02</v>
      </c>
      <c r="R878" s="7">
        <v>3331.78</v>
      </c>
      <c r="S878" s="7">
        <v>0.15</v>
      </c>
      <c r="T878" s="7">
        <v>499.77</v>
      </c>
      <c r="U878" s="7">
        <v>2832.01</v>
      </c>
      <c r="V878" s="7">
        <v>1786.3</v>
      </c>
      <c r="W878" s="7">
        <v>1045.72</v>
      </c>
      <c r="X878" s="7" t="s">
        <v>45</v>
      </c>
    </row>
    <row r="879" spans="1:24" x14ac:dyDescent="0.25">
      <c r="A879" s="16" t="s">
        <v>1367</v>
      </c>
      <c r="B879" s="17">
        <v>45539</v>
      </c>
      <c r="C879" s="6" t="s">
        <v>1368</v>
      </c>
      <c r="D879" s="6" t="s">
        <v>22</v>
      </c>
      <c r="E879" s="6" t="s">
        <v>176</v>
      </c>
      <c r="F879" s="6" t="s">
        <v>177</v>
      </c>
      <c r="G879" s="6" t="s">
        <v>101</v>
      </c>
      <c r="H879" s="6" t="s">
        <v>39</v>
      </c>
      <c r="I879" s="6" t="s">
        <v>58</v>
      </c>
      <c r="J879" s="6" t="s">
        <v>59</v>
      </c>
      <c r="K879" s="6" t="s">
        <v>218</v>
      </c>
      <c r="L879" s="6" t="s">
        <v>2674</v>
      </c>
      <c r="M879" s="6" t="s">
        <v>43</v>
      </c>
      <c r="N879" s="6" t="s">
        <v>84</v>
      </c>
      <c r="O879" s="6">
        <v>29</v>
      </c>
      <c r="P879" s="6">
        <v>107.96</v>
      </c>
      <c r="Q879" s="6">
        <v>61.24</v>
      </c>
      <c r="R879" s="6">
        <v>3130.83</v>
      </c>
      <c r="S879" s="6">
        <v>0</v>
      </c>
      <c r="T879" s="6">
        <v>0</v>
      </c>
      <c r="U879" s="6">
        <v>3130.83</v>
      </c>
      <c r="V879" s="6">
        <v>1775.87</v>
      </c>
      <c r="W879" s="6">
        <v>1354.96</v>
      </c>
      <c r="X879" s="6" t="s">
        <v>32</v>
      </c>
    </row>
    <row r="880" spans="1:24" x14ac:dyDescent="0.25">
      <c r="A880" s="5" t="s">
        <v>1369</v>
      </c>
      <c r="B880" s="18">
        <v>45335</v>
      </c>
      <c r="C880" s="7" t="s">
        <v>314</v>
      </c>
      <c r="D880" s="7" t="s">
        <v>163</v>
      </c>
      <c r="E880" s="7" t="s">
        <v>141</v>
      </c>
      <c r="F880" s="7" t="s">
        <v>142</v>
      </c>
      <c r="G880" s="7" t="s">
        <v>25</v>
      </c>
      <c r="H880" s="7" t="s">
        <v>26</v>
      </c>
      <c r="I880" s="7" t="s">
        <v>27</v>
      </c>
      <c r="J880" s="7" t="s">
        <v>106</v>
      </c>
      <c r="K880" s="7" t="s">
        <v>144</v>
      </c>
      <c r="L880" s="7" t="s">
        <v>2669</v>
      </c>
      <c r="M880" s="7" t="s">
        <v>30</v>
      </c>
      <c r="N880" s="7" t="s">
        <v>44</v>
      </c>
      <c r="O880" s="7">
        <v>6</v>
      </c>
      <c r="P880" s="7">
        <v>87.91</v>
      </c>
      <c r="Q880" s="7">
        <v>53.94</v>
      </c>
      <c r="R880" s="7">
        <v>527.47</v>
      </c>
      <c r="S880" s="7">
        <v>0.15</v>
      </c>
      <c r="T880" s="7">
        <v>79.12</v>
      </c>
      <c r="U880" s="7">
        <v>448.35</v>
      </c>
      <c r="V880" s="7">
        <v>323.64999999999998</v>
      </c>
      <c r="W880" s="7">
        <v>124.7</v>
      </c>
      <c r="X880" s="7" t="s">
        <v>45</v>
      </c>
    </row>
    <row r="881" spans="1:24" x14ac:dyDescent="0.25">
      <c r="A881" s="16" t="s">
        <v>1370</v>
      </c>
      <c r="B881" s="17">
        <v>45324</v>
      </c>
      <c r="C881" s="6" t="s">
        <v>422</v>
      </c>
      <c r="D881" s="6" t="s">
        <v>48</v>
      </c>
      <c r="E881" s="6" t="s">
        <v>99</v>
      </c>
      <c r="F881" s="6" t="s">
        <v>100</v>
      </c>
      <c r="G881" s="6" t="s">
        <v>101</v>
      </c>
      <c r="H881" s="6" t="s">
        <v>102</v>
      </c>
      <c r="I881" s="6" t="s">
        <v>27</v>
      </c>
      <c r="J881" s="6" t="s">
        <v>189</v>
      </c>
      <c r="K881" s="6" t="s">
        <v>111</v>
      </c>
      <c r="L881" s="6" t="s">
        <v>2667</v>
      </c>
      <c r="M881" s="6" t="s">
        <v>153</v>
      </c>
      <c r="N881" s="6" t="s">
        <v>70</v>
      </c>
      <c r="O881" s="6">
        <v>52</v>
      </c>
      <c r="P881" s="6">
        <v>69.63</v>
      </c>
      <c r="Q881" s="6">
        <v>40.880000000000003</v>
      </c>
      <c r="R881" s="6">
        <v>3620.6</v>
      </c>
      <c r="S881" s="6">
        <v>0.02</v>
      </c>
      <c r="T881" s="6">
        <v>72.41</v>
      </c>
      <c r="U881" s="6">
        <v>3548.19</v>
      </c>
      <c r="V881" s="6">
        <v>2125.9</v>
      </c>
      <c r="W881" s="6">
        <v>1422.29</v>
      </c>
      <c r="X881" s="6" t="s">
        <v>45</v>
      </c>
    </row>
    <row r="882" spans="1:24" x14ac:dyDescent="0.25">
      <c r="A882" s="5" t="s">
        <v>1371</v>
      </c>
      <c r="B882" s="18">
        <v>45529</v>
      </c>
      <c r="C882" s="7" t="s">
        <v>992</v>
      </c>
      <c r="D882" s="7" t="s">
        <v>105</v>
      </c>
      <c r="E882" s="7" t="s">
        <v>150</v>
      </c>
      <c r="F882" s="7" t="s">
        <v>151</v>
      </c>
      <c r="G882" s="7" t="s">
        <v>101</v>
      </c>
      <c r="H882" s="7" t="s">
        <v>134</v>
      </c>
      <c r="I882" s="7" t="s">
        <v>58</v>
      </c>
      <c r="J882" s="7" t="s">
        <v>73</v>
      </c>
      <c r="K882" s="7" t="s">
        <v>178</v>
      </c>
      <c r="L882" s="7" t="s">
        <v>256</v>
      </c>
      <c r="M882" s="7" t="s">
        <v>30</v>
      </c>
      <c r="N882" s="7" t="s">
        <v>70</v>
      </c>
      <c r="O882" s="7">
        <v>40</v>
      </c>
      <c r="P882" s="7">
        <v>80.569999999999993</v>
      </c>
      <c r="Q882" s="7">
        <v>47.72</v>
      </c>
      <c r="R882" s="7">
        <v>3222.72</v>
      </c>
      <c r="S882" s="7">
        <v>0.1</v>
      </c>
      <c r="T882" s="7">
        <v>322.27</v>
      </c>
      <c r="U882" s="7">
        <v>2900.44</v>
      </c>
      <c r="V882" s="7">
        <v>1908.92</v>
      </c>
      <c r="W882" s="7">
        <v>991.53</v>
      </c>
      <c r="X882" s="7" t="s">
        <v>45</v>
      </c>
    </row>
    <row r="883" spans="1:24" x14ac:dyDescent="0.25">
      <c r="A883" s="16" t="s">
        <v>1372</v>
      </c>
      <c r="B883" s="17">
        <v>45625</v>
      </c>
      <c r="C883" s="6" t="s">
        <v>495</v>
      </c>
      <c r="D883" s="6" t="s">
        <v>125</v>
      </c>
      <c r="E883" s="6" t="s">
        <v>23</v>
      </c>
      <c r="F883" s="6" t="s">
        <v>24</v>
      </c>
      <c r="G883" s="6" t="s">
        <v>25</v>
      </c>
      <c r="H883" s="6" t="s">
        <v>26</v>
      </c>
      <c r="I883" s="6" t="s">
        <v>27</v>
      </c>
      <c r="J883" s="6" t="s">
        <v>883</v>
      </c>
      <c r="K883" s="6" t="s">
        <v>248</v>
      </c>
      <c r="L883" s="6" t="s">
        <v>2675</v>
      </c>
      <c r="M883" s="6" t="s">
        <v>61</v>
      </c>
      <c r="N883" s="6" t="s">
        <v>31</v>
      </c>
      <c r="O883" s="6">
        <v>54</v>
      </c>
      <c r="P883" s="6">
        <v>73.430000000000007</v>
      </c>
      <c r="Q883" s="6">
        <v>47.05</v>
      </c>
      <c r="R883" s="6">
        <v>3965.29</v>
      </c>
      <c r="S883" s="6">
        <v>0</v>
      </c>
      <c r="T883" s="6">
        <v>0</v>
      </c>
      <c r="U883" s="6">
        <v>3965.29</v>
      </c>
      <c r="V883" s="6">
        <v>2540.58</v>
      </c>
      <c r="W883" s="6">
        <v>1424.71</v>
      </c>
      <c r="X883" s="6" t="s">
        <v>129</v>
      </c>
    </row>
    <row r="884" spans="1:24" x14ac:dyDescent="0.25">
      <c r="A884" s="5" t="s">
        <v>1373</v>
      </c>
      <c r="B884" s="18">
        <v>45567</v>
      </c>
      <c r="C884" s="7" t="s">
        <v>34</v>
      </c>
      <c r="D884" s="7" t="s">
        <v>35</v>
      </c>
      <c r="E884" s="7" t="s">
        <v>216</v>
      </c>
      <c r="F884" s="7" t="s">
        <v>217</v>
      </c>
      <c r="G884" s="7" t="s">
        <v>38</v>
      </c>
      <c r="H884" s="7" t="s">
        <v>134</v>
      </c>
      <c r="I884" s="7" t="s">
        <v>58</v>
      </c>
      <c r="J884" s="7" t="s">
        <v>323</v>
      </c>
      <c r="K884" s="7" t="s">
        <v>69</v>
      </c>
      <c r="L884" s="7" t="s">
        <v>2663</v>
      </c>
      <c r="M884" s="7" t="s">
        <v>30</v>
      </c>
      <c r="N884" s="7" t="s">
        <v>84</v>
      </c>
      <c r="O884" s="7">
        <v>1</v>
      </c>
      <c r="P884" s="7">
        <v>105.35</v>
      </c>
      <c r="Q884" s="7">
        <v>62.43</v>
      </c>
      <c r="R884" s="7">
        <v>105.35</v>
      </c>
      <c r="S884" s="7">
        <v>0.2</v>
      </c>
      <c r="T884" s="7">
        <v>21.07</v>
      </c>
      <c r="U884" s="7">
        <v>84.28</v>
      </c>
      <c r="V884" s="7">
        <v>62.43</v>
      </c>
      <c r="W884" s="7">
        <v>21.86</v>
      </c>
      <c r="X884" s="7" t="s">
        <v>129</v>
      </c>
    </row>
    <row r="885" spans="1:24" x14ac:dyDescent="0.25">
      <c r="A885" s="16" t="s">
        <v>1374</v>
      </c>
      <c r="B885" s="17">
        <v>45645</v>
      </c>
      <c r="C885" s="6" t="s">
        <v>1155</v>
      </c>
      <c r="D885" s="6" t="s">
        <v>87</v>
      </c>
      <c r="E885" s="6" t="s">
        <v>150</v>
      </c>
      <c r="F885" s="6" t="s">
        <v>151</v>
      </c>
      <c r="G885" s="6" t="s">
        <v>101</v>
      </c>
      <c r="H885" s="6" t="s">
        <v>134</v>
      </c>
      <c r="I885" s="6" t="s">
        <v>53</v>
      </c>
      <c r="J885" s="6" t="s">
        <v>54</v>
      </c>
      <c r="K885" s="6" t="s">
        <v>29</v>
      </c>
      <c r="L885" s="6" t="s">
        <v>2660</v>
      </c>
      <c r="M885" s="6" t="s">
        <v>61</v>
      </c>
      <c r="N885" s="6" t="s">
        <v>75</v>
      </c>
      <c r="O885" s="6">
        <v>16</v>
      </c>
      <c r="P885" s="6">
        <v>80.14</v>
      </c>
      <c r="Q885" s="6">
        <v>53.13</v>
      </c>
      <c r="R885" s="6">
        <v>1282.31</v>
      </c>
      <c r="S885" s="6">
        <v>0.2</v>
      </c>
      <c r="T885" s="6">
        <v>256.45999999999998</v>
      </c>
      <c r="U885" s="6">
        <v>1025.8499999999999</v>
      </c>
      <c r="V885" s="6">
        <v>850.14</v>
      </c>
      <c r="W885" s="6">
        <v>175.71</v>
      </c>
      <c r="X885" s="6" t="s">
        <v>45</v>
      </c>
    </row>
    <row r="886" spans="1:24" x14ac:dyDescent="0.25">
      <c r="A886" s="5" t="s">
        <v>1375</v>
      </c>
      <c r="B886" s="18">
        <v>45482</v>
      </c>
      <c r="C886" s="7" t="s">
        <v>430</v>
      </c>
      <c r="D886" s="7" t="s">
        <v>156</v>
      </c>
      <c r="E886" s="7" t="s">
        <v>93</v>
      </c>
      <c r="F886" s="7" t="s">
        <v>94</v>
      </c>
      <c r="G886" s="7" t="s">
        <v>95</v>
      </c>
      <c r="H886" s="7" t="s">
        <v>96</v>
      </c>
      <c r="I886" s="7" t="s">
        <v>27</v>
      </c>
      <c r="J886" s="7" t="s">
        <v>28</v>
      </c>
      <c r="K886" s="7" t="s">
        <v>74</v>
      </c>
      <c r="L886" s="7" t="s">
        <v>2664</v>
      </c>
      <c r="M886" s="7" t="s">
        <v>43</v>
      </c>
      <c r="N886" s="7" t="s">
        <v>31</v>
      </c>
      <c r="O886" s="7">
        <v>25</v>
      </c>
      <c r="P886" s="7">
        <v>58.86</v>
      </c>
      <c r="Q886" s="7">
        <v>30.37</v>
      </c>
      <c r="R886" s="7">
        <v>1471.48</v>
      </c>
      <c r="S886" s="7">
        <v>0</v>
      </c>
      <c r="T886" s="7">
        <v>0</v>
      </c>
      <c r="U886" s="7">
        <v>1471.48</v>
      </c>
      <c r="V886" s="7">
        <v>759.19</v>
      </c>
      <c r="W886" s="7">
        <v>712.29</v>
      </c>
      <c r="X886" s="7" t="s">
        <v>45</v>
      </c>
    </row>
    <row r="887" spans="1:24" x14ac:dyDescent="0.25">
      <c r="A887" s="16" t="s">
        <v>1376</v>
      </c>
      <c r="B887" s="17">
        <v>45649</v>
      </c>
      <c r="C887" s="6" t="s">
        <v>312</v>
      </c>
      <c r="D887" s="6" t="s">
        <v>57</v>
      </c>
      <c r="E887" s="6" t="s">
        <v>187</v>
      </c>
      <c r="F887" s="6" t="s">
        <v>188</v>
      </c>
      <c r="G887" s="6" t="s">
        <v>25</v>
      </c>
      <c r="H887" s="6" t="s">
        <v>26</v>
      </c>
      <c r="I887" s="6" t="s">
        <v>53</v>
      </c>
      <c r="J887" s="6" t="s">
        <v>122</v>
      </c>
      <c r="K887" s="6" t="s">
        <v>111</v>
      </c>
      <c r="L887" s="6" t="s">
        <v>2667</v>
      </c>
      <c r="M887" s="6" t="s">
        <v>61</v>
      </c>
      <c r="N887" s="6" t="s">
        <v>70</v>
      </c>
      <c r="O887" s="6">
        <v>14</v>
      </c>
      <c r="P887" s="6">
        <v>48.76</v>
      </c>
      <c r="Q887" s="6">
        <v>27.21</v>
      </c>
      <c r="R887" s="6">
        <v>682.64</v>
      </c>
      <c r="S887" s="6">
        <v>0.1</v>
      </c>
      <c r="T887" s="6">
        <v>68.260000000000005</v>
      </c>
      <c r="U887" s="6">
        <v>582.01</v>
      </c>
      <c r="V887" s="6">
        <v>380.99</v>
      </c>
      <c r="W887" s="6">
        <v>233.39</v>
      </c>
      <c r="X887" s="6" t="s">
        <v>45</v>
      </c>
    </row>
    <row r="888" spans="1:24" x14ac:dyDescent="0.25">
      <c r="A888" s="5" t="s">
        <v>1377</v>
      </c>
      <c r="B888" s="18">
        <v>45511</v>
      </c>
      <c r="C888" s="7" t="s">
        <v>267</v>
      </c>
      <c r="D888" s="7" t="s">
        <v>65</v>
      </c>
      <c r="E888" s="7" t="s">
        <v>109</v>
      </c>
      <c r="F888" s="7" t="s">
        <v>110</v>
      </c>
      <c r="G888" s="7" t="s">
        <v>80</v>
      </c>
      <c r="H888" s="7" t="s">
        <v>81</v>
      </c>
      <c r="I888" s="7" t="s">
        <v>40</v>
      </c>
      <c r="J888" s="7" t="s">
        <v>82</v>
      </c>
      <c r="K888" s="7" t="s">
        <v>261</v>
      </c>
      <c r="L888" s="7" t="s">
        <v>2677</v>
      </c>
      <c r="M888" s="7" t="s">
        <v>43</v>
      </c>
      <c r="N888" s="7" t="s">
        <v>75</v>
      </c>
      <c r="O888" s="7">
        <v>16</v>
      </c>
      <c r="P888" s="7">
        <v>126.72</v>
      </c>
      <c r="Q888" s="7">
        <v>75.48</v>
      </c>
      <c r="R888" s="7">
        <v>2027.48</v>
      </c>
      <c r="S888" s="7">
        <v>0</v>
      </c>
      <c r="T888" s="7">
        <v>0</v>
      </c>
      <c r="U888" s="7">
        <v>2027.48</v>
      </c>
      <c r="V888" s="7">
        <v>1207.6400000000001</v>
      </c>
      <c r="W888" s="7">
        <v>819.84</v>
      </c>
      <c r="X888" s="7" t="s">
        <v>45</v>
      </c>
    </row>
    <row r="889" spans="1:24" x14ac:dyDescent="0.25">
      <c r="A889" s="16" t="s">
        <v>1378</v>
      </c>
      <c r="B889" s="17">
        <v>45301</v>
      </c>
      <c r="C889" s="6" t="s">
        <v>924</v>
      </c>
      <c r="D889" s="6" t="s">
        <v>48</v>
      </c>
      <c r="E889" s="6" t="s">
        <v>132</v>
      </c>
      <c r="F889" s="6" t="s">
        <v>133</v>
      </c>
      <c r="G889" s="6" t="s">
        <v>51</v>
      </c>
      <c r="H889" s="6" t="s">
        <v>134</v>
      </c>
      <c r="I889" s="6" t="s">
        <v>27</v>
      </c>
      <c r="J889" s="6" t="s">
        <v>189</v>
      </c>
      <c r="K889" s="6" t="s">
        <v>253</v>
      </c>
      <c r="L889" s="6" t="s">
        <v>2676</v>
      </c>
      <c r="M889" s="6" t="s">
        <v>30</v>
      </c>
      <c r="N889" s="6" t="s">
        <v>70</v>
      </c>
      <c r="O889" s="6">
        <v>33</v>
      </c>
      <c r="P889" s="6">
        <v>59.13</v>
      </c>
      <c r="Q889" s="6">
        <v>32.22</v>
      </c>
      <c r="R889" s="6">
        <v>1951.16</v>
      </c>
      <c r="S889" s="6">
        <v>0.02</v>
      </c>
      <c r="T889" s="6">
        <v>39.020000000000003</v>
      </c>
      <c r="U889" s="6">
        <v>1912.13</v>
      </c>
      <c r="V889" s="6">
        <v>1063.3499999999999</v>
      </c>
      <c r="W889" s="6">
        <v>848.78</v>
      </c>
      <c r="X889" s="6" t="s">
        <v>45</v>
      </c>
    </row>
    <row r="890" spans="1:24" x14ac:dyDescent="0.25">
      <c r="A890" s="5" t="s">
        <v>1379</v>
      </c>
      <c r="B890" s="18">
        <v>45359</v>
      </c>
      <c r="C890" s="7" t="s">
        <v>1380</v>
      </c>
      <c r="D890" s="7" t="s">
        <v>121</v>
      </c>
      <c r="E890" s="7" t="s">
        <v>187</v>
      </c>
      <c r="F890" s="7" t="s">
        <v>188</v>
      </c>
      <c r="G890" s="7" t="s">
        <v>25</v>
      </c>
      <c r="H890" s="7" t="s">
        <v>26</v>
      </c>
      <c r="I890" s="7" t="s">
        <v>58</v>
      </c>
      <c r="J890" s="7" t="s">
        <v>59</v>
      </c>
      <c r="K890" s="7" t="s">
        <v>218</v>
      </c>
      <c r="L890" s="7" t="s">
        <v>2674</v>
      </c>
      <c r="M890" s="7" t="s">
        <v>153</v>
      </c>
      <c r="N890" s="7" t="s">
        <v>31</v>
      </c>
      <c r="O890" s="7">
        <v>14</v>
      </c>
      <c r="P890" s="7">
        <v>50.35</v>
      </c>
      <c r="Q890" s="7">
        <v>28.2</v>
      </c>
      <c r="R890" s="7">
        <v>704.87</v>
      </c>
      <c r="S890" s="7">
        <v>0.15</v>
      </c>
      <c r="T890" s="7">
        <v>105.73</v>
      </c>
      <c r="U890" s="7">
        <v>599.14</v>
      </c>
      <c r="V890" s="7">
        <v>394.84</v>
      </c>
      <c r="W890" s="7">
        <v>204.3</v>
      </c>
      <c r="X890" s="7" t="s">
        <v>45</v>
      </c>
    </row>
    <row r="891" spans="1:24" x14ac:dyDescent="0.25">
      <c r="A891" s="16" t="s">
        <v>1381</v>
      </c>
      <c r="B891" s="17">
        <v>45456</v>
      </c>
      <c r="C891" s="6" t="s">
        <v>389</v>
      </c>
      <c r="D891" s="6" t="s">
        <v>264</v>
      </c>
      <c r="E891" s="6" t="s">
        <v>222</v>
      </c>
      <c r="F891" s="6" t="s">
        <v>223</v>
      </c>
      <c r="G891" s="6" t="s">
        <v>101</v>
      </c>
      <c r="H891" s="6" t="s">
        <v>68</v>
      </c>
      <c r="I891" s="6" t="s">
        <v>88</v>
      </c>
      <c r="J891" s="6" t="s">
        <v>89</v>
      </c>
      <c r="K891" s="6" t="s">
        <v>42</v>
      </c>
      <c r="L891" s="6" t="s">
        <v>2661</v>
      </c>
      <c r="M891" s="6" t="s">
        <v>153</v>
      </c>
      <c r="N891" s="6" t="s">
        <v>44</v>
      </c>
      <c r="O891" s="6">
        <v>30</v>
      </c>
      <c r="P891" s="6">
        <v>129.08000000000001</v>
      </c>
      <c r="Q891" s="6">
        <v>74.58</v>
      </c>
      <c r="R891" s="6">
        <v>3872.49</v>
      </c>
      <c r="S891" s="6">
        <v>0.02</v>
      </c>
      <c r="T891" s="6">
        <v>77.45</v>
      </c>
      <c r="U891" s="6">
        <v>3795.04</v>
      </c>
      <c r="V891" s="6">
        <v>2237.46</v>
      </c>
      <c r="W891" s="6">
        <v>1557.58</v>
      </c>
      <c r="X891" s="6" t="s">
        <v>45</v>
      </c>
    </row>
    <row r="892" spans="1:24" x14ac:dyDescent="0.25">
      <c r="A892" s="5" t="s">
        <v>1382</v>
      </c>
      <c r="B892" s="18">
        <v>45598</v>
      </c>
      <c r="C892" s="7" t="s">
        <v>180</v>
      </c>
      <c r="D892" s="7" t="s">
        <v>163</v>
      </c>
      <c r="E892" s="7" t="s">
        <v>23</v>
      </c>
      <c r="F892" s="7" t="s">
        <v>24</v>
      </c>
      <c r="G892" s="7" t="s">
        <v>25</v>
      </c>
      <c r="H892" s="7" t="s">
        <v>26</v>
      </c>
      <c r="I892" s="7" t="s">
        <v>88</v>
      </c>
      <c r="J892" s="7" t="s">
        <v>173</v>
      </c>
      <c r="K892" s="7" t="s">
        <v>90</v>
      </c>
      <c r="L892" s="7" t="s">
        <v>2666</v>
      </c>
      <c r="M892" s="7" t="s">
        <v>153</v>
      </c>
      <c r="N892" s="7" t="s">
        <v>44</v>
      </c>
      <c r="O892" s="7">
        <v>41</v>
      </c>
      <c r="P892" s="7">
        <v>71.13</v>
      </c>
      <c r="Q892" s="7">
        <v>44.32</v>
      </c>
      <c r="R892" s="7">
        <v>2916.29</v>
      </c>
      <c r="S892" s="7">
        <v>0.05</v>
      </c>
      <c r="T892" s="7">
        <v>145.81</v>
      </c>
      <c r="U892" s="7">
        <v>2770.48</v>
      </c>
      <c r="V892" s="7">
        <v>1817</v>
      </c>
      <c r="W892" s="7">
        <v>953.48</v>
      </c>
      <c r="X892" s="7" t="s">
        <v>45</v>
      </c>
    </row>
    <row r="893" spans="1:24" x14ac:dyDescent="0.25">
      <c r="A893" s="16" t="s">
        <v>1383</v>
      </c>
      <c r="B893" s="17">
        <v>45595</v>
      </c>
      <c r="C893" s="6" t="s">
        <v>1071</v>
      </c>
      <c r="D893" s="6" t="s">
        <v>105</v>
      </c>
      <c r="E893" s="6" t="s">
        <v>209</v>
      </c>
      <c r="F893" s="6" t="s">
        <v>210</v>
      </c>
      <c r="G893" s="6" t="s">
        <v>51</v>
      </c>
      <c r="H893" s="6" t="s">
        <v>116</v>
      </c>
      <c r="I893" s="6" t="s">
        <v>40</v>
      </c>
      <c r="J893" s="6" t="s">
        <v>117</v>
      </c>
      <c r="K893" s="6" t="s">
        <v>74</v>
      </c>
      <c r="L893" s="6" t="s">
        <v>2664</v>
      </c>
      <c r="M893" s="6" t="s">
        <v>153</v>
      </c>
      <c r="N893" s="6" t="s">
        <v>84</v>
      </c>
      <c r="O893" s="6">
        <v>25</v>
      </c>
      <c r="P893" s="6">
        <v>18.41</v>
      </c>
      <c r="Q893" s="6">
        <v>10.52</v>
      </c>
      <c r="R893" s="6">
        <v>460.15</v>
      </c>
      <c r="S893" s="6">
        <v>0.15</v>
      </c>
      <c r="T893" s="6">
        <v>69.02</v>
      </c>
      <c r="U893" s="6">
        <v>391.13</v>
      </c>
      <c r="V893" s="6">
        <v>262.89999999999998</v>
      </c>
      <c r="W893" s="6">
        <v>128.22999999999999</v>
      </c>
      <c r="X893" s="6" t="s">
        <v>45</v>
      </c>
    </row>
    <row r="894" spans="1:24" x14ac:dyDescent="0.25">
      <c r="A894" s="5" t="s">
        <v>1384</v>
      </c>
      <c r="B894" s="18">
        <v>45458</v>
      </c>
      <c r="C894" s="7" t="s">
        <v>493</v>
      </c>
      <c r="D894" s="7" t="s">
        <v>121</v>
      </c>
      <c r="E894" s="7" t="s">
        <v>49</v>
      </c>
      <c r="F894" s="7" t="s">
        <v>50</v>
      </c>
      <c r="G894" s="7" t="s">
        <v>51</v>
      </c>
      <c r="H894" s="7" t="s">
        <v>52</v>
      </c>
      <c r="I894" s="7" t="s">
        <v>58</v>
      </c>
      <c r="J894" s="7" t="s">
        <v>73</v>
      </c>
      <c r="K894" s="7" t="s">
        <v>253</v>
      </c>
      <c r="L894" s="7" t="s">
        <v>2676</v>
      </c>
      <c r="M894" s="7" t="s">
        <v>61</v>
      </c>
      <c r="N894" s="7" t="s">
        <v>84</v>
      </c>
      <c r="O894" s="7">
        <v>16</v>
      </c>
      <c r="P894" s="7">
        <v>25.4</v>
      </c>
      <c r="Q894" s="7">
        <v>12.57</v>
      </c>
      <c r="R894" s="7">
        <v>406.4</v>
      </c>
      <c r="S894" s="7">
        <v>0.2</v>
      </c>
      <c r="T894" s="7">
        <v>81.28</v>
      </c>
      <c r="U894" s="7">
        <v>325.12</v>
      </c>
      <c r="V894" s="7">
        <v>201.07</v>
      </c>
      <c r="W894" s="7">
        <v>124.05</v>
      </c>
      <c r="X894" s="7" t="s">
        <v>45</v>
      </c>
    </row>
    <row r="895" spans="1:24" x14ac:dyDescent="0.25">
      <c r="A895" s="16" t="s">
        <v>1385</v>
      </c>
      <c r="B895" s="17">
        <v>45654</v>
      </c>
      <c r="C895" s="6" t="s">
        <v>584</v>
      </c>
      <c r="D895" s="6" t="s">
        <v>105</v>
      </c>
      <c r="E895" s="6" t="s">
        <v>165</v>
      </c>
      <c r="F895" s="6" t="s">
        <v>166</v>
      </c>
      <c r="G895" s="6" t="s">
        <v>95</v>
      </c>
      <c r="H895" s="6" t="s">
        <v>167</v>
      </c>
      <c r="I895" s="6" t="s">
        <v>53</v>
      </c>
      <c r="J895" s="6" t="s">
        <v>54</v>
      </c>
      <c r="K895" s="6" t="s">
        <v>74</v>
      </c>
      <c r="L895" s="6" t="s">
        <v>2664</v>
      </c>
      <c r="M895" s="6" t="s">
        <v>43</v>
      </c>
      <c r="N895" s="6" t="s">
        <v>70</v>
      </c>
      <c r="O895" s="6">
        <v>8</v>
      </c>
      <c r="P895" s="6">
        <v>40.19</v>
      </c>
      <c r="Q895" s="6">
        <v>23.48</v>
      </c>
      <c r="R895" s="6">
        <v>321.49</v>
      </c>
      <c r="S895" s="6">
        <v>0.15</v>
      </c>
      <c r="T895" s="6">
        <v>48.22</v>
      </c>
      <c r="U895" s="6">
        <v>273.26</v>
      </c>
      <c r="V895" s="6">
        <v>187.86</v>
      </c>
      <c r="W895" s="6">
        <v>85.4</v>
      </c>
      <c r="X895" s="6" t="s">
        <v>45</v>
      </c>
    </row>
    <row r="896" spans="1:24" x14ac:dyDescent="0.25">
      <c r="A896" s="5" t="s">
        <v>1386</v>
      </c>
      <c r="B896" s="18">
        <v>45505</v>
      </c>
      <c r="C896" s="7" t="s">
        <v>1078</v>
      </c>
      <c r="D896" s="7" t="s">
        <v>48</v>
      </c>
      <c r="E896" s="7" t="s">
        <v>36</v>
      </c>
      <c r="F896" s="7" t="s">
        <v>37</v>
      </c>
      <c r="G896" s="7" t="s">
        <v>38</v>
      </c>
      <c r="H896" s="7" t="s">
        <v>39</v>
      </c>
      <c r="I896" s="7" t="s">
        <v>53</v>
      </c>
      <c r="J896" s="7" t="s">
        <v>232</v>
      </c>
      <c r="K896" s="7" t="s">
        <v>144</v>
      </c>
      <c r="L896" s="7" t="s">
        <v>2669</v>
      </c>
      <c r="M896" s="7" t="s">
        <v>153</v>
      </c>
      <c r="N896" s="7" t="s">
        <v>84</v>
      </c>
      <c r="O896" s="7">
        <v>63</v>
      </c>
      <c r="P896" s="7">
        <v>171.71</v>
      </c>
      <c r="Q896" s="7">
        <v>97.31</v>
      </c>
      <c r="R896" s="7">
        <v>10817.87</v>
      </c>
      <c r="S896" s="7">
        <v>0</v>
      </c>
      <c r="T896" s="7">
        <v>0</v>
      </c>
      <c r="U896" s="7">
        <v>10817.87</v>
      </c>
      <c r="V896" s="7">
        <v>6130.42</v>
      </c>
      <c r="W896" s="7">
        <v>4687.45</v>
      </c>
      <c r="X896" s="7" t="s">
        <v>129</v>
      </c>
    </row>
    <row r="897" spans="1:24" x14ac:dyDescent="0.25">
      <c r="A897" s="16" t="s">
        <v>1387</v>
      </c>
      <c r="B897" s="17">
        <v>45410</v>
      </c>
      <c r="C897" s="6" t="s">
        <v>1112</v>
      </c>
      <c r="D897" s="6"/>
      <c r="E897" s="6" t="s">
        <v>23</v>
      </c>
      <c r="F897" s="6" t="s">
        <v>24</v>
      </c>
      <c r="G897" s="6" t="s">
        <v>25</v>
      </c>
      <c r="H897" s="6" t="s">
        <v>26</v>
      </c>
      <c r="I897" s="6" t="s">
        <v>88</v>
      </c>
      <c r="J897" s="6" t="s">
        <v>173</v>
      </c>
      <c r="K897" s="6" t="s">
        <v>42</v>
      </c>
      <c r="L897" s="6" t="s">
        <v>2661</v>
      </c>
      <c r="M897" s="6" t="s">
        <v>61</v>
      </c>
      <c r="N897" s="6" t="s">
        <v>84</v>
      </c>
      <c r="O897" s="6">
        <v>12</v>
      </c>
      <c r="P897" s="6">
        <v>71.98</v>
      </c>
      <c r="Q897" s="6">
        <v>41.99</v>
      </c>
      <c r="R897" s="6">
        <v>863.77</v>
      </c>
      <c r="S897" s="6">
        <v>0.15</v>
      </c>
      <c r="T897" s="6">
        <v>129.56</v>
      </c>
      <c r="U897" s="6">
        <v>734.2</v>
      </c>
      <c r="V897" s="6">
        <v>503.87</v>
      </c>
      <c r="W897" s="6">
        <v>230.33</v>
      </c>
      <c r="X897" s="6" t="s">
        <v>32</v>
      </c>
    </row>
    <row r="898" spans="1:24" x14ac:dyDescent="0.25">
      <c r="A898" s="5" t="s">
        <v>1388</v>
      </c>
      <c r="B898" s="18">
        <v>45348</v>
      </c>
      <c r="C898" s="7" t="s">
        <v>276</v>
      </c>
      <c r="D898" s="7" t="s">
        <v>221</v>
      </c>
      <c r="E898" s="7" t="s">
        <v>114</v>
      </c>
      <c r="F898" s="7" t="s">
        <v>115</v>
      </c>
      <c r="G898" s="7" t="s">
        <v>95</v>
      </c>
      <c r="H898" s="7" t="s">
        <v>116</v>
      </c>
      <c r="I898" s="7" t="s">
        <v>27</v>
      </c>
      <c r="J898" s="7" t="s">
        <v>106</v>
      </c>
      <c r="K898" s="7" t="s">
        <v>111</v>
      </c>
      <c r="L898" s="7" t="s">
        <v>2667</v>
      </c>
      <c r="M898" s="7" t="s">
        <v>30</v>
      </c>
      <c r="N898" s="7" t="s">
        <v>84</v>
      </c>
      <c r="O898" s="7">
        <v>37</v>
      </c>
      <c r="P898" s="7">
        <v>32.46</v>
      </c>
      <c r="Q898" s="7">
        <v>22.25</v>
      </c>
      <c r="R898" s="7">
        <v>1200.8800000000001</v>
      </c>
      <c r="S898" s="7">
        <v>0</v>
      </c>
      <c r="T898" s="7">
        <v>0</v>
      </c>
      <c r="U898" s="7">
        <v>1200.8800000000001</v>
      </c>
      <c r="V898" s="7">
        <v>823.19</v>
      </c>
      <c r="W898" s="7">
        <v>377.69</v>
      </c>
      <c r="X898" s="7" t="s">
        <v>129</v>
      </c>
    </row>
    <row r="899" spans="1:24" x14ac:dyDescent="0.25">
      <c r="A899" s="16" t="s">
        <v>1389</v>
      </c>
      <c r="B899" s="17">
        <v>45459</v>
      </c>
      <c r="C899" s="6" t="s">
        <v>64</v>
      </c>
      <c r="D899" s="6" t="s">
        <v>65</v>
      </c>
      <c r="E899" s="6" t="s">
        <v>126</v>
      </c>
      <c r="F899" s="6" t="s">
        <v>127</v>
      </c>
      <c r="G899" s="6" t="s">
        <v>95</v>
      </c>
      <c r="H899" s="6" t="s">
        <v>128</v>
      </c>
      <c r="I899" s="6" t="s">
        <v>88</v>
      </c>
      <c r="J899" s="6" t="s">
        <v>89</v>
      </c>
      <c r="K899" s="6" t="s">
        <v>178</v>
      </c>
      <c r="L899" s="6" t="s">
        <v>256</v>
      </c>
      <c r="M899" s="6" t="s">
        <v>153</v>
      </c>
      <c r="N899" s="6" t="s">
        <v>44</v>
      </c>
      <c r="O899" s="6">
        <v>79</v>
      </c>
      <c r="P899" s="6">
        <v>97.06</v>
      </c>
      <c r="Q899" s="6">
        <v>52.26</v>
      </c>
      <c r="R899" s="6">
        <v>7668</v>
      </c>
      <c r="S899" s="6">
        <v>0.05</v>
      </c>
      <c r="T899" s="6">
        <v>383.4</v>
      </c>
      <c r="U899" s="6">
        <v>7284.6</v>
      </c>
      <c r="V899" s="6">
        <v>4128.46</v>
      </c>
      <c r="W899" s="6">
        <v>3156.14</v>
      </c>
      <c r="X899" s="6" t="s">
        <v>45</v>
      </c>
    </row>
    <row r="900" spans="1:24" x14ac:dyDescent="0.25">
      <c r="A900" s="5" t="s">
        <v>1390</v>
      </c>
      <c r="B900" s="18">
        <v>45303</v>
      </c>
      <c r="C900" s="7" t="s">
        <v>399</v>
      </c>
      <c r="D900" s="7" t="s">
        <v>48</v>
      </c>
      <c r="E900" s="7" t="s">
        <v>150</v>
      </c>
      <c r="F900" s="7" t="s">
        <v>151</v>
      </c>
      <c r="G900" s="7" t="s">
        <v>101</v>
      </c>
      <c r="H900" s="7" t="s">
        <v>134</v>
      </c>
      <c r="I900" s="7" t="s">
        <v>58</v>
      </c>
      <c r="J900" s="7" t="s">
        <v>323</v>
      </c>
      <c r="K900" s="7" t="s">
        <v>218</v>
      </c>
      <c r="L900" s="7" t="s">
        <v>2674</v>
      </c>
      <c r="M900" s="7" t="s">
        <v>30</v>
      </c>
      <c r="N900" s="7" t="s">
        <v>84</v>
      </c>
      <c r="O900" s="7">
        <v>11</v>
      </c>
      <c r="P900" s="7">
        <v>82.61</v>
      </c>
      <c r="Q900" s="7">
        <v>49.12</v>
      </c>
      <c r="R900" s="7">
        <v>908.75</v>
      </c>
      <c r="S900" s="7">
        <v>0.1</v>
      </c>
      <c r="T900" s="7">
        <v>90.87</v>
      </c>
      <c r="U900" s="7">
        <v>817.87</v>
      </c>
      <c r="V900" s="7">
        <v>540.30999999999995</v>
      </c>
      <c r="W900" s="7">
        <v>277.56</v>
      </c>
      <c r="X900" s="7" t="s">
        <v>45</v>
      </c>
    </row>
    <row r="901" spans="1:24" x14ac:dyDescent="0.25">
      <c r="A901" s="16" t="s">
        <v>1391</v>
      </c>
      <c r="B901" s="17">
        <v>45416</v>
      </c>
      <c r="C901" s="6" t="s">
        <v>293</v>
      </c>
      <c r="D901" s="6" t="s">
        <v>65</v>
      </c>
      <c r="E901" s="6" t="s">
        <v>49</v>
      </c>
      <c r="F901" s="6" t="s">
        <v>50</v>
      </c>
      <c r="G901" s="6" t="s">
        <v>51</v>
      </c>
      <c r="H901" s="6" t="s">
        <v>52</v>
      </c>
      <c r="I901" s="6" t="s">
        <v>53</v>
      </c>
      <c r="J901" s="6" t="s">
        <v>122</v>
      </c>
      <c r="K901" s="6" t="s">
        <v>152</v>
      </c>
      <c r="L901" s="6" t="s">
        <v>2670</v>
      </c>
      <c r="M901" s="6" t="s">
        <v>153</v>
      </c>
      <c r="N901" s="6" t="s">
        <v>31</v>
      </c>
      <c r="O901" s="6">
        <v>33</v>
      </c>
      <c r="P901" s="6">
        <v>26.92</v>
      </c>
      <c r="Q901" s="6">
        <v>12.81</v>
      </c>
      <c r="R901" s="6">
        <v>888.46</v>
      </c>
      <c r="S901" s="6">
        <v>0.2</v>
      </c>
      <c r="T901" s="6">
        <v>177.69</v>
      </c>
      <c r="U901" s="6">
        <v>710.77</v>
      </c>
      <c r="V901" s="6">
        <v>422.66</v>
      </c>
      <c r="W901" s="6">
        <v>288.11</v>
      </c>
      <c r="X901" s="6" t="s">
        <v>129</v>
      </c>
    </row>
    <row r="902" spans="1:24" x14ac:dyDescent="0.25">
      <c r="A902" s="5" t="s">
        <v>1392</v>
      </c>
      <c r="B902" s="18">
        <v>45579</v>
      </c>
      <c r="C902" s="7" t="s">
        <v>1265</v>
      </c>
      <c r="D902" s="7" t="s">
        <v>48</v>
      </c>
      <c r="E902" s="7" t="s">
        <v>141</v>
      </c>
      <c r="F902" s="7" t="s">
        <v>142</v>
      </c>
      <c r="G902" s="7" t="s">
        <v>25</v>
      </c>
      <c r="H902" s="7" t="s">
        <v>26</v>
      </c>
      <c r="I902" s="7" t="s">
        <v>452</v>
      </c>
      <c r="J902" s="7" t="s">
        <v>106</v>
      </c>
      <c r="K902" s="7" t="s">
        <v>111</v>
      </c>
      <c r="L902" s="7" t="s">
        <v>2667</v>
      </c>
      <c r="M902" s="7" t="s">
        <v>153</v>
      </c>
      <c r="N902" s="7" t="s">
        <v>31</v>
      </c>
      <c r="O902" s="7">
        <v>62</v>
      </c>
      <c r="P902" s="7">
        <v>99.6</v>
      </c>
      <c r="Q902" s="7">
        <v>53.4</v>
      </c>
      <c r="R902" s="7">
        <v>6175.41</v>
      </c>
      <c r="S902" s="7">
        <v>0.15</v>
      </c>
      <c r="T902" s="7">
        <v>926.31</v>
      </c>
      <c r="U902" s="7">
        <v>5249.1</v>
      </c>
      <c r="V902" s="7">
        <v>3310.99</v>
      </c>
      <c r="W902" s="7">
        <v>1938.11</v>
      </c>
      <c r="X902" s="7" t="s">
        <v>45</v>
      </c>
    </row>
    <row r="903" spans="1:24" x14ac:dyDescent="0.25">
      <c r="A903" s="16" t="s">
        <v>1393</v>
      </c>
      <c r="B903" s="17">
        <v>45624</v>
      </c>
      <c r="C903" s="6" t="s">
        <v>1394</v>
      </c>
      <c r="D903" s="6" t="s">
        <v>156</v>
      </c>
      <c r="E903" s="6" t="s">
        <v>141</v>
      </c>
      <c r="F903" s="6" t="s">
        <v>142</v>
      </c>
      <c r="G903" s="6" t="s">
        <v>25</v>
      </c>
      <c r="H903" s="6" t="s">
        <v>26</v>
      </c>
      <c r="I903" s="6" t="s">
        <v>40</v>
      </c>
      <c r="J903" s="6" t="s">
        <v>82</v>
      </c>
      <c r="K903" s="6" t="s">
        <v>253</v>
      </c>
      <c r="L903" s="6" t="s">
        <v>2676</v>
      </c>
      <c r="M903" s="6" t="s">
        <v>30</v>
      </c>
      <c r="N903" s="6" t="s">
        <v>84</v>
      </c>
      <c r="O903" s="6">
        <v>11</v>
      </c>
      <c r="P903" s="6">
        <v>101.09</v>
      </c>
      <c r="Q903" s="6">
        <v>59.24</v>
      </c>
      <c r="R903" s="6">
        <v>1111.95</v>
      </c>
      <c r="S903" s="6">
        <v>0.05</v>
      </c>
      <c r="T903" s="6">
        <v>55.6</v>
      </c>
      <c r="U903" s="6">
        <v>1056.3499999999999</v>
      </c>
      <c r="V903" s="6">
        <v>651.59</v>
      </c>
      <c r="W903" s="6">
        <v>404.77</v>
      </c>
      <c r="X903" s="6" t="s">
        <v>129</v>
      </c>
    </row>
    <row r="904" spans="1:24" x14ac:dyDescent="0.25">
      <c r="A904" s="5" t="s">
        <v>1395</v>
      </c>
      <c r="B904" s="18">
        <v>45495</v>
      </c>
      <c r="C904" s="7" t="s">
        <v>182</v>
      </c>
      <c r="D904" s="7"/>
      <c r="E904" s="7" t="s">
        <v>36</v>
      </c>
      <c r="F904" s="7" t="s">
        <v>37</v>
      </c>
      <c r="G904" s="7" t="s">
        <v>38</v>
      </c>
      <c r="H904" s="7" t="s">
        <v>39</v>
      </c>
      <c r="I904" s="7" t="s">
        <v>40</v>
      </c>
      <c r="J904" s="7" t="s">
        <v>117</v>
      </c>
      <c r="K904" s="7" t="s">
        <v>195</v>
      </c>
      <c r="L904" s="7" t="s">
        <v>2673</v>
      </c>
      <c r="M904" s="7" t="s">
        <v>61</v>
      </c>
      <c r="N904" s="7" t="s">
        <v>44</v>
      </c>
      <c r="O904" s="7">
        <v>47</v>
      </c>
      <c r="P904" s="7">
        <v>157.9</v>
      </c>
      <c r="Q904" s="7">
        <v>101.72</v>
      </c>
      <c r="R904" s="7">
        <v>7421.32</v>
      </c>
      <c r="S904" s="7">
        <v>0.15</v>
      </c>
      <c r="T904" s="7">
        <v>1113.2</v>
      </c>
      <c r="U904" s="7">
        <v>6308.12</v>
      </c>
      <c r="V904" s="7">
        <v>4780.97</v>
      </c>
      <c r="W904" s="7">
        <v>1527.15</v>
      </c>
      <c r="X904" s="7" t="s">
        <v>45</v>
      </c>
    </row>
    <row r="905" spans="1:24" x14ac:dyDescent="0.25">
      <c r="A905" s="16" t="s">
        <v>1396</v>
      </c>
      <c r="B905" s="17">
        <v>45581</v>
      </c>
      <c r="C905" s="6" t="s">
        <v>811</v>
      </c>
      <c r="D905" s="6" t="s">
        <v>359</v>
      </c>
      <c r="E905" s="6" t="s">
        <v>93</v>
      </c>
      <c r="F905" s="6" t="s">
        <v>94</v>
      </c>
      <c r="G905" s="6" t="s">
        <v>95</v>
      </c>
      <c r="H905" s="6" t="s">
        <v>96</v>
      </c>
      <c r="I905" s="6" t="s">
        <v>58</v>
      </c>
      <c r="J905" s="6" t="s">
        <v>345</v>
      </c>
      <c r="K905" s="6" t="s">
        <v>178</v>
      </c>
      <c r="L905" s="6" t="s">
        <v>256</v>
      </c>
      <c r="M905" s="6" t="s">
        <v>30</v>
      </c>
      <c r="N905" s="6" t="s">
        <v>44</v>
      </c>
      <c r="O905" s="6">
        <v>8</v>
      </c>
      <c r="P905" s="6">
        <v>53.23</v>
      </c>
      <c r="Q905" s="6">
        <v>34.26</v>
      </c>
      <c r="R905" s="6">
        <v>425.83</v>
      </c>
      <c r="S905" s="6">
        <v>0.2</v>
      </c>
      <c r="T905" s="6">
        <v>85.17</v>
      </c>
      <c r="U905" s="6">
        <v>340.66</v>
      </c>
      <c r="V905" s="6">
        <v>274.05</v>
      </c>
      <c r="W905" s="6">
        <v>66.61</v>
      </c>
      <c r="X905" s="6" t="s">
        <v>32</v>
      </c>
    </row>
    <row r="906" spans="1:24" x14ac:dyDescent="0.25">
      <c r="A906" s="5" t="s">
        <v>1397</v>
      </c>
      <c r="B906" s="18">
        <v>45549</v>
      </c>
      <c r="C906" s="7" t="s">
        <v>282</v>
      </c>
      <c r="D906" s="7" t="s">
        <v>125</v>
      </c>
      <c r="E906" s="7" t="s">
        <v>49</v>
      </c>
      <c r="F906" s="7" t="s">
        <v>50</v>
      </c>
      <c r="G906" s="7" t="s">
        <v>51</v>
      </c>
      <c r="H906" s="7" t="s">
        <v>52</v>
      </c>
      <c r="I906" s="7" t="s">
        <v>27</v>
      </c>
      <c r="J906" s="7" t="s">
        <v>211</v>
      </c>
      <c r="K906" s="7" t="s">
        <v>265</v>
      </c>
      <c r="L906" s="7" t="s">
        <v>2678</v>
      </c>
      <c r="M906" s="7" t="s">
        <v>153</v>
      </c>
      <c r="N906" s="7" t="s">
        <v>75</v>
      </c>
      <c r="O906" s="7">
        <v>48</v>
      </c>
      <c r="P906" s="7">
        <v>23.1</v>
      </c>
      <c r="Q906" s="7">
        <v>13.96</v>
      </c>
      <c r="R906" s="7">
        <v>1108.8699999999999</v>
      </c>
      <c r="S906" s="7">
        <v>0.02</v>
      </c>
      <c r="T906" s="7">
        <v>22.18</v>
      </c>
      <c r="U906" s="7">
        <v>1086.69</v>
      </c>
      <c r="V906" s="7">
        <v>670.19</v>
      </c>
      <c r="W906" s="7">
        <v>416.5</v>
      </c>
      <c r="X906" s="7" t="s">
        <v>45</v>
      </c>
    </row>
    <row r="907" spans="1:24" x14ac:dyDescent="0.25">
      <c r="A907" s="16" t="s">
        <v>1398</v>
      </c>
      <c r="B907" s="17">
        <v>45339</v>
      </c>
      <c r="C907" s="6" t="s">
        <v>301</v>
      </c>
      <c r="D907" s="6" t="s">
        <v>259</v>
      </c>
      <c r="E907" s="6" t="s">
        <v>49</v>
      </c>
      <c r="F907" s="6" t="s">
        <v>50</v>
      </c>
      <c r="G907" s="6" t="s">
        <v>51</v>
      </c>
      <c r="H907" s="6" t="s">
        <v>52</v>
      </c>
      <c r="I907" s="6" t="s">
        <v>40</v>
      </c>
      <c r="J907" s="6" t="s">
        <v>82</v>
      </c>
      <c r="K907" s="6" t="s">
        <v>83</v>
      </c>
      <c r="L907" s="6" t="s">
        <v>2665</v>
      </c>
      <c r="M907" s="6" t="s">
        <v>153</v>
      </c>
      <c r="N907" s="6" t="s">
        <v>84</v>
      </c>
      <c r="O907" s="6">
        <v>45</v>
      </c>
      <c r="P907" s="6">
        <v>25.32</v>
      </c>
      <c r="Q907" s="6">
        <v>13.28</v>
      </c>
      <c r="R907" s="6">
        <v>1139.51</v>
      </c>
      <c r="S907" s="6">
        <v>0.02</v>
      </c>
      <c r="T907" s="6">
        <v>22.79</v>
      </c>
      <c r="U907" s="6">
        <v>1116.72</v>
      </c>
      <c r="V907" s="6">
        <v>597.38</v>
      </c>
      <c r="W907" s="6">
        <v>519.34</v>
      </c>
      <c r="X907" s="6" t="s">
        <v>45</v>
      </c>
    </row>
    <row r="908" spans="1:24" x14ac:dyDescent="0.25">
      <c r="A908" s="5" t="s">
        <v>1399</v>
      </c>
      <c r="B908" s="18">
        <v>45511</v>
      </c>
      <c r="C908" s="7" t="s">
        <v>297</v>
      </c>
      <c r="D908" s="7" t="s">
        <v>87</v>
      </c>
      <c r="E908" s="7" t="s">
        <v>187</v>
      </c>
      <c r="F908" s="7" t="s">
        <v>188</v>
      </c>
      <c r="G908" s="7" t="s">
        <v>25</v>
      </c>
      <c r="H908" s="7" t="s">
        <v>26</v>
      </c>
      <c r="I908" s="7" t="s">
        <v>27</v>
      </c>
      <c r="J908" s="7" t="s">
        <v>189</v>
      </c>
      <c r="K908" s="7" t="s">
        <v>69</v>
      </c>
      <c r="L908" s="7" t="s">
        <v>2663</v>
      </c>
      <c r="M908" s="7" t="s">
        <v>153</v>
      </c>
      <c r="N908" s="7" t="s">
        <v>84</v>
      </c>
      <c r="O908" s="7">
        <v>41</v>
      </c>
      <c r="P908" s="7">
        <v>48.86</v>
      </c>
      <c r="Q908" s="7">
        <v>29.83</v>
      </c>
      <c r="R908" s="7">
        <v>2003.1</v>
      </c>
      <c r="S908" s="7">
        <v>0.2</v>
      </c>
      <c r="T908" s="7">
        <v>400.62</v>
      </c>
      <c r="U908" s="7">
        <v>1602.48</v>
      </c>
      <c r="V908" s="7">
        <v>1222.96</v>
      </c>
      <c r="W908" s="7">
        <v>379.52</v>
      </c>
      <c r="X908" s="7" t="s">
        <v>45</v>
      </c>
    </row>
    <row r="909" spans="1:24" x14ac:dyDescent="0.25">
      <c r="A909" s="16" t="s">
        <v>1400</v>
      </c>
      <c r="B909" s="17">
        <v>45387</v>
      </c>
      <c r="C909" s="6" t="s">
        <v>674</v>
      </c>
      <c r="D909" s="6" t="s">
        <v>264</v>
      </c>
      <c r="E909" s="6" t="s">
        <v>141</v>
      </c>
      <c r="F909" s="6" t="s">
        <v>142</v>
      </c>
      <c r="G909" s="6" t="s">
        <v>25</v>
      </c>
      <c r="H909" s="6" t="s">
        <v>26</v>
      </c>
      <c r="I909" s="6" t="s">
        <v>58</v>
      </c>
      <c r="J909" s="6" t="s">
        <v>59</v>
      </c>
      <c r="K909" s="6" t="s">
        <v>261</v>
      </c>
      <c r="L909" s="6" t="s">
        <v>2677</v>
      </c>
      <c r="M909" s="6" t="s">
        <v>30</v>
      </c>
      <c r="N909" s="6" t="s">
        <v>44</v>
      </c>
      <c r="O909" s="6">
        <v>71</v>
      </c>
      <c r="P909" s="6">
        <v>93.77</v>
      </c>
      <c r="Q909" s="6">
        <v>56.92</v>
      </c>
      <c r="R909" s="6">
        <v>6657.34</v>
      </c>
      <c r="S909" s="6">
        <v>0.05</v>
      </c>
      <c r="T909" s="6">
        <v>332.87</v>
      </c>
      <c r="U909" s="6">
        <v>6324.47</v>
      </c>
      <c r="V909" s="6">
        <v>4041</v>
      </c>
      <c r="W909" s="6">
        <v>2283.4699999999998</v>
      </c>
      <c r="X909" s="6" t="s">
        <v>45</v>
      </c>
    </row>
    <row r="910" spans="1:24" x14ac:dyDescent="0.25">
      <c r="A910" s="5" t="s">
        <v>1401</v>
      </c>
      <c r="B910" s="18">
        <v>45384</v>
      </c>
      <c r="C910" s="7" t="s">
        <v>339</v>
      </c>
      <c r="D910" s="7" t="s">
        <v>221</v>
      </c>
      <c r="E910" s="7" t="s">
        <v>78</v>
      </c>
      <c r="F910" s="7" t="s">
        <v>79</v>
      </c>
      <c r="G910" s="7" t="s">
        <v>80</v>
      </c>
      <c r="H910" s="7" t="s">
        <v>81</v>
      </c>
      <c r="I910" s="7" t="s">
        <v>40</v>
      </c>
      <c r="J910" s="7" t="s">
        <v>82</v>
      </c>
      <c r="K910" s="7" t="s">
        <v>42</v>
      </c>
      <c r="L910" s="7" t="s">
        <v>2661</v>
      </c>
      <c r="M910" s="7" t="s">
        <v>30</v>
      </c>
      <c r="N910" s="7" t="s">
        <v>31</v>
      </c>
      <c r="O910" s="7">
        <v>47</v>
      </c>
      <c r="P910" s="7">
        <v>129.93</v>
      </c>
      <c r="Q910" s="7">
        <v>76.13</v>
      </c>
      <c r="R910" s="7">
        <v>6106.61</v>
      </c>
      <c r="S910" s="7">
        <v>0.1</v>
      </c>
      <c r="T910" s="7">
        <v>610.66</v>
      </c>
      <c r="U910" s="7">
        <v>5495.95</v>
      </c>
      <c r="V910" s="7">
        <v>3578.22</v>
      </c>
      <c r="W910" s="7">
        <v>1917.73</v>
      </c>
      <c r="X910" s="7" t="s">
        <v>45</v>
      </c>
    </row>
    <row r="911" spans="1:24" x14ac:dyDescent="0.25">
      <c r="A911" s="16" t="s">
        <v>1402</v>
      </c>
      <c r="B911" s="17">
        <v>45481</v>
      </c>
      <c r="C911" s="6" t="s">
        <v>524</v>
      </c>
      <c r="D911" s="6" t="s">
        <v>125</v>
      </c>
      <c r="E911" s="6" t="s">
        <v>93</v>
      </c>
      <c r="F911" s="6" t="s">
        <v>94</v>
      </c>
      <c r="G911" s="6" t="s">
        <v>95</v>
      </c>
      <c r="H911" s="6" t="s">
        <v>96</v>
      </c>
      <c r="I911" s="6" t="s">
        <v>53</v>
      </c>
      <c r="J911" s="6" t="s">
        <v>54</v>
      </c>
      <c r="K911" s="6" t="s">
        <v>118</v>
      </c>
      <c r="L911" s="6" t="s">
        <v>2668</v>
      </c>
      <c r="M911" s="6" t="s">
        <v>153</v>
      </c>
      <c r="N911" s="6" t="s">
        <v>84</v>
      </c>
      <c r="O911" s="6">
        <v>24</v>
      </c>
      <c r="P911" s="6">
        <v>52.36</v>
      </c>
      <c r="Q911" s="6">
        <v>32.92</v>
      </c>
      <c r="R911" s="6">
        <v>1256.54</v>
      </c>
      <c r="S911" s="6">
        <v>0.02</v>
      </c>
      <c r="T911" s="6">
        <v>25.13</v>
      </c>
      <c r="U911" s="6">
        <v>1231.4100000000001</v>
      </c>
      <c r="V911" s="6">
        <v>790.15</v>
      </c>
      <c r="W911" s="6">
        <v>441.27</v>
      </c>
      <c r="X911" s="6" t="s">
        <v>45</v>
      </c>
    </row>
    <row r="912" spans="1:24" x14ac:dyDescent="0.25">
      <c r="A912" s="5" t="s">
        <v>1403</v>
      </c>
      <c r="B912" s="18">
        <v>45634</v>
      </c>
      <c r="C912" s="7" t="s">
        <v>414</v>
      </c>
      <c r="D912" s="7" t="s">
        <v>22</v>
      </c>
      <c r="E912" s="7" t="s">
        <v>216</v>
      </c>
      <c r="F912" s="7" t="s">
        <v>217</v>
      </c>
      <c r="G912" s="7" t="s">
        <v>38</v>
      </c>
      <c r="H912" s="7" t="s">
        <v>134</v>
      </c>
      <c r="I912" s="7" t="s">
        <v>27</v>
      </c>
      <c r="J912" s="7" t="s">
        <v>189</v>
      </c>
      <c r="K912" s="7" t="s">
        <v>170</v>
      </c>
      <c r="L912" s="7" t="s">
        <v>2671</v>
      </c>
      <c r="M912" s="7" t="s">
        <v>43</v>
      </c>
      <c r="N912" s="7" t="s">
        <v>70</v>
      </c>
      <c r="O912" s="7">
        <v>25</v>
      </c>
      <c r="P912" s="7">
        <v>117.54</v>
      </c>
      <c r="Q912" s="7">
        <v>71.599999999999994</v>
      </c>
      <c r="R912" s="7">
        <v>2938.4</v>
      </c>
      <c r="S912" s="7">
        <v>0.15</v>
      </c>
      <c r="T912" s="7">
        <v>440.76</v>
      </c>
      <c r="U912" s="7">
        <v>2497.64</v>
      </c>
      <c r="V912" s="7">
        <v>1790.01</v>
      </c>
      <c r="W912" s="7">
        <v>707.63</v>
      </c>
      <c r="X912" s="7" t="s">
        <v>45</v>
      </c>
    </row>
    <row r="913" spans="1:24" x14ac:dyDescent="0.25">
      <c r="A913" s="16" t="s">
        <v>1404</v>
      </c>
      <c r="B913" s="17">
        <v>45503</v>
      </c>
      <c r="C913" s="6" t="s">
        <v>354</v>
      </c>
      <c r="D913" s="6" t="s">
        <v>163</v>
      </c>
      <c r="E913" s="6" t="s">
        <v>93</v>
      </c>
      <c r="F913" s="6" t="s">
        <v>94</v>
      </c>
      <c r="G913" s="6" t="s">
        <v>95</v>
      </c>
      <c r="H913" s="6" t="s">
        <v>96</v>
      </c>
      <c r="I913" s="6" t="s">
        <v>40</v>
      </c>
      <c r="J913" s="6" t="s">
        <v>82</v>
      </c>
      <c r="K913" s="6" t="s">
        <v>69</v>
      </c>
      <c r="L913" s="6" t="s">
        <v>2663</v>
      </c>
      <c r="M913" s="6" t="s">
        <v>30</v>
      </c>
      <c r="N913" s="6" t="s">
        <v>84</v>
      </c>
      <c r="O913" s="6">
        <v>76</v>
      </c>
      <c r="P913" s="6">
        <v>54.79</v>
      </c>
      <c r="Q913" s="6">
        <v>31.53</v>
      </c>
      <c r="R913" s="6">
        <v>4163.68</v>
      </c>
      <c r="S913" s="6">
        <v>0.15</v>
      </c>
      <c r="T913" s="6">
        <v>624.54999999999995</v>
      </c>
      <c r="U913" s="6">
        <v>3539.13</v>
      </c>
      <c r="V913" s="6">
        <v>2396.1</v>
      </c>
      <c r="W913" s="6">
        <v>1143.02</v>
      </c>
      <c r="X913" s="6" t="s">
        <v>45</v>
      </c>
    </row>
    <row r="914" spans="1:24" x14ac:dyDescent="0.25">
      <c r="A914" s="5" t="s">
        <v>1405</v>
      </c>
      <c r="B914" s="18">
        <v>45626</v>
      </c>
      <c r="C914" s="7" t="s">
        <v>975</v>
      </c>
      <c r="D914" s="7" t="s">
        <v>105</v>
      </c>
      <c r="E914" s="7" t="s">
        <v>141</v>
      </c>
      <c r="F914" s="7" t="s">
        <v>142</v>
      </c>
      <c r="G914" s="7" t="s">
        <v>25</v>
      </c>
      <c r="H914" s="7" t="s">
        <v>26</v>
      </c>
      <c r="I914" s="7" t="s">
        <v>40</v>
      </c>
      <c r="J914" s="7" t="s">
        <v>82</v>
      </c>
      <c r="K914" s="7" t="s">
        <v>42</v>
      </c>
      <c r="L914" s="7" t="s">
        <v>2661</v>
      </c>
      <c r="M914" s="7" t="s">
        <v>61</v>
      </c>
      <c r="N914" s="7" t="s">
        <v>75</v>
      </c>
      <c r="O914" s="7">
        <v>26</v>
      </c>
      <c r="P914" s="7">
        <v>90.68</v>
      </c>
      <c r="Q914" s="7">
        <v>59.65</v>
      </c>
      <c r="R914" s="7">
        <v>2357.66</v>
      </c>
      <c r="S914" s="7">
        <v>0.15</v>
      </c>
      <c r="T914" s="7">
        <v>353.65</v>
      </c>
      <c r="U914" s="7">
        <v>2004.01</v>
      </c>
      <c r="V914" s="7">
        <v>1550.9</v>
      </c>
      <c r="W914" s="7">
        <v>453.11</v>
      </c>
      <c r="X914" s="7" t="s">
        <v>45</v>
      </c>
    </row>
    <row r="915" spans="1:24" x14ac:dyDescent="0.25">
      <c r="A915" s="16" t="s">
        <v>1406</v>
      </c>
      <c r="B915" s="17">
        <v>45637</v>
      </c>
      <c r="C915" s="6" t="s">
        <v>1122</v>
      </c>
      <c r="D915" s="6" t="s">
        <v>159</v>
      </c>
      <c r="E915" s="6" t="s">
        <v>141</v>
      </c>
      <c r="F915" s="6" t="s">
        <v>142</v>
      </c>
      <c r="G915" s="6" t="s">
        <v>25</v>
      </c>
      <c r="H915" s="6" t="s">
        <v>26</v>
      </c>
      <c r="I915" s="6" t="s">
        <v>27</v>
      </c>
      <c r="J915" s="6" t="s">
        <v>211</v>
      </c>
      <c r="K915" s="6" t="s">
        <v>42</v>
      </c>
      <c r="L915" s="6" t="s">
        <v>2661</v>
      </c>
      <c r="M915" s="6" t="s">
        <v>61</v>
      </c>
      <c r="N915" s="6" t="s">
        <v>31</v>
      </c>
      <c r="O915" s="6">
        <v>62</v>
      </c>
      <c r="P915" s="6">
        <v>97.55</v>
      </c>
      <c r="Q915" s="6">
        <v>55.26</v>
      </c>
      <c r="R915" s="6">
        <v>6048.4</v>
      </c>
      <c r="S915" s="6">
        <v>0.1</v>
      </c>
      <c r="T915" s="6">
        <v>604.84</v>
      </c>
      <c r="U915" s="6">
        <v>5443.56</v>
      </c>
      <c r="V915" s="6">
        <v>3426.26</v>
      </c>
      <c r="W915" s="6">
        <v>2017.3</v>
      </c>
      <c r="X915" s="6" t="s">
        <v>45</v>
      </c>
    </row>
    <row r="916" spans="1:24" x14ac:dyDescent="0.25">
      <c r="A916" s="5" t="s">
        <v>1407</v>
      </c>
      <c r="B916" s="18">
        <v>45556</v>
      </c>
      <c r="C916" s="7" t="s">
        <v>691</v>
      </c>
      <c r="D916" s="7" t="s">
        <v>1408</v>
      </c>
      <c r="E916" s="7" t="s">
        <v>109</v>
      </c>
      <c r="F916" s="7" t="s">
        <v>110</v>
      </c>
      <c r="G916" s="7" t="s">
        <v>80</v>
      </c>
      <c r="H916" s="7" t="s">
        <v>81</v>
      </c>
      <c r="I916" s="7" t="s">
        <v>27</v>
      </c>
      <c r="J916" s="7" t="s">
        <v>211</v>
      </c>
      <c r="K916" s="7" t="s">
        <v>248</v>
      </c>
      <c r="L916" s="7" t="s">
        <v>2675</v>
      </c>
      <c r="M916" s="7" t="s">
        <v>30</v>
      </c>
      <c r="N916" s="7" t="s">
        <v>84</v>
      </c>
      <c r="O916" s="7">
        <v>7</v>
      </c>
      <c r="P916" s="7">
        <v>122.92</v>
      </c>
      <c r="Q916" s="7">
        <v>77.06</v>
      </c>
      <c r="R916" s="7">
        <v>860.47</v>
      </c>
      <c r="S916" s="7">
        <v>0.02</v>
      </c>
      <c r="T916" s="7">
        <v>17.21</v>
      </c>
      <c r="U916" s="7">
        <v>843.26</v>
      </c>
      <c r="V916" s="7">
        <v>539.4</v>
      </c>
      <c r="W916" s="7">
        <v>303.86</v>
      </c>
      <c r="X916" s="7" t="s">
        <v>45</v>
      </c>
    </row>
    <row r="917" spans="1:24" x14ac:dyDescent="0.25">
      <c r="A917" s="16" t="s">
        <v>1409</v>
      </c>
      <c r="B917" s="17">
        <v>45325</v>
      </c>
      <c r="C917" s="6" t="s">
        <v>247</v>
      </c>
      <c r="D917" s="6" t="s">
        <v>65</v>
      </c>
      <c r="E917" s="6" t="s">
        <v>93</v>
      </c>
      <c r="F917" s="6" t="s">
        <v>94</v>
      </c>
      <c r="G917" s="6" t="s">
        <v>95</v>
      </c>
      <c r="H917" s="6" t="s">
        <v>96</v>
      </c>
      <c r="I917" s="6" t="s">
        <v>40</v>
      </c>
      <c r="J917" s="6" t="s">
        <v>117</v>
      </c>
      <c r="K917" s="6" t="s">
        <v>74</v>
      </c>
      <c r="L917" s="6" t="s">
        <v>2664</v>
      </c>
      <c r="M917" s="6" t="s">
        <v>30</v>
      </c>
      <c r="N917" s="6" t="s">
        <v>31</v>
      </c>
      <c r="O917" s="6">
        <v>40</v>
      </c>
      <c r="P917" s="6">
        <v>50.83</v>
      </c>
      <c r="Q917" s="6">
        <v>32.44</v>
      </c>
      <c r="R917" s="6">
        <v>2033.33</v>
      </c>
      <c r="S917" s="6">
        <v>0.1</v>
      </c>
      <c r="T917" s="6">
        <v>203.33</v>
      </c>
      <c r="U917" s="6">
        <v>1830</v>
      </c>
      <c r="V917" s="6">
        <v>1297.57</v>
      </c>
      <c r="W917" s="6">
        <v>532.42999999999995</v>
      </c>
      <c r="X917" s="6" t="s">
        <v>32</v>
      </c>
    </row>
    <row r="918" spans="1:24" x14ac:dyDescent="0.25">
      <c r="A918" s="5" t="s">
        <v>1410</v>
      </c>
      <c r="B918" s="18">
        <v>45476</v>
      </c>
      <c r="C918" s="7" t="s">
        <v>1317</v>
      </c>
      <c r="D918" s="7" t="s">
        <v>35</v>
      </c>
      <c r="E918" s="7" t="s">
        <v>150</v>
      </c>
      <c r="F918" s="7" t="s">
        <v>151</v>
      </c>
      <c r="G918" s="7" t="s">
        <v>101</v>
      </c>
      <c r="H918" s="7" t="s">
        <v>134</v>
      </c>
      <c r="I918" s="7" t="s">
        <v>27</v>
      </c>
      <c r="J918" s="7" t="s">
        <v>106</v>
      </c>
      <c r="K918" s="7" t="s">
        <v>90</v>
      </c>
      <c r="L918" s="7" t="s">
        <v>2666</v>
      </c>
      <c r="M918" s="7" t="s">
        <v>43</v>
      </c>
      <c r="N918" s="7" t="s">
        <v>70</v>
      </c>
      <c r="O918" s="7">
        <v>41</v>
      </c>
      <c r="P918" s="7">
        <v>87.64</v>
      </c>
      <c r="Q918" s="7">
        <v>51.35</v>
      </c>
      <c r="R918" s="7">
        <v>3593.15</v>
      </c>
      <c r="S918" s="7">
        <v>0.1</v>
      </c>
      <c r="T918" s="7">
        <v>359.31</v>
      </c>
      <c r="U918" s="7">
        <v>3233.83</v>
      </c>
      <c r="V918" s="7">
        <v>2105.29</v>
      </c>
      <c r="W918" s="7">
        <v>1128.54</v>
      </c>
      <c r="X918" s="7" t="s">
        <v>45</v>
      </c>
    </row>
    <row r="919" spans="1:24" x14ac:dyDescent="0.25">
      <c r="A919" s="16" t="s">
        <v>1411</v>
      </c>
      <c r="B919" s="17">
        <v>45365</v>
      </c>
      <c r="C919" s="6" t="s">
        <v>1412</v>
      </c>
      <c r="D919" s="6" t="s">
        <v>48</v>
      </c>
      <c r="E919" s="6" t="s">
        <v>36</v>
      </c>
      <c r="F919" s="6" t="s">
        <v>37</v>
      </c>
      <c r="G919" s="6" t="s">
        <v>38</v>
      </c>
      <c r="H919" s="6" t="s">
        <v>39</v>
      </c>
      <c r="I919" s="6" t="s">
        <v>58</v>
      </c>
      <c r="J919" s="6" t="s">
        <v>59</v>
      </c>
      <c r="K919" s="6" t="s">
        <v>60</v>
      </c>
      <c r="L919" s="6" t="s">
        <v>2662</v>
      </c>
      <c r="M919" s="6" t="s">
        <v>61</v>
      </c>
      <c r="N919" s="6" t="s">
        <v>70</v>
      </c>
      <c r="O919" s="6">
        <v>13</v>
      </c>
      <c r="P919" s="6">
        <v>155.99</v>
      </c>
      <c r="Q919" s="6">
        <v>105.03</v>
      </c>
      <c r="R919" s="6">
        <v>2027.83</v>
      </c>
      <c r="S919" s="6">
        <v>0.15</v>
      </c>
      <c r="T919" s="6">
        <v>304.17</v>
      </c>
      <c r="U919" s="6">
        <v>1723.66</v>
      </c>
      <c r="V919" s="6">
        <v>1365.43</v>
      </c>
      <c r="W919" s="6">
        <v>358.23</v>
      </c>
      <c r="X919" s="6" t="s">
        <v>45</v>
      </c>
    </row>
    <row r="920" spans="1:24" x14ac:dyDescent="0.25">
      <c r="A920" s="5" t="s">
        <v>1413</v>
      </c>
      <c r="B920" s="18">
        <v>45327</v>
      </c>
      <c r="C920" s="7" t="s">
        <v>497</v>
      </c>
      <c r="D920" s="7" t="s">
        <v>35</v>
      </c>
      <c r="E920" s="7" t="s">
        <v>150</v>
      </c>
      <c r="F920" s="7" t="s">
        <v>151</v>
      </c>
      <c r="G920" s="7" t="s">
        <v>101</v>
      </c>
      <c r="H920" s="7" t="s">
        <v>134</v>
      </c>
      <c r="I920" s="7" t="s">
        <v>27</v>
      </c>
      <c r="J920" s="7" t="s">
        <v>28</v>
      </c>
      <c r="K920" s="7" t="s">
        <v>218</v>
      </c>
      <c r="L920" s="7" t="s">
        <v>2674</v>
      </c>
      <c r="M920" s="7" t="s">
        <v>30</v>
      </c>
      <c r="N920" s="7" t="s">
        <v>31</v>
      </c>
      <c r="O920" s="7">
        <v>36</v>
      </c>
      <c r="P920" s="7">
        <v>78.569999999999993</v>
      </c>
      <c r="Q920" s="7">
        <v>47.45</v>
      </c>
      <c r="R920" s="7">
        <v>2828.5</v>
      </c>
      <c r="S920" s="7">
        <v>0.1</v>
      </c>
      <c r="T920" s="7">
        <v>282.85000000000002</v>
      </c>
      <c r="U920" s="7">
        <v>2545.65</v>
      </c>
      <c r="V920" s="7">
        <v>1708.27</v>
      </c>
      <c r="W920" s="7">
        <v>837.38</v>
      </c>
      <c r="X920" s="7" t="s">
        <v>32</v>
      </c>
    </row>
    <row r="921" spans="1:24" x14ac:dyDescent="0.25">
      <c r="A921" s="16" t="s">
        <v>1414</v>
      </c>
      <c r="B921" s="17">
        <v>45583</v>
      </c>
      <c r="C921" s="6" t="s">
        <v>1210</v>
      </c>
      <c r="D921" s="6" t="s">
        <v>65</v>
      </c>
      <c r="E921" s="6" t="s">
        <v>132</v>
      </c>
      <c r="F921" s="6" t="s">
        <v>133</v>
      </c>
      <c r="G921" s="6" t="s">
        <v>51</v>
      </c>
      <c r="H921" s="6" t="s">
        <v>134</v>
      </c>
      <c r="I921" s="6" t="s">
        <v>58</v>
      </c>
      <c r="J921" s="6" t="s">
        <v>73</v>
      </c>
      <c r="K921" s="6" t="s">
        <v>90</v>
      </c>
      <c r="L921" s="6" t="s">
        <v>2666</v>
      </c>
      <c r="M921" s="6" t="s">
        <v>61</v>
      </c>
      <c r="N921" s="6" t="s">
        <v>84</v>
      </c>
      <c r="O921" s="6">
        <v>5</v>
      </c>
      <c r="P921" s="6">
        <v>57.09</v>
      </c>
      <c r="Q921" s="6">
        <v>35.29</v>
      </c>
      <c r="R921" s="6">
        <v>285.44</v>
      </c>
      <c r="S921" s="6">
        <v>0</v>
      </c>
      <c r="T921" s="6">
        <v>0</v>
      </c>
      <c r="U921" s="6">
        <v>285.44</v>
      </c>
      <c r="V921" s="6">
        <v>176.46</v>
      </c>
      <c r="W921" s="6">
        <v>108.98</v>
      </c>
      <c r="X921" s="6" t="s">
        <v>32</v>
      </c>
    </row>
    <row r="922" spans="1:24" x14ac:dyDescent="0.25">
      <c r="A922" s="5" t="s">
        <v>1415</v>
      </c>
      <c r="B922" s="18">
        <v>45402</v>
      </c>
      <c r="C922" s="7" t="s">
        <v>617</v>
      </c>
      <c r="D922" s="7" t="s">
        <v>22</v>
      </c>
      <c r="E922" s="7" t="s">
        <v>141</v>
      </c>
      <c r="F922" s="7" t="s">
        <v>142</v>
      </c>
      <c r="G922" s="7" t="s">
        <v>25</v>
      </c>
      <c r="H922" s="7" t="s">
        <v>26</v>
      </c>
      <c r="I922" s="7" t="s">
        <v>40</v>
      </c>
      <c r="J922" s="7" t="s">
        <v>41</v>
      </c>
      <c r="K922" s="7" t="s">
        <v>261</v>
      </c>
      <c r="L922" s="7" t="s">
        <v>2677</v>
      </c>
      <c r="M922" s="7" t="s">
        <v>43</v>
      </c>
      <c r="N922" s="7" t="s">
        <v>70</v>
      </c>
      <c r="O922" s="7">
        <v>80</v>
      </c>
      <c r="P922" s="7">
        <v>102.08</v>
      </c>
      <c r="Q922" s="7">
        <v>60.42</v>
      </c>
      <c r="R922" s="7">
        <v>8166.71</v>
      </c>
      <c r="S922" s="7">
        <v>0.15</v>
      </c>
      <c r="T922" s="7">
        <v>1225.01</v>
      </c>
      <c r="U922" s="7">
        <v>6941.71</v>
      </c>
      <c r="V922" s="7">
        <v>4833.79</v>
      </c>
      <c r="W922" s="7">
        <v>2107.91</v>
      </c>
      <c r="X922" s="7" t="s">
        <v>45</v>
      </c>
    </row>
    <row r="923" spans="1:24" x14ac:dyDescent="0.25">
      <c r="A923" s="16" t="s">
        <v>1416</v>
      </c>
      <c r="B923" s="17">
        <v>45407</v>
      </c>
      <c r="C923" s="6" t="s">
        <v>333</v>
      </c>
      <c r="D923" s="6" t="s">
        <v>57</v>
      </c>
      <c r="E923" s="6" t="s">
        <v>36</v>
      </c>
      <c r="F923" s="6" t="s">
        <v>37</v>
      </c>
      <c r="G923" s="6" t="s">
        <v>38</v>
      </c>
      <c r="H923" s="6" t="s">
        <v>39</v>
      </c>
      <c r="I923" s="6" t="s">
        <v>40</v>
      </c>
      <c r="J923" s="6" t="s">
        <v>117</v>
      </c>
      <c r="K923" s="6" t="s">
        <v>253</v>
      </c>
      <c r="L923" s="6" t="s">
        <v>2676</v>
      </c>
      <c r="M923" s="6" t="s">
        <v>61</v>
      </c>
      <c r="N923" s="6" t="s">
        <v>84</v>
      </c>
      <c r="O923" s="6">
        <v>14</v>
      </c>
      <c r="P923" s="6">
        <v>156.84</v>
      </c>
      <c r="Q923" s="6">
        <v>102.08</v>
      </c>
      <c r="R923" s="6">
        <v>2195.77</v>
      </c>
      <c r="S923" s="6">
        <v>0.05</v>
      </c>
      <c r="T923" s="6">
        <v>109.79</v>
      </c>
      <c r="U923" s="6">
        <v>2085.98</v>
      </c>
      <c r="V923" s="6">
        <v>1429.16</v>
      </c>
      <c r="W923" s="6">
        <v>656.81</v>
      </c>
      <c r="X923" s="6" t="s">
        <v>45</v>
      </c>
    </row>
    <row r="924" spans="1:24" x14ac:dyDescent="0.25">
      <c r="A924" s="5" t="s">
        <v>1417</v>
      </c>
      <c r="B924" s="18">
        <v>45639</v>
      </c>
      <c r="C924" s="7" t="s">
        <v>715</v>
      </c>
      <c r="D924" s="7" t="s">
        <v>264</v>
      </c>
      <c r="E924" s="7" t="s">
        <v>93</v>
      </c>
      <c r="F924" s="7" t="s">
        <v>94</v>
      </c>
      <c r="G924" s="7" t="s">
        <v>95</v>
      </c>
      <c r="H924" s="7" t="s">
        <v>96</v>
      </c>
      <c r="I924" s="7" t="s">
        <v>53</v>
      </c>
      <c r="J924" s="7" t="s">
        <v>122</v>
      </c>
      <c r="K924" s="7" t="s">
        <v>29</v>
      </c>
      <c r="L924" s="7" t="s">
        <v>2660</v>
      </c>
      <c r="M924" s="7" t="s">
        <v>30</v>
      </c>
      <c r="N924" s="7" t="s">
        <v>75</v>
      </c>
      <c r="O924" s="7">
        <v>22</v>
      </c>
      <c r="P924" s="7">
        <v>57.05</v>
      </c>
      <c r="Q924" s="7">
        <v>32.22</v>
      </c>
      <c r="R924" s="7">
        <v>1255.07</v>
      </c>
      <c r="S924" s="7">
        <v>0</v>
      </c>
      <c r="T924" s="7">
        <v>0</v>
      </c>
      <c r="U924" s="7">
        <v>1255.07</v>
      </c>
      <c r="V924" s="7">
        <v>708.76</v>
      </c>
      <c r="W924" s="7">
        <v>546.30999999999995</v>
      </c>
      <c r="X924" s="7" t="s">
        <v>45</v>
      </c>
    </row>
    <row r="925" spans="1:24" x14ac:dyDescent="0.25">
      <c r="A925" s="16" t="s">
        <v>1418</v>
      </c>
      <c r="B925" s="17">
        <v>45598</v>
      </c>
      <c r="C925" s="6" t="s">
        <v>1137</v>
      </c>
      <c r="D925" s="6" t="s">
        <v>163</v>
      </c>
      <c r="E925" s="6" t="s">
        <v>114</v>
      </c>
      <c r="F925" s="6" t="s">
        <v>115</v>
      </c>
      <c r="G925" s="6" t="s">
        <v>95</v>
      </c>
      <c r="H925" s="6" t="s">
        <v>116</v>
      </c>
      <c r="I925" s="6" t="s">
        <v>53</v>
      </c>
      <c r="J925" s="6" t="s">
        <v>54</v>
      </c>
      <c r="K925" s="6" t="s">
        <v>29</v>
      </c>
      <c r="L925" s="6" t="s">
        <v>2660</v>
      </c>
      <c r="M925" s="6" t="s">
        <v>61</v>
      </c>
      <c r="N925" s="6" t="s">
        <v>44</v>
      </c>
      <c r="O925" s="6">
        <v>33</v>
      </c>
      <c r="P925" s="6">
        <v>35.22</v>
      </c>
      <c r="Q925" s="6">
        <v>22.15</v>
      </c>
      <c r="R925" s="6">
        <v>1162.3800000000001</v>
      </c>
      <c r="S925" s="6">
        <v>0.2</v>
      </c>
      <c r="T925" s="6">
        <v>232.48</v>
      </c>
      <c r="U925" s="6">
        <v>929.91</v>
      </c>
      <c r="V925" s="6">
        <v>730.92</v>
      </c>
      <c r="W925" s="6">
        <v>198.98</v>
      </c>
      <c r="X925" s="6" t="s">
        <v>32</v>
      </c>
    </row>
    <row r="926" spans="1:24" x14ac:dyDescent="0.25">
      <c r="A926" s="5" t="s">
        <v>1419</v>
      </c>
      <c r="B926" s="18">
        <v>45396</v>
      </c>
      <c r="C926" s="7" t="s">
        <v>735</v>
      </c>
      <c r="D926" s="7" t="s">
        <v>22</v>
      </c>
      <c r="E926" s="7" t="s">
        <v>66</v>
      </c>
      <c r="F926" s="7" t="s">
        <v>67</v>
      </c>
      <c r="G926" s="7" t="s">
        <v>38</v>
      </c>
      <c r="H926" s="7" t="s">
        <v>68</v>
      </c>
      <c r="I926" s="7" t="s">
        <v>88</v>
      </c>
      <c r="J926" s="7" t="s">
        <v>173</v>
      </c>
      <c r="K926" s="7" t="s">
        <v>184</v>
      </c>
      <c r="L926" s="7" t="s">
        <v>2672</v>
      </c>
      <c r="M926" s="7" t="s">
        <v>153</v>
      </c>
      <c r="N926" s="7" t="s">
        <v>75</v>
      </c>
      <c r="O926" s="7">
        <v>68</v>
      </c>
      <c r="P926" s="7">
        <v>147.38</v>
      </c>
      <c r="Q926" s="7">
        <v>99.22</v>
      </c>
      <c r="R926" s="7">
        <v>10021.57</v>
      </c>
      <c r="S926" s="7">
        <v>0.05</v>
      </c>
      <c r="T926" s="7">
        <v>501.08</v>
      </c>
      <c r="U926" s="7">
        <v>9520.49</v>
      </c>
      <c r="V926" s="7">
        <v>6746.63</v>
      </c>
      <c r="W926" s="7">
        <v>2773.87</v>
      </c>
      <c r="X926" s="7" t="s">
        <v>45</v>
      </c>
    </row>
    <row r="927" spans="1:24" x14ac:dyDescent="0.25">
      <c r="A927" s="16" t="s">
        <v>1420</v>
      </c>
      <c r="B927" s="17">
        <v>45374</v>
      </c>
      <c r="C927" s="6" t="s">
        <v>904</v>
      </c>
      <c r="D927" s="6" t="s">
        <v>35</v>
      </c>
      <c r="E927" s="6" t="s">
        <v>250</v>
      </c>
      <c r="F927" s="6" t="s">
        <v>251</v>
      </c>
      <c r="G927" s="6" t="s">
        <v>51</v>
      </c>
      <c r="H927" s="6" t="s">
        <v>252</v>
      </c>
      <c r="I927" s="6" t="s">
        <v>88</v>
      </c>
      <c r="J927" s="6"/>
      <c r="K927" s="6" t="s">
        <v>74</v>
      </c>
      <c r="L927" s="6" t="s">
        <v>2664</v>
      </c>
      <c r="M927" s="6" t="s">
        <v>153</v>
      </c>
      <c r="N927" s="6" t="s">
        <v>31</v>
      </c>
      <c r="O927" s="6">
        <v>65</v>
      </c>
      <c r="P927" s="6">
        <v>68.64</v>
      </c>
      <c r="Q927" s="6">
        <v>39.03</v>
      </c>
      <c r="R927" s="6">
        <v>4461.58</v>
      </c>
      <c r="S927" s="6">
        <v>0.15</v>
      </c>
      <c r="T927" s="6">
        <v>669.24</v>
      </c>
      <c r="U927" s="6">
        <v>3792.35</v>
      </c>
      <c r="V927" s="6">
        <v>2536.8000000000002</v>
      </c>
      <c r="W927" s="6">
        <v>1255.55</v>
      </c>
      <c r="X927" s="6" t="s">
        <v>270</v>
      </c>
    </row>
    <row r="928" spans="1:24" x14ac:dyDescent="0.25">
      <c r="A928" s="5" t="s">
        <v>1421</v>
      </c>
      <c r="B928" s="18">
        <v>45315</v>
      </c>
      <c r="C928" s="7" t="s">
        <v>442</v>
      </c>
      <c r="D928" s="7" t="s">
        <v>87</v>
      </c>
      <c r="E928" s="7" t="s">
        <v>114</v>
      </c>
      <c r="F928" s="7" t="s">
        <v>115</v>
      </c>
      <c r="G928" s="7" t="s">
        <v>95</v>
      </c>
      <c r="H928" s="7" t="s">
        <v>116</v>
      </c>
      <c r="I928" s="7" t="s">
        <v>53</v>
      </c>
      <c r="J928" s="7" t="s">
        <v>122</v>
      </c>
      <c r="K928" s="7" t="s">
        <v>90</v>
      </c>
      <c r="L928" s="7" t="s">
        <v>2666</v>
      </c>
      <c r="M928" s="7" t="s">
        <v>30</v>
      </c>
      <c r="N928" s="7" t="s">
        <v>75</v>
      </c>
      <c r="O928" s="7">
        <v>36</v>
      </c>
      <c r="P928" s="7">
        <v>34.08</v>
      </c>
      <c r="Q928" s="7">
        <v>19.899999999999999</v>
      </c>
      <c r="R928" s="7">
        <v>1226.78</v>
      </c>
      <c r="S928" s="7">
        <v>0.1</v>
      </c>
      <c r="T928" s="7">
        <v>122.68</v>
      </c>
      <c r="U928" s="7">
        <v>1104.0999999999999</v>
      </c>
      <c r="V928" s="7">
        <v>716.54</v>
      </c>
      <c r="W928" s="7">
        <v>387.56</v>
      </c>
      <c r="X928" s="7" t="s">
        <v>32</v>
      </c>
    </row>
    <row r="929" spans="1:24" x14ac:dyDescent="0.25">
      <c r="A929" s="16" t="s">
        <v>1422</v>
      </c>
      <c r="B929" s="17">
        <v>45502</v>
      </c>
      <c r="C929" s="6" t="s">
        <v>897</v>
      </c>
      <c r="D929" s="6" t="s">
        <v>65</v>
      </c>
      <c r="E929" s="6" t="s">
        <v>209</v>
      </c>
      <c r="F929" s="6" t="s">
        <v>210</v>
      </c>
      <c r="G929" s="6" t="s">
        <v>51</v>
      </c>
      <c r="H929" s="6" t="s">
        <v>116</v>
      </c>
      <c r="I929" s="6" t="s">
        <v>88</v>
      </c>
      <c r="J929" s="6" t="s">
        <v>183</v>
      </c>
      <c r="K929" s="6" t="s">
        <v>83</v>
      </c>
      <c r="L929" s="6" t="s">
        <v>2665</v>
      </c>
      <c r="M929" s="6" t="s">
        <v>30</v>
      </c>
      <c r="N929" s="6"/>
      <c r="O929" s="6">
        <v>75</v>
      </c>
      <c r="P929" s="6">
        <v>18.46</v>
      </c>
      <c r="Q929" s="6">
        <v>10</v>
      </c>
      <c r="R929" s="6">
        <v>1384.28</v>
      </c>
      <c r="S929" s="6">
        <v>0.05</v>
      </c>
      <c r="T929" s="6">
        <v>69.209999999999994</v>
      </c>
      <c r="U929" s="6">
        <v>1399.07</v>
      </c>
      <c r="V929" s="6">
        <v>749.78</v>
      </c>
      <c r="W929" s="6">
        <v>565.28</v>
      </c>
      <c r="X929" s="6" t="s">
        <v>129</v>
      </c>
    </row>
    <row r="930" spans="1:24" x14ac:dyDescent="0.25">
      <c r="A930" s="5" t="s">
        <v>1423</v>
      </c>
      <c r="B930" s="18">
        <v>45311</v>
      </c>
      <c r="C930" s="7" t="s">
        <v>131</v>
      </c>
      <c r="D930" s="7" t="s">
        <v>65</v>
      </c>
      <c r="E930" s="7" t="s">
        <v>23</v>
      </c>
      <c r="F930" s="7" t="s">
        <v>24</v>
      </c>
      <c r="G930" s="7" t="s">
        <v>25</v>
      </c>
      <c r="H930" s="7" t="s">
        <v>26</v>
      </c>
      <c r="I930" s="7" t="s">
        <v>53</v>
      </c>
      <c r="J930" s="7" t="s">
        <v>122</v>
      </c>
      <c r="K930" s="7" t="s">
        <v>265</v>
      </c>
      <c r="L930" s="7" t="s">
        <v>2678</v>
      </c>
      <c r="M930" s="7" t="s">
        <v>43</v>
      </c>
      <c r="N930" s="7" t="s">
        <v>44</v>
      </c>
      <c r="O930" s="7">
        <v>8</v>
      </c>
      <c r="P930" s="7">
        <v>75.94</v>
      </c>
      <c r="Q930" s="7">
        <v>40.729999999999997</v>
      </c>
      <c r="R930" s="7">
        <v>607.51</v>
      </c>
      <c r="S930" s="7">
        <v>0.05</v>
      </c>
      <c r="T930" s="7">
        <v>30.38</v>
      </c>
      <c r="U930" s="7">
        <v>577.14</v>
      </c>
      <c r="V930" s="7">
        <v>325.86</v>
      </c>
      <c r="W930" s="7">
        <v>251.27</v>
      </c>
      <c r="X930" s="7" t="s">
        <v>32</v>
      </c>
    </row>
    <row r="931" spans="1:24" x14ac:dyDescent="0.25">
      <c r="A931" s="16" t="s">
        <v>1424</v>
      </c>
      <c r="B931" s="17">
        <v>45520</v>
      </c>
      <c r="C931" s="6" t="s">
        <v>961</v>
      </c>
      <c r="D931" s="6" t="s">
        <v>87</v>
      </c>
      <c r="E931" s="6" t="s">
        <v>209</v>
      </c>
      <c r="F931" s="6" t="s">
        <v>210</v>
      </c>
      <c r="G931" s="6" t="s">
        <v>51</v>
      </c>
      <c r="H931" s="6" t="s">
        <v>116</v>
      </c>
      <c r="I931" s="6" t="s">
        <v>53</v>
      </c>
      <c r="J931" s="6" t="s">
        <v>122</v>
      </c>
      <c r="K931" s="6" t="s">
        <v>261</v>
      </c>
      <c r="L931" s="6" t="s">
        <v>2677</v>
      </c>
      <c r="M931" s="6" t="s">
        <v>153</v>
      </c>
      <c r="N931" s="6" t="s">
        <v>75</v>
      </c>
      <c r="O931" s="6">
        <v>55</v>
      </c>
      <c r="P931" s="6">
        <v>18.399999999999999</v>
      </c>
      <c r="Q931" s="6">
        <v>9.59</v>
      </c>
      <c r="R931" s="6">
        <v>1011.81</v>
      </c>
      <c r="S931" s="6">
        <v>0</v>
      </c>
      <c r="T931" s="6">
        <v>0</v>
      </c>
      <c r="U931" s="6">
        <v>1011.81</v>
      </c>
      <c r="V931" s="6">
        <v>527.29999999999995</v>
      </c>
      <c r="W931" s="6">
        <v>484.51</v>
      </c>
      <c r="X931" s="6" t="s">
        <v>45</v>
      </c>
    </row>
    <row r="932" spans="1:24" x14ac:dyDescent="0.25">
      <c r="A932" s="5" t="s">
        <v>1425</v>
      </c>
      <c r="B932" s="18">
        <v>45598</v>
      </c>
      <c r="C932" s="7" t="s">
        <v>1426</v>
      </c>
      <c r="D932" s="7" t="s">
        <v>22</v>
      </c>
      <c r="E932" s="7" t="s">
        <v>132</v>
      </c>
      <c r="F932" s="7" t="s">
        <v>133</v>
      </c>
      <c r="G932" s="7" t="s">
        <v>51</v>
      </c>
      <c r="H932" s="7" t="s">
        <v>134</v>
      </c>
      <c r="I932" s="7" t="s">
        <v>53</v>
      </c>
      <c r="J932" s="7" t="s">
        <v>143</v>
      </c>
      <c r="K932" s="7" t="s">
        <v>83</v>
      </c>
      <c r="L932" s="7" t="s">
        <v>2665</v>
      </c>
      <c r="M932" s="7" t="s">
        <v>153</v>
      </c>
      <c r="N932" s="7" t="s">
        <v>75</v>
      </c>
      <c r="O932" s="7">
        <v>17</v>
      </c>
      <c r="P932" s="7">
        <v>60.87</v>
      </c>
      <c r="Q932" s="7">
        <v>34.880000000000003</v>
      </c>
      <c r="R932" s="7">
        <v>1034.79</v>
      </c>
      <c r="S932" s="7">
        <v>0.15</v>
      </c>
      <c r="T932" s="7">
        <v>155.22</v>
      </c>
      <c r="U932" s="7">
        <v>879.57</v>
      </c>
      <c r="V932" s="7">
        <v>592.89</v>
      </c>
      <c r="W932" s="7">
        <v>286.68</v>
      </c>
      <c r="X932" s="7" t="s">
        <v>45</v>
      </c>
    </row>
    <row r="933" spans="1:24" x14ac:dyDescent="0.25">
      <c r="A933" s="16" t="s">
        <v>1427</v>
      </c>
      <c r="B933" s="17">
        <v>45653</v>
      </c>
      <c r="C933" s="6" t="s">
        <v>664</v>
      </c>
      <c r="D933" s="6" t="s">
        <v>125</v>
      </c>
      <c r="E933" s="6" t="s">
        <v>23</v>
      </c>
      <c r="F933" s="6" t="s">
        <v>24</v>
      </c>
      <c r="G933" s="6" t="s">
        <v>25</v>
      </c>
      <c r="H933" s="6" t="s">
        <v>26</v>
      </c>
      <c r="I933" s="6" t="s">
        <v>58</v>
      </c>
      <c r="J933" s="6" t="s">
        <v>323</v>
      </c>
      <c r="K933" s="6" t="s">
        <v>261</v>
      </c>
      <c r="L933" s="6" t="s">
        <v>2677</v>
      </c>
      <c r="M933" s="6" t="s">
        <v>43</v>
      </c>
      <c r="N933" s="6" t="s">
        <v>84</v>
      </c>
      <c r="O933" s="6">
        <v>78</v>
      </c>
      <c r="P933" s="6">
        <v>78.77</v>
      </c>
      <c r="Q933" s="6">
        <v>44.81</v>
      </c>
      <c r="R933" s="6">
        <v>6143.88</v>
      </c>
      <c r="S933" s="6">
        <v>0.02</v>
      </c>
      <c r="T933" s="6">
        <v>122.88</v>
      </c>
      <c r="U933" s="6">
        <v>6021</v>
      </c>
      <c r="V933" s="6">
        <v>3495.27</v>
      </c>
      <c r="W933" s="6">
        <v>2525.73</v>
      </c>
      <c r="X933" s="6" t="s">
        <v>45</v>
      </c>
    </row>
    <row r="934" spans="1:24" x14ac:dyDescent="0.25">
      <c r="A934" s="5" t="s">
        <v>1428</v>
      </c>
      <c r="B934" s="18">
        <v>45312</v>
      </c>
      <c r="C934" s="7" t="s">
        <v>739</v>
      </c>
      <c r="D934" s="7" t="s">
        <v>48</v>
      </c>
      <c r="E934" s="7" t="s">
        <v>132</v>
      </c>
      <c r="F934" s="7" t="s">
        <v>133</v>
      </c>
      <c r="G934" s="7" t="s">
        <v>51</v>
      </c>
      <c r="H934" s="7" t="s">
        <v>134</v>
      </c>
      <c r="I934" s="7" t="s">
        <v>40</v>
      </c>
      <c r="J934" s="7" t="s">
        <v>41</v>
      </c>
      <c r="K934" s="7" t="s">
        <v>178</v>
      </c>
      <c r="L934" s="7" t="s">
        <v>256</v>
      </c>
      <c r="M934" s="7" t="s">
        <v>153</v>
      </c>
      <c r="N934" s="7" t="s">
        <v>44</v>
      </c>
      <c r="O934" s="7">
        <v>42</v>
      </c>
      <c r="P934" s="7">
        <v>56.91</v>
      </c>
      <c r="Q934" s="7">
        <v>36.51</v>
      </c>
      <c r="R934" s="7">
        <v>2390.1799999999998</v>
      </c>
      <c r="S934" s="7">
        <v>0.1</v>
      </c>
      <c r="T934" s="7">
        <v>239.02</v>
      </c>
      <c r="U934" s="7">
        <v>2151.17</v>
      </c>
      <c r="V934" s="7">
        <v>1533.35</v>
      </c>
      <c r="W934" s="7">
        <v>617.82000000000005</v>
      </c>
      <c r="X934" s="7" t="s">
        <v>129</v>
      </c>
    </row>
    <row r="935" spans="1:24" x14ac:dyDescent="0.25">
      <c r="A935" s="16" t="s">
        <v>1429</v>
      </c>
      <c r="B935" s="17">
        <v>45516</v>
      </c>
      <c r="C935" s="6" t="s">
        <v>148</v>
      </c>
      <c r="D935" s="6" t="s">
        <v>149</v>
      </c>
      <c r="E935" s="6" t="s">
        <v>78</v>
      </c>
      <c r="F935" s="6" t="s">
        <v>79</v>
      </c>
      <c r="G935" s="6" t="s">
        <v>80</v>
      </c>
      <c r="H935" s="6" t="s">
        <v>81</v>
      </c>
      <c r="I935" s="6" t="s">
        <v>40</v>
      </c>
      <c r="J935" s="6" t="s">
        <v>41</v>
      </c>
      <c r="K935" s="6" t="s">
        <v>60</v>
      </c>
      <c r="L935" s="6" t="s">
        <v>2662</v>
      </c>
      <c r="M935" s="6" t="s">
        <v>547</v>
      </c>
      <c r="N935" s="6" t="s">
        <v>44</v>
      </c>
      <c r="O935" s="6">
        <v>32</v>
      </c>
      <c r="P935" s="6">
        <v>146.27000000000001</v>
      </c>
      <c r="Q935" s="6">
        <v>75.959999999999994</v>
      </c>
      <c r="R935" s="6">
        <v>4680.6000000000004</v>
      </c>
      <c r="S935" s="6">
        <v>0.15</v>
      </c>
      <c r="T935" s="6">
        <v>702.09</v>
      </c>
      <c r="U935" s="6">
        <v>3978.51</v>
      </c>
      <c r="V935" s="6">
        <v>2430.71</v>
      </c>
      <c r="W935" s="6">
        <v>1547.79</v>
      </c>
      <c r="X935" s="6" t="s">
        <v>45</v>
      </c>
    </row>
    <row r="936" spans="1:24" x14ac:dyDescent="0.25">
      <c r="A936" s="5" t="s">
        <v>1430</v>
      </c>
      <c r="B936" s="18">
        <v>45650</v>
      </c>
      <c r="C936" s="7" t="s">
        <v>1431</v>
      </c>
      <c r="D936" s="7" t="s">
        <v>264</v>
      </c>
      <c r="E936" s="7" t="s">
        <v>150</v>
      </c>
      <c r="F936" s="7" t="s">
        <v>151</v>
      </c>
      <c r="G936" s="7" t="s">
        <v>101</v>
      </c>
      <c r="H936" s="7" t="s">
        <v>134</v>
      </c>
      <c r="I936" s="7" t="s">
        <v>27</v>
      </c>
      <c r="J936" s="7" t="s">
        <v>28</v>
      </c>
      <c r="K936" s="7" t="s">
        <v>111</v>
      </c>
      <c r="L936" s="7" t="s">
        <v>2667</v>
      </c>
      <c r="M936" s="7" t="s">
        <v>153</v>
      </c>
      <c r="N936" s="7" t="s">
        <v>70</v>
      </c>
      <c r="O936" s="7">
        <v>40</v>
      </c>
      <c r="P936" s="7">
        <v>79.14</v>
      </c>
      <c r="Q936" s="7">
        <v>54.6</v>
      </c>
      <c r="R936" s="7">
        <v>3165.54</v>
      </c>
      <c r="S936" s="7">
        <v>0.05</v>
      </c>
      <c r="T936" s="7">
        <v>158.28</v>
      </c>
      <c r="U936" s="7">
        <v>3007.26</v>
      </c>
      <c r="V936" s="7">
        <v>2183.87</v>
      </c>
      <c r="W936" s="7">
        <v>823.39</v>
      </c>
      <c r="X936" s="7" t="s">
        <v>45</v>
      </c>
    </row>
    <row r="937" spans="1:24" x14ac:dyDescent="0.25">
      <c r="A937" s="16" t="s">
        <v>1432</v>
      </c>
      <c r="B937" s="17">
        <v>45401</v>
      </c>
      <c r="C937" s="6" t="s">
        <v>567</v>
      </c>
      <c r="D937" s="6" t="s">
        <v>22</v>
      </c>
      <c r="E937" s="6" t="s">
        <v>49</v>
      </c>
      <c r="F937" s="6" t="s">
        <v>50</v>
      </c>
      <c r="G937" s="6" t="s">
        <v>51</v>
      </c>
      <c r="H937" s="6" t="s">
        <v>52</v>
      </c>
      <c r="I937" s="6" t="s">
        <v>88</v>
      </c>
      <c r="J937" s="6" t="s">
        <v>135</v>
      </c>
      <c r="K937" s="6" t="s">
        <v>74</v>
      </c>
      <c r="L937" s="6" t="s">
        <v>2664</v>
      </c>
      <c r="M937" s="6" t="s">
        <v>30</v>
      </c>
      <c r="N937" s="6" t="s">
        <v>44</v>
      </c>
      <c r="O937" s="6">
        <v>58</v>
      </c>
      <c r="P937" s="6">
        <v>23.34</v>
      </c>
      <c r="Q937" s="6">
        <v>13.82</v>
      </c>
      <c r="R937" s="6">
        <v>1353.87</v>
      </c>
      <c r="S937" s="6">
        <v>0</v>
      </c>
      <c r="T937" s="6">
        <v>0</v>
      </c>
      <c r="U937" s="6">
        <v>1353.87</v>
      </c>
      <c r="V937" s="6">
        <v>801.56</v>
      </c>
      <c r="W937" s="6">
        <v>552.32000000000005</v>
      </c>
      <c r="X937" s="6" t="s">
        <v>32</v>
      </c>
    </row>
    <row r="938" spans="1:24" x14ac:dyDescent="0.25">
      <c r="A938" s="5" t="s">
        <v>1433</v>
      </c>
      <c r="B938" s="18">
        <v>45407</v>
      </c>
      <c r="C938" s="7" t="s">
        <v>433</v>
      </c>
      <c r="D938" s="7" t="s">
        <v>22</v>
      </c>
      <c r="E938" s="7" t="s">
        <v>165</v>
      </c>
      <c r="F938" s="7" t="s">
        <v>166</v>
      </c>
      <c r="G938" s="7" t="s">
        <v>95</v>
      </c>
      <c r="H938" s="7" t="s">
        <v>167</v>
      </c>
      <c r="I938" s="7" t="s">
        <v>27</v>
      </c>
      <c r="J938" s="7" t="s">
        <v>106</v>
      </c>
      <c r="K938" s="7" t="s">
        <v>178</v>
      </c>
      <c r="L938" s="7" t="s">
        <v>256</v>
      </c>
      <c r="M938" s="7" t="s">
        <v>30</v>
      </c>
      <c r="N938" s="7" t="s">
        <v>70</v>
      </c>
      <c r="O938" s="7">
        <v>80</v>
      </c>
      <c r="P938" s="7">
        <v>43.94</v>
      </c>
      <c r="Q938" s="7">
        <v>25.66</v>
      </c>
      <c r="R938" s="7">
        <v>3515.07</v>
      </c>
      <c r="S938" s="7">
        <v>0.2</v>
      </c>
      <c r="T938" s="7">
        <v>703.01</v>
      </c>
      <c r="U938" s="7">
        <v>2812.06</v>
      </c>
      <c r="V938" s="7">
        <v>2052.8000000000002</v>
      </c>
      <c r="W938" s="7">
        <v>759.26</v>
      </c>
      <c r="X938" s="7" t="s">
        <v>45</v>
      </c>
    </row>
    <row r="939" spans="1:24" x14ac:dyDescent="0.25">
      <c r="A939" s="16" t="s">
        <v>1434</v>
      </c>
      <c r="B939" s="17">
        <v>45428</v>
      </c>
      <c r="C939" s="6" t="s">
        <v>897</v>
      </c>
      <c r="D939" s="6" t="s">
        <v>65</v>
      </c>
      <c r="E939" s="6" t="s">
        <v>187</v>
      </c>
      <c r="F939" s="6" t="s">
        <v>188</v>
      </c>
      <c r="G939" s="6" t="s">
        <v>25</v>
      </c>
      <c r="H939" s="6" t="s">
        <v>26</v>
      </c>
      <c r="I939" s="6" t="s">
        <v>58</v>
      </c>
      <c r="J939" s="6" t="s">
        <v>59</v>
      </c>
      <c r="K939" s="6" t="s">
        <v>42</v>
      </c>
      <c r="L939" s="6" t="s">
        <v>2661</v>
      </c>
      <c r="M939" s="6" t="s">
        <v>30</v>
      </c>
      <c r="N939" s="6" t="s">
        <v>31</v>
      </c>
      <c r="O939" s="6">
        <v>13</v>
      </c>
      <c r="P939" s="6">
        <v>51.03</v>
      </c>
      <c r="Q939" s="6">
        <v>27.75</v>
      </c>
      <c r="R939" s="6">
        <v>663.35</v>
      </c>
      <c r="S939" s="6">
        <v>0.05</v>
      </c>
      <c r="T939" s="6">
        <v>33.17</v>
      </c>
      <c r="U939" s="6">
        <v>630.17999999999995</v>
      </c>
      <c r="V939" s="6">
        <v>360.71</v>
      </c>
      <c r="W939" s="6">
        <v>269.47000000000003</v>
      </c>
      <c r="X939" s="6" t="s">
        <v>129</v>
      </c>
    </row>
    <row r="940" spans="1:24" x14ac:dyDescent="0.25">
      <c r="A940" s="5" t="s">
        <v>1435</v>
      </c>
      <c r="B940" s="18">
        <v>45344</v>
      </c>
      <c r="C940" s="7" t="s">
        <v>843</v>
      </c>
      <c r="D940" s="7" t="s">
        <v>22</v>
      </c>
      <c r="E940" s="7" t="s">
        <v>109</v>
      </c>
      <c r="F940" s="7" t="s">
        <v>110</v>
      </c>
      <c r="G940" s="7" t="s">
        <v>80</v>
      </c>
      <c r="H940" s="7" t="s">
        <v>81</v>
      </c>
      <c r="I940" s="7" t="s">
        <v>27</v>
      </c>
      <c r="J940" s="7" t="s">
        <v>189</v>
      </c>
      <c r="K940" s="7" t="s">
        <v>60</v>
      </c>
      <c r="L940" s="7" t="s">
        <v>2662</v>
      </c>
      <c r="M940" s="7" t="s">
        <v>30</v>
      </c>
      <c r="N940" s="7" t="s">
        <v>75</v>
      </c>
      <c r="O940" s="7">
        <v>41</v>
      </c>
      <c r="P940" s="7">
        <v>117.56</v>
      </c>
      <c r="Q940" s="7">
        <v>69.88</v>
      </c>
      <c r="R940" s="7">
        <v>4820</v>
      </c>
      <c r="S940" s="7">
        <v>0.05</v>
      </c>
      <c r="T940" s="7">
        <v>241</v>
      </c>
      <c r="U940" s="7">
        <v>4579</v>
      </c>
      <c r="V940" s="7">
        <v>2865.02</v>
      </c>
      <c r="W940" s="7">
        <v>1713.98</v>
      </c>
      <c r="X940" s="7" t="s">
        <v>129</v>
      </c>
    </row>
    <row r="941" spans="1:24" x14ac:dyDescent="0.25">
      <c r="A941" s="16" t="s">
        <v>1436</v>
      </c>
      <c r="B941" s="17">
        <v>45602</v>
      </c>
      <c r="C941" s="6" t="s">
        <v>1394</v>
      </c>
      <c r="D941" s="6" t="s">
        <v>156</v>
      </c>
      <c r="E941" s="6" t="s">
        <v>78</v>
      </c>
      <c r="F941" s="6" t="s">
        <v>79</v>
      </c>
      <c r="G941" s="6" t="s">
        <v>80</v>
      </c>
      <c r="H941" s="6" t="s">
        <v>81</v>
      </c>
      <c r="I941" s="6" t="s">
        <v>88</v>
      </c>
      <c r="J941" s="6" t="s">
        <v>173</v>
      </c>
      <c r="K941" s="6" t="s">
        <v>74</v>
      </c>
      <c r="L941" s="6" t="s">
        <v>2664</v>
      </c>
      <c r="M941" s="6" t="s">
        <v>61</v>
      </c>
      <c r="N941" s="6" t="s">
        <v>75</v>
      </c>
      <c r="O941" s="6">
        <v>58</v>
      </c>
      <c r="P941" s="6">
        <v>146.59</v>
      </c>
      <c r="Q941" s="6">
        <v>76.66</v>
      </c>
      <c r="R941" s="6">
        <v>8502.2199999999993</v>
      </c>
      <c r="S941" s="6">
        <v>0.02</v>
      </c>
      <c r="T941" s="6">
        <v>170.04</v>
      </c>
      <c r="U941" s="6">
        <v>8332.18</v>
      </c>
      <c r="V941" s="6">
        <v>4446.28</v>
      </c>
      <c r="W941" s="6">
        <v>3885.89</v>
      </c>
      <c r="X941" s="6" t="s">
        <v>45</v>
      </c>
    </row>
    <row r="942" spans="1:24" x14ac:dyDescent="0.25">
      <c r="A942" s="5" t="s">
        <v>1437</v>
      </c>
      <c r="B942" s="18">
        <v>45628</v>
      </c>
      <c r="C942" s="7" t="s">
        <v>491</v>
      </c>
      <c r="D942" s="7" t="s">
        <v>57</v>
      </c>
      <c r="E942" s="7" t="s">
        <v>176</v>
      </c>
      <c r="F942" s="7" t="s">
        <v>177</v>
      </c>
      <c r="G942" s="7" t="s">
        <v>101</v>
      </c>
      <c r="H942" s="7" t="s">
        <v>39</v>
      </c>
      <c r="I942" s="7" t="s">
        <v>27</v>
      </c>
      <c r="J942" s="7" t="s">
        <v>28</v>
      </c>
      <c r="K942" s="7" t="s">
        <v>178</v>
      </c>
      <c r="L942" s="7" t="s">
        <v>256</v>
      </c>
      <c r="M942" s="7" t="s">
        <v>153</v>
      </c>
      <c r="N942" s="7" t="s">
        <v>84</v>
      </c>
      <c r="O942" s="7">
        <v>33</v>
      </c>
      <c r="P942" s="7">
        <v>101.13</v>
      </c>
      <c r="Q942" s="7">
        <v>66.28</v>
      </c>
      <c r="R942" s="7">
        <v>3337.39</v>
      </c>
      <c r="S942" s="7">
        <v>0.02</v>
      </c>
      <c r="T942" s="7">
        <v>66.75</v>
      </c>
      <c r="U942" s="7">
        <v>3270.64</v>
      </c>
      <c r="V942" s="7">
        <v>2187.12</v>
      </c>
      <c r="W942" s="7">
        <v>1083.52</v>
      </c>
      <c r="X942" s="7" t="s">
        <v>45</v>
      </c>
    </row>
    <row r="943" spans="1:24" x14ac:dyDescent="0.25">
      <c r="A943" s="16" t="s">
        <v>1438</v>
      </c>
      <c r="B943" s="17">
        <v>45451</v>
      </c>
      <c r="C943" s="6" t="s">
        <v>967</v>
      </c>
      <c r="D943" s="6" t="s">
        <v>35</v>
      </c>
      <c r="E943" s="6" t="s">
        <v>99</v>
      </c>
      <c r="F943" s="6" t="s">
        <v>100</v>
      </c>
      <c r="G943" s="6" t="s">
        <v>101</v>
      </c>
      <c r="H943" s="6" t="s">
        <v>102</v>
      </c>
      <c r="I943" s="6" t="s">
        <v>40</v>
      </c>
      <c r="J943" s="6" t="s">
        <v>82</v>
      </c>
      <c r="K943" s="6" t="s">
        <v>195</v>
      </c>
      <c r="L943" s="6" t="s">
        <v>2673</v>
      </c>
      <c r="M943" s="6" t="s">
        <v>61</v>
      </c>
      <c r="N943" s="6" t="s">
        <v>31</v>
      </c>
      <c r="O943" s="6">
        <v>22</v>
      </c>
      <c r="P943" s="6">
        <v>73.86</v>
      </c>
      <c r="Q943" s="6">
        <v>40.9</v>
      </c>
      <c r="R943" s="6">
        <v>1624.81</v>
      </c>
      <c r="S943" s="6">
        <v>0.1</v>
      </c>
      <c r="T943" s="6">
        <v>162.47999999999999</v>
      </c>
      <c r="U943" s="6">
        <v>1462.33</v>
      </c>
      <c r="V943" s="6">
        <v>899.69</v>
      </c>
      <c r="W943" s="6">
        <v>562.64</v>
      </c>
      <c r="X943" s="6" t="s">
        <v>129</v>
      </c>
    </row>
    <row r="944" spans="1:24" x14ac:dyDescent="0.25">
      <c r="A944" s="5" t="s">
        <v>1439</v>
      </c>
      <c r="B944" s="18">
        <v>45516</v>
      </c>
      <c r="C944" s="7" t="s">
        <v>759</v>
      </c>
      <c r="D944" s="7" t="s">
        <v>35</v>
      </c>
      <c r="E944" s="7" t="s">
        <v>165</v>
      </c>
      <c r="F944" s="7" t="s">
        <v>166</v>
      </c>
      <c r="G944" s="7" t="s">
        <v>95</v>
      </c>
      <c r="H944" s="7" t="s">
        <v>167</v>
      </c>
      <c r="I944" s="7" t="s">
        <v>88</v>
      </c>
      <c r="J944" s="7" t="s">
        <v>183</v>
      </c>
      <c r="K944" s="7" t="s">
        <v>152</v>
      </c>
      <c r="L944" s="7" t="s">
        <v>2670</v>
      </c>
      <c r="M944" s="7" t="s">
        <v>61</v>
      </c>
      <c r="N944" s="7" t="s">
        <v>946</v>
      </c>
      <c r="O944" s="7">
        <v>63</v>
      </c>
      <c r="P944" s="7">
        <v>43.28</v>
      </c>
      <c r="Q944" s="7">
        <v>24.55</v>
      </c>
      <c r="R944" s="7">
        <v>2726.84</v>
      </c>
      <c r="S944" s="7">
        <v>0</v>
      </c>
      <c r="T944" s="7">
        <v>0</v>
      </c>
      <c r="U944" s="7">
        <v>2726.84</v>
      </c>
      <c r="V944" s="7">
        <v>1546.46</v>
      </c>
      <c r="W944" s="7">
        <v>1180.3800000000001</v>
      </c>
      <c r="X944" s="7" t="s">
        <v>45</v>
      </c>
    </row>
    <row r="945" spans="1:24" x14ac:dyDescent="0.25">
      <c r="A945" s="16" t="s">
        <v>1440</v>
      </c>
      <c r="B945" s="17">
        <v>45587</v>
      </c>
      <c r="C945" s="6" t="s">
        <v>800</v>
      </c>
      <c r="D945" s="6" t="s">
        <v>264</v>
      </c>
      <c r="E945" s="6" t="s">
        <v>36</v>
      </c>
      <c r="F945" s="6" t="s">
        <v>37</v>
      </c>
      <c r="G945" s="6" t="s">
        <v>38</v>
      </c>
      <c r="H945" s="6" t="s">
        <v>39</v>
      </c>
      <c r="I945" s="6" t="s">
        <v>27</v>
      </c>
      <c r="J945" s="6" t="s">
        <v>211</v>
      </c>
      <c r="K945" s="6" t="s">
        <v>111</v>
      </c>
      <c r="L945" s="6" t="s">
        <v>2667</v>
      </c>
      <c r="M945" s="6" t="s">
        <v>43</v>
      </c>
      <c r="N945" s="6" t="s">
        <v>44</v>
      </c>
      <c r="O945" s="6">
        <v>25</v>
      </c>
      <c r="P945" s="6">
        <v>160.54</v>
      </c>
      <c r="Q945" s="6">
        <v>92.09</v>
      </c>
      <c r="R945" s="6">
        <v>4013.39</v>
      </c>
      <c r="S945" s="6">
        <v>0.05</v>
      </c>
      <c r="T945" s="6">
        <v>200.67</v>
      </c>
      <c r="U945" s="6">
        <v>3812.72</v>
      </c>
      <c r="V945" s="6">
        <v>2302.17</v>
      </c>
      <c r="W945" s="6">
        <v>1510.55</v>
      </c>
      <c r="X945" s="6" t="s">
        <v>32</v>
      </c>
    </row>
    <row r="946" spans="1:24" x14ac:dyDescent="0.25">
      <c r="A946" s="5" t="s">
        <v>1441</v>
      </c>
      <c r="B946" s="18">
        <v>45462</v>
      </c>
      <c r="C946" s="7" t="s">
        <v>515</v>
      </c>
      <c r="D946" s="7" t="s">
        <v>48</v>
      </c>
      <c r="E946" s="7" t="s">
        <v>36</v>
      </c>
      <c r="F946" s="7" t="s">
        <v>37</v>
      </c>
      <c r="G946" s="7" t="s">
        <v>38</v>
      </c>
      <c r="H946" s="7" t="s">
        <v>39</v>
      </c>
      <c r="I946" s="7" t="s">
        <v>27</v>
      </c>
      <c r="J946" s="7" t="s">
        <v>211</v>
      </c>
      <c r="K946" s="7" t="s">
        <v>261</v>
      </c>
      <c r="L946" s="7" t="s">
        <v>2677</v>
      </c>
      <c r="M946" s="7" t="s">
        <v>153</v>
      </c>
      <c r="N946" s="7" t="s">
        <v>31</v>
      </c>
      <c r="O946" s="7">
        <v>3</v>
      </c>
      <c r="P946" s="7">
        <v>176.44</v>
      </c>
      <c r="Q946" s="7">
        <v>95.29</v>
      </c>
      <c r="R946" s="7">
        <v>529.30999999999995</v>
      </c>
      <c r="S946" s="7">
        <v>0.02</v>
      </c>
      <c r="T946" s="7">
        <v>10.59</v>
      </c>
      <c r="U946" s="7">
        <v>518.72</v>
      </c>
      <c r="V946" s="7">
        <v>285.86</v>
      </c>
      <c r="W946" s="7">
        <v>232.87</v>
      </c>
      <c r="X946" s="7" t="s">
        <v>45</v>
      </c>
    </row>
    <row r="947" spans="1:24" x14ac:dyDescent="0.25">
      <c r="A947" s="16" t="s">
        <v>1442</v>
      </c>
      <c r="B947" s="17">
        <v>45608</v>
      </c>
      <c r="C947" s="6" t="s">
        <v>970</v>
      </c>
      <c r="D947" s="6" t="s">
        <v>159</v>
      </c>
      <c r="E947" s="6" t="s">
        <v>209</v>
      </c>
      <c r="F947" s="6" t="s">
        <v>210</v>
      </c>
      <c r="G947" s="6" t="s">
        <v>51</v>
      </c>
      <c r="H947" s="6" t="s">
        <v>116</v>
      </c>
      <c r="I947" s="6" t="s">
        <v>40</v>
      </c>
      <c r="J947" s="6" t="s">
        <v>289</v>
      </c>
      <c r="K947" s="6" t="s">
        <v>83</v>
      </c>
      <c r="L947" s="6" t="s">
        <v>2665</v>
      </c>
      <c r="M947" s="6" t="s">
        <v>61</v>
      </c>
      <c r="N947" s="6" t="s">
        <v>31</v>
      </c>
      <c r="O947" s="6">
        <v>40</v>
      </c>
      <c r="P947" s="6">
        <v>19.36</v>
      </c>
      <c r="Q947" s="6">
        <v>10.07</v>
      </c>
      <c r="R947" s="6">
        <v>774.58</v>
      </c>
      <c r="S947" s="6">
        <v>0.15</v>
      </c>
      <c r="T947" s="6">
        <v>116.19</v>
      </c>
      <c r="U947" s="6">
        <v>658.39</v>
      </c>
      <c r="V947" s="6">
        <v>402.83</v>
      </c>
      <c r="W947" s="6">
        <v>255.57</v>
      </c>
      <c r="X947" s="6" t="s">
        <v>32</v>
      </c>
    </row>
    <row r="948" spans="1:24" x14ac:dyDescent="0.25">
      <c r="A948" s="5" t="s">
        <v>1443</v>
      </c>
      <c r="B948" s="18">
        <v>45554</v>
      </c>
      <c r="C948" s="7" t="s">
        <v>658</v>
      </c>
      <c r="D948" s="7" t="s">
        <v>264</v>
      </c>
      <c r="E948" s="7" t="s">
        <v>49</v>
      </c>
      <c r="F948" s="7" t="s">
        <v>50</v>
      </c>
      <c r="G948" s="7" t="s">
        <v>51</v>
      </c>
      <c r="H948" s="7" t="s">
        <v>52</v>
      </c>
      <c r="I948" s="7" t="s">
        <v>58</v>
      </c>
      <c r="J948" s="7" t="s">
        <v>323</v>
      </c>
      <c r="K948" s="7" t="s">
        <v>90</v>
      </c>
      <c r="L948" s="7" t="s">
        <v>2666</v>
      </c>
      <c r="M948" s="7" t="s">
        <v>153</v>
      </c>
      <c r="N948" s="7" t="s">
        <v>44</v>
      </c>
      <c r="O948" s="7">
        <v>15</v>
      </c>
      <c r="P948" s="7">
        <v>23.56</v>
      </c>
      <c r="Q948" s="7">
        <v>13.04</v>
      </c>
      <c r="R948" s="7">
        <v>353.41</v>
      </c>
      <c r="S948" s="7">
        <v>0.05</v>
      </c>
      <c r="T948" s="7">
        <v>17.670000000000002</v>
      </c>
      <c r="U948" s="7">
        <v>335.73</v>
      </c>
      <c r="V948" s="7">
        <v>195.57</v>
      </c>
      <c r="W948" s="7">
        <v>140.16</v>
      </c>
      <c r="X948" s="7" t="s">
        <v>45</v>
      </c>
    </row>
    <row r="949" spans="1:24" x14ac:dyDescent="0.25">
      <c r="A949" s="16" t="s">
        <v>1444</v>
      </c>
      <c r="B949" s="17">
        <v>45435</v>
      </c>
      <c r="C949" s="6" t="s">
        <v>721</v>
      </c>
      <c r="D949" s="6" t="s">
        <v>359</v>
      </c>
      <c r="E949" s="6" t="s">
        <v>250</v>
      </c>
      <c r="F949" s="6" t="s">
        <v>251</v>
      </c>
      <c r="G949" s="6" t="s">
        <v>51</v>
      </c>
      <c r="H949" s="6" t="s">
        <v>252</v>
      </c>
      <c r="I949" s="6" t="s">
        <v>58</v>
      </c>
      <c r="J949" s="6" t="s">
        <v>73</v>
      </c>
      <c r="K949" s="6" t="s">
        <v>83</v>
      </c>
      <c r="L949" s="6" t="s">
        <v>2665</v>
      </c>
      <c r="M949" s="6" t="s">
        <v>61</v>
      </c>
      <c r="N949" s="6" t="s">
        <v>75</v>
      </c>
      <c r="O949" s="6">
        <v>72</v>
      </c>
      <c r="P949" s="6">
        <v>67.180000000000007</v>
      </c>
      <c r="Q949" s="6">
        <v>35.979999999999997</v>
      </c>
      <c r="R949" s="6">
        <v>4836.74</v>
      </c>
      <c r="S949" s="6">
        <v>0.05</v>
      </c>
      <c r="T949" s="6">
        <v>241.84</v>
      </c>
      <c r="U949" s="6">
        <v>4594.8999999999996</v>
      </c>
      <c r="V949" s="6">
        <v>2590.37</v>
      </c>
      <c r="W949" s="6">
        <v>2004.54</v>
      </c>
      <c r="X949" s="6" t="s">
        <v>45</v>
      </c>
    </row>
    <row r="950" spans="1:24" x14ac:dyDescent="0.25">
      <c r="A950" s="5" t="s">
        <v>1445</v>
      </c>
      <c r="B950" s="18">
        <v>45611</v>
      </c>
      <c r="C950" s="7" t="s">
        <v>347</v>
      </c>
      <c r="D950" s="7" t="s">
        <v>163</v>
      </c>
      <c r="E950" s="7" t="s">
        <v>216</v>
      </c>
      <c r="F950" s="7" t="s">
        <v>217</v>
      </c>
      <c r="G950" s="7" t="s">
        <v>38</v>
      </c>
      <c r="H950" s="7" t="s">
        <v>134</v>
      </c>
      <c r="I950" s="7" t="s">
        <v>88</v>
      </c>
      <c r="J950" s="7" t="s">
        <v>89</v>
      </c>
      <c r="K950" s="7" t="s">
        <v>60</v>
      </c>
      <c r="L950" s="7" t="s">
        <v>2662</v>
      </c>
      <c r="M950" s="7" t="s">
        <v>61</v>
      </c>
      <c r="N950" s="7" t="s">
        <v>44</v>
      </c>
      <c r="O950" s="7">
        <v>38</v>
      </c>
      <c r="P950" s="7">
        <v>102.16</v>
      </c>
      <c r="Q950" s="7">
        <v>65.23</v>
      </c>
      <c r="R950" s="7">
        <v>3882.22</v>
      </c>
      <c r="S950" s="7">
        <v>0.2</v>
      </c>
      <c r="T950" s="7">
        <v>776.44</v>
      </c>
      <c r="U950" s="7">
        <v>3105.78</v>
      </c>
      <c r="V950" s="7">
        <v>2478.87</v>
      </c>
      <c r="W950" s="7">
        <v>626.91</v>
      </c>
      <c r="X950" s="7" t="s">
        <v>32</v>
      </c>
    </row>
    <row r="951" spans="1:24" x14ac:dyDescent="0.25">
      <c r="A951" s="16" t="s">
        <v>1446</v>
      </c>
      <c r="B951" s="17">
        <v>45404</v>
      </c>
      <c r="C951" s="6" t="s">
        <v>464</v>
      </c>
      <c r="D951" s="6" t="s">
        <v>105</v>
      </c>
      <c r="E951" s="6" t="s">
        <v>99</v>
      </c>
      <c r="F951" s="6" t="s">
        <v>100</v>
      </c>
      <c r="G951" s="6" t="s">
        <v>101</v>
      </c>
      <c r="H951" s="6" t="s">
        <v>102</v>
      </c>
      <c r="I951" s="6" t="s">
        <v>88</v>
      </c>
      <c r="J951" s="6" t="s">
        <v>89</v>
      </c>
      <c r="K951" s="6" t="s">
        <v>195</v>
      </c>
      <c r="L951" s="6" t="s">
        <v>2673</v>
      </c>
      <c r="M951" s="6" t="s">
        <v>43</v>
      </c>
      <c r="N951" s="6" t="s">
        <v>70</v>
      </c>
      <c r="O951" s="6">
        <v>66</v>
      </c>
      <c r="P951" s="6">
        <v>75.19</v>
      </c>
      <c r="Q951" s="6">
        <v>41.12</v>
      </c>
      <c r="R951" s="6">
        <v>4962.62</v>
      </c>
      <c r="S951" s="6">
        <v>0.02</v>
      </c>
      <c r="T951" s="6">
        <v>99.25</v>
      </c>
      <c r="U951" s="6">
        <v>4863.37</v>
      </c>
      <c r="V951" s="6">
        <v>2714.24</v>
      </c>
      <c r="W951" s="6">
        <v>2149.13</v>
      </c>
      <c r="X951" s="6" t="s">
        <v>963</v>
      </c>
    </row>
    <row r="952" spans="1:24" x14ac:dyDescent="0.25">
      <c r="A952" s="5" t="s">
        <v>1447</v>
      </c>
      <c r="B952" s="18">
        <v>45533</v>
      </c>
      <c r="C952" s="7" t="s">
        <v>194</v>
      </c>
      <c r="D952" s="7" t="s">
        <v>163</v>
      </c>
      <c r="E952" s="7" t="s">
        <v>165</v>
      </c>
      <c r="F952" s="7" t="s">
        <v>166</v>
      </c>
      <c r="G952" s="7" t="s">
        <v>95</v>
      </c>
      <c r="H952" s="7" t="s">
        <v>167</v>
      </c>
      <c r="I952" s="7" t="s">
        <v>40</v>
      </c>
      <c r="J952" s="7" t="s">
        <v>117</v>
      </c>
      <c r="K952" s="7" t="s">
        <v>184</v>
      </c>
      <c r="L952" s="7" t="s">
        <v>2672</v>
      </c>
      <c r="M952" s="7" t="s">
        <v>43</v>
      </c>
      <c r="N952" s="7" t="s">
        <v>84</v>
      </c>
      <c r="O952" s="7">
        <v>68</v>
      </c>
      <c r="P952" s="7">
        <v>41.54</v>
      </c>
      <c r="Q952" s="7">
        <v>24.39</v>
      </c>
      <c r="R952" s="7">
        <v>2824.58</v>
      </c>
      <c r="S952" s="7">
        <v>0.2</v>
      </c>
      <c r="T952" s="7">
        <v>564.91999999999996</v>
      </c>
      <c r="U952" s="7">
        <v>2259.66</v>
      </c>
      <c r="V952" s="7">
        <v>1658.53</v>
      </c>
      <c r="W952" s="7">
        <v>601.14</v>
      </c>
      <c r="X952" s="7" t="s">
        <v>45</v>
      </c>
    </row>
    <row r="953" spans="1:24" x14ac:dyDescent="0.25">
      <c r="A953" s="16" t="s">
        <v>1448</v>
      </c>
      <c r="B953" s="17">
        <v>45516</v>
      </c>
      <c r="C953" s="6" t="s">
        <v>162</v>
      </c>
      <c r="D953" s="6" t="s">
        <v>163</v>
      </c>
      <c r="E953" s="6" t="s">
        <v>176</v>
      </c>
      <c r="F953" s="6" t="s">
        <v>177</v>
      </c>
      <c r="G953" s="6" t="s">
        <v>101</v>
      </c>
      <c r="H953" s="6" t="s">
        <v>39</v>
      </c>
      <c r="I953" s="6" t="s">
        <v>58</v>
      </c>
      <c r="J953" s="6" t="s">
        <v>59</v>
      </c>
      <c r="K953" s="6" t="s">
        <v>83</v>
      </c>
      <c r="L953" s="6" t="s">
        <v>2665</v>
      </c>
      <c r="M953" s="6" t="s">
        <v>43</v>
      </c>
      <c r="N953" s="6" t="s">
        <v>70</v>
      </c>
      <c r="O953" s="6">
        <v>47</v>
      </c>
      <c r="P953" s="6">
        <v>100.97</v>
      </c>
      <c r="Q953" s="6">
        <v>61.44</v>
      </c>
      <c r="R953" s="6">
        <v>4745.42</v>
      </c>
      <c r="S953" s="6">
        <v>0.02</v>
      </c>
      <c r="T953" s="6">
        <v>94.91</v>
      </c>
      <c r="U953" s="6">
        <v>4650.51</v>
      </c>
      <c r="V953" s="6">
        <v>2887.66</v>
      </c>
      <c r="W953" s="6">
        <v>1762.85</v>
      </c>
      <c r="X953" s="6" t="s">
        <v>45</v>
      </c>
    </row>
    <row r="954" spans="1:24" x14ac:dyDescent="0.25">
      <c r="A954" s="5" t="s">
        <v>1449</v>
      </c>
      <c r="B954" s="18">
        <v>45434</v>
      </c>
      <c r="C954" s="7" t="s">
        <v>594</v>
      </c>
      <c r="D954" s="7"/>
      <c r="E954" s="7" t="s">
        <v>141</v>
      </c>
      <c r="F954" s="7" t="s">
        <v>142</v>
      </c>
      <c r="G954" s="7" t="s">
        <v>25</v>
      </c>
      <c r="H954" s="7" t="s">
        <v>26</v>
      </c>
      <c r="I954" s="7" t="s">
        <v>40</v>
      </c>
      <c r="J954" s="7" t="s">
        <v>82</v>
      </c>
      <c r="K954" s="7" t="s">
        <v>69</v>
      </c>
      <c r="L954" s="7" t="s">
        <v>2663</v>
      </c>
      <c r="M954" s="7" t="s">
        <v>61</v>
      </c>
      <c r="N954" s="7" t="s">
        <v>84</v>
      </c>
      <c r="O954" s="7">
        <v>34</v>
      </c>
      <c r="P954" s="7">
        <v>96.48</v>
      </c>
      <c r="Q954" s="7">
        <v>61.4</v>
      </c>
      <c r="R954" s="7">
        <v>3280.47</v>
      </c>
      <c r="S954" s="7">
        <v>0.15</v>
      </c>
      <c r="T954" s="7">
        <v>492.07</v>
      </c>
      <c r="U954" s="7">
        <v>2788.4</v>
      </c>
      <c r="V954" s="7">
        <v>2087.5100000000002</v>
      </c>
      <c r="W954" s="7">
        <v>700.89</v>
      </c>
      <c r="X954" s="7" t="s">
        <v>45</v>
      </c>
    </row>
    <row r="955" spans="1:24" x14ac:dyDescent="0.25">
      <c r="A955" s="16" t="s">
        <v>1450</v>
      </c>
      <c r="B955" s="17">
        <v>45621</v>
      </c>
      <c r="C955" s="6" t="s">
        <v>580</v>
      </c>
      <c r="D955" s="6" t="s">
        <v>156</v>
      </c>
      <c r="E955" s="6" t="s">
        <v>78</v>
      </c>
      <c r="F955" s="6" t="s">
        <v>79</v>
      </c>
      <c r="G955" s="6" t="s">
        <v>80</v>
      </c>
      <c r="H955" s="6" t="s">
        <v>81</v>
      </c>
      <c r="I955" s="6" t="s">
        <v>40</v>
      </c>
      <c r="J955" s="6" t="s">
        <v>289</v>
      </c>
      <c r="K955" s="6" t="s">
        <v>184</v>
      </c>
      <c r="L955" s="6" t="s">
        <v>2672</v>
      </c>
      <c r="M955" s="6" t="s">
        <v>61</v>
      </c>
      <c r="N955" s="6" t="s">
        <v>75</v>
      </c>
      <c r="O955" s="6">
        <v>23</v>
      </c>
      <c r="P955" s="6">
        <v>138.19999999999999</v>
      </c>
      <c r="Q955" s="6">
        <v>78.69</v>
      </c>
      <c r="R955" s="6">
        <v>3178.58</v>
      </c>
      <c r="S955" s="6">
        <v>0.2</v>
      </c>
      <c r="T955" s="6">
        <v>635.72</v>
      </c>
      <c r="U955" s="6">
        <v>2542.86</v>
      </c>
      <c r="V955" s="6">
        <v>1809.88</v>
      </c>
      <c r="W955" s="6">
        <v>732.99</v>
      </c>
      <c r="X955" s="6" t="s">
        <v>45</v>
      </c>
    </row>
    <row r="956" spans="1:24" x14ac:dyDescent="0.25">
      <c r="A956" s="5" t="s">
        <v>1451</v>
      </c>
      <c r="B956" s="18">
        <v>45417</v>
      </c>
      <c r="C956" s="7" t="s">
        <v>626</v>
      </c>
      <c r="D956" s="7" t="s">
        <v>163</v>
      </c>
      <c r="E956" s="7" t="s">
        <v>93</v>
      </c>
      <c r="F956" s="7" t="s">
        <v>94</v>
      </c>
      <c r="G956" s="7" t="s">
        <v>95</v>
      </c>
      <c r="H956" s="7" t="s">
        <v>96</v>
      </c>
      <c r="I956" s="7" t="s">
        <v>88</v>
      </c>
      <c r="J956" s="7" t="s">
        <v>173</v>
      </c>
      <c r="K956" s="7" t="s">
        <v>253</v>
      </c>
      <c r="L956" s="7" t="s">
        <v>2676</v>
      </c>
      <c r="M956" s="7" t="s">
        <v>30</v>
      </c>
      <c r="N956" s="7" t="s">
        <v>31</v>
      </c>
      <c r="O956" s="7">
        <v>40</v>
      </c>
      <c r="P956" s="7">
        <v>58.91</v>
      </c>
      <c r="Q956" s="7">
        <v>32.94</v>
      </c>
      <c r="R956" s="7">
        <v>2356.5</v>
      </c>
      <c r="S956" s="7">
        <v>0.1</v>
      </c>
      <c r="T956" s="7">
        <v>235.65</v>
      </c>
      <c r="U956" s="7">
        <v>2120.85</v>
      </c>
      <c r="V956" s="7">
        <v>1317.53</v>
      </c>
      <c r="W956" s="7">
        <v>803.32</v>
      </c>
      <c r="X956" s="7" t="s">
        <v>129</v>
      </c>
    </row>
    <row r="957" spans="1:24" x14ac:dyDescent="0.25">
      <c r="A957" s="16" t="s">
        <v>1452</v>
      </c>
      <c r="B957" s="17">
        <v>45511</v>
      </c>
      <c r="C957" s="6" t="s">
        <v>911</v>
      </c>
      <c r="D957" s="6" t="s">
        <v>48</v>
      </c>
      <c r="E957" s="6" t="s">
        <v>126</v>
      </c>
      <c r="F957" s="6" t="s">
        <v>127</v>
      </c>
      <c r="G957" s="6" t="s">
        <v>95</v>
      </c>
      <c r="H957" s="6" t="s">
        <v>128</v>
      </c>
      <c r="I957" s="6" t="s">
        <v>53</v>
      </c>
      <c r="J957" s="6" t="s">
        <v>143</v>
      </c>
      <c r="K957" s="6" t="s">
        <v>218</v>
      </c>
      <c r="L957" s="6" t="s">
        <v>2674</v>
      </c>
      <c r="M957" s="6" t="s">
        <v>61</v>
      </c>
      <c r="N957" s="6" t="s">
        <v>84</v>
      </c>
      <c r="O957" s="6">
        <v>26</v>
      </c>
      <c r="P957" s="6">
        <v>89.41</v>
      </c>
      <c r="Q957" s="6">
        <v>57.07</v>
      </c>
      <c r="R957" s="6">
        <v>2324.6999999999998</v>
      </c>
      <c r="S957" s="6">
        <v>0.2</v>
      </c>
      <c r="T957" s="6">
        <v>464.94</v>
      </c>
      <c r="U957" s="6">
        <v>1859.76</v>
      </c>
      <c r="V957" s="6">
        <v>1483.84</v>
      </c>
      <c r="W957" s="6">
        <v>375.92</v>
      </c>
      <c r="X957" s="6" t="s">
        <v>45</v>
      </c>
    </row>
    <row r="958" spans="1:24" x14ac:dyDescent="0.25">
      <c r="A958" s="5" t="s">
        <v>1453</v>
      </c>
      <c r="B958" s="18">
        <v>45421</v>
      </c>
      <c r="C958" s="7" t="s">
        <v>945</v>
      </c>
      <c r="D958" s="7" t="s">
        <v>159</v>
      </c>
      <c r="E958" s="7" t="s">
        <v>49</v>
      </c>
      <c r="F958" s="7" t="s">
        <v>50</v>
      </c>
      <c r="G958" s="7" t="s">
        <v>51</v>
      </c>
      <c r="H958" s="7" t="s">
        <v>52</v>
      </c>
      <c r="I958" s="7" t="s">
        <v>88</v>
      </c>
      <c r="J958" s="7" t="s">
        <v>183</v>
      </c>
      <c r="K958" s="7" t="s">
        <v>74</v>
      </c>
      <c r="L958" s="7" t="s">
        <v>2664</v>
      </c>
      <c r="M958" s="7" t="s">
        <v>43</v>
      </c>
      <c r="N958" s="7" t="s">
        <v>31</v>
      </c>
      <c r="O958" s="7">
        <v>25</v>
      </c>
      <c r="P958" s="7">
        <v>23.83</v>
      </c>
      <c r="Q958" s="7">
        <v>12.11</v>
      </c>
      <c r="R958" s="7">
        <v>595.71</v>
      </c>
      <c r="S958" s="7">
        <v>0.15</v>
      </c>
      <c r="T958" s="7">
        <v>89.36</v>
      </c>
      <c r="U958" s="7">
        <v>506.35</v>
      </c>
      <c r="V958" s="7">
        <v>302.7</v>
      </c>
      <c r="W958" s="7">
        <v>203.65</v>
      </c>
      <c r="X958" s="7" t="s">
        <v>45</v>
      </c>
    </row>
    <row r="959" spans="1:24" x14ac:dyDescent="0.25">
      <c r="A959" s="16" t="s">
        <v>1454</v>
      </c>
      <c r="B959" s="17">
        <v>45463</v>
      </c>
      <c r="C959" s="6" t="s">
        <v>1380</v>
      </c>
      <c r="D959" s="6" t="s">
        <v>121</v>
      </c>
      <c r="E959" s="6" t="s">
        <v>209</v>
      </c>
      <c r="F959" s="6" t="s">
        <v>210</v>
      </c>
      <c r="G959" s="6" t="s">
        <v>51</v>
      </c>
      <c r="H959" s="6" t="s">
        <v>116</v>
      </c>
      <c r="I959" s="6" t="s">
        <v>53</v>
      </c>
      <c r="J959" s="6" t="s">
        <v>122</v>
      </c>
      <c r="K959" s="6" t="s">
        <v>152</v>
      </c>
      <c r="L959" s="6" t="s">
        <v>2670</v>
      </c>
      <c r="M959" s="6" t="s">
        <v>153</v>
      </c>
      <c r="N959" s="6" t="s">
        <v>84</v>
      </c>
      <c r="O959" s="6">
        <v>79</v>
      </c>
      <c r="P959" s="6">
        <v>18.829999999999998</v>
      </c>
      <c r="Q959" s="6">
        <v>9.93</v>
      </c>
      <c r="R959" s="6">
        <v>1487.39</v>
      </c>
      <c r="S959" s="6">
        <v>0.1</v>
      </c>
      <c r="T959" s="6">
        <v>148.74</v>
      </c>
      <c r="U959" s="6">
        <v>1338.65</v>
      </c>
      <c r="V959" s="6">
        <v>784.23</v>
      </c>
      <c r="W959" s="6">
        <v>554.41999999999996</v>
      </c>
      <c r="X959" s="6" t="s">
        <v>45</v>
      </c>
    </row>
    <row r="960" spans="1:24" x14ac:dyDescent="0.25">
      <c r="A960" s="5" t="s">
        <v>1455</v>
      </c>
      <c r="B960" s="18">
        <v>45486</v>
      </c>
      <c r="C960" s="7" t="s">
        <v>430</v>
      </c>
      <c r="D960" s="7" t="s">
        <v>156</v>
      </c>
      <c r="E960" s="7" t="s">
        <v>222</v>
      </c>
      <c r="F960" s="7" t="s">
        <v>223</v>
      </c>
      <c r="G960" s="7" t="s">
        <v>101</v>
      </c>
      <c r="H960" s="7" t="s">
        <v>68</v>
      </c>
      <c r="I960" s="7" t="s">
        <v>53</v>
      </c>
      <c r="J960" s="7" t="s">
        <v>232</v>
      </c>
      <c r="K960" s="7" t="s">
        <v>178</v>
      </c>
      <c r="L960" s="7" t="s">
        <v>256</v>
      </c>
      <c r="M960" s="7" t="s">
        <v>61</v>
      </c>
      <c r="N960" s="7" t="s">
        <v>84</v>
      </c>
      <c r="O960" s="7">
        <v>41</v>
      </c>
      <c r="P960" s="7">
        <v>123.41</v>
      </c>
      <c r="Q960" s="7">
        <v>77.11</v>
      </c>
      <c r="R960" s="7">
        <v>5059.68</v>
      </c>
      <c r="S960" s="7">
        <v>0.05</v>
      </c>
      <c r="T960" s="7">
        <v>252.98</v>
      </c>
      <c r="U960" s="7">
        <v>4806.7</v>
      </c>
      <c r="V960" s="7">
        <v>3161.39</v>
      </c>
      <c r="W960" s="7">
        <v>1645.3</v>
      </c>
      <c r="X960" s="7" t="s">
        <v>45</v>
      </c>
    </row>
    <row r="961" spans="1:24" x14ac:dyDescent="0.25">
      <c r="A961" s="16" t="s">
        <v>1456</v>
      </c>
      <c r="B961" s="17">
        <v>45624</v>
      </c>
      <c r="C961" s="6" t="s">
        <v>578</v>
      </c>
      <c r="D961" s="6" t="s">
        <v>221</v>
      </c>
      <c r="E961" s="6" t="s">
        <v>36</v>
      </c>
      <c r="F961" s="6" t="s">
        <v>37</v>
      </c>
      <c r="G961" s="6" t="s">
        <v>38</v>
      </c>
      <c r="H961" s="6" t="s">
        <v>39</v>
      </c>
      <c r="I961" s="6" t="s">
        <v>27</v>
      </c>
      <c r="J961" s="6" t="s">
        <v>211</v>
      </c>
      <c r="K961" s="6" t="s">
        <v>29</v>
      </c>
      <c r="L961" s="6" t="s">
        <v>2660</v>
      </c>
      <c r="M961" s="6" t="s">
        <v>153</v>
      </c>
      <c r="N961" s="6" t="s">
        <v>44</v>
      </c>
      <c r="O961" s="6">
        <v>59</v>
      </c>
      <c r="P961" s="6">
        <v>159.38</v>
      </c>
      <c r="Q961" s="6">
        <v>103.64</v>
      </c>
      <c r="R961" s="6">
        <v>9403.4500000000007</v>
      </c>
      <c r="S961" s="6">
        <v>0.1</v>
      </c>
      <c r="T961" s="6">
        <v>940.34</v>
      </c>
      <c r="U961" s="6">
        <v>8463.1</v>
      </c>
      <c r="V961" s="6">
        <v>6114.69</v>
      </c>
      <c r="W961" s="6">
        <v>2348.41</v>
      </c>
      <c r="X961" s="6" t="s">
        <v>45</v>
      </c>
    </row>
    <row r="962" spans="1:24" x14ac:dyDescent="0.25">
      <c r="A962" s="5" t="s">
        <v>1457</v>
      </c>
      <c r="B962" s="18">
        <v>45602</v>
      </c>
      <c r="C962" s="7" t="s">
        <v>220</v>
      </c>
      <c r="D962" s="7" t="s">
        <v>221</v>
      </c>
      <c r="E962" s="7" t="s">
        <v>36</v>
      </c>
      <c r="F962" s="7" t="s">
        <v>37</v>
      </c>
      <c r="G962" s="7" t="s">
        <v>38</v>
      </c>
      <c r="H962" s="7" t="s">
        <v>39</v>
      </c>
      <c r="I962" s="7" t="s">
        <v>58</v>
      </c>
      <c r="J962" s="7" t="s">
        <v>345</v>
      </c>
      <c r="K962" s="7" t="s">
        <v>29</v>
      </c>
      <c r="L962" s="7" t="s">
        <v>2660</v>
      </c>
      <c r="M962" s="7" t="s">
        <v>43</v>
      </c>
      <c r="N962" s="7" t="s">
        <v>75</v>
      </c>
      <c r="O962" s="7"/>
      <c r="P962" s="7">
        <v>176.92</v>
      </c>
      <c r="Q962" s="7">
        <v>106.84</v>
      </c>
      <c r="R962" s="7">
        <v>1415.34</v>
      </c>
      <c r="S962" s="7">
        <v>0.15</v>
      </c>
      <c r="T962" s="7">
        <v>212.3</v>
      </c>
      <c r="U962" s="7">
        <v>1203.04</v>
      </c>
      <c r="V962" s="7">
        <v>854.7</v>
      </c>
      <c r="W962" s="7">
        <v>348.34</v>
      </c>
      <c r="X962" s="7" t="s">
        <v>45</v>
      </c>
    </row>
    <row r="963" spans="1:24" x14ac:dyDescent="0.25">
      <c r="A963" s="16" t="s">
        <v>1458</v>
      </c>
      <c r="B963" s="17">
        <v>45359</v>
      </c>
      <c r="C963" s="6" t="s">
        <v>258</v>
      </c>
      <c r="D963" s="6" t="s">
        <v>259</v>
      </c>
      <c r="E963" s="6" t="s">
        <v>141</v>
      </c>
      <c r="F963" s="6" t="s">
        <v>142</v>
      </c>
      <c r="G963" s="6" t="s">
        <v>25</v>
      </c>
      <c r="H963" s="6" t="s">
        <v>26</v>
      </c>
      <c r="I963" s="6" t="s">
        <v>40</v>
      </c>
      <c r="J963" s="6" t="s">
        <v>82</v>
      </c>
      <c r="K963" s="6" t="s">
        <v>111</v>
      </c>
      <c r="L963" s="6" t="s">
        <v>2667</v>
      </c>
      <c r="M963" s="6" t="s">
        <v>153</v>
      </c>
      <c r="N963" s="6" t="s">
        <v>31</v>
      </c>
      <c r="O963" s="6">
        <v>38</v>
      </c>
      <c r="P963" s="6">
        <v>96.69</v>
      </c>
      <c r="Q963" s="6">
        <v>57.17</v>
      </c>
      <c r="R963" s="6">
        <v>3674.1</v>
      </c>
      <c r="S963" s="6">
        <v>0.2</v>
      </c>
      <c r="T963" s="6">
        <v>734.82</v>
      </c>
      <c r="U963" s="6">
        <v>2939.28</v>
      </c>
      <c r="V963" s="6">
        <v>2172.63</v>
      </c>
      <c r="W963" s="6">
        <v>766.66</v>
      </c>
      <c r="X963" s="6" t="s">
        <v>45</v>
      </c>
    </row>
    <row r="964" spans="1:24" x14ac:dyDescent="0.25">
      <c r="A964" s="5" t="s">
        <v>1459</v>
      </c>
      <c r="B964" s="18">
        <v>45411</v>
      </c>
      <c r="C964" s="7" t="s">
        <v>611</v>
      </c>
      <c r="D964" s="7" t="s">
        <v>264</v>
      </c>
      <c r="E964" s="7" t="s">
        <v>109</v>
      </c>
      <c r="F964" s="7" t="s">
        <v>110</v>
      </c>
      <c r="G964" s="7" t="s">
        <v>80</v>
      </c>
      <c r="H964" s="7" t="s">
        <v>81</v>
      </c>
      <c r="I964" s="7" t="s">
        <v>27</v>
      </c>
      <c r="J964" s="7" t="s">
        <v>211</v>
      </c>
      <c r="K964" s="7" t="s">
        <v>170</v>
      </c>
      <c r="L964" s="7" t="s">
        <v>2671</v>
      </c>
      <c r="M964" s="7" t="s">
        <v>30</v>
      </c>
      <c r="N964" s="7" t="s">
        <v>31</v>
      </c>
      <c r="O964" s="7">
        <v>77</v>
      </c>
      <c r="P964" s="7">
        <v>118.47</v>
      </c>
      <c r="Q964" s="7">
        <v>76.31</v>
      </c>
      <c r="R964" s="7">
        <v>9122.23</v>
      </c>
      <c r="S964" s="7">
        <v>0.2</v>
      </c>
      <c r="T964" s="7">
        <v>1824.45</v>
      </c>
      <c r="U964" s="7">
        <v>7297.78</v>
      </c>
      <c r="V964" s="7">
        <v>5875.73</v>
      </c>
      <c r="W964" s="7">
        <v>1422.05</v>
      </c>
      <c r="X964" s="7" t="s">
        <v>963</v>
      </c>
    </row>
    <row r="965" spans="1:24" x14ac:dyDescent="0.25">
      <c r="A965" s="16" t="s">
        <v>1460</v>
      </c>
      <c r="B965" s="17">
        <v>45520</v>
      </c>
      <c r="C965" s="6" t="s">
        <v>617</v>
      </c>
      <c r="D965" s="6" t="s">
        <v>22</v>
      </c>
      <c r="E965" s="6" t="s">
        <v>109</v>
      </c>
      <c r="F965" s="6" t="s">
        <v>110</v>
      </c>
      <c r="G965" s="6" t="s">
        <v>80</v>
      </c>
      <c r="H965" s="6" t="s">
        <v>81</v>
      </c>
      <c r="I965" s="6" t="s">
        <v>58</v>
      </c>
      <c r="J965" s="6" t="s">
        <v>323</v>
      </c>
      <c r="K965" s="6" t="s">
        <v>248</v>
      </c>
      <c r="L965" s="6" t="s">
        <v>2675</v>
      </c>
      <c r="M965" s="6" t="s">
        <v>153</v>
      </c>
      <c r="N965" s="6" t="s">
        <v>75</v>
      </c>
      <c r="O965" s="6">
        <v>6</v>
      </c>
      <c r="P965" s="6">
        <v>120.77</v>
      </c>
      <c r="Q965" s="6">
        <v>74.959999999999994</v>
      </c>
      <c r="R965" s="6">
        <v>724.64</v>
      </c>
      <c r="S965" s="6">
        <v>0.05</v>
      </c>
      <c r="T965" s="6">
        <v>36.229999999999997</v>
      </c>
      <c r="U965" s="6">
        <v>688.4</v>
      </c>
      <c r="V965" s="6">
        <v>449.77</v>
      </c>
      <c r="W965" s="6">
        <v>238.63</v>
      </c>
      <c r="X965" s="6" t="s">
        <v>45</v>
      </c>
    </row>
    <row r="966" spans="1:24" x14ac:dyDescent="0.25">
      <c r="A966" s="5" t="s">
        <v>1461</v>
      </c>
      <c r="B966" s="18">
        <v>45480</v>
      </c>
      <c r="C966" s="7" t="s">
        <v>893</v>
      </c>
      <c r="D966" s="7" t="s">
        <v>48</v>
      </c>
      <c r="E966" s="7" t="s">
        <v>165</v>
      </c>
      <c r="F966" s="7" t="s">
        <v>166</v>
      </c>
      <c r="G966" s="7" t="s">
        <v>95</v>
      </c>
      <c r="H966" s="7" t="s">
        <v>167</v>
      </c>
      <c r="I966" s="7" t="s">
        <v>27</v>
      </c>
      <c r="J966" s="7" t="s">
        <v>189</v>
      </c>
      <c r="K966" s="7" t="s">
        <v>118</v>
      </c>
      <c r="L966" s="7" t="s">
        <v>2668</v>
      </c>
      <c r="M966" s="7" t="s">
        <v>43</v>
      </c>
      <c r="N966" s="7" t="s">
        <v>70</v>
      </c>
      <c r="O966" s="7">
        <v>42</v>
      </c>
      <c r="P966" s="7">
        <v>43.7</v>
      </c>
      <c r="Q966" s="7">
        <v>23.21</v>
      </c>
      <c r="R966" s="7">
        <v>1835.26</v>
      </c>
      <c r="S966" s="7">
        <v>0.2</v>
      </c>
      <c r="T966" s="7">
        <v>367.05</v>
      </c>
      <c r="U966" s="7">
        <v>1468.21</v>
      </c>
      <c r="V966" s="7">
        <v>974.62</v>
      </c>
      <c r="W966" s="7">
        <v>493.59</v>
      </c>
      <c r="X966" s="7" t="s">
        <v>45</v>
      </c>
    </row>
    <row r="967" spans="1:24" x14ac:dyDescent="0.25">
      <c r="A967" s="16" t="s">
        <v>1462</v>
      </c>
      <c r="B967" s="17">
        <v>45643</v>
      </c>
      <c r="C967" s="6" t="s">
        <v>389</v>
      </c>
      <c r="D967" s="6" t="s">
        <v>264</v>
      </c>
      <c r="E967" s="6" t="s">
        <v>141</v>
      </c>
      <c r="F967" s="6" t="s">
        <v>142</v>
      </c>
      <c r="G967" s="6" t="s">
        <v>25</v>
      </c>
      <c r="H967" s="6" t="s">
        <v>26</v>
      </c>
      <c r="I967" s="6" t="s">
        <v>452</v>
      </c>
      <c r="J967" s="6" t="s">
        <v>189</v>
      </c>
      <c r="K967" s="6" t="s">
        <v>42</v>
      </c>
      <c r="L967" s="6" t="s">
        <v>2661</v>
      </c>
      <c r="M967" s="6" t="s">
        <v>43</v>
      </c>
      <c r="N967" s="6" t="s">
        <v>75</v>
      </c>
      <c r="O967" s="6">
        <v>43</v>
      </c>
      <c r="P967" s="6">
        <v>97.71</v>
      </c>
      <c r="Q967" s="6">
        <v>58.61</v>
      </c>
      <c r="R967" s="6">
        <v>4201.3500000000004</v>
      </c>
      <c r="S967" s="6">
        <v>0.05</v>
      </c>
      <c r="T967" s="6">
        <v>210.07</v>
      </c>
      <c r="U967" s="6">
        <v>3991.28</v>
      </c>
      <c r="V967" s="6">
        <v>2520.23</v>
      </c>
      <c r="W967" s="6">
        <v>1471.05</v>
      </c>
      <c r="X967" s="6" t="s">
        <v>270</v>
      </c>
    </row>
    <row r="968" spans="1:24" x14ac:dyDescent="0.25">
      <c r="A968" s="5" t="s">
        <v>1463</v>
      </c>
      <c r="B968" s="18">
        <v>45341</v>
      </c>
      <c r="C968" s="7" t="s">
        <v>859</v>
      </c>
      <c r="D968" s="7" t="s">
        <v>221</v>
      </c>
      <c r="E968" s="7" t="s">
        <v>209</v>
      </c>
      <c r="F968" s="7" t="s">
        <v>210</v>
      </c>
      <c r="G968" s="7" t="s">
        <v>51</v>
      </c>
      <c r="H968" s="7" t="s">
        <v>116</v>
      </c>
      <c r="I968" s="7" t="s">
        <v>40</v>
      </c>
      <c r="J968" s="7" t="s">
        <v>117</v>
      </c>
      <c r="K968" s="7" t="s">
        <v>178</v>
      </c>
      <c r="L968" s="7" t="s">
        <v>256</v>
      </c>
      <c r="M968" s="7" t="s">
        <v>153</v>
      </c>
      <c r="N968" s="7" t="s">
        <v>31</v>
      </c>
      <c r="O968" s="7">
        <v>28</v>
      </c>
      <c r="P968" s="7">
        <v>18.899999999999999</v>
      </c>
      <c r="Q968" s="7">
        <v>10.25</v>
      </c>
      <c r="R968" s="7">
        <v>529.14</v>
      </c>
      <c r="S968" s="7">
        <v>0.15</v>
      </c>
      <c r="T968" s="7">
        <v>79.37</v>
      </c>
      <c r="U968" s="7">
        <v>449.77</v>
      </c>
      <c r="V968" s="7">
        <v>287.01</v>
      </c>
      <c r="W968" s="7">
        <v>162.76</v>
      </c>
      <c r="X968" s="7" t="s">
        <v>45</v>
      </c>
    </row>
    <row r="969" spans="1:24" x14ac:dyDescent="0.25">
      <c r="A969" s="16" t="s">
        <v>1464</v>
      </c>
      <c r="B969" s="17">
        <v>45551</v>
      </c>
      <c r="C969" s="6" t="s">
        <v>983</v>
      </c>
      <c r="D969" s="6" t="s">
        <v>22</v>
      </c>
      <c r="E969" s="6" t="s">
        <v>78</v>
      </c>
      <c r="F969" s="6" t="s">
        <v>79</v>
      </c>
      <c r="G969" s="6" t="s">
        <v>80</v>
      </c>
      <c r="H969" s="6" t="s">
        <v>81</v>
      </c>
      <c r="I969" s="6" t="s">
        <v>27</v>
      </c>
      <c r="J969" s="6" t="s">
        <v>189</v>
      </c>
      <c r="K969" s="6" t="s">
        <v>265</v>
      </c>
      <c r="L969" s="6" t="s">
        <v>2678</v>
      </c>
      <c r="M969" s="6" t="s">
        <v>61</v>
      </c>
      <c r="N969" s="6" t="s">
        <v>75</v>
      </c>
      <c r="O969" s="6">
        <v>57</v>
      </c>
      <c r="P969" s="6">
        <v>134.57</v>
      </c>
      <c r="Q969" s="6">
        <v>76.22</v>
      </c>
      <c r="R969" s="6">
        <v>7670.51</v>
      </c>
      <c r="S969" s="6">
        <v>0</v>
      </c>
      <c r="T969" s="6">
        <v>0</v>
      </c>
      <c r="U969" s="6">
        <v>7670.51</v>
      </c>
      <c r="V969" s="6">
        <v>4344.59</v>
      </c>
      <c r="W969" s="6">
        <v>3325.92</v>
      </c>
      <c r="X969" s="6" t="s">
        <v>45</v>
      </c>
    </row>
    <row r="970" spans="1:24" x14ac:dyDescent="0.25">
      <c r="A970" s="5" t="s">
        <v>1465</v>
      </c>
      <c r="B970" s="18">
        <v>45343</v>
      </c>
      <c r="C970" s="7" t="s">
        <v>811</v>
      </c>
      <c r="D970" s="7" t="s">
        <v>359</v>
      </c>
      <c r="E970" s="7" t="s">
        <v>23</v>
      </c>
      <c r="F970" s="7" t="s">
        <v>24</v>
      </c>
      <c r="G970" s="7" t="s">
        <v>25</v>
      </c>
      <c r="H970" s="7" t="s">
        <v>26</v>
      </c>
      <c r="I970" s="7" t="s">
        <v>27</v>
      </c>
      <c r="J970" s="7" t="s">
        <v>211</v>
      </c>
      <c r="K970" s="7" t="s">
        <v>60</v>
      </c>
      <c r="L970" s="7" t="s">
        <v>2662</v>
      </c>
      <c r="M970" s="7" t="s">
        <v>30</v>
      </c>
      <c r="N970" s="7" t="s">
        <v>44</v>
      </c>
      <c r="O970" s="7">
        <v>57</v>
      </c>
      <c r="P970" s="7">
        <v>70.88</v>
      </c>
      <c r="Q970" s="7">
        <v>46.3</v>
      </c>
      <c r="R970" s="7">
        <v>4040.26</v>
      </c>
      <c r="S970" s="7">
        <v>0.2</v>
      </c>
      <c r="T970" s="7">
        <v>808.05</v>
      </c>
      <c r="U970" s="7">
        <v>3232.21</v>
      </c>
      <c r="V970" s="7">
        <v>2639.34</v>
      </c>
      <c r="W970" s="7">
        <v>592.87</v>
      </c>
      <c r="X970" s="7" t="s">
        <v>32</v>
      </c>
    </row>
    <row r="971" spans="1:24" x14ac:dyDescent="0.25">
      <c r="A971" s="16" t="s">
        <v>1466</v>
      </c>
      <c r="B971" s="17">
        <v>45573</v>
      </c>
      <c r="C971" s="6" t="s">
        <v>483</v>
      </c>
      <c r="D971" s="6" t="s">
        <v>159</v>
      </c>
      <c r="E971" s="6" t="s">
        <v>99</v>
      </c>
      <c r="F971" s="6" t="s">
        <v>100</v>
      </c>
      <c r="G971" s="6" t="s">
        <v>101</v>
      </c>
      <c r="H971" s="6" t="s">
        <v>102</v>
      </c>
      <c r="I971" s="6" t="s">
        <v>27</v>
      </c>
      <c r="J971" s="6" t="s">
        <v>106</v>
      </c>
      <c r="K971" s="6" t="s">
        <v>83</v>
      </c>
      <c r="L971" s="6" t="s">
        <v>2665</v>
      </c>
      <c r="M971" s="6" t="s">
        <v>30</v>
      </c>
      <c r="N971" s="6" t="s">
        <v>70</v>
      </c>
      <c r="O971" s="6">
        <v>22</v>
      </c>
      <c r="P971" s="6">
        <v>67.84</v>
      </c>
      <c r="Q971" s="6">
        <v>40.04</v>
      </c>
      <c r="R971" s="6">
        <v>1492.39</v>
      </c>
      <c r="S971" s="6">
        <v>0.2</v>
      </c>
      <c r="T971" s="6">
        <v>298.48</v>
      </c>
      <c r="U971" s="6">
        <v>1193.9100000000001</v>
      </c>
      <c r="V971" s="6">
        <v>880.78</v>
      </c>
      <c r="W971" s="6">
        <v>313.13</v>
      </c>
      <c r="X971" s="6" t="s">
        <v>45</v>
      </c>
    </row>
    <row r="972" spans="1:24" x14ac:dyDescent="0.25">
      <c r="A972" s="5" t="s">
        <v>1467</v>
      </c>
      <c r="B972" s="18">
        <v>45322</v>
      </c>
      <c r="C972" s="7" t="s">
        <v>499</v>
      </c>
      <c r="D972" s="7" t="s">
        <v>87</v>
      </c>
      <c r="E972" s="7" t="s">
        <v>216</v>
      </c>
      <c r="F972" s="7" t="s">
        <v>217</v>
      </c>
      <c r="G972" s="7" t="s">
        <v>38</v>
      </c>
      <c r="H972" s="7" t="s">
        <v>134</v>
      </c>
      <c r="I972" s="7" t="s">
        <v>53</v>
      </c>
      <c r="J972" s="7" t="s">
        <v>232</v>
      </c>
      <c r="K972" s="7" t="s">
        <v>178</v>
      </c>
      <c r="L972" s="7" t="s">
        <v>256</v>
      </c>
      <c r="M972" s="7" t="s">
        <v>61</v>
      </c>
      <c r="N972" s="7" t="s">
        <v>44</v>
      </c>
      <c r="O972" s="7">
        <v>56</v>
      </c>
      <c r="P972" s="7">
        <v>104.8</v>
      </c>
      <c r="Q972" s="7">
        <v>67.08</v>
      </c>
      <c r="R972" s="7">
        <v>5868.57</v>
      </c>
      <c r="S972" s="7">
        <v>0.02</v>
      </c>
      <c r="T972" s="7">
        <v>117.37</v>
      </c>
      <c r="U972" s="7">
        <v>5751.2</v>
      </c>
      <c r="V972" s="7">
        <v>3756.69</v>
      </c>
      <c r="W972" s="7">
        <v>1994.52</v>
      </c>
      <c r="X972" s="7" t="s">
        <v>45</v>
      </c>
    </row>
    <row r="973" spans="1:24" x14ac:dyDescent="0.25">
      <c r="A973" s="16" t="s">
        <v>1468</v>
      </c>
      <c r="B973" s="17">
        <v>45525</v>
      </c>
      <c r="C973" s="6" t="s">
        <v>1469</v>
      </c>
      <c r="D973" s="6" t="s">
        <v>121</v>
      </c>
      <c r="E973" s="6" t="s">
        <v>93</v>
      </c>
      <c r="F973" s="6" t="s">
        <v>94</v>
      </c>
      <c r="G973" s="6" t="s">
        <v>95</v>
      </c>
      <c r="H973" s="6" t="s">
        <v>96</v>
      </c>
      <c r="I973" s="6" t="s">
        <v>58</v>
      </c>
      <c r="J973" s="6" t="s">
        <v>73</v>
      </c>
      <c r="K973" s="6" t="s">
        <v>42</v>
      </c>
      <c r="L973" s="6" t="s">
        <v>2661</v>
      </c>
      <c r="M973" s="6" t="s">
        <v>153</v>
      </c>
      <c r="N973" s="6" t="s">
        <v>75</v>
      </c>
      <c r="O973" s="6">
        <v>77</v>
      </c>
      <c r="P973" s="6">
        <v>51.95</v>
      </c>
      <c r="Q973" s="6">
        <v>32.369999999999997</v>
      </c>
      <c r="R973" s="6">
        <v>4000.34</v>
      </c>
      <c r="S973" s="6">
        <v>0</v>
      </c>
      <c r="T973" s="6">
        <v>0</v>
      </c>
      <c r="U973" s="6">
        <v>4000.34</v>
      </c>
      <c r="V973" s="6">
        <v>2492.62</v>
      </c>
      <c r="W973" s="6">
        <v>1507.72</v>
      </c>
      <c r="X973" s="6" t="s">
        <v>45</v>
      </c>
    </row>
    <row r="974" spans="1:24" x14ac:dyDescent="0.25">
      <c r="A974" s="5" t="s">
        <v>1470</v>
      </c>
      <c r="B974" s="18">
        <v>45528</v>
      </c>
      <c r="C974" s="7" t="s">
        <v>739</v>
      </c>
      <c r="D974" s="7" t="s">
        <v>48</v>
      </c>
      <c r="E974" s="7" t="s">
        <v>209</v>
      </c>
      <c r="F974" s="7" t="s">
        <v>210</v>
      </c>
      <c r="G974" s="7" t="s">
        <v>51</v>
      </c>
      <c r="H974" s="7" t="s">
        <v>116</v>
      </c>
      <c r="I974" s="7" t="s">
        <v>27</v>
      </c>
      <c r="J974" s="7" t="s">
        <v>211</v>
      </c>
      <c r="K974" s="7" t="s">
        <v>118</v>
      </c>
      <c r="L974" s="7" t="s">
        <v>2668</v>
      </c>
      <c r="M974" s="7" t="s">
        <v>43</v>
      </c>
      <c r="N974" s="7" t="s">
        <v>44</v>
      </c>
      <c r="O974" s="7">
        <v>56</v>
      </c>
      <c r="P974" s="7">
        <v>18.87</v>
      </c>
      <c r="Q974" s="7">
        <v>9.3699999999999992</v>
      </c>
      <c r="R974" s="7">
        <v>1056.54</v>
      </c>
      <c r="S974" s="7">
        <v>0.1</v>
      </c>
      <c r="T974" s="7">
        <v>105.65</v>
      </c>
      <c r="U974" s="7">
        <v>950.89</v>
      </c>
      <c r="V974" s="7">
        <v>524.55999999999995</v>
      </c>
      <c r="W974" s="7">
        <v>426.33</v>
      </c>
      <c r="X974" s="7" t="s">
        <v>129</v>
      </c>
    </row>
    <row r="975" spans="1:24" x14ac:dyDescent="0.25">
      <c r="A975" s="16" t="s">
        <v>1471</v>
      </c>
      <c r="B975" s="17">
        <v>45608</v>
      </c>
      <c r="C975" s="6" t="s">
        <v>511</v>
      </c>
      <c r="D975" s="6" t="s">
        <v>163</v>
      </c>
      <c r="E975" s="6" t="s">
        <v>209</v>
      </c>
      <c r="F975" s="6" t="s">
        <v>210</v>
      </c>
      <c r="G975" s="6" t="s">
        <v>51</v>
      </c>
      <c r="H975" s="6" t="s">
        <v>116</v>
      </c>
      <c r="I975" s="6" t="s">
        <v>58</v>
      </c>
      <c r="J975" s="6" t="s">
        <v>323</v>
      </c>
      <c r="K975" s="6" t="s">
        <v>265</v>
      </c>
      <c r="L975" s="6" t="s">
        <v>2678</v>
      </c>
      <c r="M975" s="6" t="s">
        <v>30</v>
      </c>
      <c r="N975" s="6" t="s">
        <v>70</v>
      </c>
      <c r="O975" s="6">
        <v>59</v>
      </c>
      <c r="P975" s="6">
        <v>19.059999999999999</v>
      </c>
      <c r="Q975" s="6">
        <v>10.66</v>
      </c>
      <c r="R975" s="6">
        <v>1124.3699999999999</v>
      </c>
      <c r="S975" s="6">
        <v>0.2</v>
      </c>
      <c r="T975" s="6">
        <v>224.87</v>
      </c>
      <c r="U975" s="6">
        <v>899.5</v>
      </c>
      <c r="V975" s="6">
        <v>629.01</v>
      </c>
      <c r="W975" s="6">
        <v>270.49</v>
      </c>
      <c r="X975" s="6" t="s">
        <v>45</v>
      </c>
    </row>
    <row r="976" spans="1:24" x14ac:dyDescent="0.25">
      <c r="A976" s="5" t="s">
        <v>1472</v>
      </c>
      <c r="B976" s="18">
        <v>45605</v>
      </c>
      <c r="C976" s="7" t="s">
        <v>1171</v>
      </c>
      <c r="D976" s="7" t="s">
        <v>35</v>
      </c>
      <c r="E976" s="7" t="s">
        <v>49</v>
      </c>
      <c r="F976" s="7" t="s">
        <v>50</v>
      </c>
      <c r="G976" s="7" t="s">
        <v>51</v>
      </c>
      <c r="H976" s="7" t="s">
        <v>52</v>
      </c>
      <c r="I976" s="7" t="s">
        <v>40</v>
      </c>
      <c r="J976" s="7" t="s">
        <v>289</v>
      </c>
      <c r="K976" s="7" t="s">
        <v>69</v>
      </c>
      <c r="L976" s="7" t="s">
        <v>2663</v>
      </c>
      <c r="M976" s="7" t="s">
        <v>30</v>
      </c>
      <c r="N976" s="7" t="s">
        <v>44</v>
      </c>
      <c r="O976" s="7">
        <v>36</v>
      </c>
      <c r="P976" s="7">
        <v>24.18</v>
      </c>
      <c r="Q976" s="7">
        <v>13.93</v>
      </c>
      <c r="R976" s="7">
        <v>870.4</v>
      </c>
      <c r="S976" s="7">
        <v>0.2</v>
      </c>
      <c r="T976" s="7">
        <v>174.08</v>
      </c>
      <c r="U976" s="7">
        <v>696.32</v>
      </c>
      <c r="V976" s="7">
        <v>501.58</v>
      </c>
      <c r="W976" s="7">
        <v>194.74</v>
      </c>
      <c r="X976" s="7" t="s">
        <v>32</v>
      </c>
    </row>
    <row r="977" spans="1:24" x14ac:dyDescent="0.25">
      <c r="A977" s="16" t="s">
        <v>1473</v>
      </c>
      <c r="B977" s="17">
        <v>45467</v>
      </c>
      <c r="C977" s="6" t="s">
        <v>900</v>
      </c>
      <c r="D977" s="6" t="s">
        <v>22</v>
      </c>
      <c r="E977" s="6" t="s">
        <v>93</v>
      </c>
      <c r="F977" s="6" t="s">
        <v>94</v>
      </c>
      <c r="G977" s="6" t="s">
        <v>95</v>
      </c>
      <c r="H977" s="6" t="s">
        <v>96</v>
      </c>
      <c r="I977" s="6" t="s">
        <v>88</v>
      </c>
      <c r="J977" s="6" t="s">
        <v>89</v>
      </c>
      <c r="K977" s="6" t="s">
        <v>60</v>
      </c>
      <c r="L977" s="6" t="s">
        <v>2662</v>
      </c>
      <c r="M977" s="6" t="s">
        <v>153</v>
      </c>
      <c r="N977" s="6" t="s">
        <v>75</v>
      </c>
      <c r="O977" s="6">
        <v>53</v>
      </c>
      <c r="P977" s="6">
        <v>51.63</v>
      </c>
      <c r="Q977" s="6">
        <v>34.25</v>
      </c>
      <c r="R977" s="6">
        <v>2736.32</v>
      </c>
      <c r="S977" s="6">
        <v>0.15</v>
      </c>
      <c r="T977" s="6">
        <v>410.45</v>
      </c>
      <c r="U977" s="6">
        <v>2325.87</v>
      </c>
      <c r="V977" s="6">
        <v>1815.35</v>
      </c>
      <c r="W977" s="6">
        <v>510.52</v>
      </c>
      <c r="X977" s="6" t="s">
        <v>45</v>
      </c>
    </row>
    <row r="978" spans="1:24" x14ac:dyDescent="0.25">
      <c r="A978" s="5" t="s">
        <v>1474</v>
      </c>
      <c r="B978" s="18">
        <v>45462</v>
      </c>
      <c r="C978" s="7" t="s">
        <v>1215</v>
      </c>
      <c r="D978" s="7" t="s">
        <v>163</v>
      </c>
      <c r="E978" s="7" t="s">
        <v>150</v>
      </c>
      <c r="F978" s="7" t="s">
        <v>151</v>
      </c>
      <c r="G978" s="7" t="s">
        <v>101</v>
      </c>
      <c r="H978" s="7" t="s">
        <v>134</v>
      </c>
      <c r="I978" s="7" t="s">
        <v>53</v>
      </c>
      <c r="J978" s="7" t="s">
        <v>143</v>
      </c>
      <c r="K978" s="7" t="s">
        <v>195</v>
      </c>
      <c r="L978" s="7" t="s">
        <v>2673</v>
      </c>
      <c r="M978" s="7" t="s">
        <v>153</v>
      </c>
      <c r="N978" s="7" t="s">
        <v>84</v>
      </c>
      <c r="O978" s="7">
        <v>46</v>
      </c>
      <c r="P978" s="7">
        <v>89.23</v>
      </c>
      <c r="Q978" s="7">
        <v>52.11</v>
      </c>
      <c r="R978" s="7">
        <v>4104.6400000000003</v>
      </c>
      <c r="S978" s="7">
        <v>0.15</v>
      </c>
      <c r="T978" s="7">
        <v>615.70000000000005</v>
      </c>
      <c r="U978" s="7">
        <v>3488.94</v>
      </c>
      <c r="V978" s="7">
        <v>2397.0300000000002</v>
      </c>
      <c r="W978" s="7">
        <v>1091.9100000000001</v>
      </c>
      <c r="X978" s="7" t="s">
        <v>45</v>
      </c>
    </row>
    <row r="979" spans="1:24" x14ac:dyDescent="0.25">
      <c r="A979" s="16" t="s">
        <v>1475</v>
      </c>
      <c r="B979" s="17">
        <v>45382</v>
      </c>
      <c r="C979" s="6" t="s">
        <v>1476</v>
      </c>
      <c r="D979" s="6" t="s">
        <v>149</v>
      </c>
      <c r="E979" s="6" t="s">
        <v>216</v>
      </c>
      <c r="F979" s="6" t="s">
        <v>217</v>
      </c>
      <c r="G979" s="6" t="s">
        <v>38</v>
      </c>
      <c r="H979" s="6" t="s">
        <v>134</v>
      </c>
      <c r="I979" s="6" t="s">
        <v>88</v>
      </c>
      <c r="J979" s="6" t="s">
        <v>183</v>
      </c>
      <c r="K979" s="6" t="s">
        <v>60</v>
      </c>
      <c r="L979" s="6" t="s">
        <v>2662</v>
      </c>
      <c r="M979" s="6" t="s">
        <v>61</v>
      </c>
      <c r="N979" s="6" t="s">
        <v>70</v>
      </c>
      <c r="O979" s="6">
        <v>42</v>
      </c>
      <c r="P979" s="6">
        <v>105.53</v>
      </c>
      <c r="Q979" s="6">
        <v>63.36</v>
      </c>
      <c r="R979" s="6">
        <v>4432.21</v>
      </c>
      <c r="S979" s="6">
        <v>0</v>
      </c>
      <c r="T979" s="6">
        <v>0</v>
      </c>
      <c r="U979" s="6">
        <v>4432.21</v>
      </c>
      <c r="V979" s="6">
        <v>2661.23</v>
      </c>
      <c r="W979" s="6">
        <v>1770.99</v>
      </c>
      <c r="X979" s="6" t="s">
        <v>32</v>
      </c>
    </row>
    <row r="980" spans="1:24" x14ac:dyDescent="0.25">
      <c r="A980" s="5" t="s">
        <v>1477</v>
      </c>
      <c r="B980" s="18">
        <v>45496</v>
      </c>
      <c r="C980" s="7" t="s">
        <v>515</v>
      </c>
      <c r="D980" s="7" t="s">
        <v>48</v>
      </c>
      <c r="E980" s="7" t="s">
        <v>209</v>
      </c>
      <c r="F980" s="7" t="s">
        <v>210</v>
      </c>
      <c r="G980" s="7" t="s">
        <v>51</v>
      </c>
      <c r="H980" s="7" t="s">
        <v>116</v>
      </c>
      <c r="I980" s="7" t="s">
        <v>53</v>
      </c>
      <c r="J980" s="7" t="s">
        <v>122</v>
      </c>
      <c r="K980" s="7" t="s">
        <v>218</v>
      </c>
      <c r="L980" s="7" t="s">
        <v>2674</v>
      </c>
      <c r="M980" s="7" t="s">
        <v>43</v>
      </c>
      <c r="N980" s="7" t="s">
        <v>31</v>
      </c>
      <c r="O980" s="7">
        <v>13</v>
      </c>
      <c r="P980" s="7">
        <v>17.62</v>
      </c>
      <c r="Q980" s="7">
        <v>9.2899999999999991</v>
      </c>
      <c r="R980" s="7">
        <v>229.05</v>
      </c>
      <c r="S980" s="7">
        <v>0.05</v>
      </c>
      <c r="T980" s="7">
        <v>11.45</v>
      </c>
      <c r="U980" s="7">
        <v>217.6</v>
      </c>
      <c r="V980" s="7">
        <v>120.81</v>
      </c>
      <c r="W980" s="7">
        <v>96.79</v>
      </c>
      <c r="X980" s="7" t="s">
        <v>129</v>
      </c>
    </row>
    <row r="981" spans="1:24" x14ac:dyDescent="0.25">
      <c r="A981" s="16" t="s">
        <v>1478</v>
      </c>
      <c r="B981" s="17">
        <v>45513</v>
      </c>
      <c r="C981" s="6" t="s">
        <v>757</v>
      </c>
      <c r="D981" s="6" t="s">
        <v>163</v>
      </c>
      <c r="E981" s="6" t="s">
        <v>222</v>
      </c>
      <c r="F981" s="6" t="s">
        <v>223</v>
      </c>
      <c r="G981" s="6" t="s">
        <v>101</v>
      </c>
      <c r="H981" s="6" t="s">
        <v>68</v>
      </c>
      <c r="I981" s="6" t="s">
        <v>58</v>
      </c>
      <c r="J981" s="6" t="s">
        <v>345</v>
      </c>
      <c r="K981" s="6" t="s">
        <v>83</v>
      </c>
      <c r="L981" s="6" t="s">
        <v>2665</v>
      </c>
      <c r="M981" s="6" t="s">
        <v>61</v>
      </c>
      <c r="N981" s="6" t="s">
        <v>44</v>
      </c>
      <c r="O981" s="6">
        <v>13</v>
      </c>
      <c r="P981" s="6">
        <v>118.97</v>
      </c>
      <c r="Q981" s="6">
        <v>81.72</v>
      </c>
      <c r="R981" s="6">
        <v>1546.63</v>
      </c>
      <c r="S981" s="6">
        <v>0.2</v>
      </c>
      <c r="T981" s="6">
        <v>309.33</v>
      </c>
      <c r="U981" s="6">
        <v>1237.3</v>
      </c>
      <c r="V981" s="6">
        <v>1062.4100000000001</v>
      </c>
      <c r="W981" s="6">
        <v>174.89</v>
      </c>
      <c r="X981" s="6" t="s">
        <v>129</v>
      </c>
    </row>
    <row r="982" spans="1:24" x14ac:dyDescent="0.25">
      <c r="A982" s="5" t="s">
        <v>1479</v>
      </c>
      <c r="B982" s="18">
        <v>45468</v>
      </c>
      <c r="C982" s="7" t="s">
        <v>600</v>
      </c>
      <c r="D982" s="7" t="s">
        <v>87</v>
      </c>
      <c r="E982" s="7" t="s">
        <v>216</v>
      </c>
      <c r="F982" s="7" t="s">
        <v>217</v>
      </c>
      <c r="G982" s="7" t="s">
        <v>38</v>
      </c>
      <c r="H982" s="7" t="s">
        <v>134</v>
      </c>
      <c r="I982" s="7" t="s">
        <v>88</v>
      </c>
      <c r="J982" s="7" t="s">
        <v>135</v>
      </c>
      <c r="K982" s="7" t="s">
        <v>152</v>
      </c>
      <c r="L982" s="7" t="s">
        <v>2670</v>
      </c>
      <c r="M982" s="7" t="s">
        <v>30</v>
      </c>
      <c r="N982" s="7" t="s">
        <v>75</v>
      </c>
      <c r="O982" s="7">
        <v>2</v>
      </c>
      <c r="P982" s="7">
        <v>104.07</v>
      </c>
      <c r="Q982" s="7">
        <v>64.150000000000006</v>
      </c>
      <c r="R982" s="7">
        <v>208.14</v>
      </c>
      <c r="S982" s="7">
        <v>0.05</v>
      </c>
      <c r="T982" s="7">
        <v>10.41</v>
      </c>
      <c r="U982" s="7">
        <v>197.73</v>
      </c>
      <c r="V982" s="7">
        <v>128.29</v>
      </c>
      <c r="W982" s="7">
        <v>69.44</v>
      </c>
      <c r="X982" s="7" t="s">
        <v>45</v>
      </c>
    </row>
    <row r="983" spans="1:24" x14ac:dyDescent="0.25">
      <c r="A983" s="16" t="s">
        <v>1480</v>
      </c>
      <c r="B983" s="17">
        <v>45477</v>
      </c>
      <c r="C983" s="6" t="s">
        <v>247</v>
      </c>
      <c r="D983" s="6" t="s">
        <v>65</v>
      </c>
      <c r="E983" s="6" t="s">
        <v>114</v>
      </c>
      <c r="F983" s="6" t="s">
        <v>115</v>
      </c>
      <c r="G983" s="6" t="s">
        <v>95</v>
      </c>
      <c r="H983" s="6" t="s">
        <v>116</v>
      </c>
      <c r="I983" s="6" t="s">
        <v>53</v>
      </c>
      <c r="J983" s="6" t="s">
        <v>143</v>
      </c>
      <c r="K983" s="6" t="s">
        <v>195</v>
      </c>
      <c r="L983" s="6" t="s">
        <v>2673</v>
      </c>
      <c r="M983" s="6" t="s">
        <v>30</v>
      </c>
      <c r="N983" s="6" t="s">
        <v>84</v>
      </c>
      <c r="O983" s="6">
        <v>79</v>
      </c>
      <c r="P983" s="6">
        <v>35.4</v>
      </c>
      <c r="Q983" s="6">
        <v>19.8</v>
      </c>
      <c r="R983" s="6">
        <v>2796.53</v>
      </c>
      <c r="S983" s="6">
        <v>0.02</v>
      </c>
      <c r="T983" s="6">
        <v>55.93</v>
      </c>
      <c r="U983" s="6">
        <v>2740.6</v>
      </c>
      <c r="V983" s="6">
        <v>1564.24</v>
      </c>
      <c r="W983" s="6">
        <v>1176.3599999999999</v>
      </c>
      <c r="X983" s="6" t="s">
        <v>45</v>
      </c>
    </row>
    <row r="984" spans="1:24" x14ac:dyDescent="0.25">
      <c r="A984" s="5" t="s">
        <v>1481</v>
      </c>
      <c r="B984" s="18">
        <v>45402</v>
      </c>
      <c r="C984" s="7" t="s">
        <v>146</v>
      </c>
      <c r="D984" s="7" t="s">
        <v>105</v>
      </c>
      <c r="E984" s="7" t="s">
        <v>66</v>
      </c>
      <c r="F984" s="7" t="s">
        <v>67</v>
      </c>
      <c r="G984" s="7" t="s">
        <v>38</v>
      </c>
      <c r="H984" s="7" t="s">
        <v>68</v>
      </c>
      <c r="I984" s="7" t="s">
        <v>27</v>
      </c>
      <c r="J984" s="7" t="s">
        <v>106</v>
      </c>
      <c r="K984" s="7" t="s">
        <v>265</v>
      </c>
      <c r="L984" s="7" t="s">
        <v>2678</v>
      </c>
      <c r="M984" s="7" t="s">
        <v>153</v>
      </c>
      <c r="N984" s="7" t="s">
        <v>31</v>
      </c>
      <c r="O984" s="7">
        <v>25</v>
      </c>
      <c r="P984" s="7">
        <v>165.59</v>
      </c>
      <c r="Q984" s="7">
        <v>110.03</v>
      </c>
      <c r="R984" s="7">
        <v>4139.8100000000004</v>
      </c>
      <c r="S984" s="7">
        <v>0.1</v>
      </c>
      <c r="T984" s="7">
        <v>413.98</v>
      </c>
      <c r="U984" s="7">
        <v>3725.83</v>
      </c>
      <c r="V984" s="7">
        <v>2750.86</v>
      </c>
      <c r="W984" s="7">
        <v>974.97</v>
      </c>
      <c r="X984" s="7" t="s">
        <v>129</v>
      </c>
    </row>
    <row r="985" spans="1:24" x14ac:dyDescent="0.25">
      <c r="A985" s="16" t="s">
        <v>1482</v>
      </c>
      <c r="B985" s="17">
        <v>45350</v>
      </c>
      <c r="C985" s="6" t="s">
        <v>485</v>
      </c>
      <c r="D985" s="6" t="s">
        <v>22</v>
      </c>
      <c r="E985" s="6" t="s">
        <v>250</v>
      </c>
      <c r="F985" s="6" t="s">
        <v>251</v>
      </c>
      <c r="G985" s="6" t="s">
        <v>51</v>
      </c>
      <c r="H985" s="6" t="s">
        <v>252</v>
      </c>
      <c r="I985" s="6" t="s">
        <v>53</v>
      </c>
      <c r="J985" s="6" t="s">
        <v>122</v>
      </c>
      <c r="K985" s="6" t="s">
        <v>248</v>
      </c>
      <c r="L985" s="6" t="s">
        <v>2675</v>
      </c>
      <c r="M985" s="6" t="s">
        <v>30</v>
      </c>
      <c r="N985" s="6" t="s">
        <v>70</v>
      </c>
      <c r="O985" s="6">
        <v>35</v>
      </c>
      <c r="P985" s="6">
        <v>66.72</v>
      </c>
      <c r="Q985" s="6">
        <v>39.799999999999997</v>
      </c>
      <c r="R985" s="6">
        <v>2335.0300000000002</v>
      </c>
      <c r="S985" s="6">
        <v>0</v>
      </c>
      <c r="T985" s="6">
        <v>0</v>
      </c>
      <c r="U985" s="6">
        <v>2335.0300000000002</v>
      </c>
      <c r="V985" s="6">
        <v>1392.87</v>
      </c>
      <c r="W985" s="6">
        <v>942.16</v>
      </c>
      <c r="X985" s="6" t="s">
        <v>45</v>
      </c>
    </row>
    <row r="986" spans="1:24" x14ac:dyDescent="0.25">
      <c r="A986" s="5" t="s">
        <v>1483</v>
      </c>
      <c r="B986" s="18">
        <v>45305</v>
      </c>
      <c r="C986" s="7"/>
      <c r="D986" s="7"/>
      <c r="E986" s="7" t="s">
        <v>250</v>
      </c>
      <c r="F986" s="7" t="s">
        <v>251</v>
      </c>
      <c r="G986" s="7" t="s">
        <v>51</v>
      </c>
      <c r="H986" s="7" t="s">
        <v>252</v>
      </c>
      <c r="I986" s="7" t="s">
        <v>27</v>
      </c>
      <c r="J986" s="7" t="s">
        <v>189</v>
      </c>
      <c r="K986" s="7" t="s">
        <v>178</v>
      </c>
      <c r="L986" s="7" t="s">
        <v>256</v>
      </c>
      <c r="M986" s="7" t="s">
        <v>43</v>
      </c>
      <c r="N986" s="7" t="s">
        <v>44</v>
      </c>
      <c r="O986" s="7">
        <v>26</v>
      </c>
      <c r="P986" s="7">
        <v>64.81</v>
      </c>
      <c r="Q986" s="7">
        <v>36.15</v>
      </c>
      <c r="R986" s="7">
        <v>1685.14</v>
      </c>
      <c r="S986" s="7">
        <v>0.15</v>
      </c>
      <c r="T986" s="7">
        <v>252.77</v>
      </c>
      <c r="U986" s="7">
        <v>1432.37</v>
      </c>
      <c r="V986" s="7">
        <v>939.96</v>
      </c>
      <c r="W986" s="7">
        <v>492.41</v>
      </c>
      <c r="X986" s="7" t="s">
        <v>45</v>
      </c>
    </row>
    <row r="987" spans="1:24" x14ac:dyDescent="0.25">
      <c r="A987" s="16" t="s">
        <v>1484</v>
      </c>
      <c r="B987" s="17">
        <v>45605</v>
      </c>
      <c r="C987" s="6" t="s">
        <v>623</v>
      </c>
      <c r="D987" s="6" t="s">
        <v>156</v>
      </c>
      <c r="E987" s="6" t="s">
        <v>222</v>
      </c>
      <c r="F987" s="6" t="s">
        <v>223</v>
      </c>
      <c r="G987" s="6" t="s">
        <v>101</v>
      </c>
      <c r="H987" s="6" t="s">
        <v>68</v>
      </c>
      <c r="I987" s="6" t="s">
        <v>40</v>
      </c>
      <c r="J987" s="6" t="s">
        <v>289</v>
      </c>
      <c r="K987" s="6" t="s">
        <v>170</v>
      </c>
      <c r="L987" s="6" t="s">
        <v>2671</v>
      </c>
      <c r="M987" s="6" t="s">
        <v>30</v>
      </c>
      <c r="N987" s="6" t="s">
        <v>31</v>
      </c>
      <c r="O987" s="6">
        <v>7</v>
      </c>
      <c r="P987" s="6">
        <v>118.58</v>
      </c>
      <c r="Q987" s="6">
        <v>77.39</v>
      </c>
      <c r="R987" s="6">
        <v>830.08</v>
      </c>
      <c r="S987" s="6">
        <v>0.05</v>
      </c>
      <c r="T987" s="6">
        <v>41.5</v>
      </c>
      <c r="U987" s="6">
        <v>788.57</v>
      </c>
      <c r="V987" s="6">
        <v>541.75</v>
      </c>
      <c r="W987" s="6">
        <v>246.82</v>
      </c>
      <c r="X987" s="6" t="s">
        <v>32</v>
      </c>
    </row>
    <row r="988" spans="1:24" x14ac:dyDescent="0.25">
      <c r="A988" s="5" t="s">
        <v>1485</v>
      </c>
      <c r="B988" s="18">
        <v>45303</v>
      </c>
      <c r="C988" s="7" t="s">
        <v>658</v>
      </c>
      <c r="D988" s="7" t="s">
        <v>264</v>
      </c>
      <c r="E988" s="7" t="s">
        <v>132</v>
      </c>
      <c r="F988" s="7" t="s">
        <v>133</v>
      </c>
      <c r="G988" s="7" t="s">
        <v>51</v>
      </c>
      <c r="H988" s="7" t="s">
        <v>134</v>
      </c>
      <c r="I988" s="7" t="s">
        <v>88</v>
      </c>
      <c r="J988" s="7" t="s">
        <v>89</v>
      </c>
      <c r="K988" s="7" t="s">
        <v>29</v>
      </c>
      <c r="L988" s="7" t="s">
        <v>2660</v>
      </c>
      <c r="M988" s="7" t="s">
        <v>30</v>
      </c>
      <c r="N988" s="7" t="s">
        <v>44</v>
      </c>
      <c r="O988" s="7">
        <v>12</v>
      </c>
      <c r="P988" s="7">
        <v>61.84</v>
      </c>
      <c r="Q988" s="7">
        <v>33.770000000000003</v>
      </c>
      <c r="R988" s="7">
        <v>742.12</v>
      </c>
      <c r="S988" s="7">
        <v>0.02</v>
      </c>
      <c r="T988" s="7">
        <v>14.84</v>
      </c>
      <c r="U988" s="7">
        <v>727.28</v>
      </c>
      <c r="V988" s="7">
        <v>405.25</v>
      </c>
      <c r="W988" s="7">
        <v>322.02</v>
      </c>
      <c r="X988" s="7" t="s">
        <v>32</v>
      </c>
    </row>
    <row r="989" spans="1:24" x14ac:dyDescent="0.25">
      <c r="A989" s="16" t="s">
        <v>1486</v>
      </c>
      <c r="B989" s="17">
        <v>45584</v>
      </c>
      <c r="C989" s="6" t="s">
        <v>483</v>
      </c>
      <c r="D989" s="6" t="s">
        <v>159</v>
      </c>
      <c r="E989" s="6" t="s">
        <v>126</v>
      </c>
      <c r="F989" s="6" t="s">
        <v>127</v>
      </c>
      <c r="G989" s="6" t="s">
        <v>95</v>
      </c>
      <c r="H989" s="6" t="s">
        <v>128</v>
      </c>
      <c r="I989" s="6" t="s">
        <v>40</v>
      </c>
      <c r="J989" s="6" t="s">
        <v>289</v>
      </c>
      <c r="K989" s="6" t="s">
        <v>111</v>
      </c>
      <c r="L989" s="6" t="s">
        <v>2667</v>
      </c>
      <c r="M989" s="6" t="s">
        <v>61</v>
      </c>
      <c r="N989" s="6" t="s">
        <v>84</v>
      </c>
      <c r="O989" s="6">
        <v>65</v>
      </c>
      <c r="P989" s="6">
        <v>84.44</v>
      </c>
      <c r="Q989" s="6">
        <v>50.04</v>
      </c>
      <c r="R989" s="6">
        <v>5488.79</v>
      </c>
      <c r="S989" s="6">
        <v>0.05</v>
      </c>
      <c r="T989" s="6">
        <v>274.44</v>
      </c>
      <c r="U989" s="6">
        <v>5214.3500000000004</v>
      </c>
      <c r="V989" s="6">
        <v>3252.77</v>
      </c>
      <c r="W989" s="6">
        <v>1961.59</v>
      </c>
      <c r="X989" s="6" t="s">
        <v>45</v>
      </c>
    </row>
    <row r="990" spans="1:24" x14ac:dyDescent="0.25">
      <c r="A990" s="5" t="s">
        <v>1487</v>
      </c>
      <c r="B990" s="18">
        <v>45628</v>
      </c>
      <c r="C990" s="7" t="s">
        <v>1488</v>
      </c>
      <c r="D990" s="7" t="s">
        <v>149</v>
      </c>
      <c r="E990" s="7" t="s">
        <v>187</v>
      </c>
      <c r="F990" s="7" t="s">
        <v>188</v>
      </c>
      <c r="G990" s="7" t="s">
        <v>25</v>
      </c>
      <c r="H990" s="7" t="s">
        <v>26</v>
      </c>
      <c r="I990" s="7" t="s">
        <v>40</v>
      </c>
      <c r="J990" s="7" t="s">
        <v>41</v>
      </c>
      <c r="K990" s="7" t="s">
        <v>111</v>
      </c>
      <c r="L990" s="7" t="s">
        <v>2667</v>
      </c>
      <c r="M990" s="7" t="s">
        <v>153</v>
      </c>
      <c r="N990" s="7" t="s">
        <v>70</v>
      </c>
      <c r="O990" s="7">
        <v>1</v>
      </c>
      <c r="P990" s="7">
        <v>45.85</v>
      </c>
      <c r="Q990" s="7">
        <v>28.31</v>
      </c>
      <c r="R990" s="7">
        <v>45.85</v>
      </c>
      <c r="S990" s="7">
        <v>0.1</v>
      </c>
      <c r="T990" s="7">
        <v>4.59</v>
      </c>
      <c r="U990" s="7">
        <v>41.27</v>
      </c>
      <c r="V990" s="7">
        <v>28.31</v>
      </c>
      <c r="W990" s="7">
        <v>12.96</v>
      </c>
      <c r="X990" s="7" t="s">
        <v>45</v>
      </c>
    </row>
    <row r="991" spans="1:24" x14ac:dyDescent="0.25">
      <c r="A991" s="16" t="s">
        <v>1489</v>
      </c>
      <c r="B991" s="17">
        <v>45557</v>
      </c>
      <c r="C991" s="6" t="s">
        <v>1236</v>
      </c>
      <c r="D991" s="6" t="s">
        <v>156</v>
      </c>
      <c r="E991" s="6" t="s">
        <v>109</v>
      </c>
      <c r="F991" s="6" t="s">
        <v>110</v>
      </c>
      <c r="G991" s="6" t="s">
        <v>80</v>
      </c>
      <c r="H991" s="6" t="s">
        <v>81</v>
      </c>
      <c r="I991" s="6" t="s">
        <v>53</v>
      </c>
      <c r="J991" s="6" t="s">
        <v>143</v>
      </c>
      <c r="K991" s="6" t="s">
        <v>111</v>
      </c>
      <c r="L991" s="6" t="s">
        <v>2667</v>
      </c>
      <c r="M991" s="6" t="s">
        <v>153</v>
      </c>
      <c r="N991" s="6" t="s">
        <v>84</v>
      </c>
      <c r="O991" s="6">
        <v>25</v>
      </c>
      <c r="P991" s="6">
        <v>119.11</v>
      </c>
      <c r="Q991" s="6">
        <v>69.52</v>
      </c>
      <c r="R991" s="6">
        <v>2977.84</v>
      </c>
      <c r="S991" s="6">
        <v>0.1</v>
      </c>
      <c r="T991" s="6">
        <v>297.77999999999997</v>
      </c>
      <c r="U991" s="6">
        <v>2680.06</v>
      </c>
      <c r="V991" s="6">
        <v>1737.93</v>
      </c>
      <c r="W991" s="6">
        <v>942.13</v>
      </c>
      <c r="X991" s="6" t="s">
        <v>32</v>
      </c>
    </row>
    <row r="992" spans="1:24" x14ac:dyDescent="0.25">
      <c r="A992" s="5" t="s">
        <v>1490</v>
      </c>
      <c r="B992" s="18">
        <v>45447</v>
      </c>
      <c r="C992" s="7" t="s">
        <v>936</v>
      </c>
      <c r="D992" s="7" t="s">
        <v>57</v>
      </c>
      <c r="E992" s="7" t="s">
        <v>222</v>
      </c>
      <c r="F992" s="7" t="s">
        <v>223</v>
      </c>
      <c r="G992" s="7" t="s">
        <v>101</v>
      </c>
      <c r="H992" s="7" t="s">
        <v>68</v>
      </c>
      <c r="I992" s="7" t="s">
        <v>88</v>
      </c>
      <c r="J992" s="7" t="s">
        <v>183</v>
      </c>
      <c r="K992" s="7" t="s">
        <v>248</v>
      </c>
      <c r="L992" s="7" t="s">
        <v>2675</v>
      </c>
      <c r="M992" s="7" t="s">
        <v>43</v>
      </c>
      <c r="N992" s="7" t="s">
        <v>75</v>
      </c>
      <c r="O992" s="7">
        <v>38</v>
      </c>
      <c r="P992" s="7">
        <v>120.43</v>
      </c>
      <c r="Q992" s="7">
        <v>75.5</v>
      </c>
      <c r="R992" s="7">
        <v>4576.47</v>
      </c>
      <c r="S992" s="7">
        <v>0.05</v>
      </c>
      <c r="T992" s="7">
        <v>228.82</v>
      </c>
      <c r="U992" s="7">
        <v>4347.6499999999996</v>
      </c>
      <c r="V992" s="7">
        <v>2868.95</v>
      </c>
      <c r="W992" s="7">
        <v>1478.7</v>
      </c>
      <c r="X992" s="7" t="s">
        <v>32</v>
      </c>
    </row>
    <row r="993" spans="1:24" x14ac:dyDescent="0.25">
      <c r="A993" s="16" t="s">
        <v>1491</v>
      </c>
      <c r="B993" s="17">
        <v>45306</v>
      </c>
      <c r="C993" s="6" t="s">
        <v>584</v>
      </c>
      <c r="D993" s="6" t="s">
        <v>105</v>
      </c>
      <c r="E993" s="6" t="s">
        <v>36</v>
      </c>
      <c r="F993" s="6" t="s">
        <v>37</v>
      </c>
      <c r="G993" s="6" t="s">
        <v>38</v>
      </c>
      <c r="H993" s="6" t="s">
        <v>39</v>
      </c>
      <c r="I993" s="6" t="s">
        <v>53</v>
      </c>
      <c r="J993" s="6" t="s">
        <v>122</v>
      </c>
      <c r="K993" s="6" t="s">
        <v>29</v>
      </c>
      <c r="L993" s="6" t="s">
        <v>2660</v>
      </c>
      <c r="M993" s="6" t="s">
        <v>30</v>
      </c>
      <c r="N993" s="6" t="s">
        <v>31</v>
      </c>
      <c r="O993" s="6">
        <v>48</v>
      </c>
      <c r="P993" s="6">
        <v>152.56</v>
      </c>
      <c r="Q993" s="6">
        <v>100.32</v>
      </c>
      <c r="R993" s="6">
        <v>7322.71</v>
      </c>
      <c r="S993" s="6">
        <v>0.2</v>
      </c>
      <c r="T993" s="6">
        <v>1464.54</v>
      </c>
      <c r="U993" s="6">
        <v>5858.17</v>
      </c>
      <c r="V993" s="6">
        <v>4815.3</v>
      </c>
      <c r="W993" s="6">
        <v>1042.8699999999999</v>
      </c>
      <c r="X993" s="6" t="s">
        <v>129</v>
      </c>
    </row>
    <row r="994" spans="1:24" x14ac:dyDescent="0.25">
      <c r="A994" s="5" t="s">
        <v>1492</v>
      </c>
      <c r="B994" s="18">
        <v>45478</v>
      </c>
      <c r="C994" s="7" t="s">
        <v>1493</v>
      </c>
      <c r="D994" s="7" t="s">
        <v>159</v>
      </c>
      <c r="E994" s="7" t="s">
        <v>141</v>
      </c>
      <c r="F994" s="7" t="s">
        <v>142</v>
      </c>
      <c r="G994" s="7" t="s">
        <v>25</v>
      </c>
      <c r="H994" s="7" t="s">
        <v>26</v>
      </c>
      <c r="I994" s="7" t="s">
        <v>40</v>
      </c>
      <c r="J994" s="7" t="s">
        <v>82</v>
      </c>
      <c r="K994" s="7" t="s">
        <v>218</v>
      </c>
      <c r="L994" s="7" t="s">
        <v>2674</v>
      </c>
      <c r="M994" s="7" t="s">
        <v>61</v>
      </c>
      <c r="N994" s="7" t="s">
        <v>44</v>
      </c>
      <c r="O994" s="7">
        <v>41</v>
      </c>
      <c r="P994" s="7">
        <v>92.36</v>
      </c>
      <c r="Q994" s="7">
        <v>56.14</v>
      </c>
      <c r="R994" s="7">
        <v>3786.72</v>
      </c>
      <c r="S994" s="7">
        <v>0.2</v>
      </c>
      <c r="T994" s="7">
        <v>757.34</v>
      </c>
      <c r="U994" s="7">
        <v>3029.38</v>
      </c>
      <c r="V994" s="7">
        <v>2301.67</v>
      </c>
      <c r="W994" s="7">
        <v>727.71</v>
      </c>
      <c r="X994" s="7" t="s">
        <v>45</v>
      </c>
    </row>
    <row r="995" spans="1:24" x14ac:dyDescent="0.25">
      <c r="A995" s="16" t="s">
        <v>1494</v>
      </c>
      <c r="B995" s="17">
        <v>45384</v>
      </c>
      <c r="C995" s="6" t="s">
        <v>602</v>
      </c>
      <c r="D995" s="6" t="s">
        <v>159</v>
      </c>
      <c r="E995" s="6" t="s">
        <v>141</v>
      </c>
      <c r="F995" s="6" t="s">
        <v>142</v>
      </c>
      <c r="G995" s="6" t="s">
        <v>25</v>
      </c>
      <c r="H995" s="6" t="s">
        <v>26</v>
      </c>
      <c r="I995" s="6" t="s">
        <v>53</v>
      </c>
      <c r="J995" s="6" t="s">
        <v>54</v>
      </c>
      <c r="K995" s="6" t="s">
        <v>195</v>
      </c>
      <c r="L995" s="6" t="s">
        <v>2673</v>
      </c>
      <c r="M995" s="6" t="s">
        <v>43</v>
      </c>
      <c r="N995" s="6" t="s">
        <v>84</v>
      </c>
      <c r="O995" s="6"/>
      <c r="P995" s="6">
        <v>91.71</v>
      </c>
      <c r="Q995" s="6">
        <v>56.73</v>
      </c>
      <c r="R995" s="6">
        <v>366.85</v>
      </c>
      <c r="S995" s="6">
        <v>0.05</v>
      </c>
      <c r="T995" s="6">
        <v>18.34</v>
      </c>
      <c r="U995" s="6">
        <v>348.51</v>
      </c>
      <c r="V995" s="6">
        <v>226.92</v>
      </c>
      <c r="W995" s="6">
        <v>121.59</v>
      </c>
      <c r="X995" s="6" t="s">
        <v>45</v>
      </c>
    </row>
    <row r="996" spans="1:24" x14ac:dyDescent="0.25">
      <c r="A996" s="5" t="s">
        <v>1495</v>
      </c>
      <c r="B996" s="18">
        <v>45297</v>
      </c>
      <c r="C996" s="7" t="s">
        <v>454</v>
      </c>
      <c r="D996" s="7" t="s">
        <v>156</v>
      </c>
      <c r="E996" s="7" t="s">
        <v>209</v>
      </c>
      <c r="F996" s="7" t="s">
        <v>210</v>
      </c>
      <c r="G996" s="7" t="s">
        <v>51</v>
      </c>
      <c r="H996" s="7" t="s">
        <v>116</v>
      </c>
      <c r="I996" s="7" t="s">
        <v>88</v>
      </c>
      <c r="J996" s="7" t="s">
        <v>173</v>
      </c>
      <c r="K996" s="7" t="s">
        <v>111</v>
      </c>
      <c r="L996" s="7" t="s">
        <v>2667</v>
      </c>
      <c r="M996" s="7" t="s">
        <v>61</v>
      </c>
      <c r="N996" s="7" t="s">
        <v>75</v>
      </c>
      <c r="O996" s="7">
        <v>18</v>
      </c>
      <c r="P996" s="7">
        <v>18.440000000000001</v>
      </c>
      <c r="Q996" s="7">
        <v>10.19</v>
      </c>
      <c r="R996" s="7">
        <v>331.84</v>
      </c>
      <c r="S996" s="7">
        <v>0</v>
      </c>
      <c r="T996" s="7">
        <v>0</v>
      </c>
      <c r="U996" s="7">
        <v>331.84</v>
      </c>
      <c r="V996" s="7">
        <v>183.48</v>
      </c>
      <c r="W996" s="7">
        <v>148.35</v>
      </c>
      <c r="X996" s="7" t="s">
        <v>45</v>
      </c>
    </row>
    <row r="997" spans="1:24" x14ac:dyDescent="0.25">
      <c r="A997" s="16" t="s">
        <v>1496</v>
      </c>
      <c r="B997" s="17">
        <v>45452</v>
      </c>
      <c r="C997" s="6" t="s">
        <v>331</v>
      </c>
      <c r="D997" s="6" t="s">
        <v>48</v>
      </c>
      <c r="E997" s="6" t="s">
        <v>150</v>
      </c>
      <c r="F997" s="6" t="s">
        <v>151</v>
      </c>
      <c r="G997" s="6" t="s">
        <v>101</v>
      </c>
      <c r="H997" s="6" t="s">
        <v>134</v>
      </c>
      <c r="I997" s="6" t="s">
        <v>53</v>
      </c>
      <c r="J997" s="6" t="s">
        <v>122</v>
      </c>
      <c r="K997" s="6" t="s">
        <v>29</v>
      </c>
      <c r="L997" s="6" t="s">
        <v>2660</v>
      </c>
      <c r="M997" s="6" t="s">
        <v>61</v>
      </c>
      <c r="N997" s="6" t="s">
        <v>70</v>
      </c>
      <c r="O997" s="6">
        <v>53</v>
      </c>
      <c r="P997" s="6">
        <v>85.44</v>
      </c>
      <c r="Q997" s="6">
        <v>48.9</v>
      </c>
      <c r="R997" s="6">
        <v>4528.51</v>
      </c>
      <c r="S997" s="6">
        <v>0</v>
      </c>
      <c r="T997" s="6">
        <v>0</v>
      </c>
      <c r="U997" s="6">
        <v>4528.51</v>
      </c>
      <c r="V997" s="6">
        <v>2591.62</v>
      </c>
      <c r="W997" s="6">
        <v>1936.89</v>
      </c>
      <c r="X997" s="6" t="s">
        <v>45</v>
      </c>
    </row>
    <row r="998" spans="1:24" x14ac:dyDescent="0.25">
      <c r="A998" s="5" t="s">
        <v>1497</v>
      </c>
      <c r="B998" s="18">
        <v>45393</v>
      </c>
      <c r="C998" s="7" t="s">
        <v>852</v>
      </c>
      <c r="D998" s="7" t="s">
        <v>57</v>
      </c>
      <c r="E998" s="7" t="s">
        <v>209</v>
      </c>
      <c r="F998" s="7" t="s">
        <v>210</v>
      </c>
      <c r="G998" s="7" t="s">
        <v>51</v>
      </c>
      <c r="H998" s="7" t="s">
        <v>116</v>
      </c>
      <c r="I998" s="7" t="s">
        <v>58</v>
      </c>
      <c r="J998" s="7" t="s">
        <v>73</v>
      </c>
      <c r="K998" s="7" t="s">
        <v>60</v>
      </c>
      <c r="L998" s="7" t="s">
        <v>2662</v>
      </c>
      <c r="M998" s="7" t="s">
        <v>30</v>
      </c>
      <c r="N998" s="7" t="s">
        <v>44</v>
      </c>
      <c r="O998" s="7">
        <v>3</v>
      </c>
      <c r="P998" s="7">
        <v>18.7</v>
      </c>
      <c r="Q998" s="7">
        <v>10.38</v>
      </c>
      <c r="R998" s="7">
        <v>56.1</v>
      </c>
      <c r="S998" s="7">
        <v>0.02</v>
      </c>
      <c r="T998" s="7">
        <v>1.1200000000000001</v>
      </c>
      <c r="U998" s="7">
        <v>54.98</v>
      </c>
      <c r="V998" s="7">
        <v>31.14</v>
      </c>
      <c r="W998" s="7">
        <v>23.83</v>
      </c>
      <c r="X998" s="7" t="s">
        <v>129</v>
      </c>
    </row>
    <row r="999" spans="1:24" x14ac:dyDescent="0.25">
      <c r="A999" s="16" t="s">
        <v>1498</v>
      </c>
      <c r="B999" s="17">
        <v>45353</v>
      </c>
      <c r="C999" s="6" t="s">
        <v>203</v>
      </c>
      <c r="D999" s="6" t="s">
        <v>156</v>
      </c>
      <c r="E999" s="6" t="s">
        <v>150</v>
      </c>
      <c r="F999" s="6" t="s">
        <v>151</v>
      </c>
      <c r="G999" s="6" t="s">
        <v>101</v>
      </c>
      <c r="H999" s="6" t="s">
        <v>134</v>
      </c>
      <c r="I999" s="6" t="s">
        <v>27</v>
      </c>
      <c r="J999" s="6" t="s">
        <v>211</v>
      </c>
      <c r="K999" s="6" t="s">
        <v>178</v>
      </c>
      <c r="L999" s="6" t="s">
        <v>256</v>
      </c>
      <c r="M999" s="6" t="s">
        <v>30</v>
      </c>
      <c r="N999" s="6" t="s">
        <v>31</v>
      </c>
      <c r="O999" s="6">
        <v>43</v>
      </c>
      <c r="P999" s="6">
        <v>91.54</v>
      </c>
      <c r="Q999" s="6">
        <v>53.39</v>
      </c>
      <c r="R999" s="6">
        <v>3936.4</v>
      </c>
      <c r="S999" s="6">
        <v>0</v>
      </c>
      <c r="T999" s="6">
        <v>0</v>
      </c>
      <c r="U999" s="6">
        <v>3936.4</v>
      </c>
      <c r="V999" s="6">
        <v>2295.86</v>
      </c>
      <c r="W999" s="6">
        <v>1640.54</v>
      </c>
      <c r="X999" s="6" t="s">
        <v>45</v>
      </c>
    </row>
    <row r="1000" spans="1:24" x14ac:dyDescent="0.25">
      <c r="A1000" s="5" t="s">
        <v>1499</v>
      </c>
      <c r="B1000" s="18">
        <v>45539</v>
      </c>
      <c r="C1000" s="7" t="s">
        <v>636</v>
      </c>
      <c r="D1000" s="7" t="s">
        <v>87</v>
      </c>
      <c r="E1000" s="7" t="s">
        <v>78</v>
      </c>
      <c r="F1000" s="7" t="s">
        <v>79</v>
      </c>
      <c r="G1000" s="7" t="s">
        <v>80</v>
      </c>
      <c r="H1000" s="7" t="s">
        <v>81</v>
      </c>
      <c r="I1000" s="7" t="s">
        <v>40</v>
      </c>
      <c r="J1000" s="7" t="s">
        <v>289</v>
      </c>
      <c r="K1000" s="7" t="s">
        <v>42</v>
      </c>
      <c r="L1000" s="7" t="s">
        <v>2661</v>
      </c>
      <c r="M1000" s="7" t="s">
        <v>43</v>
      </c>
      <c r="N1000" s="7" t="s">
        <v>84</v>
      </c>
      <c r="O1000" s="7">
        <v>18</v>
      </c>
      <c r="P1000" s="7">
        <v>132.03</v>
      </c>
      <c r="Q1000" s="7">
        <v>83.63</v>
      </c>
      <c r="R1000" s="7">
        <v>2376.4899999999998</v>
      </c>
      <c r="S1000" s="7">
        <v>0.1</v>
      </c>
      <c r="T1000" s="7">
        <v>237.65</v>
      </c>
      <c r="U1000" s="7">
        <v>2138.84</v>
      </c>
      <c r="V1000" s="7">
        <v>1505.28</v>
      </c>
      <c r="W1000" s="7">
        <v>633.55999999999995</v>
      </c>
      <c r="X1000" s="7" t="s">
        <v>45</v>
      </c>
    </row>
    <row r="1001" spans="1:24" x14ac:dyDescent="0.25">
      <c r="A1001" s="16" t="s">
        <v>1500</v>
      </c>
      <c r="B1001" s="17">
        <v>45517</v>
      </c>
      <c r="C1001" s="6" t="s">
        <v>533</v>
      </c>
      <c r="D1001" s="6" t="s">
        <v>163</v>
      </c>
      <c r="E1001" s="6" t="s">
        <v>78</v>
      </c>
      <c r="F1001" s="6" t="s">
        <v>79</v>
      </c>
      <c r="G1001" s="6" t="s">
        <v>80</v>
      </c>
      <c r="H1001" s="6" t="s">
        <v>81</v>
      </c>
      <c r="I1001" s="6" t="s">
        <v>520</v>
      </c>
      <c r="J1001" s="6" t="s">
        <v>122</v>
      </c>
      <c r="K1001" s="6" t="s">
        <v>184</v>
      </c>
      <c r="L1001" s="6" t="s">
        <v>2672</v>
      </c>
      <c r="M1001" s="6" t="s">
        <v>30</v>
      </c>
      <c r="N1001" s="6" t="s">
        <v>84</v>
      </c>
      <c r="O1001" s="6">
        <v>50</v>
      </c>
      <c r="P1001" s="6">
        <v>129.83000000000001</v>
      </c>
      <c r="Q1001" s="6">
        <v>75.97</v>
      </c>
      <c r="R1001" s="6">
        <v>6491.52</v>
      </c>
      <c r="S1001" s="6">
        <v>0.05</v>
      </c>
      <c r="T1001" s="6">
        <v>324.58</v>
      </c>
      <c r="U1001" s="6">
        <v>6166.95</v>
      </c>
      <c r="V1001" s="6">
        <v>3798.72</v>
      </c>
      <c r="W1001" s="6">
        <v>2368.23</v>
      </c>
      <c r="X1001" s="6" t="s">
        <v>32</v>
      </c>
    </row>
    <row r="1002" spans="1:24" x14ac:dyDescent="0.25">
      <c r="A1002" s="5" t="s">
        <v>1501</v>
      </c>
      <c r="B1002" s="18">
        <v>45620</v>
      </c>
      <c r="C1002" s="7" t="s">
        <v>475</v>
      </c>
      <c r="D1002" s="7" t="s">
        <v>57</v>
      </c>
      <c r="E1002" s="7" t="s">
        <v>66</v>
      </c>
      <c r="F1002" s="7" t="s">
        <v>67</v>
      </c>
      <c r="G1002" s="7" t="s">
        <v>38</v>
      </c>
      <c r="H1002" s="7" t="s">
        <v>68</v>
      </c>
      <c r="I1002" s="7" t="s">
        <v>40</v>
      </c>
      <c r="J1002" s="7" t="s">
        <v>289</v>
      </c>
      <c r="K1002" s="7" t="s">
        <v>111</v>
      </c>
      <c r="L1002" s="7" t="s">
        <v>2667</v>
      </c>
      <c r="M1002" s="7" t="s">
        <v>61</v>
      </c>
      <c r="N1002" s="7" t="s">
        <v>31</v>
      </c>
      <c r="O1002" s="7">
        <v>44</v>
      </c>
      <c r="P1002" s="7">
        <v>158.88</v>
      </c>
      <c r="Q1002" s="7">
        <v>108.75</v>
      </c>
      <c r="R1002" s="7">
        <v>6990.52</v>
      </c>
      <c r="S1002" s="7">
        <v>0</v>
      </c>
      <c r="T1002" s="7">
        <v>0</v>
      </c>
      <c r="U1002" s="7">
        <v>6990.52</v>
      </c>
      <c r="V1002" s="7">
        <v>4784.79</v>
      </c>
      <c r="W1002" s="7">
        <v>2205.7199999999998</v>
      </c>
      <c r="X1002" s="7" t="s">
        <v>45</v>
      </c>
    </row>
    <row r="1003" spans="1:24" x14ac:dyDescent="0.25">
      <c r="A1003" s="16" t="s">
        <v>1502</v>
      </c>
      <c r="B1003" s="17">
        <v>45628</v>
      </c>
      <c r="C1003" s="6" t="s">
        <v>613</v>
      </c>
      <c r="D1003" s="6" t="s">
        <v>87</v>
      </c>
      <c r="E1003" s="6" t="s">
        <v>250</v>
      </c>
      <c r="F1003" s="6" t="s">
        <v>251</v>
      </c>
      <c r="G1003" s="6" t="s">
        <v>51</v>
      </c>
      <c r="H1003" s="6" t="s">
        <v>252</v>
      </c>
      <c r="I1003" s="6" t="s">
        <v>58</v>
      </c>
      <c r="J1003" s="6" t="s">
        <v>345</v>
      </c>
      <c r="K1003" s="6" t="s">
        <v>178</v>
      </c>
      <c r="L1003" s="6" t="s">
        <v>256</v>
      </c>
      <c r="M1003" s="6" t="s">
        <v>153</v>
      </c>
      <c r="N1003" s="6" t="s">
        <v>75</v>
      </c>
      <c r="O1003" s="6">
        <v>77</v>
      </c>
      <c r="P1003" s="6">
        <v>69.44</v>
      </c>
      <c r="Q1003" s="6">
        <v>37.51</v>
      </c>
      <c r="R1003" s="6">
        <v>5346.51</v>
      </c>
      <c r="S1003" s="6">
        <v>0.15</v>
      </c>
      <c r="T1003" s="6">
        <v>801.98</v>
      </c>
      <c r="U1003" s="6">
        <v>4544.54</v>
      </c>
      <c r="V1003" s="6">
        <v>2888.37</v>
      </c>
      <c r="W1003" s="6">
        <v>1656.16</v>
      </c>
      <c r="X1003" s="6" t="s">
        <v>45</v>
      </c>
    </row>
    <row r="1004" spans="1:24" x14ac:dyDescent="0.25">
      <c r="A1004" s="5" t="s">
        <v>1503</v>
      </c>
      <c r="B1004" s="18">
        <v>45603</v>
      </c>
      <c r="C1004" s="7" t="s">
        <v>1071</v>
      </c>
      <c r="D1004" s="7" t="s">
        <v>105</v>
      </c>
      <c r="E1004" s="7" t="s">
        <v>150</v>
      </c>
      <c r="F1004" s="7" t="s">
        <v>151</v>
      </c>
      <c r="G1004" s="7" t="s">
        <v>101</v>
      </c>
      <c r="H1004" s="7" t="s">
        <v>134</v>
      </c>
      <c r="I1004" s="7" t="s">
        <v>27</v>
      </c>
      <c r="J1004" s="7" t="s">
        <v>28</v>
      </c>
      <c r="K1004" s="7" t="s">
        <v>265</v>
      </c>
      <c r="L1004" s="7" t="s">
        <v>2678</v>
      </c>
      <c r="M1004" s="7" t="s">
        <v>61</v>
      </c>
      <c r="N1004" s="7" t="s">
        <v>84</v>
      </c>
      <c r="O1004" s="7">
        <v>57</v>
      </c>
      <c r="P1004" s="7">
        <v>80.56</v>
      </c>
      <c r="Q1004" s="7">
        <v>50.46</v>
      </c>
      <c r="R1004" s="7">
        <v>4591.67</v>
      </c>
      <c r="S1004" s="7">
        <v>0</v>
      </c>
      <c r="T1004" s="7">
        <v>0</v>
      </c>
      <c r="U1004" s="7">
        <v>4591.67</v>
      </c>
      <c r="V1004" s="7">
        <v>2876.23</v>
      </c>
      <c r="W1004" s="7">
        <v>1715.43</v>
      </c>
      <c r="X1004" s="7" t="s">
        <v>45</v>
      </c>
    </row>
    <row r="1005" spans="1:24" x14ac:dyDescent="0.25">
      <c r="A1005" s="16" t="s">
        <v>1504</v>
      </c>
      <c r="B1005" s="17">
        <v>45336</v>
      </c>
      <c r="C1005" s="6" t="s">
        <v>653</v>
      </c>
      <c r="D1005" s="6" t="s">
        <v>1505</v>
      </c>
      <c r="E1005" s="6" t="s">
        <v>99</v>
      </c>
      <c r="F1005" s="6" t="s">
        <v>100</v>
      </c>
      <c r="G1005" s="6" t="s">
        <v>101</v>
      </c>
      <c r="H1005" s="6" t="s">
        <v>102</v>
      </c>
      <c r="I1005" s="6" t="s">
        <v>40</v>
      </c>
      <c r="J1005" s="6" t="s">
        <v>41</v>
      </c>
      <c r="K1005" s="6" t="s">
        <v>69</v>
      </c>
      <c r="L1005" s="6" t="s">
        <v>2663</v>
      </c>
      <c r="M1005" s="6" t="s">
        <v>30</v>
      </c>
      <c r="N1005" s="6" t="s">
        <v>31</v>
      </c>
      <c r="O1005" s="6">
        <v>53</v>
      </c>
      <c r="P1005" s="6">
        <v>71.53</v>
      </c>
      <c r="Q1005" s="6">
        <v>42.35</v>
      </c>
      <c r="R1005" s="6">
        <v>3790.98</v>
      </c>
      <c r="S1005" s="6">
        <v>0.15</v>
      </c>
      <c r="T1005" s="6">
        <v>568.65</v>
      </c>
      <c r="U1005" s="6">
        <v>3222.34</v>
      </c>
      <c r="V1005" s="6">
        <v>2244.79</v>
      </c>
      <c r="W1005" s="6">
        <v>977.55</v>
      </c>
      <c r="X1005" s="6" t="s">
        <v>45</v>
      </c>
    </row>
    <row r="1006" spans="1:24" x14ac:dyDescent="0.25">
      <c r="A1006" s="5" t="s">
        <v>1506</v>
      </c>
      <c r="B1006" s="18">
        <v>45527</v>
      </c>
      <c r="C1006" s="7" t="s">
        <v>759</v>
      </c>
      <c r="D1006" s="7" t="s">
        <v>35</v>
      </c>
      <c r="E1006" s="7" t="s">
        <v>66</v>
      </c>
      <c r="F1006" s="7" t="s">
        <v>67</v>
      </c>
      <c r="G1006" s="7" t="s">
        <v>38</v>
      </c>
      <c r="H1006" s="7" t="s">
        <v>68</v>
      </c>
      <c r="I1006" s="7" t="s">
        <v>88</v>
      </c>
      <c r="J1006" s="7" t="s">
        <v>173</v>
      </c>
      <c r="K1006" s="7" t="s">
        <v>184</v>
      </c>
      <c r="L1006" s="7" t="s">
        <v>2672</v>
      </c>
      <c r="M1006" s="7" t="s">
        <v>30</v>
      </c>
      <c r="N1006" s="7" t="s">
        <v>84</v>
      </c>
      <c r="O1006" s="7">
        <v>24</v>
      </c>
      <c r="P1006" s="7">
        <v>164.97</v>
      </c>
      <c r="Q1006" s="7">
        <v>104.21</v>
      </c>
      <c r="R1006" s="7">
        <v>3959.29</v>
      </c>
      <c r="S1006" s="7">
        <v>0.05</v>
      </c>
      <c r="T1006" s="7">
        <v>197.96</v>
      </c>
      <c r="U1006" s="7">
        <v>3761.32</v>
      </c>
      <c r="V1006" s="7">
        <v>2501.0500000000002</v>
      </c>
      <c r="W1006" s="7">
        <v>1260.27</v>
      </c>
      <c r="X1006" s="7" t="s">
        <v>45</v>
      </c>
    </row>
    <row r="1007" spans="1:24" x14ac:dyDescent="0.25">
      <c r="A1007" s="16" t="s">
        <v>1507</v>
      </c>
      <c r="B1007" s="17">
        <v>45586</v>
      </c>
      <c r="C1007" s="6" t="s">
        <v>1047</v>
      </c>
      <c r="D1007" s="6" t="s">
        <v>156</v>
      </c>
      <c r="E1007" s="6" t="s">
        <v>141</v>
      </c>
      <c r="F1007" s="6" t="s">
        <v>142</v>
      </c>
      <c r="G1007" s="6" t="s">
        <v>25</v>
      </c>
      <c r="H1007" s="6" t="s">
        <v>26</v>
      </c>
      <c r="I1007" s="6" t="s">
        <v>58</v>
      </c>
      <c r="J1007" s="6" t="s">
        <v>73</v>
      </c>
      <c r="K1007" s="6" t="s">
        <v>261</v>
      </c>
      <c r="L1007" s="6" t="s">
        <v>2677</v>
      </c>
      <c r="M1007" s="6" t="s">
        <v>30</v>
      </c>
      <c r="N1007" s="6" t="s">
        <v>84</v>
      </c>
      <c r="O1007" s="6">
        <v>32</v>
      </c>
      <c r="P1007" s="6">
        <v>96.43</v>
      </c>
      <c r="Q1007" s="6">
        <v>56.89</v>
      </c>
      <c r="R1007" s="6">
        <v>3085.79</v>
      </c>
      <c r="S1007" s="6">
        <v>0.05</v>
      </c>
      <c r="T1007" s="6">
        <v>154.29</v>
      </c>
      <c r="U1007" s="6">
        <v>2931.5</v>
      </c>
      <c r="V1007" s="6">
        <v>1820.63</v>
      </c>
      <c r="W1007" s="6">
        <v>1110.8699999999999</v>
      </c>
      <c r="X1007" s="6" t="s">
        <v>45</v>
      </c>
    </row>
    <row r="1008" spans="1:24" x14ac:dyDescent="0.25">
      <c r="A1008" s="5" t="s">
        <v>1508</v>
      </c>
      <c r="B1008" s="18">
        <v>45604</v>
      </c>
      <c r="C1008" s="7" t="s">
        <v>1210</v>
      </c>
      <c r="D1008" s="7" t="s">
        <v>65</v>
      </c>
      <c r="E1008" s="7" t="s">
        <v>176</v>
      </c>
      <c r="F1008" s="7" t="s">
        <v>177</v>
      </c>
      <c r="G1008" s="7" t="s">
        <v>101</v>
      </c>
      <c r="H1008" s="7" t="s">
        <v>39</v>
      </c>
      <c r="I1008" s="7" t="s">
        <v>27</v>
      </c>
      <c r="J1008" s="7" t="s">
        <v>106</v>
      </c>
      <c r="K1008" s="7" t="s">
        <v>60</v>
      </c>
      <c r="L1008" s="7" t="s">
        <v>2662</v>
      </c>
      <c r="M1008" s="7" t="s">
        <v>153</v>
      </c>
      <c r="N1008" s="7" t="s">
        <v>75</v>
      </c>
      <c r="O1008" s="7">
        <v>27</v>
      </c>
      <c r="P1008" s="7">
        <v>98.1</v>
      </c>
      <c r="Q1008" s="7">
        <v>64.89</v>
      </c>
      <c r="R1008" s="7">
        <v>2648.7</v>
      </c>
      <c r="S1008" s="7"/>
      <c r="T1008" s="7">
        <v>397.31</v>
      </c>
      <c r="U1008" s="7">
        <v>2251.4</v>
      </c>
      <c r="V1008" s="7">
        <v>1751.9</v>
      </c>
      <c r="W1008" s="7">
        <v>499.5</v>
      </c>
      <c r="X1008" s="7" t="s">
        <v>45</v>
      </c>
    </row>
    <row r="1009" spans="1:24" x14ac:dyDescent="0.25">
      <c r="A1009" s="16" t="s">
        <v>1509</v>
      </c>
      <c r="B1009" s="17">
        <v>45543</v>
      </c>
      <c r="C1009" s="6" t="s">
        <v>945</v>
      </c>
      <c r="D1009" s="6" t="s">
        <v>159</v>
      </c>
      <c r="E1009" s="6" t="s">
        <v>176</v>
      </c>
      <c r="F1009" s="6" t="s">
        <v>177</v>
      </c>
      <c r="G1009" s="6" t="s">
        <v>101</v>
      </c>
      <c r="H1009" s="6" t="s">
        <v>39</v>
      </c>
      <c r="I1009" s="6" t="s">
        <v>40</v>
      </c>
      <c r="J1009" s="6" t="s">
        <v>289</v>
      </c>
      <c r="K1009" s="6" t="s">
        <v>178</v>
      </c>
      <c r="L1009" s="6" t="s">
        <v>256</v>
      </c>
      <c r="M1009" s="6" t="s">
        <v>61</v>
      </c>
      <c r="N1009" s="6" t="s">
        <v>44</v>
      </c>
      <c r="O1009" s="6">
        <v>24</v>
      </c>
      <c r="P1009" s="6">
        <v>111.28</v>
      </c>
      <c r="Q1009" s="6">
        <v>63.98</v>
      </c>
      <c r="R1009" s="6">
        <v>2670.75</v>
      </c>
      <c r="S1009" s="6">
        <v>0.15</v>
      </c>
      <c r="T1009" s="6">
        <v>400.61</v>
      </c>
      <c r="U1009" s="6">
        <v>2270.14</v>
      </c>
      <c r="V1009" s="6">
        <v>1535.57</v>
      </c>
      <c r="W1009" s="6">
        <v>734.57</v>
      </c>
      <c r="X1009" s="6" t="s">
        <v>45</v>
      </c>
    </row>
    <row r="1010" spans="1:24" x14ac:dyDescent="0.25">
      <c r="A1010" s="5" t="s">
        <v>1510</v>
      </c>
      <c r="B1010" s="18">
        <v>45382</v>
      </c>
      <c r="C1010" s="7" t="s">
        <v>408</v>
      </c>
      <c r="D1010" s="7" t="s">
        <v>65</v>
      </c>
      <c r="E1010" s="7" t="s">
        <v>216</v>
      </c>
      <c r="F1010" s="7" t="s">
        <v>217</v>
      </c>
      <c r="G1010" s="7" t="s">
        <v>38</v>
      </c>
      <c r="H1010" s="7" t="s">
        <v>134</v>
      </c>
      <c r="I1010" s="7" t="s">
        <v>88</v>
      </c>
      <c r="J1010" s="7" t="s">
        <v>135</v>
      </c>
      <c r="K1010" s="7" t="s">
        <v>218</v>
      </c>
      <c r="L1010" s="7" t="s">
        <v>2674</v>
      </c>
      <c r="M1010" s="7" t="s">
        <v>30</v>
      </c>
      <c r="N1010" s="7" t="s">
        <v>75</v>
      </c>
      <c r="O1010" s="7">
        <v>78</v>
      </c>
      <c r="P1010" s="7">
        <v>107.42</v>
      </c>
      <c r="Q1010" s="7">
        <v>64.819999999999993</v>
      </c>
      <c r="R1010" s="7">
        <v>8378.5400000000009</v>
      </c>
      <c r="S1010" s="7">
        <v>0.02</v>
      </c>
      <c r="T1010" s="7">
        <v>167.57</v>
      </c>
      <c r="U1010" s="7">
        <v>8210.9699999999993</v>
      </c>
      <c r="V1010" s="7">
        <v>5055.87</v>
      </c>
      <c r="W1010" s="7">
        <v>3155.1</v>
      </c>
      <c r="X1010" s="7" t="s">
        <v>45</v>
      </c>
    </row>
    <row r="1011" spans="1:24" x14ac:dyDescent="0.25">
      <c r="A1011" s="16" t="s">
        <v>1511</v>
      </c>
      <c r="B1011" s="17">
        <v>45608</v>
      </c>
      <c r="C1011" s="6" t="s">
        <v>1184</v>
      </c>
      <c r="D1011" s="6" t="s">
        <v>65</v>
      </c>
      <c r="E1011" s="6" t="s">
        <v>23</v>
      </c>
      <c r="F1011" s="6" t="s">
        <v>24</v>
      </c>
      <c r="G1011" s="6" t="s">
        <v>25</v>
      </c>
      <c r="H1011" s="6" t="s">
        <v>26</v>
      </c>
      <c r="I1011" s="6" t="s">
        <v>27</v>
      </c>
      <c r="J1011" s="6" t="s">
        <v>211</v>
      </c>
      <c r="K1011" s="6" t="s">
        <v>265</v>
      </c>
      <c r="L1011" s="6" t="s">
        <v>2678</v>
      </c>
      <c r="M1011" s="6" t="s">
        <v>153</v>
      </c>
      <c r="N1011" s="6" t="s">
        <v>70</v>
      </c>
      <c r="O1011" s="6">
        <v>29</v>
      </c>
      <c r="P1011" s="6">
        <v>77.91</v>
      </c>
      <c r="Q1011" s="6">
        <v>43.48</v>
      </c>
      <c r="R1011" s="6">
        <v>2259.46</v>
      </c>
      <c r="S1011" s="6">
        <v>0.1</v>
      </c>
      <c r="T1011" s="6">
        <v>225.95</v>
      </c>
      <c r="U1011" s="6">
        <v>2033.52</v>
      </c>
      <c r="V1011" s="6">
        <v>1260.79</v>
      </c>
      <c r="W1011" s="6">
        <v>772.73</v>
      </c>
      <c r="X1011" s="6" t="s">
        <v>32</v>
      </c>
    </row>
    <row r="1012" spans="1:24" x14ac:dyDescent="0.25">
      <c r="A1012" s="5" t="s">
        <v>1512</v>
      </c>
      <c r="B1012" s="18">
        <v>45462</v>
      </c>
      <c r="C1012" s="7" t="s">
        <v>318</v>
      </c>
      <c r="D1012" s="7" t="s">
        <v>121</v>
      </c>
      <c r="E1012" s="7" t="s">
        <v>23</v>
      </c>
      <c r="F1012" s="7" t="s">
        <v>24</v>
      </c>
      <c r="G1012" s="7" t="s">
        <v>25</v>
      </c>
      <c r="H1012" s="7" t="s">
        <v>26</v>
      </c>
      <c r="I1012" s="7" t="s">
        <v>27</v>
      </c>
      <c r="J1012" s="7" t="s">
        <v>211</v>
      </c>
      <c r="K1012" s="7" t="s">
        <v>248</v>
      </c>
      <c r="L1012" s="7" t="s">
        <v>2675</v>
      </c>
      <c r="M1012" s="7" t="s">
        <v>153</v>
      </c>
      <c r="N1012" s="7" t="s">
        <v>31</v>
      </c>
      <c r="O1012" s="7">
        <v>80</v>
      </c>
      <c r="P1012" s="7">
        <v>73.52</v>
      </c>
      <c r="Q1012" s="7">
        <v>46.19</v>
      </c>
      <c r="R1012" s="7">
        <v>5881.4</v>
      </c>
      <c r="S1012" s="7">
        <v>0.1</v>
      </c>
      <c r="T1012" s="7">
        <v>588.14</v>
      </c>
      <c r="U1012" s="7">
        <v>5293.26</v>
      </c>
      <c r="V1012" s="7">
        <v>3694.9</v>
      </c>
      <c r="W1012" s="7">
        <v>1598.36</v>
      </c>
      <c r="X1012" s="7" t="s">
        <v>129</v>
      </c>
    </row>
    <row r="1013" spans="1:24" x14ac:dyDescent="0.25">
      <c r="A1013" s="16" t="s">
        <v>1513</v>
      </c>
      <c r="B1013" s="17">
        <v>45357</v>
      </c>
      <c r="C1013" s="6" t="s">
        <v>480</v>
      </c>
      <c r="D1013" s="6" t="s">
        <v>22</v>
      </c>
      <c r="E1013" s="6" t="s">
        <v>66</v>
      </c>
      <c r="F1013" s="6" t="s">
        <v>67</v>
      </c>
      <c r="G1013" s="6" t="s">
        <v>38</v>
      </c>
      <c r="H1013" s="6" t="s">
        <v>68</v>
      </c>
      <c r="I1013" s="6" t="s">
        <v>40</v>
      </c>
      <c r="J1013" s="6" t="s">
        <v>289</v>
      </c>
      <c r="K1013" s="6" t="s">
        <v>69</v>
      </c>
      <c r="L1013" s="6" t="s">
        <v>2663</v>
      </c>
      <c r="M1013" s="6" t="s">
        <v>43</v>
      </c>
      <c r="N1013" s="6" t="s">
        <v>44</v>
      </c>
      <c r="O1013" s="6">
        <v>13</v>
      </c>
      <c r="P1013" s="6">
        <v>162.12</v>
      </c>
      <c r="Q1013" s="6">
        <v>99.89</v>
      </c>
      <c r="R1013" s="6">
        <v>2107.6</v>
      </c>
      <c r="S1013" s="6">
        <v>0.2</v>
      </c>
      <c r="T1013" s="6">
        <v>421.52</v>
      </c>
      <c r="U1013" s="6">
        <v>1686.08</v>
      </c>
      <c r="V1013" s="6">
        <v>1298.5899999999999</v>
      </c>
      <c r="W1013" s="6">
        <v>387.49</v>
      </c>
      <c r="X1013" s="6" t="s">
        <v>45</v>
      </c>
    </row>
    <row r="1014" spans="1:24" x14ac:dyDescent="0.25">
      <c r="A1014" s="5" t="s">
        <v>1514</v>
      </c>
      <c r="B1014" s="18">
        <v>45296</v>
      </c>
      <c r="C1014" s="7" t="s">
        <v>662</v>
      </c>
      <c r="D1014" s="7" t="s">
        <v>156</v>
      </c>
      <c r="E1014" s="7" t="s">
        <v>141</v>
      </c>
      <c r="F1014" s="7" t="s">
        <v>142</v>
      </c>
      <c r="G1014" s="7" t="s">
        <v>25</v>
      </c>
      <c r="H1014" s="7" t="s">
        <v>26</v>
      </c>
      <c r="I1014" s="7" t="s">
        <v>58</v>
      </c>
      <c r="J1014" s="7" t="s">
        <v>59</v>
      </c>
      <c r="K1014" s="7" t="s">
        <v>60</v>
      </c>
      <c r="L1014" s="7" t="s">
        <v>2662</v>
      </c>
      <c r="M1014" s="7" t="s">
        <v>43</v>
      </c>
      <c r="N1014" s="7" t="s">
        <v>75</v>
      </c>
      <c r="O1014" s="7">
        <v>67</v>
      </c>
      <c r="P1014" s="7">
        <v>96.62</v>
      </c>
      <c r="Q1014" s="7">
        <v>60.46</v>
      </c>
      <c r="R1014" s="7">
        <v>6473.21</v>
      </c>
      <c r="S1014" s="7">
        <v>0.15</v>
      </c>
      <c r="T1014" s="7">
        <v>970.98</v>
      </c>
      <c r="U1014" s="7">
        <v>5502.23</v>
      </c>
      <c r="V1014" s="7">
        <v>4050.65</v>
      </c>
      <c r="W1014" s="7">
        <v>1451.58</v>
      </c>
      <c r="X1014" s="7" t="s">
        <v>32</v>
      </c>
    </row>
    <row r="1015" spans="1:24" x14ac:dyDescent="0.25">
      <c r="A1015" s="16" t="s">
        <v>1515</v>
      </c>
      <c r="B1015" s="17">
        <v>45649</v>
      </c>
      <c r="C1015" s="6" t="s">
        <v>418</v>
      </c>
      <c r="D1015" s="6" t="s">
        <v>159</v>
      </c>
      <c r="E1015" s="6" t="s">
        <v>141</v>
      </c>
      <c r="F1015" s="6" t="s">
        <v>142</v>
      </c>
      <c r="G1015" s="6" t="s">
        <v>25</v>
      </c>
      <c r="H1015" s="6" t="s">
        <v>26</v>
      </c>
      <c r="I1015" s="6" t="s">
        <v>88</v>
      </c>
      <c r="J1015" s="6" t="s">
        <v>135</v>
      </c>
      <c r="K1015" s="6" t="s">
        <v>248</v>
      </c>
      <c r="L1015" s="6" t="s">
        <v>2675</v>
      </c>
      <c r="M1015" s="6" t="s">
        <v>43</v>
      </c>
      <c r="N1015" s="6" t="s">
        <v>84</v>
      </c>
      <c r="O1015" s="6">
        <v>54</v>
      </c>
      <c r="P1015" s="6">
        <v>89.39</v>
      </c>
      <c r="Q1015" s="6">
        <v>61.59</v>
      </c>
      <c r="R1015" s="6">
        <v>4826.8900000000003</v>
      </c>
      <c r="S1015" s="6">
        <v>0.02</v>
      </c>
      <c r="T1015" s="6">
        <v>96.54</v>
      </c>
      <c r="U1015" s="6">
        <v>4730.3500000000004</v>
      </c>
      <c r="V1015" s="6">
        <v>3325.74</v>
      </c>
      <c r="W1015" s="6">
        <v>1404.61</v>
      </c>
      <c r="X1015" s="6" t="s">
        <v>45</v>
      </c>
    </row>
    <row r="1016" spans="1:24" x14ac:dyDescent="0.25">
      <c r="A1016" s="5" t="s">
        <v>1516</v>
      </c>
      <c r="B1016" s="18">
        <v>45649</v>
      </c>
      <c r="C1016" s="7" t="s">
        <v>303</v>
      </c>
      <c r="D1016" s="7" t="s">
        <v>22</v>
      </c>
      <c r="E1016" s="7" t="s">
        <v>176</v>
      </c>
      <c r="F1016" s="7" t="s">
        <v>177</v>
      </c>
      <c r="G1016" s="7" t="s">
        <v>101</v>
      </c>
      <c r="H1016" s="7" t="s">
        <v>39</v>
      </c>
      <c r="I1016" s="7" t="s">
        <v>40</v>
      </c>
      <c r="J1016" s="7" t="s">
        <v>82</v>
      </c>
      <c r="K1016" s="7" t="s">
        <v>178</v>
      </c>
      <c r="L1016" s="7" t="s">
        <v>256</v>
      </c>
      <c r="M1016" s="7" t="s">
        <v>30</v>
      </c>
      <c r="N1016" s="7" t="s">
        <v>75</v>
      </c>
      <c r="O1016" s="7">
        <v>28</v>
      </c>
      <c r="P1016" s="7">
        <v>97.65</v>
      </c>
      <c r="Q1016" s="7">
        <v>66.87</v>
      </c>
      <c r="R1016" s="7">
        <v>2734.18</v>
      </c>
      <c r="S1016" s="7">
        <v>0.1</v>
      </c>
      <c r="T1016" s="7">
        <v>273.42</v>
      </c>
      <c r="U1016" s="7">
        <v>2460.7600000000002</v>
      </c>
      <c r="V1016" s="7">
        <v>1872.23</v>
      </c>
      <c r="W1016" s="7">
        <v>588.53</v>
      </c>
      <c r="X1016" s="7" t="s">
        <v>45</v>
      </c>
    </row>
    <row r="1017" spans="1:24" x14ac:dyDescent="0.25">
      <c r="A1017" s="16" t="s">
        <v>1517</v>
      </c>
      <c r="B1017" s="17">
        <v>45563</v>
      </c>
      <c r="C1017" s="6" t="s">
        <v>1044</v>
      </c>
      <c r="D1017" s="6" t="s">
        <v>359</v>
      </c>
      <c r="E1017" s="6" t="s">
        <v>222</v>
      </c>
      <c r="F1017" s="6" t="s">
        <v>223</v>
      </c>
      <c r="G1017" s="6" t="s">
        <v>101</v>
      </c>
      <c r="H1017" s="6" t="s">
        <v>68</v>
      </c>
      <c r="I1017" s="6" t="s">
        <v>40</v>
      </c>
      <c r="J1017" s="6" t="s">
        <v>117</v>
      </c>
      <c r="K1017" s="6" t="s">
        <v>29</v>
      </c>
      <c r="L1017" s="6" t="s">
        <v>2660</v>
      </c>
      <c r="M1017" s="6" t="s">
        <v>61</v>
      </c>
      <c r="N1017" s="6" t="s">
        <v>75</v>
      </c>
      <c r="O1017" s="6">
        <v>66</v>
      </c>
      <c r="P1017" s="6">
        <v>125.73</v>
      </c>
      <c r="Q1017" s="6">
        <v>79.87</v>
      </c>
      <c r="R1017" s="6">
        <v>8298</v>
      </c>
      <c r="S1017" s="6">
        <v>0.02</v>
      </c>
      <c r="T1017" s="6">
        <v>165.96</v>
      </c>
      <c r="U1017" s="6">
        <v>8132.04</v>
      </c>
      <c r="V1017" s="6">
        <v>5271.52</v>
      </c>
      <c r="W1017" s="6">
        <v>2860.52</v>
      </c>
      <c r="X1017" s="6" t="s">
        <v>45</v>
      </c>
    </row>
    <row r="1018" spans="1:24" x14ac:dyDescent="0.25">
      <c r="A1018" s="5" t="s">
        <v>1518</v>
      </c>
      <c r="B1018" s="18">
        <v>45381</v>
      </c>
      <c r="C1018" s="7" t="s">
        <v>1175</v>
      </c>
      <c r="D1018" s="7" t="s">
        <v>156</v>
      </c>
      <c r="E1018" s="7" t="s">
        <v>109</v>
      </c>
      <c r="F1018" s="7" t="s">
        <v>110</v>
      </c>
      <c r="G1018" s="7" t="s">
        <v>80</v>
      </c>
      <c r="H1018" s="7" t="s">
        <v>81</v>
      </c>
      <c r="I1018" s="7" t="s">
        <v>88</v>
      </c>
      <c r="J1018" s="7" t="s">
        <v>183</v>
      </c>
      <c r="K1018" s="7" t="s">
        <v>265</v>
      </c>
      <c r="L1018" s="7" t="s">
        <v>2678</v>
      </c>
      <c r="M1018" s="7" t="s">
        <v>153</v>
      </c>
      <c r="N1018" s="7" t="s">
        <v>70</v>
      </c>
      <c r="O1018" s="7">
        <v>41</v>
      </c>
      <c r="P1018" s="7">
        <v>127.73</v>
      </c>
      <c r="Q1018" s="7">
        <v>75.349999999999994</v>
      </c>
      <c r="R1018" s="7">
        <v>5237.07</v>
      </c>
      <c r="S1018" s="7">
        <v>0.2</v>
      </c>
      <c r="T1018" s="7">
        <v>1047.4100000000001</v>
      </c>
      <c r="U1018" s="7">
        <v>4189.66</v>
      </c>
      <c r="V1018" s="7">
        <v>3089.31</v>
      </c>
      <c r="W1018" s="7">
        <v>1100.3499999999999</v>
      </c>
      <c r="X1018" s="7" t="s">
        <v>32</v>
      </c>
    </row>
    <row r="1019" spans="1:24" x14ac:dyDescent="0.25">
      <c r="A1019" s="16" t="s">
        <v>1519</v>
      </c>
      <c r="B1019" s="17">
        <v>45549</v>
      </c>
      <c r="C1019" s="6" t="s">
        <v>1310</v>
      </c>
      <c r="D1019" s="6" t="s">
        <v>264</v>
      </c>
      <c r="E1019" s="6" t="s">
        <v>93</v>
      </c>
      <c r="F1019" s="6" t="s">
        <v>94</v>
      </c>
      <c r="G1019" s="6" t="s">
        <v>95</v>
      </c>
      <c r="H1019" s="6" t="s">
        <v>96</v>
      </c>
      <c r="I1019" s="6" t="s">
        <v>288</v>
      </c>
      <c r="J1019" s="6" t="s">
        <v>82</v>
      </c>
      <c r="K1019" s="6" t="s">
        <v>253</v>
      </c>
      <c r="L1019" s="6" t="s">
        <v>2676</v>
      </c>
      <c r="M1019" s="6" t="s">
        <v>30</v>
      </c>
      <c r="N1019" s="6" t="s">
        <v>44</v>
      </c>
      <c r="O1019" s="6">
        <v>66</v>
      </c>
      <c r="P1019" s="6">
        <v>55.41</v>
      </c>
      <c r="Q1019" s="6">
        <v>34.06</v>
      </c>
      <c r="R1019" s="6">
        <v>3657.12</v>
      </c>
      <c r="S1019" s="6">
        <v>0.2</v>
      </c>
      <c r="T1019" s="6">
        <v>731.42</v>
      </c>
      <c r="U1019" s="6">
        <v>2925.7</v>
      </c>
      <c r="V1019" s="6">
        <v>2247.98</v>
      </c>
      <c r="W1019" s="6">
        <v>677.71</v>
      </c>
      <c r="X1019" s="6" t="s">
        <v>32</v>
      </c>
    </row>
    <row r="1020" spans="1:24" x14ac:dyDescent="0.25">
      <c r="A1020" s="5" t="s">
        <v>1520</v>
      </c>
      <c r="B1020" s="18">
        <v>45362</v>
      </c>
      <c r="C1020" s="7" t="s">
        <v>948</v>
      </c>
      <c r="D1020" s="7" t="s">
        <v>87</v>
      </c>
      <c r="E1020" s="7" t="s">
        <v>109</v>
      </c>
      <c r="F1020" s="7" t="s">
        <v>110</v>
      </c>
      <c r="G1020" s="7" t="s">
        <v>80</v>
      </c>
      <c r="H1020" s="7" t="s">
        <v>81</v>
      </c>
      <c r="I1020" s="7" t="s">
        <v>53</v>
      </c>
      <c r="J1020" s="7" t="s">
        <v>122</v>
      </c>
      <c r="K1020" s="7" t="s">
        <v>118</v>
      </c>
      <c r="L1020" s="7" t="s">
        <v>2668</v>
      </c>
      <c r="M1020" s="7" t="s">
        <v>30</v>
      </c>
      <c r="N1020" s="7" t="s">
        <v>70</v>
      </c>
      <c r="O1020" s="7">
        <v>21</v>
      </c>
      <c r="P1020" s="7">
        <v>130.59</v>
      </c>
      <c r="Q1020" s="7">
        <v>72.23</v>
      </c>
      <c r="R1020" s="7">
        <v>2742.43</v>
      </c>
      <c r="S1020" s="7">
        <v>0.02</v>
      </c>
      <c r="T1020" s="7">
        <v>54.85</v>
      </c>
      <c r="U1020" s="7">
        <v>2198.48</v>
      </c>
      <c r="V1020" s="7">
        <v>1516.74</v>
      </c>
      <c r="W1020" s="7">
        <v>1170.8399999999999</v>
      </c>
      <c r="X1020" s="7" t="s">
        <v>45</v>
      </c>
    </row>
    <row r="1021" spans="1:24" x14ac:dyDescent="0.25">
      <c r="A1021" s="16" t="s">
        <v>1521</v>
      </c>
      <c r="B1021" s="17">
        <v>45338</v>
      </c>
      <c r="C1021" s="6" t="s">
        <v>408</v>
      </c>
      <c r="D1021" s="6" t="s">
        <v>65</v>
      </c>
      <c r="E1021" s="6" t="s">
        <v>126</v>
      </c>
      <c r="F1021" s="6" t="s">
        <v>127</v>
      </c>
      <c r="G1021" s="6" t="s">
        <v>95</v>
      </c>
      <c r="H1021" s="6" t="s">
        <v>128</v>
      </c>
      <c r="I1021" s="6" t="s">
        <v>58</v>
      </c>
      <c r="J1021" s="6" t="s">
        <v>345</v>
      </c>
      <c r="K1021" s="6" t="s">
        <v>152</v>
      </c>
      <c r="L1021" s="6" t="s">
        <v>2670</v>
      </c>
      <c r="M1021" s="6" t="s">
        <v>43</v>
      </c>
      <c r="N1021" s="6" t="s">
        <v>75</v>
      </c>
      <c r="O1021" s="6">
        <v>21</v>
      </c>
      <c r="P1021" s="6">
        <v>86.68</v>
      </c>
      <c r="Q1021" s="6">
        <v>51.96</v>
      </c>
      <c r="R1021" s="6">
        <v>1820.22</v>
      </c>
      <c r="S1021" s="6">
        <v>0.2</v>
      </c>
      <c r="T1021" s="6">
        <v>364.04</v>
      </c>
      <c r="U1021" s="6">
        <v>1456.18</v>
      </c>
      <c r="V1021" s="6">
        <v>1091.1500000000001</v>
      </c>
      <c r="W1021" s="6">
        <v>365.03</v>
      </c>
      <c r="X1021" s="6" t="s">
        <v>45</v>
      </c>
    </row>
    <row r="1022" spans="1:24" x14ac:dyDescent="0.25">
      <c r="A1022" s="5" t="s">
        <v>1522</v>
      </c>
      <c r="B1022" s="18">
        <v>45562</v>
      </c>
      <c r="C1022" s="7" t="s">
        <v>389</v>
      </c>
      <c r="D1022" s="7" t="s">
        <v>264</v>
      </c>
      <c r="E1022" s="7" t="s">
        <v>209</v>
      </c>
      <c r="F1022" s="7" t="s">
        <v>210</v>
      </c>
      <c r="G1022" s="7" t="s">
        <v>51</v>
      </c>
      <c r="H1022" s="7" t="s">
        <v>116</v>
      </c>
      <c r="I1022" s="7" t="s">
        <v>58</v>
      </c>
      <c r="J1022" s="7" t="s">
        <v>73</v>
      </c>
      <c r="K1022" s="7" t="s">
        <v>253</v>
      </c>
      <c r="L1022" s="7" t="s">
        <v>2676</v>
      </c>
      <c r="M1022" s="7" t="s">
        <v>30</v>
      </c>
      <c r="N1022" s="7" t="s">
        <v>44</v>
      </c>
      <c r="O1022" s="7">
        <v>63</v>
      </c>
      <c r="P1022" s="7">
        <v>18.88</v>
      </c>
      <c r="Q1022" s="7">
        <v>10.52</v>
      </c>
      <c r="R1022" s="7">
        <v>1189.3599999999999</v>
      </c>
      <c r="S1022" s="7">
        <v>0.2</v>
      </c>
      <c r="T1022" s="7">
        <v>237.87</v>
      </c>
      <c r="U1022" s="7">
        <v>951.48</v>
      </c>
      <c r="V1022" s="7">
        <v>662.56</v>
      </c>
      <c r="W1022" s="7">
        <v>288.93</v>
      </c>
      <c r="X1022" s="7" t="s">
        <v>45</v>
      </c>
    </row>
    <row r="1023" spans="1:24" x14ac:dyDescent="0.25">
      <c r="A1023" s="16" t="s">
        <v>1523</v>
      </c>
      <c r="B1023" s="17">
        <v>45651</v>
      </c>
      <c r="C1023" s="6" t="s">
        <v>1047</v>
      </c>
      <c r="D1023" s="6" t="s">
        <v>156</v>
      </c>
      <c r="E1023" s="6" t="s">
        <v>114</v>
      </c>
      <c r="F1023" s="6" t="s">
        <v>115</v>
      </c>
      <c r="G1023" s="6" t="s">
        <v>95</v>
      </c>
      <c r="H1023" s="6" t="s">
        <v>116</v>
      </c>
      <c r="I1023" s="6" t="s">
        <v>40</v>
      </c>
      <c r="J1023" s="6" t="s">
        <v>82</v>
      </c>
      <c r="K1023" s="6" t="s">
        <v>178</v>
      </c>
      <c r="L1023" s="6" t="s">
        <v>256</v>
      </c>
      <c r="M1023" s="6" t="s">
        <v>61</v>
      </c>
      <c r="N1023" s="6" t="s">
        <v>84</v>
      </c>
      <c r="O1023" s="6">
        <v>37</v>
      </c>
      <c r="P1023" s="6">
        <v>36.53</v>
      </c>
      <c r="Q1023" s="6">
        <v>20.12</v>
      </c>
      <c r="R1023" s="6">
        <v>1351.52</v>
      </c>
      <c r="S1023" s="6">
        <v>0.15</v>
      </c>
      <c r="T1023" s="6">
        <v>202.73</v>
      </c>
      <c r="U1023" s="6">
        <v>1148.79</v>
      </c>
      <c r="V1023" s="6">
        <v>744.3</v>
      </c>
      <c r="W1023" s="6">
        <v>404.49</v>
      </c>
      <c r="X1023" s="6" t="s">
        <v>32</v>
      </c>
    </row>
    <row r="1024" spans="1:24" x14ac:dyDescent="0.25">
      <c r="A1024" s="5" t="s">
        <v>1524</v>
      </c>
      <c r="B1024" s="18">
        <v>45518</v>
      </c>
      <c r="C1024" s="7" t="s">
        <v>487</v>
      </c>
      <c r="D1024" s="7" t="s">
        <v>156</v>
      </c>
      <c r="E1024" s="7" t="s">
        <v>66</v>
      </c>
      <c r="F1024" s="7" t="s">
        <v>67</v>
      </c>
      <c r="G1024" s="7" t="s">
        <v>38</v>
      </c>
      <c r="H1024" s="7" t="s">
        <v>68</v>
      </c>
      <c r="I1024" s="7" t="s">
        <v>58</v>
      </c>
      <c r="J1024" s="7" t="s">
        <v>345</v>
      </c>
      <c r="K1024" s="7" t="s">
        <v>90</v>
      </c>
      <c r="L1024" s="7" t="s">
        <v>2666</v>
      </c>
      <c r="M1024" s="7" t="s">
        <v>61</v>
      </c>
      <c r="N1024" s="7" t="s">
        <v>84</v>
      </c>
      <c r="O1024" s="7">
        <v>35</v>
      </c>
      <c r="P1024" s="7">
        <v>166.12</v>
      </c>
      <c r="Q1024" s="7">
        <v>100.3</v>
      </c>
      <c r="R1024" s="7">
        <v>5814.2</v>
      </c>
      <c r="S1024" s="7">
        <v>0.1</v>
      </c>
      <c r="T1024" s="7">
        <v>581.41999999999996</v>
      </c>
      <c r="U1024" s="7">
        <v>5232.78</v>
      </c>
      <c r="V1024" s="7">
        <v>3510.4</v>
      </c>
      <c r="W1024" s="7">
        <v>1722.39</v>
      </c>
      <c r="X1024" s="7" t="s">
        <v>32</v>
      </c>
    </row>
    <row r="1025" spans="1:24" x14ac:dyDescent="0.25">
      <c r="A1025" s="16" t="s">
        <v>1525</v>
      </c>
      <c r="B1025" s="17">
        <v>45463</v>
      </c>
      <c r="C1025" s="6" t="s">
        <v>924</v>
      </c>
      <c r="D1025" s="6" t="s">
        <v>48</v>
      </c>
      <c r="E1025" s="6" t="s">
        <v>109</v>
      </c>
      <c r="F1025" s="6" t="s">
        <v>110</v>
      </c>
      <c r="G1025" s="6" t="s">
        <v>80</v>
      </c>
      <c r="H1025" s="6" t="s">
        <v>81</v>
      </c>
      <c r="I1025" s="6" t="s">
        <v>27</v>
      </c>
      <c r="J1025" s="6" t="s">
        <v>28</v>
      </c>
      <c r="K1025" s="6" t="s">
        <v>144</v>
      </c>
      <c r="L1025" s="6" t="s">
        <v>2669</v>
      </c>
      <c r="M1025" s="6" t="s">
        <v>61</v>
      </c>
      <c r="N1025" s="6" t="s">
        <v>75</v>
      </c>
      <c r="O1025" s="6">
        <v>73</v>
      </c>
      <c r="P1025" s="6">
        <v>116.83</v>
      </c>
      <c r="Q1025" s="6">
        <v>78.47</v>
      </c>
      <c r="R1025" s="6">
        <v>8528.57</v>
      </c>
      <c r="S1025" s="6">
        <v>0.2</v>
      </c>
      <c r="T1025" s="6">
        <v>1705.71</v>
      </c>
      <c r="U1025" s="6">
        <v>6822.86</v>
      </c>
      <c r="V1025" s="6">
        <v>5728.25</v>
      </c>
      <c r="W1025" s="6">
        <v>1094.6099999999999</v>
      </c>
      <c r="X1025" s="6" t="s">
        <v>129</v>
      </c>
    </row>
    <row r="1026" spans="1:24" x14ac:dyDescent="0.25">
      <c r="A1026" s="5" t="s">
        <v>1526</v>
      </c>
      <c r="B1026" s="18">
        <v>45380</v>
      </c>
      <c r="C1026" s="7" t="s">
        <v>897</v>
      </c>
      <c r="D1026" s="7" t="s">
        <v>65</v>
      </c>
      <c r="E1026" s="7" t="s">
        <v>93</v>
      </c>
      <c r="F1026" s="7" t="s">
        <v>94</v>
      </c>
      <c r="G1026" s="7" t="s">
        <v>95</v>
      </c>
      <c r="H1026" s="7" t="s">
        <v>96</v>
      </c>
      <c r="I1026" s="7" t="s">
        <v>58</v>
      </c>
      <c r="J1026" s="7" t="s">
        <v>323</v>
      </c>
      <c r="K1026" s="7" t="s">
        <v>265</v>
      </c>
      <c r="L1026" s="7" t="s">
        <v>2678</v>
      </c>
      <c r="M1026" s="7" t="s">
        <v>61</v>
      </c>
      <c r="N1026" s="7" t="s">
        <v>31</v>
      </c>
      <c r="O1026" s="7">
        <v>78</v>
      </c>
      <c r="P1026" s="7">
        <v>56.78</v>
      </c>
      <c r="Q1026" s="7">
        <v>33.51</v>
      </c>
      <c r="R1026" s="7">
        <v>4428.63</v>
      </c>
      <c r="S1026" s="7">
        <v>0.02</v>
      </c>
      <c r="T1026" s="7">
        <v>88.57</v>
      </c>
      <c r="U1026" s="7">
        <v>4340.0600000000004</v>
      </c>
      <c r="V1026" s="7">
        <v>2614.13</v>
      </c>
      <c r="W1026" s="7">
        <v>1725.93</v>
      </c>
      <c r="X1026" s="7" t="s">
        <v>45</v>
      </c>
    </row>
    <row r="1027" spans="1:24" x14ac:dyDescent="0.25">
      <c r="A1027" s="16" t="s">
        <v>1527</v>
      </c>
      <c r="B1027" s="17">
        <v>45381</v>
      </c>
      <c r="C1027" s="6" t="s">
        <v>1488</v>
      </c>
      <c r="D1027" s="6" t="s">
        <v>149</v>
      </c>
      <c r="E1027" s="6" t="s">
        <v>126</v>
      </c>
      <c r="F1027" s="6" t="s">
        <v>127</v>
      </c>
      <c r="G1027" s="6" t="s">
        <v>95</v>
      </c>
      <c r="H1027" s="6" t="s">
        <v>128</v>
      </c>
      <c r="I1027" s="6" t="s">
        <v>27</v>
      </c>
      <c r="J1027" s="6" t="s">
        <v>211</v>
      </c>
      <c r="K1027" s="6" t="s">
        <v>69</v>
      </c>
      <c r="L1027" s="6" t="s">
        <v>2663</v>
      </c>
      <c r="M1027" s="6" t="s">
        <v>30</v>
      </c>
      <c r="N1027" s="6" t="s">
        <v>75</v>
      </c>
      <c r="O1027" s="6">
        <v>9</v>
      </c>
      <c r="P1027" s="6">
        <v>83.98</v>
      </c>
      <c r="Q1027" s="6">
        <v>52.66</v>
      </c>
      <c r="R1027" s="6">
        <v>755.86</v>
      </c>
      <c r="S1027" s="6">
        <v>0.1</v>
      </c>
      <c r="T1027" s="6">
        <v>75.59</v>
      </c>
      <c r="U1027" s="6">
        <v>680.28</v>
      </c>
      <c r="V1027" s="6">
        <v>473.92</v>
      </c>
      <c r="W1027" s="6">
        <v>206.36</v>
      </c>
      <c r="X1027" s="6" t="s">
        <v>32</v>
      </c>
    </row>
    <row r="1028" spans="1:24" x14ac:dyDescent="0.25">
      <c r="A1028" s="5" t="s">
        <v>1528</v>
      </c>
      <c r="B1028" s="18">
        <v>45541</v>
      </c>
      <c r="C1028" s="7" t="s">
        <v>1265</v>
      </c>
      <c r="D1028" s="7" t="s">
        <v>48</v>
      </c>
      <c r="E1028" s="7" t="s">
        <v>176</v>
      </c>
      <c r="F1028" s="7" t="s">
        <v>177</v>
      </c>
      <c r="G1028" s="7" t="s">
        <v>101</v>
      </c>
      <c r="H1028" s="7" t="s">
        <v>39</v>
      </c>
      <c r="I1028" s="7" t="s">
        <v>40</v>
      </c>
      <c r="J1028" s="7" t="s">
        <v>41</v>
      </c>
      <c r="K1028" s="7" t="s">
        <v>69</v>
      </c>
      <c r="L1028" s="7" t="s">
        <v>2663</v>
      </c>
      <c r="M1028" s="7" t="s">
        <v>61</v>
      </c>
      <c r="N1028" s="7" t="s">
        <v>75</v>
      </c>
      <c r="O1028" s="7">
        <v>51</v>
      </c>
      <c r="P1028" s="7">
        <v>109.51</v>
      </c>
      <c r="Q1028" s="7">
        <v>62.17</v>
      </c>
      <c r="R1028" s="7">
        <v>5584.86</v>
      </c>
      <c r="S1028" s="7">
        <v>0.2</v>
      </c>
      <c r="T1028" s="7">
        <v>1116.97</v>
      </c>
      <c r="U1028" s="7">
        <v>4467.8900000000003</v>
      </c>
      <c r="V1028" s="7">
        <v>3170.73</v>
      </c>
      <c r="W1028" s="7">
        <v>1297.1600000000001</v>
      </c>
      <c r="X1028" s="7" t="s">
        <v>45</v>
      </c>
    </row>
    <row r="1029" spans="1:24" x14ac:dyDescent="0.25">
      <c r="A1029" s="16" t="s">
        <v>1529</v>
      </c>
      <c r="B1029" s="17">
        <v>45409</v>
      </c>
      <c r="C1029" s="6" t="s">
        <v>1380</v>
      </c>
      <c r="D1029" s="6" t="s">
        <v>121</v>
      </c>
      <c r="E1029" s="6" t="s">
        <v>165</v>
      </c>
      <c r="F1029" s="6" t="s">
        <v>166</v>
      </c>
      <c r="G1029" s="6" t="s">
        <v>95</v>
      </c>
      <c r="H1029" s="6" t="s">
        <v>167</v>
      </c>
      <c r="I1029" s="6" t="s">
        <v>53</v>
      </c>
      <c r="J1029" s="6" t="s">
        <v>122</v>
      </c>
      <c r="K1029" s="6" t="s">
        <v>60</v>
      </c>
      <c r="L1029" s="6" t="s">
        <v>2662</v>
      </c>
      <c r="M1029" s="6" t="s">
        <v>1066</v>
      </c>
      <c r="N1029" s="6" t="s">
        <v>75</v>
      </c>
      <c r="O1029" s="6">
        <v>32</v>
      </c>
      <c r="P1029" s="6">
        <v>41.17</v>
      </c>
      <c r="Q1029" s="6">
        <v>23.33</v>
      </c>
      <c r="R1029" s="6">
        <v>1317.39</v>
      </c>
      <c r="S1029" s="6">
        <v>0.1</v>
      </c>
      <c r="T1029" s="6">
        <v>131.74</v>
      </c>
      <c r="U1029" s="6">
        <v>1185.6500000000001</v>
      </c>
      <c r="V1029" s="6">
        <v>746.69</v>
      </c>
      <c r="W1029" s="6">
        <v>438.96</v>
      </c>
      <c r="X1029" s="6" t="s">
        <v>129</v>
      </c>
    </row>
    <row r="1030" spans="1:24" x14ac:dyDescent="0.25">
      <c r="A1030" s="5" t="s">
        <v>1530</v>
      </c>
      <c r="B1030" s="18">
        <v>45438</v>
      </c>
      <c r="C1030" s="7" t="s">
        <v>1531</v>
      </c>
      <c r="D1030" s="7" t="s">
        <v>105</v>
      </c>
      <c r="E1030" s="7" t="s">
        <v>216</v>
      </c>
      <c r="F1030" s="7" t="s">
        <v>217</v>
      </c>
      <c r="G1030" s="7" t="s">
        <v>38</v>
      </c>
      <c r="H1030" s="7" t="s">
        <v>134</v>
      </c>
      <c r="I1030" s="7" t="s">
        <v>53</v>
      </c>
      <c r="J1030" s="7" t="s">
        <v>54</v>
      </c>
      <c r="K1030" s="7" t="s">
        <v>195</v>
      </c>
      <c r="L1030" s="7" t="s">
        <v>2673</v>
      </c>
      <c r="M1030" s="7" t="s">
        <v>30</v>
      </c>
      <c r="N1030" s="7" t="s">
        <v>75</v>
      </c>
      <c r="O1030" s="7">
        <v>21</v>
      </c>
      <c r="P1030" s="7">
        <v>113.39</v>
      </c>
      <c r="Q1030" s="7">
        <v>70.62</v>
      </c>
      <c r="R1030" s="7">
        <v>2381.19</v>
      </c>
      <c r="S1030" s="7">
        <v>0.05</v>
      </c>
      <c r="T1030" s="7">
        <v>119.06</v>
      </c>
      <c r="U1030" s="7">
        <v>2262.13</v>
      </c>
      <c r="V1030" s="7">
        <v>1483.12</v>
      </c>
      <c r="W1030" s="7">
        <v>779.02</v>
      </c>
      <c r="X1030" s="7" t="s">
        <v>45</v>
      </c>
    </row>
    <row r="1031" spans="1:24" x14ac:dyDescent="0.25">
      <c r="A1031" s="16" t="s">
        <v>1532</v>
      </c>
      <c r="B1031" s="17">
        <v>45535</v>
      </c>
      <c r="C1031" s="6" t="s">
        <v>674</v>
      </c>
      <c r="D1031" s="6" t="s">
        <v>264</v>
      </c>
      <c r="E1031" s="6" t="s">
        <v>132</v>
      </c>
      <c r="F1031" s="6" t="s">
        <v>133</v>
      </c>
      <c r="G1031" s="6" t="s">
        <v>51</v>
      </c>
      <c r="H1031" s="6" t="s">
        <v>134</v>
      </c>
      <c r="I1031" s="6" t="s">
        <v>88</v>
      </c>
      <c r="J1031" s="6" t="s">
        <v>135</v>
      </c>
      <c r="K1031" s="6" t="s">
        <v>111</v>
      </c>
      <c r="L1031" s="6" t="s">
        <v>2667</v>
      </c>
      <c r="M1031" s="6" t="s">
        <v>30</v>
      </c>
      <c r="N1031" s="6" t="s">
        <v>84</v>
      </c>
      <c r="O1031" s="6">
        <v>-2</v>
      </c>
      <c r="P1031" s="6">
        <v>57.4</v>
      </c>
      <c r="Q1031" s="6">
        <v>33.83</v>
      </c>
      <c r="R1031" s="6">
        <v>3903.33</v>
      </c>
      <c r="S1031" s="6">
        <v>0</v>
      </c>
      <c r="T1031" s="6">
        <v>0</v>
      </c>
      <c r="U1031" s="6">
        <v>3903.33</v>
      </c>
      <c r="V1031" s="6">
        <v>2300.5700000000002</v>
      </c>
      <c r="W1031" s="6">
        <v>1602.76</v>
      </c>
      <c r="X1031" s="6" t="s">
        <v>45</v>
      </c>
    </row>
    <row r="1032" spans="1:24" x14ac:dyDescent="0.25">
      <c r="A1032" s="5" t="s">
        <v>1533</v>
      </c>
      <c r="B1032" s="18">
        <v>45368</v>
      </c>
      <c r="C1032" s="7" t="s">
        <v>1129</v>
      </c>
      <c r="D1032" s="7" t="s">
        <v>65</v>
      </c>
      <c r="E1032" s="7" t="s">
        <v>187</v>
      </c>
      <c r="F1032" s="7" t="s">
        <v>188</v>
      </c>
      <c r="G1032" s="7" t="s">
        <v>25</v>
      </c>
      <c r="H1032" s="7" t="s">
        <v>26</v>
      </c>
      <c r="I1032" s="7" t="s">
        <v>58</v>
      </c>
      <c r="J1032" s="7" t="s">
        <v>73</v>
      </c>
      <c r="K1032" s="7" t="s">
        <v>152</v>
      </c>
      <c r="L1032" s="7" t="s">
        <v>2670</v>
      </c>
      <c r="M1032" s="7" t="s">
        <v>61</v>
      </c>
      <c r="N1032" s="7" t="s">
        <v>84</v>
      </c>
      <c r="O1032" s="7">
        <v>5</v>
      </c>
      <c r="P1032" s="7">
        <v>44.83</v>
      </c>
      <c r="Q1032" s="7">
        <v>29.17</v>
      </c>
      <c r="R1032" s="7">
        <v>224.14</v>
      </c>
      <c r="S1032" s="7">
        <v>0.15</v>
      </c>
      <c r="T1032" s="7">
        <v>33.619999999999997</v>
      </c>
      <c r="U1032" s="7">
        <v>190.52</v>
      </c>
      <c r="V1032" s="7">
        <v>145.86000000000001</v>
      </c>
      <c r="W1032" s="7">
        <v>44.66</v>
      </c>
      <c r="X1032" s="7" t="s">
        <v>45</v>
      </c>
    </row>
    <row r="1033" spans="1:24" x14ac:dyDescent="0.25">
      <c r="A1033" s="16" t="s">
        <v>1534</v>
      </c>
      <c r="B1033" s="17">
        <v>45416</v>
      </c>
      <c r="C1033" s="6" t="s">
        <v>1368</v>
      </c>
      <c r="D1033" s="6" t="s">
        <v>22</v>
      </c>
      <c r="E1033" s="6" t="s">
        <v>49</v>
      </c>
      <c r="F1033" s="6" t="s">
        <v>50</v>
      </c>
      <c r="G1033" s="6" t="s">
        <v>51</v>
      </c>
      <c r="H1033" s="6" t="s">
        <v>52</v>
      </c>
      <c r="I1033" s="6" t="s">
        <v>58</v>
      </c>
      <c r="J1033" s="6" t="s">
        <v>323</v>
      </c>
      <c r="K1033" s="6" t="s">
        <v>90</v>
      </c>
      <c r="L1033" s="6" t="s">
        <v>2666</v>
      </c>
      <c r="M1033" s="6" t="s">
        <v>153</v>
      </c>
      <c r="N1033" s="6" t="s">
        <v>70</v>
      </c>
      <c r="O1033" s="6">
        <v>62</v>
      </c>
      <c r="P1033" s="6">
        <v>23.29</v>
      </c>
      <c r="Q1033" s="6">
        <v>13.38</v>
      </c>
      <c r="R1033" s="6">
        <v>1443.8</v>
      </c>
      <c r="S1033" s="6">
        <v>0.02</v>
      </c>
      <c r="T1033" s="6">
        <v>28.88</v>
      </c>
      <c r="U1033" s="6">
        <v>1414.92</v>
      </c>
      <c r="V1033" s="6">
        <v>829.55</v>
      </c>
      <c r="W1033" s="6">
        <v>585.37</v>
      </c>
      <c r="X1033" s="6" t="s">
        <v>45</v>
      </c>
    </row>
    <row r="1034" spans="1:24" x14ac:dyDescent="0.25">
      <c r="A1034" s="5" t="s">
        <v>1535</v>
      </c>
      <c r="B1034" s="18">
        <v>45628</v>
      </c>
      <c r="C1034" s="7" t="s">
        <v>113</v>
      </c>
      <c r="D1034" s="7" t="s">
        <v>65</v>
      </c>
      <c r="E1034" s="7" t="s">
        <v>141</v>
      </c>
      <c r="F1034" s="7" t="s">
        <v>142</v>
      </c>
      <c r="G1034" s="7" t="s">
        <v>25</v>
      </c>
      <c r="H1034" s="7" t="s">
        <v>26</v>
      </c>
      <c r="I1034" s="7" t="s">
        <v>27</v>
      </c>
      <c r="J1034" s="7" t="s">
        <v>211</v>
      </c>
      <c r="K1034" s="7" t="s">
        <v>111</v>
      </c>
      <c r="L1034" s="7" t="s">
        <v>2667</v>
      </c>
      <c r="M1034" s="7" t="s">
        <v>153</v>
      </c>
      <c r="N1034" s="7" t="s">
        <v>70</v>
      </c>
      <c r="O1034" s="7">
        <v>55</v>
      </c>
      <c r="P1034" s="7">
        <v>97.11</v>
      </c>
      <c r="Q1034" s="7">
        <v>61.41</v>
      </c>
      <c r="R1034" s="7">
        <v>5341.3</v>
      </c>
      <c r="S1034" s="7">
        <v>0.15</v>
      </c>
      <c r="T1034" s="7">
        <v>801.2</v>
      </c>
      <c r="U1034" s="7">
        <v>4540.1099999999997</v>
      </c>
      <c r="V1034" s="7">
        <v>3377.79</v>
      </c>
      <c r="W1034" s="7">
        <v>1162.32</v>
      </c>
      <c r="X1034" s="7" t="s">
        <v>129</v>
      </c>
    </row>
    <row r="1035" spans="1:24" x14ac:dyDescent="0.25">
      <c r="A1035" s="16" t="s">
        <v>1536</v>
      </c>
      <c r="B1035" s="17">
        <v>45588</v>
      </c>
      <c r="C1035" s="6" t="s">
        <v>21</v>
      </c>
      <c r="D1035" s="6" t="s">
        <v>22</v>
      </c>
      <c r="E1035" s="6" t="s">
        <v>176</v>
      </c>
      <c r="F1035" s="6" t="s">
        <v>177</v>
      </c>
      <c r="G1035" s="6" t="s">
        <v>101</v>
      </c>
      <c r="H1035" s="6" t="s">
        <v>39</v>
      </c>
      <c r="I1035" s="6" t="s">
        <v>53</v>
      </c>
      <c r="J1035" s="6" t="s">
        <v>54</v>
      </c>
      <c r="K1035" s="6" t="s">
        <v>218</v>
      </c>
      <c r="L1035" s="6" t="s">
        <v>2674</v>
      </c>
      <c r="M1035" s="6" t="s">
        <v>30</v>
      </c>
      <c r="N1035" s="6" t="s">
        <v>84</v>
      </c>
      <c r="O1035" s="6">
        <v>73</v>
      </c>
      <c r="P1035" s="6">
        <v>103.3</v>
      </c>
      <c r="Q1035" s="6">
        <v>59.44</v>
      </c>
      <c r="R1035" s="6">
        <v>7540.72</v>
      </c>
      <c r="S1035" s="6">
        <v>0.05</v>
      </c>
      <c r="T1035" s="6">
        <v>377.04</v>
      </c>
      <c r="U1035" s="6">
        <v>7163.68</v>
      </c>
      <c r="V1035" s="6">
        <v>4338.79</v>
      </c>
      <c r="W1035" s="6">
        <v>2824.9</v>
      </c>
      <c r="X1035" s="6" t="s">
        <v>45</v>
      </c>
    </row>
    <row r="1036" spans="1:24" x14ac:dyDescent="0.25">
      <c r="A1036" s="5" t="s">
        <v>1537</v>
      </c>
      <c r="B1036" s="18">
        <v>45357</v>
      </c>
      <c r="C1036" s="7" t="s">
        <v>293</v>
      </c>
      <c r="D1036" s="7" t="s">
        <v>65</v>
      </c>
      <c r="E1036" s="7" t="s">
        <v>132</v>
      </c>
      <c r="F1036" s="7" t="s">
        <v>133</v>
      </c>
      <c r="G1036" s="7" t="s">
        <v>51</v>
      </c>
      <c r="H1036" s="7" t="s">
        <v>134</v>
      </c>
      <c r="I1036" s="7" t="s">
        <v>40</v>
      </c>
      <c r="J1036" s="7" t="s">
        <v>117</v>
      </c>
      <c r="K1036" s="7"/>
      <c r="L1036" s="7"/>
      <c r="M1036" s="7" t="s">
        <v>138</v>
      </c>
      <c r="N1036" s="7" t="s">
        <v>75</v>
      </c>
      <c r="O1036" s="7">
        <v>13</v>
      </c>
      <c r="P1036" s="7">
        <v>57.91</v>
      </c>
      <c r="Q1036" s="7">
        <v>32.25</v>
      </c>
      <c r="R1036" s="7">
        <v>752.8</v>
      </c>
      <c r="S1036" s="7">
        <v>0.1</v>
      </c>
      <c r="T1036" s="7">
        <v>75.28</v>
      </c>
      <c r="U1036" s="7">
        <v>677.52</v>
      </c>
      <c r="V1036" s="7">
        <v>419.19</v>
      </c>
      <c r="W1036" s="7">
        <v>258.33</v>
      </c>
      <c r="X1036" s="7" t="s">
        <v>45</v>
      </c>
    </row>
    <row r="1037" spans="1:24" x14ac:dyDescent="0.25">
      <c r="A1037" s="16" t="s">
        <v>1538</v>
      </c>
      <c r="B1037" s="17">
        <v>45320</v>
      </c>
      <c r="C1037" s="6" t="s">
        <v>367</v>
      </c>
      <c r="D1037" s="6" t="s">
        <v>105</v>
      </c>
      <c r="E1037" s="6" t="s">
        <v>141</v>
      </c>
      <c r="F1037" s="6" t="s">
        <v>142</v>
      </c>
      <c r="G1037" s="6" t="s">
        <v>25</v>
      </c>
      <c r="H1037" s="6" t="s">
        <v>26</v>
      </c>
      <c r="I1037" s="6" t="s">
        <v>53</v>
      </c>
      <c r="J1037" s="6" t="s">
        <v>122</v>
      </c>
      <c r="K1037" s="6" t="s">
        <v>83</v>
      </c>
      <c r="L1037" s="6" t="s">
        <v>2665</v>
      </c>
      <c r="M1037" s="6" t="s">
        <v>43</v>
      </c>
      <c r="N1037" s="6" t="s">
        <v>75</v>
      </c>
      <c r="O1037" s="6">
        <v>67</v>
      </c>
      <c r="P1037" s="6">
        <v>99.52</v>
      </c>
      <c r="Q1037" s="6">
        <v>59.47</v>
      </c>
      <c r="R1037" s="6">
        <v>6667.9</v>
      </c>
      <c r="S1037" s="6">
        <v>0.05</v>
      </c>
      <c r="T1037" s="6">
        <v>333.39</v>
      </c>
      <c r="U1037" s="6">
        <v>6334.5</v>
      </c>
      <c r="V1037" s="6">
        <v>3984.52</v>
      </c>
      <c r="W1037" s="6">
        <v>2349.98</v>
      </c>
      <c r="X1037" s="6" t="s">
        <v>32</v>
      </c>
    </row>
    <row r="1038" spans="1:24" x14ac:dyDescent="0.25">
      <c r="A1038" s="5" t="s">
        <v>1539</v>
      </c>
      <c r="B1038" s="18">
        <v>45419</v>
      </c>
      <c r="C1038" s="7" t="s">
        <v>893</v>
      </c>
      <c r="D1038" s="7" t="s">
        <v>48</v>
      </c>
      <c r="E1038" s="7" t="s">
        <v>150</v>
      </c>
      <c r="F1038" s="7" t="s">
        <v>151</v>
      </c>
      <c r="G1038" s="7" t="s">
        <v>101</v>
      </c>
      <c r="H1038" s="7" t="s">
        <v>134</v>
      </c>
      <c r="I1038" s="7" t="s">
        <v>53</v>
      </c>
      <c r="J1038" s="7" t="s">
        <v>143</v>
      </c>
      <c r="K1038" s="7" t="s">
        <v>218</v>
      </c>
      <c r="L1038" s="7" t="s">
        <v>2674</v>
      </c>
      <c r="M1038" s="7" t="s">
        <v>30</v>
      </c>
      <c r="N1038" s="7" t="s">
        <v>75</v>
      </c>
      <c r="O1038" s="7">
        <v>39</v>
      </c>
      <c r="P1038" s="7">
        <v>89.08</v>
      </c>
      <c r="Q1038" s="7">
        <v>48.58</v>
      </c>
      <c r="R1038" s="7">
        <v>3474.16</v>
      </c>
      <c r="S1038" s="7">
        <v>0</v>
      </c>
      <c r="T1038" s="7">
        <v>0</v>
      </c>
      <c r="U1038" s="7">
        <v>3474.16</v>
      </c>
      <c r="V1038" s="7">
        <v>1894.81</v>
      </c>
      <c r="W1038" s="7">
        <v>1579.35</v>
      </c>
      <c r="X1038" s="7" t="s">
        <v>32</v>
      </c>
    </row>
    <row r="1039" spans="1:24" x14ac:dyDescent="0.25">
      <c r="A1039" s="16" t="s">
        <v>1540</v>
      </c>
      <c r="B1039" s="17">
        <v>45614</v>
      </c>
      <c r="C1039" s="6" t="s">
        <v>192</v>
      </c>
      <c r="D1039" s="6" t="s">
        <v>65</v>
      </c>
      <c r="E1039" s="6" t="s">
        <v>23</v>
      </c>
      <c r="F1039" s="6" t="s">
        <v>24</v>
      </c>
      <c r="G1039" s="6" t="s">
        <v>25</v>
      </c>
      <c r="H1039" s="6" t="s">
        <v>26</v>
      </c>
      <c r="I1039" s="6" t="s">
        <v>58</v>
      </c>
      <c r="J1039" s="6" t="s">
        <v>323</v>
      </c>
      <c r="K1039" s="6" t="s">
        <v>74</v>
      </c>
      <c r="L1039" s="6" t="s">
        <v>2664</v>
      </c>
      <c r="M1039" s="6" t="s">
        <v>385</v>
      </c>
      <c r="N1039" s="6" t="s">
        <v>84</v>
      </c>
      <c r="O1039" s="6">
        <v>6</v>
      </c>
      <c r="P1039" s="6">
        <v>77.31</v>
      </c>
      <c r="Q1039" s="6">
        <v>46.46</v>
      </c>
      <c r="R1039" s="6">
        <v>463.84</v>
      </c>
      <c r="S1039" s="6">
        <v>0.2</v>
      </c>
      <c r="T1039" s="6">
        <v>92.77</v>
      </c>
      <c r="U1039" s="6">
        <v>371.08</v>
      </c>
      <c r="V1039" s="6">
        <v>278.75</v>
      </c>
      <c r="W1039" s="6">
        <v>92.33</v>
      </c>
      <c r="X1039" s="6" t="s">
        <v>45</v>
      </c>
    </row>
    <row r="1040" spans="1:24" x14ac:dyDescent="0.25">
      <c r="A1040" s="5" t="s">
        <v>1541</v>
      </c>
      <c r="B1040" s="18">
        <v>45298</v>
      </c>
      <c r="C1040" s="7" t="s">
        <v>832</v>
      </c>
      <c r="D1040" s="7" t="s">
        <v>159</v>
      </c>
      <c r="E1040" s="7" t="s">
        <v>49</v>
      </c>
      <c r="F1040" s="7" t="s">
        <v>50</v>
      </c>
      <c r="G1040" s="7" t="s">
        <v>51</v>
      </c>
      <c r="H1040" s="7" t="s">
        <v>52</v>
      </c>
      <c r="I1040" s="7" t="s">
        <v>88</v>
      </c>
      <c r="J1040" s="7" t="s">
        <v>89</v>
      </c>
      <c r="K1040" s="7" t="s">
        <v>90</v>
      </c>
      <c r="L1040" s="7" t="s">
        <v>2666</v>
      </c>
      <c r="M1040" s="7" t="s">
        <v>30</v>
      </c>
      <c r="N1040" s="7" t="s">
        <v>31</v>
      </c>
      <c r="O1040" s="7">
        <v>5</v>
      </c>
      <c r="P1040" s="7">
        <v>25.71</v>
      </c>
      <c r="Q1040" s="7">
        <v>13.22</v>
      </c>
      <c r="R1040" s="7">
        <v>128.54</v>
      </c>
      <c r="S1040" s="7">
        <v>0</v>
      </c>
      <c r="T1040" s="7">
        <v>0</v>
      </c>
      <c r="U1040" s="7">
        <v>128.54</v>
      </c>
      <c r="V1040" s="7">
        <v>66.099999999999994</v>
      </c>
      <c r="W1040" s="7">
        <v>62.44</v>
      </c>
      <c r="X1040" s="7" t="s">
        <v>45</v>
      </c>
    </row>
    <row r="1041" spans="1:24" x14ac:dyDescent="0.25">
      <c r="A1041" s="16" t="s">
        <v>1542</v>
      </c>
      <c r="B1041" s="17">
        <v>45445</v>
      </c>
      <c r="C1041" s="6" t="s">
        <v>303</v>
      </c>
      <c r="D1041" s="6" t="s">
        <v>22</v>
      </c>
      <c r="E1041" s="6" t="s">
        <v>78</v>
      </c>
      <c r="F1041" s="6" t="s">
        <v>79</v>
      </c>
      <c r="G1041" s="6" t="s">
        <v>80</v>
      </c>
      <c r="H1041" s="6" t="s">
        <v>81</v>
      </c>
      <c r="I1041" s="6" t="s">
        <v>53</v>
      </c>
      <c r="J1041" s="6" t="s">
        <v>232</v>
      </c>
      <c r="K1041" s="6" t="s">
        <v>184</v>
      </c>
      <c r="L1041" s="6" t="s">
        <v>2672</v>
      </c>
      <c r="M1041" s="6" t="s">
        <v>30</v>
      </c>
      <c r="N1041" s="6" t="s">
        <v>31</v>
      </c>
      <c r="O1041" s="6">
        <v>30</v>
      </c>
      <c r="P1041" s="6">
        <v>137.11000000000001</v>
      </c>
      <c r="Q1041" s="6">
        <v>83.33</v>
      </c>
      <c r="R1041" s="6">
        <v>4113.43</v>
      </c>
      <c r="S1041" s="6">
        <v>0.05</v>
      </c>
      <c r="T1041" s="6">
        <v>205.67</v>
      </c>
      <c r="U1041" s="6">
        <v>3907.76</v>
      </c>
      <c r="V1041" s="6">
        <v>2499.7800000000002</v>
      </c>
      <c r="W1041" s="6">
        <v>1407.97</v>
      </c>
      <c r="X1041" s="6" t="s">
        <v>32</v>
      </c>
    </row>
    <row r="1042" spans="1:24" x14ac:dyDescent="0.25">
      <c r="A1042" s="5" t="s">
        <v>1543</v>
      </c>
      <c r="B1042" s="18">
        <v>45565</v>
      </c>
      <c r="C1042" s="7" t="s">
        <v>442</v>
      </c>
      <c r="D1042" s="7" t="s">
        <v>87</v>
      </c>
      <c r="E1042" s="7" t="s">
        <v>109</v>
      </c>
      <c r="F1042" s="7" t="s">
        <v>110</v>
      </c>
      <c r="G1042" s="7" t="s">
        <v>80</v>
      </c>
      <c r="H1042" s="7" t="s">
        <v>81</v>
      </c>
      <c r="I1042" s="7" t="s">
        <v>58</v>
      </c>
      <c r="J1042" s="7" t="s">
        <v>59</v>
      </c>
      <c r="K1042" s="7" t="s">
        <v>248</v>
      </c>
      <c r="L1042" s="7" t="s">
        <v>2675</v>
      </c>
      <c r="M1042" s="7" t="s">
        <v>153</v>
      </c>
      <c r="N1042" s="7" t="s">
        <v>44</v>
      </c>
      <c r="O1042" s="7">
        <v>18</v>
      </c>
      <c r="P1042" s="7">
        <v>131.78</v>
      </c>
      <c r="Q1042" s="7">
        <v>69.98</v>
      </c>
      <c r="R1042" s="7">
        <v>2372.1</v>
      </c>
      <c r="S1042" s="7">
        <v>0.02</v>
      </c>
      <c r="T1042" s="7">
        <v>47.44</v>
      </c>
      <c r="U1042" s="7">
        <v>2324.66</v>
      </c>
      <c r="V1042" s="7">
        <v>1259.68</v>
      </c>
      <c r="W1042" s="7">
        <v>1064.98</v>
      </c>
      <c r="X1042" s="7" t="s">
        <v>32</v>
      </c>
    </row>
    <row r="1043" spans="1:24" x14ac:dyDescent="0.25">
      <c r="A1043" s="16" t="s">
        <v>1544</v>
      </c>
      <c r="B1043" s="17">
        <v>45486</v>
      </c>
      <c r="C1043" s="6" t="s">
        <v>347</v>
      </c>
      <c r="D1043" s="6" t="s">
        <v>163</v>
      </c>
      <c r="E1043" s="6" t="s">
        <v>141</v>
      </c>
      <c r="F1043" s="6" t="s">
        <v>142</v>
      </c>
      <c r="G1043" s="6" t="s">
        <v>25</v>
      </c>
      <c r="H1043" s="6" t="s">
        <v>26</v>
      </c>
      <c r="I1043" s="6" t="s">
        <v>27</v>
      </c>
      <c r="J1043" s="6" t="s">
        <v>189</v>
      </c>
      <c r="K1043" s="6" t="s">
        <v>152</v>
      </c>
      <c r="L1043" s="6" t="s">
        <v>2670</v>
      </c>
      <c r="M1043" s="6" t="s">
        <v>153</v>
      </c>
      <c r="N1043" s="6" t="s">
        <v>70</v>
      </c>
      <c r="O1043" s="6">
        <v>13</v>
      </c>
      <c r="P1043" s="6">
        <v>88.28</v>
      </c>
      <c r="Q1043" s="6">
        <v>61.4</v>
      </c>
      <c r="R1043" s="6">
        <v>1147.68</v>
      </c>
      <c r="S1043" s="6">
        <v>0.05</v>
      </c>
      <c r="T1043" s="6">
        <v>57.38</v>
      </c>
      <c r="U1043" s="6">
        <v>1090.29</v>
      </c>
      <c r="V1043" s="6">
        <v>798.18</v>
      </c>
      <c r="W1043" s="6">
        <v>292.12</v>
      </c>
      <c r="X1043" s="6" t="s">
        <v>129</v>
      </c>
    </row>
    <row r="1044" spans="1:24" x14ac:dyDescent="0.25">
      <c r="A1044" s="5" t="s">
        <v>1545</v>
      </c>
      <c r="B1044" s="18">
        <v>45650</v>
      </c>
      <c r="C1044" s="7" t="s">
        <v>1278</v>
      </c>
      <c r="D1044" s="7" t="s">
        <v>156</v>
      </c>
      <c r="E1044" s="7" t="s">
        <v>49</v>
      </c>
      <c r="F1044" s="7" t="s">
        <v>50</v>
      </c>
      <c r="G1044" s="7" t="s">
        <v>51</v>
      </c>
      <c r="H1044" s="7" t="s">
        <v>52</v>
      </c>
      <c r="I1044" s="7" t="s">
        <v>58</v>
      </c>
      <c r="J1044" s="7" t="s">
        <v>73</v>
      </c>
      <c r="K1044" s="7" t="s">
        <v>42</v>
      </c>
      <c r="L1044" s="7" t="s">
        <v>2661</v>
      </c>
      <c r="M1044" s="7" t="s">
        <v>43</v>
      </c>
      <c r="N1044" s="7" t="s">
        <v>75</v>
      </c>
      <c r="O1044" s="7">
        <v>18</v>
      </c>
      <c r="P1044" s="7">
        <v>25.14</v>
      </c>
      <c r="Q1044" s="7">
        <v>12.26</v>
      </c>
      <c r="R1044" s="7">
        <v>452.45</v>
      </c>
      <c r="S1044" s="7">
        <v>0.2</v>
      </c>
      <c r="T1044" s="7">
        <v>90.49</v>
      </c>
      <c r="U1044" s="7">
        <v>361.96</v>
      </c>
      <c r="V1044" s="7">
        <v>220.6</v>
      </c>
      <c r="W1044" s="7">
        <v>141.35</v>
      </c>
      <c r="X1044" s="7" t="s">
        <v>45</v>
      </c>
    </row>
    <row r="1045" spans="1:24" x14ac:dyDescent="0.25">
      <c r="A1045" s="16" t="s">
        <v>1546</v>
      </c>
      <c r="B1045" s="17">
        <v>45500</v>
      </c>
      <c r="C1045" s="6" t="s">
        <v>676</v>
      </c>
      <c r="D1045" s="6" t="s">
        <v>359</v>
      </c>
      <c r="E1045" s="6" t="s">
        <v>209</v>
      </c>
      <c r="F1045" s="6" t="s">
        <v>210</v>
      </c>
      <c r="G1045" s="6" t="s">
        <v>51</v>
      </c>
      <c r="H1045" s="6" t="s">
        <v>116</v>
      </c>
      <c r="I1045" s="6" t="s">
        <v>58</v>
      </c>
      <c r="J1045" s="6" t="s">
        <v>323</v>
      </c>
      <c r="K1045" s="6" t="s">
        <v>265</v>
      </c>
      <c r="L1045" s="6" t="s">
        <v>2678</v>
      </c>
      <c r="M1045" s="6" t="s">
        <v>153</v>
      </c>
      <c r="N1045" s="6" t="s">
        <v>84</v>
      </c>
      <c r="O1045" s="6">
        <v>65</v>
      </c>
      <c r="P1045" s="6">
        <v>17.05</v>
      </c>
      <c r="Q1045" s="6">
        <v>9.64</v>
      </c>
      <c r="R1045" s="6">
        <v>1108.54</v>
      </c>
      <c r="S1045" s="6">
        <v>0</v>
      </c>
      <c r="T1045" s="6">
        <v>0</v>
      </c>
      <c r="U1045" s="6">
        <v>1108.54</v>
      </c>
      <c r="V1045" s="6">
        <v>626.32000000000005</v>
      </c>
      <c r="W1045" s="6">
        <v>482.22</v>
      </c>
      <c r="X1045" s="6" t="s">
        <v>45</v>
      </c>
    </row>
    <row r="1046" spans="1:24" x14ac:dyDescent="0.25">
      <c r="A1046" s="5" t="s">
        <v>1547</v>
      </c>
      <c r="B1046" s="18">
        <v>45440</v>
      </c>
      <c r="C1046" s="7" t="s">
        <v>917</v>
      </c>
      <c r="D1046" s="7" t="s">
        <v>57</v>
      </c>
      <c r="E1046" s="7" t="s">
        <v>222</v>
      </c>
      <c r="F1046" s="7" t="s">
        <v>223</v>
      </c>
      <c r="G1046" s="7" t="s">
        <v>101</v>
      </c>
      <c r="H1046" s="7" t="s">
        <v>68</v>
      </c>
      <c r="I1046" s="7" t="s">
        <v>27</v>
      </c>
      <c r="J1046" s="7" t="s">
        <v>28</v>
      </c>
      <c r="K1046" s="7" t="s">
        <v>178</v>
      </c>
      <c r="L1046" s="7" t="s">
        <v>256</v>
      </c>
      <c r="M1046" s="7" t="s">
        <v>153</v>
      </c>
      <c r="N1046" s="7" t="s">
        <v>31</v>
      </c>
      <c r="O1046" s="7">
        <v>11</v>
      </c>
      <c r="P1046" s="7">
        <v>110.8</v>
      </c>
      <c r="Q1046" s="7">
        <v>83.86</v>
      </c>
      <c r="R1046" s="7">
        <v>1218.75</v>
      </c>
      <c r="S1046" s="7">
        <v>0.02</v>
      </c>
      <c r="T1046" s="7">
        <v>24.37</v>
      </c>
      <c r="U1046" s="7">
        <v>1194.3699999999999</v>
      </c>
      <c r="V1046" s="7">
        <v>922.51</v>
      </c>
      <c r="W1046" s="7">
        <v>271.86</v>
      </c>
      <c r="X1046" s="7" t="s">
        <v>129</v>
      </c>
    </row>
    <row r="1047" spans="1:24" x14ac:dyDescent="0.25">
      <c r="A1047" s="16" t="s">
        <v>1548</v>
      </c>
      <c r="B1047" s="17">
        <v>45462</v>
      </c>
      <c r="C1047" s="6" t="s">
        <v>559</v>
      </c>
      <c r="D1047" s="6" t="s">
        <v>221</v>
      </c>
      <c r="E1047" s="6" t="s">
        <v>216</v>
      </c>
      <c r="F1047" s="6" t="s">
        <v>217</v>
      </c>
      <c r="G1047" s="6" t="s">
        <v>38</v>
      </c>
      <c r="H1047" s="6" t="s">
        <v>134</v>
      </c>
      <c r="I1047" s="6" t="s">
        <v>27</v>
      </c>
      <c r="J1047" s="6" t="s">
        <v>189</v>
      </c>
      <c r="K1047" s="6" t="s">
        <v>152</v>
      </c>
      <c r="L1047" s="6" t="s">
        <v>2670</v>
      </c>
      <c r="M1047" s="6" t="s">
        <v>30</v>
      </c>
      <c r="N1047" s="6" t="s">
        <v>75</v>
      </c>
      <c r="O1047" s="6">
        <v>26</v>
      </c>
      <c r="P1047" s="6">
        <v>117.41</v>
      </c>
      <c r="Q1047" s="6">
        <v>62.07</v>
      </c>
      <c r="R1047" s="6">
        <v>3052.53</v>
      </c>
      <c r="S1047" s="6">
        <v>0.2</v>
      </c>
      <c r="T1047" s="6">
        <v>610.51</v>
      </c>
      <c r="U1047" s="6">
        <v>2442.02</v>
      </c>
      <c r="V1047" s="6">
        <v>1613.81</v>
      </c>
      <c r="W1047" s="6">
        <v>828.22</v>
      </c>
      <c r="X1047" s="6" t="s">
        <v>45</v>
      </c>
    </row>
    <row r="1048" spans="1:24" x14ac:dyDescent="0.25">
      <c r="A1048" s="5" t="s">
        <v>1549</v>
      </c>
      <c r="B1048" s="18">
        <v>45605</v>
      </c>
      <c r="C1048" s="7" t="s">
        <v>373</v>
      </c>
      <c r="D1048" s="7" t="s">
        <v>264</v>
      </c>
      <c r="E1048" s="7" t="s">
        <v>93</v>
      </c>
      <c r="F1048" s="7" t="s">
        <v>94</v>
      </c>
      <c r="G1048" s="7" t="s">
        <v>95</v>
      </c>
      <c r="H1048" s="7" t="s">
        <v>96</v>
      </c>
      <c r="I1048" s="7" t="s">
        <v>88</v>
      </c>
      <c r="J1048" s="7" t="s">
        <v>1213</v>
      </c>
      <c r="K1048" s="7" t="s">
        <v>42</v>
      </c>
      <c r="L1048" s="7" t="s">
        <v>2661</v>
      </c>
      <c r="M1048" s="7" t="s">
        <v>61</v>
      </c>
      <c r="N1048" s="7" t="s">
        <v>44</v>
      </c>
      <c r="O1048" s="7">
        <v>79</v>
      </c>
      <c r="P1048" s="7">
        <v>52.63</v>
      </c>
      <c r="Q1048" s="7">
        <v>30.34</v>
      </c>
      <c r="R1048" s="7">
        <v>4157.76</v>
      </c>
      <c r="S1048" s="7">
        <v>0.05</v>
      </c>
      <c r="T1048" s="7">
        <v>207.89</v>
      </c>
      <c r="U1048" s="7">
        <v>3949.87</v>
      </c>
      <c r="V1048" s="7">
        <v>2397.16</v>
      </c>
      <c r="W1048" s="7">
        <v>1552.71</v>
      </c>
      <c r="X1048" s="7" t="s">
        <v>45</v>
      </c>
    </row>
    <row r="1049" spans="1:24" x14ac:dyDescent="0.25">
      <c r="A1049" s="16" t="s">
        <v>1550</v>
      </c>
      <c r="B1049" s="17">
        <v>45445</v>
      </c>
      <c r="C1049" s="6" t="s">
        <v>1469</v>
      </c>
      <c r="D1049" s="6" t="s">
        <v>121</v>
      </c>
      <c r="E1049" s="6" t="s">
        <v>36</v>
      </c>
      <c r="F1049" s="6" t="s">
        <v>37</v>
      </c>
      <c r="G1049" s="6" t="s">
        <v>38</v>
      </c>
      <c r="H1049" s="6" t="s">
        <v>39</v>
      </c>
      <c r="I1049" s="6" t="s">
        <v>88</v>
      </c>
      <c r="J1049" s="6" t="s">
        <v>135</v>
      </c>
      <c r="K1049" s="6" t="s">
        <v>42</v>
      </c>
      <c r="L1049" s="6" t="s">
        <v>2661</v>
      </c>
      <c r="M1049" s="6" t="s">
        <v>61</v>
      </c>
      <c r="N1049" s="6" t="s">
        <v>31</v>
      </c>
      <c r="O1049" s="6">
        <v>36</v>
      </c>
      <c r="P1049" s="6">
        <v>152.1</v>
      </c>
      <c r="Q1049" s="6">
        <v>98.5</v>
      </c>
      <c r="R1049" s="6">
        <v>5475.59</v>
      </c>
      <c r="S1049" s="6">
        <v>0</v>
      </c>
      <c r="T1049" s="6">
        <v>0</v>
      </c>
      <c r="U1049" s="6">
        <v>5475.59</v>
      </c>
      <c r="V1049" s="6">
        <v>3546.13</v>
      </c>
      <c r="W1049" s="6">
        <v>1929.46</v>
      </c>
      <c r="X1049" s="6" t="s">
        <v>32</v>
      </c>
    </row>
    <row r="1050" spans="1:24" x14ac:dyDescent="0.25">
      <c r="A1050" s="5" t="s">
        <v>1551</v>
      </c>
      <c r="B1050" s="18">
        <v>45307</v>
      </c>
      <c r="C1050" s="7" t="s">
        <v>948</v>
      </c>
      <c r="D1050" s="7" t="s">
        <v>87</v>
      </c>
      <c r="E1050" s="7" t="s">
        <v>114</v>
      </c>
      <c r="F1050" s="7" t="s">
        <v>115</v>
      </c>
      <c r="G1050" s="7" t="s">
        <v>95</v>
      </c>
      <c r="H1050" s="7" t="s">
        <v>116</v>
      </c>
      <c r="I1050" s="7" t="s">
        <v>58</v>
      </c>
      <c r="J1050" s="7" t="s">
        <v>73</v>
      </c>
      <c r="K1050" s="7" t="s">
        <v>60</v>
      </c>
      <c r="L1050" s="7" t="s">
        <v>2662</v>
      </c>
      <c r="M1050" s="7" t="s">
        <v>694</v>
      </c>
      <c r="N1050" s="7" t="s">
        <v>31</v>
      </c>
      <c r="O1050" s="7">
        <v>72</v>
      </c>
      <c r="P1050" s="7">
        <v>37.49</v>
      </c>
      <c r="Q1050" s="7">
        <v>20.89</v>
      </c>
      <c r="R1050" s="7">
        <v>2699.32</v>
      </c>
      <c r="S1050" s="7">
        <v>0.05</v>
      </c>
      <c r="T1050" s="7">
        <v>134.97</v>
      </c>
      <c r="U1050" s="7">
        <v>2564.35</v>
      </c>
      <c r="V1050" s="7">
        <v>1504.11</v>
      </c>
      <c r="W1050" s="7">
        <v>1060.24</v>
      </c>
      <c r="X1050" s="7" t="s">
        <v>129</v>
      </c>
    </row>
    <row r="1051" spans="1:24" x14ac:dyDescent="0.25">
      <c r="A1051" s="16" t="s">
        <v>1552</v>
      </c>
      <c r="B1051" s="17">
        <v>45300</v>
      </c>
      <c r="C1051" s="6" t="s">
        <v>1394</v>
      </c>
      <c r="D1051" s="6" t="s">
        <v>156</v>
      </c>
      <c r="E1051" s="6" t="s">
        <v>36</v>
      </c>
      <c r="F1051" s="6" t="s">
        <v>37</v>
      </c>
      <c r="G1051" s="6" t="s">
        <v>38</v>
      </c>
      <c r="H1051" s="6" t="s">
        <v>39</v>
      </c>
      <c r="I1051" s="6" t="s">
        <v>58</v>
      </c>
      <c r="J1051" s="6" t="s">
        <v>59</v>
      </c>
      <c r="K1051" s="6" t="s">
        <v>111</v>
      </c>
      <c r="L1051" s="6" t="s">
        <v>2667</v>
      </c>
      <c r="M1051" s="6" t="s">
        <v>61</v>
      </c>
      <c r="N1051" s="6" t="s">
        <v>70</v>
      </c>
      <c r="O1051" s="6">
        <v>65</v>
      </c>
      <c r="P1051" s="6">
        <v>167.23</v>
      </c>
      <c r="Q1051" s="6">
        <v>105.35</v>
      </c>
      <c r="R1051" s="6">
        <v>10869.68</v>
      </c>
      <c r="S1051" s="6">
        <v>0.2</v>
      </c>
      <c r="T1051" s="6">
        <v>2173.94</v>
      </c>
      <c r="U1051" s="6">
        <v>8695.75</v>
      </c>
      <c r="V1051" s="6">
        <v>6848.03</v>
      </c>
      <c r="W1051" s="6">
        <v>1847.71</v>
      </c>
      <c r="X1051" s="6" t="s">
        <v>45</v>
      </c>
    </row>
    <row r="1052" spans="1:24" x14ac:dyDescent="0.25">
      <c r="A1052" s="5" t="s">
        <v>1553</v>
      </c>
      <c r="B1052" s="18">
        <v>45632</v>
      </c>
      <c r="C1052" s="7" t="s">
        <v>1281</v>
      </c>
      <c r="D1052" s="7" t="s">
        <v>35</v>
      </c>
      <c r="E1052" s="7" t="s">
        <v>250</v>
      </c>
      <c r="F1052" s="7" t="s">
        <v>251</v>
      </c>
      <c r="G1052" s="7" t="s">
        <v>51</v>
      </c>
      <c r="H1052" s="7" t="s">
        <v>252</v>
      </c>
      <c r="I1052" s="7" t="s">
        <v>88</v>
      </c>
      <c r="J1052" s="7" t="s">
        <v>173</v>
      </c>
      <c r="K1052" s="7" t="s">
        <v>152</v>
      </c>
      <c r="L1052" s="7" t="s">
        <v>2670</v>
      </c>
      <c r="M1052" s="7" t="s">
        <v>30</v>
      </c>
      <c r="N1052" s="7" t="s">
        <v>44</v>
      </c>
      <c r="O1052" s="7">
        <v>32</v>
      </c>
      <c r="P1052" s="7">
        <v>67.25</v>
      </c>
      <c r="Q1052" s="7">
        <v>35.4</v>
      </c>
      <c r="R1052" s="7">
        <v>2151.9899999999998</v>
      </c>
      <c r="S1052" s="7">
        <v>0.2</v>
      </c>
      <c r="T1052" s="7">
        <v>430.4</v>
      </c>
      <c r="U1052" s="7">
        <v>1721.59</v>
      </c>
      <c r="V1052" s="7">
        <v>1132.74</v>
      </c>
      <c r="W1052" s="7">
        <v>588.85</v>
      </c>
      <c r="X1052" s="7" t="s">
        <v>45</v>
      </c>
    </row>
    <row r="1053" spans="1:24" x14ac:dyDescent="0.25">
      <c r="A1053" s="16" t="s">
        <v>1554</v>
      </c>
      <c r="B1053" s="17">
        <v>45411</v>
      </c>
      <c r="C1053" s="6" t="s">
        <v>798</v>
      </c>
      <c r="D1053" s="6" t="s">
        <v>259</v>
      </c>
      <c r="E1053" s="6" t="s">
        <v>150</v>
      </c>
      <c r="F1053" s="6" t="s">
        <v>151</v>
      </c>
      <c r="G1053" s="6" t="s">
        <v>101</v>
      </c>
      <c r="H1053" s="6" t="s">
        <v>134</v>
      </c>
      <c r="I1053" s="6" t="s">
        <v>88</v>
      </c>
      <c r="J1053" s="6" t="s">
        <v>173</v>
      </c>
      <c r="K1053" s="6" t="s">
        <v>144</v>
      </c>
      <c r="L1053" s="6" t="s">
        <v>2669</v>
      </c>
      <c r="M1053" s="6" t="s">
        <v>30</v>
      </c>
      <c r="N1053" s="6" t="s">
        <v>44</v>
      </c>
      <c r="O1053" s="6">
        <v>15</v>
      </c>
      <c r="P1053" s="6">
        <v>89.37</v>
      </c>
      <c r="Q1053" s="6">
        <v>46.93</v>
      </c>
      <c r="R1053" s="6">
        <v>1340.52</v>
      </c>
      <c r="S1053" s="6">
        <v>0.2</v>
      </c>
      <c r="T1053" s="6">
        <v>268.10000000000002</v>
      </c>
      <c r="U1053" s="6">
        <v>1259.79</v>
      </c>
      <c r="V1053" s="6">
        <v>703.99</v>
      </c>
      <c r="W1053" s="6">
        <v>368.43</v>
      </c>
      <c r="X1053" s="6" t="s">
        <v>45</v>
      </c>
    </row>
    <row r="1054" spans="1:24" x14ac:dyDescent="0.25">
      <c r="A1054" s="5" t="s">
        <v>1555</v>
      </c>
      <c r="B1054" s="18">
        <v>45432</v>
      </c>
      <c r="C1054" s="7" t="s">
        <v>645</v>
      </c>
      <c r="D1054" s="7" t="s">
        <v>149</v>
      </c>
      <c r="E1054" s="7" t="s">
        <v>78</v>
      </c>
      <c r="F1054" s="7" t="s">
        <v>79</v>
      </c>
      <c r="G1054" s="7" t="s">
        <v>80</v>
      </c>
      <c r="H1054" s="7" t="s">
        <v>81</v>
      </c>
      <c r="I1054" s="7" t="s">
        <v>27</v>
      </c>
      <c r="J1054" s="7" t="s">
        <v>28</v>
      </c>
      <c r="K1054" s="7" t="s">
        <v>218</v>
      </c>
      <c r="L1054" s="7" t="s">
        <v>2674</v>
      </c>
      <c r="M1054" s="7" t="s">
        <v>153</v>
      </c>
      <c r="N1054" s="7"/>
      <c r="O1054" s="7">
        <v>37</v>
      </c>
      <c r="P1054" s="7">
        <v>145.87</v>
      </c>
      <c r="Q1054" s="7">
        <v>86.38</v>
      </c>
      <c r="R1054" s="7">
        <v>5397.06</v>
      </c>
      <c r="S1054" s="7">
        <v>0.1</v>
      </c>
      <c r="T1054" s="7">
        <v>539.71</v>
      </c>
      <c r="U1054" s="7">
        <v>4857.3599999999997</v>
      </c>
      <c r="V1054" s="7">
        <v>3195.97</v>
      </c>
      <c r="W1054" s="7">
        <v>1661.39</v>
      </c>
      <c r="X1054" s="7" t="s">
        <v>45</v>
      </c>
    </row>
    <row r="1055" spans="1:24" x14ac:dyDescent="0.25">
      <c r="A1055" s="16" t="s">
        <v>1556</v>
      </c>
      <c r="B1055" s="17">
        <v>45306</v>
      </c>
      <c r="C1055" s="6" t="s">
        <v>1557</v>
      </c>
      <c r="D1055" s="6" t="s">
        <v>159</v>
      </c>
      <c r="E1055" s="6" t="s">
        <v>49</v>
      </c>
      <c r="F1055" s="6" t="s">
        <v>50</v>
      </c>
      <c r="G1055" s="6" t="s">
        <v>51</v>
      </c>
      <c r="H1055" s="6" t="s">
        <v>52</v>
      </c>
      <c r="I1055" s="6" t="s">
        <v>53</v>
      </c>
      <c r="J1055" s="6" t="s">
        <v>122</v>
      </c>
      <c r="K1055" s="6" t="s">
        <v>265</v>
      </c>
      <c r="L1055" s="6" t="s">
        <v>2678</v>
      </c>
      <c r="M1055" s="6" t="s">
        <v>61</v>
      </c>
      <c r="N1055" s="6" t="s">
        <v>44</v>
      </c>
      <c r="O1055" s="6">
        <v>72</v>
      </c>
      <c r="P1055" s="6">
        <v>24.19</v>
      </c>
      <c r="Q1055" s="6">
        <v>12.58</v>
      </c>
      <c r="R1055" s="6">
        <v>1741.6</v>
      </c>
      <c r="S1055" s="6">
        <v>0</v>
      </c>
      <c r="T1055" s="6">
        <v>0</v>
      </c>
      <c r="U1055" s="6">
        <v>1741.6</v>
      </c>
      <c r="V1055" s="6">
        <v>906.04</v>
      </c>
      <c r="W1055" s="6">
        <v>835.57</v>
      </c>
      <c r="X1055" s="6" t="s">
        <v>45</v>
      </c>
    </row>
    <row r="1056" spans="1:24" x14ac:dyDescent="0.25">
      <c r="A1056" s="5" t="s">
        <v>1558</v>
      </c>
      <c r="B1056" s="18">
        <v>45387</v>
      </c>
      <c r="C1056" s="7" t="s">
        <v>800</v>
      </c>
      <c r="D1056" s="7" t="s">
        <v>264</v>
      </c>
      <c r="E1056" s="7" t="s">
        <v>176</v>
      </c>
      <c r="F1056" s="7" t="s">
        <v>177</v>
      </c>
      <c r="G1056" s="7" t="s">
        <v>101</v>
      </c>
      <c r="H1056" s="7" t="s">
        <v>39</v>
      </c>
      <c r="I1056" s="7" t="s">
        <v>40</v>
      </c>
      <c r="J1056" s="7" t="s">
        <v>82</v>
      </c>
      <c r="K1056" s="7" t="s">
        <v>118</v>
      </c>
      <c r="L1056" s="7" t="s">
        <v>2668</v>
      </c>
      <c r="M1056" s="7" t="s">
        <v>61</v>
      </c>
      <c r="N1056" s="7" t="s">
        <v>84</v>
      </c>
      <c r="O1056" s="7">
        <v>32</v>
      </c>
      <c r="P1056" s="7">
        <v>98.83</v>
      </c>
      <c r="Q1056" s="7">
        <v>66.650000000000006</v>
      </c>
      <c r="R1056" s="7">
        <v>3162.45</v>
      </c>
      <c r="S1056" s="7">
        <v>0.02</v>
      </c>
      <c r="T1056" s="7">
        <v>63.25</v>
      </c>
      <c r="U1056" s="7">
        <v>3099.2</v>
      </c>
      <c r="V1056" s="7">
        <v>2132.77</v>
      </c>
      <c r="W1056" s="7">
        <v>966.42</v>
      </c>
      <c r="X1056" s="7" t="s">
        <v>32</v>
      </c>
    </row>
    <row r="1057" spans="1:24" x14ac:dyDescent="0.25">
      <c r="A1057" s="16" t="s">
        <v>1559</v>
      </c>
      <c r="B1057" s="17">
        <v>45510</v>
      </c>
      <c r="C1057" s="6" t="s">
        <v>333</v>
      </c>
      <c r="D1057" s="6" t="s">
        <v>57</v>
      </c>
      <c r="E1057" s="6" t="s">
        <v>36</v>
      </c>
      <c r="F1057" s="6" t="s">
        <v>37</v>
      </c>
      <c r="G1057" s="6" t="s">
        <v>38</v>
      </c>
      <c r="H1057" s="6" t="s">
        <v>39</v>
      </c>
      <c r="I1057" s="6" t="s">
        <v>58</v>
      </c>
      <c r="J1057" s="6" t="s">
        <v>323</v>
      </c>
      <c r="K1057" s="6" t="s">
        <v>74</v>
      </c>
      <c r="L1057" s="6" t="s">
        <v>2664</v>
      </c>
      <c r="M1057" s="6" t="s">
        <v>43</v>
      </c>
      <c r="N1057" s="6" t="s">
        <v>84</v>
      </c>
      <c r="O1057" s="6"/>
      <c r="P1057" s="6">
        <v>159.83000000000001</v>
      </c>
      <c r="Q1057" s="6">
        <v>95.89</v>
      </c>
      <c r="R1057" s="6">
        <v>5274.42</v>
      </c>
      <c r="S1057" s="6">
        <v>0.05</v>
      </c>
      <c r="T1057" s="6">
        <v>263.72000000000003</v>
      </c>
      <c r="U1057" s="6">
        <v>5010.7</v>
      </c>
      <c r="V1057" s="6">
        <v>3164.52</v>
      </c>
      <c r="W1057" s="6">
        <v>1846.18</v>
      </c>
      <c r="X1057" s="6" t="s">
        <v>45</v>
      </c>
    </row>
    <row r="1058" spans="1:24" x14ac:dyDescent="0.25">
      <c r="A1058" s="5" t="s">
        <v>1560</v>
      </c>
      <c r="B1058" s="18">
        <v>45539</v>
      </c>
      <c r="C1058" s="7" t="s">
        <v>172</v>
      </c>
      <c r="D1058" s="7" t="s">
        <v>22</v>
      </c>
      <c r="E1058" s="7" t="s">
        <v>141</v>
      </c>
      <c r="F1058" s="7" t="s">
        <v>142</v>
      </c>
      <c r="G1058" s="7" t="s">
        <v>25</v>
      </c>
      <c r="H1058" s="7" t="s">
        <v>26</v>
      </c>
      <c r="I1058" s="7" t="s">
        <v>27</v>
      </c>
      <c r="J1058" s="7" t="s">
        <v>189</v>
      </c>
      <c r="K1058" s="7" t="s">
        <v>60</v>
      </c>
      <c r="L1058" s="7" t="s">
        <v>2662</v>
      </c>
      <c r="M1058" s="7" t="s">
        <v>385</v>
      </c>
      <c r="N1058" s="7" t="s">
        <v>44</v>
      </c>
      <c r="O1058" s="7">
        <v>65</v>
      </c>
      <c r="P1058" s="7">
        <v>97.69</v>
      </c>
      <c r="Q1058" s="7">
        <v>61.14</v>
      </c>
      <c r="R1058" s="7">
        <v>6349.82</v>
      </c>
      <c r="S1058" s="7">
        <v>0.02</v>
      </c>
      <c r="T1058" s="7">
        <v>127</v>
      </c>
      <c r="U1058" s="7">
        <v>6222.82</v>
      </c>
      <c r="V1058" s="7">
        <v>3973.83</v>
      </c>
      <c r="W1058" s="7">
        <v>2248.9899999999998</v>
      </c>
      <c r="X1058" s="7" t="s">
        <v>45</v>
      </c>
    </row>
    <row r="1059" spans="1:24" x14ac:dyDescent="0.25">
      <c r="A1059" s="16" t="s">
        <v>1561</v>
      </c>
      <c r="B1059" s="17">
        <v>45560</v>
      </c>
      <c r="C1059" s="6" t="s">
        <v>660</v>
      </c>
      <c r="D1059" s="6" t="s">
        <v>264</v>
      </c>
      <c r="E1059" s="6" t="s">
        <v>114</v>
      </c>
      <c r="F1059" s="6" t="s">
        <v>115</v>
      </c>
      <c r="G1059" s="6" t="s">
        <v>95</v>
      </c>
      <c r="H1059" s="6" t="s">
        <v>116</v>
      </c>
      <c r="I1059" s="6" t="s">
        <v>27</v>
      </c>
      <c r="J1059" s="6" t="s">
        <v>211</v>
      </c>
      <c r="K1059" s="6" t="s">
        <v>90</v>
      </c>
      <c r="L1059" s="6" t="s">
        <v>2666</v>
      </c>
      <c r="M1059" s="6" t="s">
        <v>153</v>
      </c>
      <c r="N1059" s="6" t="s">
        <v>75</v>
      </c>
      <c r="O1059" s="6">
        <v>38</v>
      </c>
      <c r="P1059" s="6">
        <v>36.92</v>
      </c>
      <c r="Q1059" s="6">
        <v>20.95</v>
      </c>
      <c r="R1059" s="6">
        <v>1403.06</v>
      </c>
      <c r="S1059" s="6">
        <v>0.02</v>
      </c>
      <c r="T1059" s="6">
        <v>28.06</v>
      </c>
      <c r="U1059" s="6">
        <v>1375</v>
      </c>
      <c r="V1059" s="6">
        <v>796.1</v>
      </c>
      <c r="W1059" s="6">
        <v>578.9</v>
      </c>
      <c r="X1059" s="6" t="s">
        <v>45</v>
      </c>
    </row>
    <row r="1060" spans="1:24" x14ac:dyDescent="0.25">
      <c r="A1060" s="5" t="s">
        <v>1562</v>
      </c>
      <c r="B1060" s="18">
        <v>45336</v>
      </c>
      <c r="C1060" s="7" t="s">
        <v>397</v>
      </c>
      <c r="D1060" s="7" t="s">
        <v>105</v>
      </c>
      <c r="E1060" s="7" t="s">
        <v>222</v>
      </c>
      <c r="F1060" s="7" t="s">
        <v>223</v>
      </c>
      <c r="G1060" s="7" t="s">
        <v>101</v>
      </c>
      <c r="H1060" s="7" t="s">
        <v>68</v>
      </c>
      <c r="I1060" s="7" t="s">
        <v>88</v>
      </c>
      <c r="J1060" s="7" t="s">
        <v>135</v>
      </c>
      <c r="K1060" s="7" t="s">
        <v>218</v>
      </c>
      <c r="L1060" s="7" t="s">
        <v>2674</v>
      </c>
      <c r="M1060" s="7" t="s">
        <v>43</v>
      </c>
      <c r="N1060" s="7" t="s">
        <v>70</v>
      </c>
      <c r="O1060" s="7">
        <v>11</v>
      </c>
      <c r="P1060" s="7">
        <v>127.14</v>
      </c>
      <c r="Q1060" s="7">
        <v>74.5</v>
      </c>
      <c r="R1060" s="7">
        <v>1398.52</v>
      </c>
      <c r="S1060" s="7">
        <v>0.1</v>
      </c>
      <c r="T1060" s="7">
        <v>139.85</v>
      </c>
      <c r="U1060" s="7">
        <v>1258.67</v>
      </c>
      <c r="V1060" s="7">
        <v>819.45</v>
      </c>
      <c r="W1060" s="7">
        <v>439.21</v>
      </c>
      <c r="X1060" s="7" t="s">
        <v>45</v>
      </c>
    </row>
    <row r="1061" spans="1:24" x14ac:dyDescent="0.25">
      <c r="A1061" s="16" t="s">
        <v>1563</v>
      </c>
      <c r="B1061" s="17">
        <v>45418</v>
      </c>
      <c r="C1061" s="6" t="s">
        <v>47</v>
      </c>
      <c r="D1061" s="6" t="s">
        <v>48</v>
      </c>
      <c r="E1061" s="6" t="s">
        <v>78</v>
      </c>
      <c r="F1061" s="6" t="s">
        <v>79</v>
      </c>
      <c r="G1061" s="6" t="s">
        <v>80</v>
      </c>
      <c r="H1061" s="6" t="s">
        <v>81</v>
      </c>
      <c r="I1061" s="6" t="s">
        <v>53</v>
      </c>
      <c r="J1061" s="6" t="s">
        <v>143</v>
      </c>
      <c r="K1061" s="6" t="s">
        <v>69</v>
      </c>
      <c r="L1061" s="6" t="s">
        <v>2663</v>
      </c>
      <c r="M1061" s="6" t="s">
        <v>61</v>
      </c>
      <c r="N1061" s="6" t="s">
        <v>84</v>
      </c>
      <c r="O1061" s="6">
        <v>40</v>
      </c>
      <c r="P1061" s="6">
        <v>134.97999999999999</v>
      </c>
      <c r="Q1061" s="6">
        <v>86.95</v>
      </c>
      <c r="R1061" s="6">
        <v>5399.09</v>
      </c>
      <c r="S1061" s="6">
        <v>0.2</v>
      </c>
      <c r="T1061" s="6">
        <v>1079.82</v>
      </c>
      <c r="U1061" s="6">
        <v>4319.2700000000004</v>
      </c>
      <c r="V1061" s="6">
        <v>3477.9</v>
      </c>
      <c r="W1061" s="6">
        <v>841.37</v>
      </c>
      <c r="X1061" s="6" t="s">
        <v>45</v>
      </c>
    </row>
    <row r="1062" spans="1:24" x14ac:dyDescent="0.25">
      <c r="A1062" s="5" t="s">
        <v>196</v>
      </c>
      <c r="B1062" s="18">
        <v>45563</v>
      </c>
      <c r="C1062" s="7" t="s">
        <v>197</v>
      </c>
      <c r="D1062" s="7" t="s">
        <v>159</v>
      </c>
      <c r="E1062" s="7" t="s">
        <v>23</v>
      </c>
      <c r="F1062" s="7" t="s">
        <v>24</v>
      </c>
      <c r="G1062" s="7" t="s">
        <v>25</v>
      </c>
      <c r="H1062" s="7" t="s">
        <v>26</v>
      </c>
      <c r="I1062" s="7" t="s">
        <v>27</v>
      </c>
      <c r="J1062" s="7" t="s">
        <v>28</v>
      </c>
      <c r="K1062" s="7" t="s">
        <v>118</v>
      </c>
      <c r="L1062" s="7" t="s">
        <v>2668</v>
      </c>
      <c r="M1062" s="7" t="s">
        <v>61</v>
      </c>
      <c r="N1062" s="7" t="s">
        <v>84</v>
      </c>
      <c r="O1062" s="7">
        <v>31</v>
      </c>
      <c r="P1062" s="7">
        <v>69.44</v>
      </c>
      <c r="Q1062" s="7">
        <v>42.26</v>
      </c>
      <c r="R1062" s="7">
        <v>2152.65</v>
      </c>
      <c r="S1062" s="7">
        <v>0.1</v>
      </c>
      <c r="T1062" s="7">
        <v>215.26</v>
      </c>
      <c r="U1062" s="7">
        <v>1937.38</v>
      </c>
      <c r="V1062" s="7">
        <v>1309.97</v>
      </c>
      <c r="W1062" s="7">
        <v>627.41</v>
      </c>
      <c r="X1062" s="7" t="s">
        <v>45</v>
      </c>
    </row>
    <row r="1063" spans="1:24" x14ac:dyDescent="0.25">
      <c r="A1063" s="16" t="s">
        <v>1564</v>
      </c>
      <c r="B1063" s="17">
        <v>45347</v>
      </c>
      <c r="C1063" s="6" t="s">
        <v>931</v>
      </c>
      <c r="D1063" s="6" t="s">
        <v>105</v>
      </c>
      <c r="E1063" s="6" t="s">
        <v>49</v>
      </c>
      <c r="F1063" s="6" t="s">
        <v>50</v>
      </c>
      <c r="G1063" s="6" t="s">
        <v>51</v>
      </c>
      <c r="H1063" s="6" t="s">
        <v>52</v>
      </c>
      <c r="I1063" s="6" t="s">
        <v>27</v>
      </c>
      <c r="J1063" s="6" t="s">
        <v>28</v>
      </c>
      <c r="K1063" s="6" t="s">
        <v>42</v>
      </c>
      <c r="L1063" s="6" t="s">
        <v>2661</v>
      </c>
      <c r="M1063" s="6" t="s">
        <v>43</v>
      </c>
      <c r="N1063" s="6" t="s">
        <v>31</v>
      </c>
      <c r="O1063" s="6">
        <v>5</v>
      </c>
      <c r="P1063" s="6">
        <v>26.88</v>
      </c>
      <c r="Q1063" s="6">
        <v>12.5</v>
      </c>
      <c r="R1063" s="6">
        <v>134.38999999999999</v>
      </c>
      <c r="S1063" s="6">
        <v>0.2</v>
      </c>
      <c r="T1063" s="6">
        <v>26.88</v>
      </c>
      <c r="U1063" s="6">
        <v>107.51</v>
      </c>
      <c r="V1063" s="6">
        <v>62.48</v>
      </c>
      <c r="W1063" s="6">
        <v>45.03</v>
      </c>
      <c r="X1063" s="6" t="s">
        <v>45</v>
      </c>
    </row>
    <row r="1064" spans="1:24" x14ac:dyDescent="0.25">
      <c r="A1064" s="5" t="s">
        <v>1565</v>
      </c>
      <c r="B1064" s="18">
        <v>45318</v>
      </c>
      <c r="C1064" s="7" t="s">
        <v>653</v>
      </c>
      <c r="D1064" s="7" t="s">
        <v>87</v>
      </c>
      <c r="E1064" s="7" t="s">
        <v>49</v>
      </c>
      <c r="F1064" s="7" t="s">
        <v>50</v>
      </c>
      <c r="G1064" s="7" t="s">
        <v>51</v>
      </c>
      <c r="H1064" s="7" t="s">
        <v>52</v>
      </c>
      <c r="I1064" s="7" t="s">
        <v>88</v>
      </c>
      <c r="J1064" s="7" t="s">
        <v>183</v>
      </c>
      <c r="K1064" s="7" t="s">
        <v>152</v>
      </c>
      <c r="L1064" s="7" t="s">
        <v>2670</v>
      </c>
      <c r="M1064" s="7" t="s">
        <v>43</v>
      </c>
      <c r="N1064" s="7" t="s">
        <v>31</v>
      </c>
      <c r="O1064" s="7">
        <v>55</v>
      </c>
      <c r="P1064" s="7">
        <v>25.8</v>
      </c>
      <c r="Q1064" s="7">
        <v>13.37</v>
      </c>
      <c r="R1064" s="7">
        <v>1419.25</v>
      </c>
      <c r="S1064" s="7">
        <v>0.2</v>
      </c>
      <c r="T1064" s="7">
        <v>283.85000000000002</v>
      </c>
      <c r="U1064" s="7">
        <v>1135.4000000000001</v>
      </c>
      <c r="V1064" s="7">
        <v>735.6</v>
      </c>
      <c r="W1064" s="7">
        <v>399.8</v>
      </c>
      <c r="X1064" s="7" t="s">
        <v>45</v>
      </c>
    </row>
    <row r="1065" spans="1:24" x14ac:dyDescent="0.25">
      <c r="A1065" s="16" t="s">
        <v>1566</v>
      </c>
      <c r="B1065" s="17">
        <v>45567</v>
      </c>
      <c r="C1065" s="6" t="s">
        <v>926</v>
      </c>
      <c r="D1065" s="6" t="s">
        <v>22</v>
      </c>
      <c r="E1065" s="6" t="s">
        <v>49</v>
      </c>
      <c r="F1065" s="6" t="s">
        <v>50</v>
      </c>
      <c r="G1065" s="6" t="s">
        <v>51</v>
      </c>
      <c r="H1065" s="6" t="s">
        <v>52</v>
      </c>
      <c r="I1065" s="6" t="s">
        <v>452</v>
      </c>
      <c r="J1065" s="6" t="s">
        <v>28</v>
      </c>
      <c r="K1065" s="6" t="s">
        <v>60</v>
      </c>
      <c r="L1065" s="6" t="s">
        <v>2662</v>
      </c>
      <c r="M1065" s="6" t="s">
        <v>43</v>
      </c>
      <c r="N1065" s="6" t="s">
        <v>31</v>
      </c>
      <c r="O1065" s="6">
        <v>56</v>
      </c>
      <c r="P1065" s="6">
        <v>25.01</v>
      </c>
      <c r="Q1065" s="6">
        <v>13.2</v>
      </c>
      <c r="R1065" s="6">
        <v>1400.49</v>
      </c>
      <c r="S1065" s="6">
        <v>0.2</v>
      </c>
      <c r="T1065" s="6">
        <v>280.10000000000002</v>
      </c>
      <c r="U1065" s="6">
        <v>1120.3900000000001</v>
      </c>
      <c r="V1065" s="6">
        <v>739.11</v>
      </c>
      <c r="W1065" s="6">
        <v>381.28</v>
      </c>
      <c r="X1065" s="6" t="s">
        <v>550</v>
      </c>
    </row>
    <row r="1066" spans="1:24" x14ac:dyDescent="0.25">
      <c r="A1066" s="5" t="s">
        <v>1567</v>
      </c>
      <c r="B1066" s="18">
        <v>45363</v>
      </c>
      <c r="C1066" s="7" t="s">
        <v>255</v>
      </c>
      <c r="D1066" s="7" t="s">
        <v>256</v>
      </c>
      <c r="E1066" s="7" t="s">
        <v>114</v>
      </c>
      <c r="F1066" s="7" t="s">
        <v>115</v>
      </c>
      <c r="G1066" s="7" t="s">
        <v>95</v>
      </c>
      <c r="H1066" s="7" t="s">
        <v>116</v>
      </c>
      <c r="I1066" s="7" t="s">
        <v>27</v>
      </c>
      <c r="J1066" s="7" t="s">
        <v>28</v>
      </c>
      <c r="K1066" s="7" t="s">
        <v>60</v>
      </c>
      <c r="L1066" s="7" t="s">
        <v>2662</v>
      </c>
      <c r="M1066" s="7" t="s">
        <v>61</v>
      </c>
      <c r="N1066" s="7" t="s">
        <v>31</v>
      </c>
      <c r="O1066" s="7">
        <v>75</v>
      </c>
      <c r="P1066" s="7">
        <v>33.89</v>
      </c>
      <c r="Q1066" s="7">
        <v>21.7</v>
      </c>
      <c r="R1066" s="7">
        <v>2541.4</v>
      </c>
      <c r="S1066" s="7">
        <v>0.2</v>
      </c>
      <c r="T1066" s="7">
        <v>508.28</v>
      </c>
      <c r="U1066" s="7">
        <v>2033.12</v>
      </c>
      <c r="V1066" s="7">
        <v>1627.46</v>
      </c>
      <c r="W1066" s="7">
        <v>405.66</v>
      </c>
      <c r="X1066" s="7" t="s">
        <v>32</v>
      </c>
    </row>
    <row r="1067" spans="1:24" x14ac:dyDescent="0.25">
      <c r="A1067" s="16" t="s">
        <v>1568</v>
      </c>
      <c r="B1067" s="17">
        <v>45598</v>
      </c>
      <c r="C1067" s="6" t="s">
        <v>1047</v>
      </c>
      <c r="D1067" s="6" t="s">
        <v>156</v>
      </c>
      <c r="E1067" s="6" t="s">
        <v>150</v>
      </c>
      <c r="F1067" s="6" t="s">
        <v>151</v>
      </c>
      <c r="G1067" s="6" t="s">
        <v>101</v>
      </c>
      <c r="H1067" s="6" t="s">
        <v>134</v>
      </c>
      <c r="I1067" s="6" t="s">
        <v>58</v>
      </c>
      <c r="J1067" s="6" t="s">
        <v>323</v>
      </c>
      <c r="K1067" s="6" t="s">
        <v>265</v>
      </c>
      <c r="L1067" s="6" t="s">
        <v>2678</v>
      </c>
      <c r="M1067" s="6" t="s">
        <v>43</v>
      </c>
      <c r="N1067" s="6" t="s">
        <v>70</v>
      </c>
      <c r="O1067" s="6">
        <v>42</v>
      </c>
      <c r="P1067" s="6">
        <v>79.16</v>
      </c>
      <c r="Q1067" s="6">
        <v>48.43</v>
      </c>
      <c r="R1067" s="6">
        <v>3324.66</v>
      </c>
      <c r="S1067" s="6">
        <v>0.15</v>
      </c>
      <c r="T1067" s="6">
        <v>498.7</v>
      </c>
      <c r="U1067" s="6">
        <v>2825.97</v>
      </c>
      <c r="V1067" s="6">
        <v>2034.26</v>
      </c>
      <c r="W1067" s="6">
        <v>791.7</v>
      </c>
      <c r="X1067" s="6" t="s">
        <v>45</v>
      </c>
    </row>
    <row r="1068" spans="1:24" x14ac:dyDescent="0.25">
      <c r="A1068" s="5" t="s">
        <v>1569</v>
      </c>
      <c r="B1068" s="18">
        <v>45347</v>
      </c>
      <c r="C1068" s="7" t="s">
        <v>658</v>
      </c>
      <c r="D1068" s="7" t="s">
        <v>264</v>
      </c>
      <c r="E1068" s="7" t="s">
        <v>109</v>
      </c>
      <c r="F1068" s="7" t="s">
        <v>110</v>
      </c>
      <c r="G1068" s="7" t="s">
        <v>80</v>
      </c>
      <c r="H1068" s="7" t="s">
        <v>81</v>
      </c>
      <c r="I1068" s="7" t="s">
        <v>88</v>
      </c>
      <c r="J1068" s="7" t="s">
        <v>135</v>
      </c>
      <c r="K1068" s="7" t="s">
        <v>69</v>
      </c>
      <c r="L1068" s="7" t="s">
        <v>2663</v>
      </c>
      <c r="M1068" s="7" t="s">
        <v>43</v>
      </c>
      <c r="N1068" s="7" t="s">
        <v>31</v>
      </c>
      <c r="O1068" s="7">
        <v>19</v>
      </c>
      <c r="P1068" s="7">
        <v>130.22</v>
      </c>
      <c r="Q1068" s="7">
        <v>75.489999999999995</v>
      </c>
      <c r="R1068" s="7">
        <v>2474.19</v>
      </c>
      <c r="S1068" s="7">
        <v>0.15</v>
      </c>
      <c r="T1068" s="7">
        <v>371.13</v>
      </c>
      <c r="U1068" s="7">
        <v>2103.06</v>
      </c>
      <c r="V1068" s="7">
        <v>1434.39</v>
      </c>
      <c r="W1068" s="7">
        <v>668.67</v>
      </c>
      <c r="X1068" s="7" t="s">
        <v>129</v>
      </c>
    </row>
    <row r="1069" spans="1:24" x14ac:dyDescent="0.25">
      <c r="A1069" s="16" t="s">
        <v>1570</v>
      </c>
      <c r="B1069" s="17">
        <v>45486</v>
      </c>
      <c r="C1069" s="6" t="s">
        <v>234</v>
      </c>
      <c r="D1069" s="6" t="s">
        <v>159</v>
      </c>
      <c r="E1069" s="6" t="s">
        <v>165</v>
      </c>
      <c r="F1069" s="6" t="s">
        <v>166</v>
      </c>
      <c r="G1069" s="6" t="s">
        <v>95</v>
      </c>
      <c r="H1069" s="6" t="s">
        <v>167</v>
      </c>
      <c r="I1069" s="6" t="s">
        <v>27</v>
      </c>
      <c r="J1069" s="6" t="s">
        <v>189</v>
      </c>
      <c r="K1069" s="6" t="s">
        <v>29</v>
      </c>
      <c r="L1069" s="6" t="s">
        <v>2660</v>
      </c>
      <c r="M1069" s="6" t="s">
        <v>43</v>
      </c>
      <c r="N1069" s="6" t="s">
        <v>70</v>
      </c>
      <c r="O1069" s="6">
        <v>12</v>
      </c>
      <c r="P1069" s="6">
        <v>40.93</v>
      </c>
      <c r="Q1069" s="6">
        <v>23.29</v>
      </c>
      <c r="R1069" s="6">
        <v>491.15</v>
      </c>
      <c r="S1069" s="6">
        <v>0.2</v>
      </c>
      <c r="T1069" s="6">
        <v>98.23</v>
      </c>
      <c r="U1069" s="6">
        <v>392.92</v>
      </c>
      <c r="V1069" s="6">
        <v>279.44</v>
      </c>
      <c r="W1069" s="6">
        <v>113.47</v>
      </c>
      <c r="X1069" s="6" t="s">
        <v>32</v>
      </c>
    </row>
    <row r="1070" spans="1:24" x14ac:dyDescent="0.25">
      <c r="A1070" s="5" t="s">
        <v>1571</v>
      </c>
      <c r="B1070" s="18">
        <v>45560</v>
      </c>
      <c r="C1070" s="7" t="s">
        <v>389</v>
      </c>
      <c r="D1070" s="7" t="s">
        <v>264</v>
      </c>
      <c r="E1070" s="7" t="s">
        <v>109</v>
      </c>
      <c r="F1070" s="7" t="s">
        <v>110</v>
      </c>
      <c r="G1070" s="7" t="s">
        <v>80</v>
      </c>
      <c r="H1070" s="7" t="s">
        <v>81</v>
      </c>
      <c r="I1070" s="7" t="s">
        <v>40</v>
      </c>
      <c r="J1070" s="7" t="s">
        <v>117</v>
      </c>
      <c r="K1070" s="7" t="s">
        <v>60</v>
      </c>
      <c r="L1070" s="7" t="s">
        <v>2662</v>
      </c>
      <c r="M1070" s="7" t="s">
        <v>43</v>
      </c>
      <c r="N1070" s="7" t="s">
        <v>75</v>
      </c>
      <c r="O1070" s="7">
        <v>54</v>
      </c>
      <c r="P1070" s="7">
        <v>121.71</v>
      </c>
      <c r="Q1070" s="7">
        <v>79.67</v>
      </c>
      <c r="R1070" s="7">
        <v>6572.46</v>
      </c>
      <c r="S1070" s="7">
        <v>0.2</v>
      </c>
      <c r="T1070" s="7">
        <v>1314.49</v>
      </c>
      <c r="U1070" s="7">
        <v>5257.97</v>
      </c>
      <c r="V1070" s="7">
        <v>4301.95</v>
      </c>
      <c r="W1070" s="7">
        <v>956.02</v>
      </c>
      <c r="X1070" s="7" t="s">
        <v>45</v>
      </c>
    </row>
    <row r="1071" spans="1:24" x14ac:dyDescent="0.25">
      <c r="A1071" s="16" t="s">
        <v>1572</v>
      </c>
      <c r="B1071" s="17">
        <v>45586</v>
      </c>
      <c r="C1071" s="6" t="s">
        <v>1036</v>
      </c>
      <c r="D1071" s="6" t="s">
        <v>22</v>
      </c>
      <c r="E1071" s="6" t="s">
        <v>36</v>
      </c>
      <c r="F1071" s="6" t="s">
        <v>37</v>
      </c>
      <c r="G1071" s="6" t="s">
        <v>38</v>
      </c>
      <c r="H1071" s="6" t="s">
        <v>39</v>
      </c>
      <c r="I1071" s="6" t="s">
        <v>58</v>
      </c>
      <c r="J1071" s="6" t="s">
        <v>323</v>
      </c>
      <c r="K1071" s="6" t="s">
        <v>83</v>
      </c>
      <c r="L1071" s="6" t="s">
        <v>2665</v>
      </c>
      <c r="M1071" s="6" t="s">
        <v>61</v>
      </c>
      <c r="N1071" s="6" t="s">
        <v>84</v>
      </c>
      <c r="O1071" s="6">
        <v>41</v>
      </c>
      <c r="P1071" s="6">
        <v>154.74</v>
      </c>
      <c r="Q1071" s="6">
        <v>98.88</v>
      </c>
      <c r="R1071" s="6">
        <v>6344.16</v>
      </c>
      <c r="S1071" s="6">
        <v>0.15</v>
      </c>
      <c r="T1071" s="6">
        <v>951.62</v>
      </c>
      <c r="U1071" s="6">
        <v>5392.54</v>
      </c>
      <c r="V1071" s="6">
        <v>4054.21</v>
      </c>
      <c r="W1071" s="6">
        <v>1338.33</v>
      </c>
      <c r="X1071" s="6" t="s">
        <v>45</v>
      </c>
    </row>
    <row r="1072" spans="1:24" x14ac:dyDescent="0.25">
      <c r="A1072" s="5" t="s">
        <v>1573</v>
      </c>
      <c r="B1072" s="18">
        <v>45598</v>
      </c>
      <c r="C1072" s="7" t="s">
        <v>691</v>
      </c>
      <c r="D1072" s="7" t="s">
        <v>35</v>
      </c>
      <c r="E1072" s="7" t="s">
        <v>250</v>
      </c>
      <c r="F1072" s="7" t="s">
        <v>251</v>
      </c>
      <c r="G1072" s="7" t="s">
        <v>51</v>
      </c>
      <c r="H1072" s="7" t="s">
        <v>252</v>
      </c>
      <c r="I1072" s="7" t="s">
        <v>40</v>
      </c>
      <c r="J1072" s="7" t="s">
        <v>82</v>
      </c>
      <c r="K1072" s="7" t="s">
        <v>60</v>
      </c>
      <c r="L1072" s="7" t="s">
        <v>2662</v>
      </c>
      <c r="M1072" s="7" t="s">
        <v>153</v>
      </c>
      <c r="N1072" s="7" t="s">
        <v>44</v>
      </c>
      <c r="O1072" s="7">
        <v>33</v>
      </c>
      <c r="P1072" s="7">
        <v>65.87</v>
      </c>
      <c r="Q1072" s="7">
        <v>38.56</v>
      </c>
      <c r="R1072" s="7">
        <v>2173.5500000000002</v>
      </c>
      <c r="S1072" s="7">
        <v>0.15</v>
      </c>
      <c r="T1072" s="7">
        <v>326.02999999999997</v>
      </c>
      <c r="U1072" s="7">
        <v>1847.52</v>
      </c>
      <c r="V1072" s="7">
        <v>1272.6300000000001</v>
      </c>
      <c r="W1072" s="7">
        <v>574.89</v>
      </c>
      <c r="X1072" s="7" t="s">
        <v>45</v>
      </c>
    </row>
    <row r="1073" spans="1:24" x14ac:dyDescent="0.25">
      <c r="A1073" s="16" t="s">
        <v>1574</v>
      </c>
      <c r="B1073" s="17">
        <v>45590</v>
      </c>
      <c r="C1073" s="6" t="s">
        <v>1575</v>
      </c>
      <c r="D1073" s="6" t="s">
        <v>57</v>
      </c>
      <c r="E1073" s="6" t="s">
        <v>36</v>
      </c>
      <c r="F1073" s="6" t="s">
        <v>37</v>
      </c>
      <c r="G1073" s="6" t="s">
        <v>38</v>
      </c>
      <c r="H1073" s="6" t="s">
        <v>39</v>
      </c>
      <c r="I1073" s="6" t="s">
        <v>40</v>
      </c>
      <c r="J1073" s="6" t="s">
        <v>289</v>
      </c>
      <c r="K1073" s="6" t="s">
        <v>248</v>
      </c>
      <c r="L1073" s="6" t="s">
        <v>2675</v>
      </c>
      <c r="M1073" s="6" t="s">
        <v>43</v>
      </c>
      <c r="N1073" s="6" t="s">
        <v>70</v>
      </c>
      <c r="O1073" s="6">
        <v>73</v>
      </c>
      <c r="P1073" s="6">
        <v>160.79</v>
      </c>
      <c r="Q1073" s="6">
        <v>99.17</v>
      </c>
      <c r="R1073" s="6">
        <v>11737.44</v>
      </c>
      <c r="S1073" s="6">
        <v>0</v>
      </c>
      <c r="T1073" s="6">
        <v>0</v>
      </c>
      <c r="U1073" s="6">
        <v>11737.44</v>
      </c>
      <c r="V1073" s="6">
        <v>7239.23</v>
      </c>
      <c r="W1073" s="6">
        <v>4498.21</v>
      </c>
      <c r="X1073" s="6" t="s">
        <v>550</v>
      </c>
    </row>
    <row r="1074" spans="1:24" x14ac:dyDescent="0.25">
      <c r="A1074" s="5" t="s">
        <v>1576</v>
      </c>
      <c r="B1074" s="18">
        <v>45433</v>
      </c>
      <c r="C1074" s="7" t="s">
        <v>911</v>
      </c>
      <c r="D1074" s="7" t="s">
        <v>48</v>
      </c>
      <c r="E1074" s="7" t="s">
        <v>114</v>
      </c>
      <c r="F1074" s="7" t="s">
        <v>115</v>
      </c>
      <c r="G1074" s="7" t="s">
        <v>95</v>
      </c>
      <c r="H1074" s="7" t="s">
        <v>116</v>
      </c>
      <c r="I1074" s="7" t="s">
        <v>88</v>
      </c>
      <c r="J1074" s="7" t="s">
        <v>173</v>
      </c>
      <c r="K1074" s="7" t="s">
        <v>60</v>
      </c>
      <c r="L1074" s="7" t="s">
        <v>2662</v>
      </c>
      <c r="M1074" s="7" t="s">
        <v>30</v>
      </c>
      <c r="N1074" s="7" t="s">
        <v>31</v>
      </c>
      <c r="O1074" s="7">
        <v>20</v>
      </c>
      <c r="P1074" s="7">
        <v>36.049999999999997</v>
      </c>
      <c r="Q1074" s="7">
        <v>19.72</v>
      </c>
      <c r="R1074" s="7">
        <v>721.06</v>
      </c>
      <c r="S1074" s="7">
        <v>0.02</v>
      </c>
      <c r="T1074" s="7">
        <v>14.42</v>
      </c>
      <c r="U1074" s="7">
        <v>706.64</v>
      </c>
      <c r="V1074" s="7">
        <v>394.49</v>
      </c>
      <c r="W1074" s="7">
        <v>312.14999999999998</v>
      </c>
      <c r="X1074" s="7" t="s">
        <v>45</v>
      </c>
    </row>
    <row r="1075" spans="1:24" x14ac:dyDescent="0.25">
      <c r="A1075" s="16" t="s">
        <v>1577</v>
      </c>
      <c r="B1075" s="17">
        <v>45545</v>
      </c>
      <c r="C1075" s="6" t="s">
        <v>655</v>
      </c>
      <c r="D1075" s="6" t="s">
        <v>57</v>
      </c>
      <c r="E1075" s="6" t="s">
        <v>109</v>
      </c>
      <c r="F1075" s="6" t="s">
        <v>110</v>
      </c>
      <c r="G1075" s="6" t="s">
        <v>80</v>
      </c>
      <c r="H1075" s="6" t="s">
        <v>81</v>
      </c>
      <c r="I1075" s="6" t="s">
        <v>58</v>
      </c>
      <c r="J1075" s="6" t="s">
        <v>345</v>
      </c>
      <c r="K1075" s="6" t="s">
        <v>69</v>
      </c>
      <c r="L1075" s="6" t="s">
        <v>2663</v>
      </c>
      <c r="M1075" s="6" t="s">
        <v>153</v>
      </c>
      <c r="N1075" s="6" t="s">
        <v>84</v>
      </c>
      <c r="O1075" s="6">
        <v>42</v>
      </c>
      <c r="P1075" s="6">
        <v>117.4</v>
      </c>
      <c r="Q1075" s="6">
        <v>72.08</v>
      </c>
      <c r="R1075" s="6">
        <v>4930.6899999999996</v>
      </c>
      <c r="S1075" s="6">
        <v>0.02</v>
      </c>
      <c r="T1075" s="6">
        <v>98.61</v>
      </c>
      <c r="U1075" s="6">
        <v>4832.07</v>
      </c>
      <c r="V1075" s="6">
        <v>3027.25</v>
      </c>
      <c r="W1075" s="6">
        <v>1804.82</v>
      </c>
      <c r="X1075" s="6" t="s">
        <v>45</v>
      </c>
    </row>
    <row r="1076" spans="1:24" x14ac:dyDescent="0.25">
      <c r="A1076" s="5" t="s">
        <v>1578</v>
      </c>
      <c r="B1076" s="18">
        <v>45508</v>
      </c>
      <c r="C1076" s="7" t="s">
        <v>655</v>
      </c>
      <c r="D1076" s="7" t="s">
        <v>57</v>
      </c>
      <c r="E1076" s="7" t="s">
        <v>187</v>
      </c>
      <c r="F1076" s="7" t="s">
        <v>188</v>
      </c>
      <c r="G1076" s="7" t="s">
        <v>25</v>
      </c>
      <c r="H1076" s="7" t="s">
        <v>26</v>
      </c>
      <c r="I1076" s="7" t="s">
        <v>53</v>
      </c>
      <c r="J1076" s="7" t="s">
        <v>54</v>
      </c>
      <c r="K1076" s="7" t="s">
        <v>60</v>
      </c>
      <c r="L1076" s="7" t="s">
        <v>2662</v>
      </c>
      <c r="M1076" s="7" t="s">
        <v>61</v>
      </c>
      <c r="N1076" s="7" t="s">
        <v>84</v>
      </c>
      <c r="O1076" s="7">
        <v>72</v>
      </c>
      <c r="P1076" s="7">
        <v>48.36</v>
      </c>
      <c r="Q1076" s="7">
        <v>27.54</v>
      </c>
      <c r="R1076" s="7">
        <v>3481.83</v>
      </c>
      <c r="S1076" s="7">
        <v>0.2</v>
      </c>
      <c r="T1076" s="7">
        <v>696.37</v>
      </c>
      <c r="U1076" s="7">
        <v>2785.46</v>
      </c>
      <c r="V1076" s="7">
        <v>1982.72</v>
      </c>
      <c r="W1076" s="7">
        <v>802.75</v>
      </c>
      <c r="X1076" s="7" t="s">
        <v>45</v>
      </c>
    </row>
    <row r="1077" spans="1:24" x14ac:dyDescent="0.25">
      <c r="A1077" s="16" t="s">
        <v>1579</v>
      </c>
      <c r="B1077" s="17">
        <v>45323</v>
      </c>
      <c r="C1077" s="6" t="s">
        <v>422</v>
      </c>
      <c r="D1077" s="6" t="s">
        <v>48</v>
      </c>
      <c r="E1077" s="6" t="s">
        <v>176</v>
      </c>
      <c r="F1077" s="6" t="s">
        <v>177</v>
      </c>
      <c r="G1077" s="6" t="s">
        <v>101</v>
      </c>
      <c r="H1077" s="6" t="s">
        <v>39</v>
      </c>
      <c r="I1077" s="6" t="s">
        <v>40</v>
      </c>
      <c r="J1077" s="6" t="s">
        <v>41</v>
      </c>
      <c r="K1077" s="6" t="s">
        <v>265</v>
      </c>
      <c r="L1077" s="6" t="s">
        <v>2678</v>
      </c>
      <c r="M1077" s="6" t="s">
        <v>61</v>
      </c>
      <c r="N1077" s="6" t="s">
        <v>70</v>
      </c>
      <c r="O1077" s="6">
        <v>58</v>
      </c>
      <c r="P1077" s="6">
        <v>101.41</v>
      </c>
      <c r="Q1077" s="6">
        <v>63.92</v>
      </c>
      <c r="R1077" s="6">
        <v>5882.01</v>
      </c>
      <c r="S1077" s="6">
        <v>0</v>
      </c>
      <c r="T1077" s="6">
        <v>0</v>
      </c>
      <c r="U1077" s="6">
        <v>5882.01</v>
      </c>
      <c r="V1077" s="6">
        <v>3707.1</v>
      </c>
      <c r="W1077" s="6">
        <v>2174.9</v>
      </c>
      <c r="X1077" s="6" t="s">
        <v>45</v>
      </c>
    </row>
    <row r="1078" spans="1:24" x14ac:dyDescent="0.25">
      <c r="A1078" s="5" t="s">
        <v>1580</v>
      </c>
      <c r="B1078" s="18">
        <v>45571</v>
      </c>
      <c r="C1078" s="7" t="s">
        <v>272</v>
      </c>
      <c r="D1078" s="7" t="s">
        <v>105</v>
      </c>
      <c r="E1078" s="7" t="s">
        <v>165</v>
      </c>
      <c r="F1078" s="7" t="s">
        <v>166</v>
      </c>
      <c r="G1078" s="7" t="s">
        <v>95</v>
      </c>
      <c r="H1078" s="7" t="s">
        <v>167</v>
      </c>
      <c r="I1078" s="7" t="s">
        <v>88</v>
      </c>
      <c r="J1078" s="7" t="s">
        <v>89</v>
      </c>
      <c r="K1078" s="7" t="s">
        <v>184</v>
      </c>
      <c r="L1078" s="7" t="s">
        <v>2672</v>
      </c>
      <c r="M1078" s="7" t="s">
        <v>61</v>
      </c>
      <c r="N1078" s="7" t="s">
        <v>70</v>
      </c>
      <c r="O1078" s="7">
        <v>67</v>
      </c>
      <c r="P1078" s="7">
        <v>38.92</v>
      </c>
      <c r="Q1078" s="7">
        <v>23.07</v>
      </c>
      <c r="R1078" s="7">
        <v>2607.83</v>
      </c>
      <c r="S1078" s="7"/>
      <c r="T1078" s="7">
        <v>130.38999999999999</v>
      </c>
      <c r="U1078" s="7">
        <v>2477.44</v>
      </c>
      <c r="V1078" s="7">
        <v>1545.79</v>
      </c>
      <c r="W1078" s="7">
        <v>931.65</v>
      </c>
      <c r="X1078" s="7" t="s">
        <v>45</v>
      </c>
    </row>
    <row r="1079" spans="1:24" x14ac:dyDescent="0.25">
      <c r="A1079" s="16" t="s">
        <v>1581</v>
      </c>
      <c r="B1079" s="17">
        <v>45565</v>
      </c>
      <c r="C1079" s="6" t="s">
        <v>461</v>
      </c>
      <c r="D1079" s="6" t="s">
        <v>87</v>
      </c>
      <c r="E1079" s="6" t="s">
        <v>99</v>
      </c>
      <c r="F1079" s="6" t="s">
        <v>100</v>
      </c>
      <c r="G1079" s="6" t="s">
        <v>101</v>
      </c>
      <c r="H1079" s="6" t="s">
        <v>102</v>
      </c>
      <c r="I1079" s="6" t="s">
        <v>53</v>
      </c>
      <c r="J1079" s="6" t="s">
        <v>143</v>
      </c>
      <c r="K1079" s="6" t="s">
        <v>42</v>
      </c>
      <c r="L1079" s="6" t="s">
        <v>2661</v>
      </c>
      <c r="M1079" s="6" t="s">
        <v>547</v>
      </c>
      <c r="N1079" s="6" t="s">
        <v>31</v>
      </c>
      <c r="O1079" s="6">
        <v>78</v>
      </c>
      <c r="P1079" s="6">
        <v>70.7</v>
      </c>
      <c r="Q1079" s="6">
        <v>44</v>
      </c>
      <c r="R1079" s="6">
        <v>5514.42</v>
      </c>
      <c r="S1079" s="6">
        <v>0.05</v>
      </c>
      <c r="T1079" s="6">
        <v>275.72000000000003</v>
      </c>
      <c r="U1079" s="6">
        <v>5238.7</v>
      </c>
      <c r="V1079" s="6">
        <v>3432.16</v>
      </c>
      <c r="W1079" s="6">
        <v>1806.54</v>
      </c>
      <c r="X1079" s="6" t="s">
        <v>45</v>
      </c>
    </row>
    <row r="1080" spans="1:24" x14ac:dyDescent="0.25">
      <c r="A1080" s="5" t="s">
        <v>1582</v>
      </c>
      <c r="B1080" s="18">
        <v>45398</v>
      </c>
      <c r="C1080" s="7" t="s">
        <v>293</v>
      </c>
      <c r="D1080" s="7" t="s">
        <v>65</v>
      </c>
      <c r="E1080" s="7" t="s">
        <v>187</v>
      </c>
      <c r="F1080" s="7" t="s">
        <v>188</v>
      </c>
      <c r="G1080" s="7" t="s">
        <v>25</v>
      </c>
      <c r="H1080" s="7" t="s">
        <v>26</v>
      </c>
      <c r="I1080" s="7" t="s">
        <v>27</v>
      </c>
      <c r="J1080" s="7" t="s">
        <v>28</v>
      </c>
      <c r="K1080" s="7" t="s">
        <v>170</v>
      </c>
      <c r="L1080" s="7" t="s">
        <v>2671</v>
      </c>
      <c r="M1080" s="7" t="s">
        <v>153</v>
      </c>
      <c r="N1080" s="7" t="s">
        <v>31</v>
      </c>
      <c r="O1080" s="7">
        <v>33</v>
      </c>
      <c r="P1080" s="7">
        <v>49.64</v>
      </c>
      <c r="Q1080" s="7">
        <v>29.77</v>
      </c>
      <c r="R1080" s="7">
        <v>1637.99</v>
      </c>
      <c r="S1080" s="7">
        <v>0.05</v>
      </c>
      <c r="T1080" s="7">
        <v>81.900000000000006</v>
      </c>
      <c r="U1080" s="7">
        <v>1556.09</v>
      </c>
      <c r="V1080" s="7">
        <v>982.48</v>
      </c>
      <c r="W1080" s="7">
        <v>573.62</v>
      </c>
      <c r="X1080" s="7" t="s">
        <v>45</v>
      </c>
    </row>
    <row r="1081" spans="1:24" x14ac:dyDescent="0.25">
      <c r="A1081" s="16" t="s">
        <v>1583</v>
      </c>
      <c r="B1081" s="17">
        <v>45374</v>
      </c>
      <c r="C1081" s="6" t="s">
        <v>651</v>
      </c>
      <c r="D1081" s="6" t="s">
        <v>105</v>
      </c>
      <c r="E1081" s="6" t="s">
        <v>141</v>
      </c>
      <c r="F1081" s="6" t="s">
        <v>142</v>
      </c>
      <c r="G1081" s="6" t="s">
        <v>25</v>
      </c>
      <c r="H1081" s="6" t="s">
        <v>26</v>
      </c>
      <c r="I1081" s="6" t="s">
        <v>58</v>
      </c>
      <c r="J1081" s="6" t="s">
        <v>345</v>
      </c>
      <c r="K1081" s="6" t="s">
        <v>218</v>
      </c>
      <c r="L1081" s="6" t="s">
        <v>2674</v>
      </c>
      <c r="M1081" s="6" t="s">
        <v>30</v>
      </c>
      <c r="N1081" s="6" t="s">
        <v>44</v>
      </c>
      <c r="O1081" s="6">
        <v>43</v>
      </c>
      <c r="P1081" s="6">
        <v>97.7</v>
      </c>
      <c r="Q1081" s="6">
        <v>53.51</v>
      </c>
      <c r="R1081" s="6">
        <v>4201.0600000000004</v>
      </c>
      <c r="S1081" s="6">
        <v>0.1</v>
      </c>
      <c r="T1081" s="6">
        <v>420.11</v>
      </c>
      <c r="U1081" s="6">
        <v>3780.95</v>
      </c>
      <c r="V1081" s="6">
        <v>2301.1</v>
      </c>
      <c r="W1081" s="6">
        <v>1479.85</v>
      </c>
      <c r="X1081" s="6" t="s">
        <v>45</v>
      </c>
    </row>
    <row r="1082" spans="1:24" x14ac:dyDescent="0.25">
      <c r="A1082" s="5" t="s">
        <v>1584</v>
      </c>
      <c r="B1082" s="18">
        <v>45328</v>
      </c>
      <c r="C1082" s="7" t="s">
        <v>148</v>
      </c>
      <c r="D1082" s="7" t="s">
        <v>149</v>
      </c>
      <c r="E1082" s="7" t="s">
        <v>132</v>
      </c>
      <c r="F1082" s="7" t="s">
        <v>133</v>
      </c>
      <c r="G1082" s="7" t="s">
        <v>51</v>
      </c>
      <c r="H1082" s="7" t="s">
        <v>134</v>
      </c>
      <c r="I1082" s="7" t="s">
        <v>53</v>
      </c>
      <c r="J1082" s="7" t="s">
        <v>232</v>
      </c>
      <c r="K1082" s="7" t="s">
        <v>178</v>
      </c>
      <c r="L1082" s="7" t="s">
        <v>256</v>
      </c>
      <c r="M1082" s="7" t="s">
        <v>153</v>
      </c>
      <c r="N1082" s="7" t="s">
        <v>70</v>
      </c>
      <c r="O1082" s="7">
        <v>44</v>
      </c>
      <c r="P1082" s="7">
        <v>57.57</v>
      </c>
      <c r="Q1082" s="7">
        <v>33.909999999999997</v>
      </c>
      <c r="R1082" s="7">
        <v>2532.9699999999998</v>
      </c>
      <c r="S1082" s="7">
        <v>0.05</v>
      </c>
      <c r="T1082" s="7">
        <v>126.65</v>
      </c>
      <c r="U1082" s="7">
        <v>2406.3200000000002</v>
      </c>
      <c r="V1082" s="7">
        <v>1492.19</v>
      </c>
      <c r="W1082" s="7">
        <v>914.13</v>
      </c>
      <c r="X1082" s="7" t="s">
        <v>129</v>
      </c>
    </row>
    <row r="1083" spans="1:24" x14ac:dyDescent="0.25">
      <c r="A1083" s="16" t="s">
        <v>1585</v>
      </c>
      <c r="B1083" s="17">
        <v>45520</v>
      </c>
      <c r="C1083" s="6" t="s">
        <v>1586</v>
      </c>
      <c r="D1083" s="6" t="s">
        <v>221</v>
      </c>
      <c r="E1083" s="6" t="s">
        <v>165</v>
      </c>
      <c r="F1083" s="6" t="s">
        <v>166</v>
      </c>
      <c r="G1083" s="6" t="s">
        <v>95</v>
      </c>
      <c r="H1083" s="6" t="s">
        <v>167</v>
      </c>
      <c r="I1083" s="6" t="s">
        <v>40</v>
      </c>
      <c r="J1083" s="6" t="s">
        <v>289</v>
      </c>
      <c r="K1083" s="6" t="s">
        <v>152</v>
      </c>
      <c r="L1083" s="6" t="s">
        <v>2670</v>
      </c>
      <c r="M1083" s="6" t="s">
        <v>153</v>
      </c>
      <c r="N1083" s="6" t="s">
        <v>31</v>
      </c>
      <c r="O1083" s="6">
        <v>55</v>
      </c>
      <c r="P1083" s="6">
        <v>39.270000000000003</v>
      </c>
      <c r="Q1083" s="6">
        <v>24.94</v>
      </c>
      <c r="R1083" s="6">
        <v>2159.86</v>
      </c>
      <c r="S1083" s="6">
        <v>0.2</v>
      </c>
      <c r="T1083" s="6">
        <v>431.97</v>
      </c>
      <c r="U1083" s="6">
        <v>1727.89</v>
      </c>
      <c r="V1083" s="6">
        <v>1371.95</v>
      </c>
      <c r="W1083" s="6">
        <v>355.94</v>
      </c>
      <c r="X1083" s="6" t="s">
        <v>45</v>
      </c>
    </row>
    <row r="1084" spans="1:24" x14ac:dyDescent="0.25">
      <c r="A1084" s="5" t="s">
        <v>1587</v>
      </c>
      <c r="B1084" s="18">
        <v>45370</v>
      </c>
      <c r="C1084" s="7" t="s">
        <v>874</v>
      </c>
      <c r="D1084" s="7" t="s">
        <v>159</v>
      </c>
      <c r="E1084" s="7" t="s">
        <v>141</v>
      </c>
      <c r="F1084" s="7" t="s">
        <v>142</v>
      </c>
      <c r="G1084" s="7" t="s">
        <v>25</v>
      </c>
      <c r="H1084" s="7" t="s">
        <v>26</v>
      </c>
      <c r="I1084" s="7" t="s">
        <v>27</v>
      </c>
      <c r="J1084" s="7" t="s">
        <v>189</v>
      </c>
      <c r="K1084" s="7" t="s">
        <v>29</v>
      </c>
      <c r="L1084" s="7" t="s">
        <v>2660</v>
      </c>
      <c r="M1084" s="7" t="s">
        <v>30</v>
      </c>
      <c r="N1084" s="7" t="s">
        <v>75</v>
      </c>
      <c r="O1084" s="7">
        <v>44</v>
      </c>
      <c r="P1084" s="7">
        <v>93.45</v>
      </c>
      <c r="Q1084" s="7">
        <v>61.89</v>
      </c>
      <c r="R1084" s="7">
        <v>4111.67</v>
      </c>
      <c r="S1084" s="7">
        <v>0.05</v>
      </c>
      <c r="T1084" s="7">
        <v>205.58</v>
      </c>
      <c r="U1084" s="7">
        <v>3906.09</v>
      </c>
      <c r="V1084" s="7">
        <v>2723.3</v>
      </c>
      <c r="W1084" s="7">
        <v>1182.79</v>
      </c>
      <c r="X1084" s="7" t="s">
        <v>129</v>
      </c>
    </row>
    <row r="1085" spans="1:24" x14ac:dyDescent="0.25">
      <c r="A1085" s="16" t="s">
        <v>1588</v>
      </c>
      <c r="B1085" s="17">
        <v>45571</v>
      </c>
      <c r="C1085" s="6" t="s">
        <v>341</v>
      </c>
      <c r="D1085" s="6" t="s">
        <v>259</v>
      </c>
      <c r="E1085" s="6" t="s">
        <v>165</v>
      </c>
      <c r="F1085" s="6" t="s">
        <v>166</v>
      </c>
      <c r="G1085" s="6" t="s">
        <v>95</v>
      </c>
      <c r="H1085" s="6" t="s">
        <v>167</v>
      </c>
      <c r="I1085" s="6" t="s">
        <v>40</v>
      </c>
      <c r="J1085" s="6" t="s">
        <v>117</v>
      </c>
      <c r="K1085" s="6" t="s">
        <v>178</v>
      </c>
      <c r="L1085" s="6" t="s">
        <v>256</v>
      </c>
      <c r="M1085" s="6" t="s">
        <v>30</v>
      </c>
      <c r="N1085" s="6" t="s">
        <v>44</v>
      </c>
      <c r="O1085" s="6">
        <v>70</v>
      </c>
      <c r="P1085" s="6">
        <v>45</v>
      </c>
      <c r="Q1085" s="6">
        <v>26.54</v>
      </c>
      <c r="R1085" s="6">
        <v>3150.34</v>
      </c>
      <c r="S1085" s="6">
        <v>0.2</v>
      </c>
      <c r="T1085" s="6">
        <v>630.07000000000005</v>
      </c>
      <c r="U1085" s="6">
        <v>2384.56</v>
      </c>
      <c r="V1085" s="6">
        <v>1857.76</v>
      </c>
      <c r="W1085" s="6">
        <v>662.52</v>
      </c>
      <c r="X1085" s="6" t="s">
        <v>45</v>
      </c>
    </row>
    <row r="1086" spans="1:24" x14ac:dyDescent="0.25">
      <c r="A1086" s="5" t="s">
        <v>1589</v>
      </c>
      <c r="B1086" s="18">
        <v>45650</v>
      </c>
      <c r="C1086" s="7" t="s">
        <v>199</v>
      </c>
      <c r="D1086" s="7" t="s">
        <v>105</v>
      </c>
      <c r="E1086" s="7" t="s">
        <v>150</v>
      </c>
      <c r="F1086" s="7" t="s">
        <v>151</v>
      </c>
      <c r="G1086" s="7" t="s">
        <v>101</v>
      </c>
      <c r="H1086" s="7" t="s">
        <v>134</v>
      </c>
      <c r="I1086" s="7" t="s">
        <v>53</v>
      </c>
      <c r="J1086" s="7"/>
      <c r="K1086" s="7" t="s">
        <v>178</v>
      </c>
      <c r="L1086" s="7" t="s">
        <v>256</v>
      </c>
      <c r="M1086" s="7" t="s">
        <v>153</v>
      </c>
      <c r="N1086" s="7" t="s">
        <v>44</v>
      </c>
      <c r="O1086" s="7">
        <v>38</v>
      </c>
      <c r="P1086" s="7">
        <v>80.25</v>
      </c>
      <c r="Q1086" s="7">
        <v>54.82</v>
      </c>
      <c r="R1086" s="7">
        <v>3049.36</v>
      </c>
      <c r="S1086" s="7">
        <v>0</v>
      </c>
      <c r="T1086" s="7">
        <v>0</v>
      </c>
      <c r="U1086" s="7">
        <v>3049.36</v>
      </c>
      <c r="V1086" s="7">
        <v>2083.14</v>
      </c>
      <c r="W1086" s="7">
        <v>966.22</v>
      </c>
      <c r="X1086" s="7" t="s">
        <v>32</v>
      </c>
    </row>
    <row r="1087" spans="1:24" x14ac:dyDescent="0.25">
      <c r="A1087" s="16" t="s">
        <v>1590</v>
      </c>
      <c r="B1087" s="17">
        <v>45567</v>
      </c>
      <c r="C1087" s="6" t="s">
        <v>852</v>
      </c>
      <c r="D1087" s="6" t="s">
        <v>57</v>
      </c>
      <c r="E1087" s="6" t="s">
        <v>109</v>
      </c>
      <c r="F1087" s="6" t="s">
        <v>110</v>
      </c>
      <c r="G1087" s="6" t="s">
        <v>80</v>
      </c>
      <c r="H1087" s="6" t="s">
        <v>81</v>
      </c>
      <c r="I1087" s="6" t="s">
        <v>88</v>
      </c>
      <c r="J1087" s="6" t="s">
        <v>183</v>
      </c>
      <c r="K1087" s="6" t="s">
        <v>74</v>
      </c>
      <c r="L1087" s="6" t="s">
        <v>2664</v>
      </c>
      <c r="M1087" s="6" t="s">
        <v>61</v>
      </c>
      <c r="N1087" s="6" t="s">
        <v>44</v>
      </c>
      <c r="O1087" s="6">
        <v>7</v>
      </c>
      <c r="P1087" s="6">
        <v>128.33000000000001</v>
      </c>
      <c r="Q1087" s="6">
        <v>70.010000000000005</v>
      </c>
      <c r="R1087" s="6">
        <v>898.32</v>
      </c>
      <c r="S1087" s="6">
        <v>0.2</v>
      </c>
      <c r="T1087" s="6">
        <v>179.66</v>
      </c>
      <c r="U1087" s="6">
        <v>718.66</v>
      </c>
      <c r="V1087" s="6">
        <v>490.04</v>
      </c>
      <c r="W1087" s="6">
        <v>228.61</v>
      </c>
      <c r="X1087" s="6" t="s">
        <v>45</v>
      </c>
    </row>
    <row r="1088" spans="1:24" x14ac:dyDescent="0.25">
      <c r="A1088" s="5" t="s">
        <v>1591</v>
      </c>
      <c r="B1088" s="18">
        <v>45558</v>
      </c>
      <c r="C1088" s="7" t="s">
        <v>631</v>
      </c>
      <c r="D1088" s="7" t="s">
        <v>105</v>
      </c>
      <c r="E1088" s="7" t="s">
        <v>114</v>
      </c>
      <c r="F1088" s="7" t="s">
        <v>115</v>
      </c>
      <c r="G1088" s="7" t="s">
        <v>95</v>
      </c>
      <c r="H1088" s="7" t="s">
        <v>116</v>
      </c>
      <c r="I1088" s="7" t="s">
        <v>27</v>
      </c>
      <c r="J1088" s="7" t="s">
        <v>211</v>
      </c>
      <c r="K1088" s="7" t="s">
        <v>261</v>
      </c>
      <c r="L1088" s="7" t="s">
        <v>2677</v>
      </c>
      <c r="M1088" s="7" t="s">
        <v>30</v>
      </c>
      <c r="N1088" s="7" t="s">
        <v>75</v>
      </c>
      <c r="O1088" s="7">
        <v>67</v>
      </c>
      <c r="P1088" s="7">
        <v>34.33</v>
      </c>
      <c r="Q1088" s="7">
        <v>22.04</v>
      </c>
      <c r="R1088" s="7">
        <v>2300.35</v>
      </c>
      <c r="S1088" s="7">
        <v>0.02</v>
      </c>
      <c r="T1088" s="7">
        <v>46.01</v>
      </c>
      <c r="U1088" s="7">
        <v>2254.34</v>
      </c>
      <c r="V1088" s="7">
        <v>1476.43</v>
      </c>
      <c r="W1088" s="7">
        <v>777.91</v>
      </c>
      <c r="X1088" s="7" t="s">
        <v>45</v>
      </c>
    </row>
    <row r="1089" spans="1:24" x14ac:dyDescent="0.25">
      <c r="A1089" s="16" t="s">
        <v>1592</v>
      </c>
      <c r="B1089" s="17">
        <v>45640</v>
      </c>
      <c r="C1089" s="6" t="s">
        <v>146</v>
      </c>
      <c r="D1089" s="6" t="s">
        <v>105</v>
      </c>
      <c r="E1089" s="6" t="s">
        <v>36</v>
      </c>
      <c r="F1089" s="6" t="s">
        <v>37</v>
      </c>
      <c r="G1089" s="6" t="s">
        <v>38</v>
      </c>
      <c r="H1089" s="6" t="s">
        <v>39</v>
      </c>
      <c r="I1089" s="6" t="s">
        <v>53</v>
      </c>
      <c r="J1089" s="6" t="s">
        <v>143</v>
      </c>
      <c r="K1089" s="6" t="s">
        <v>184</v>
      </c>
      <c r="L1089" s="6" t="s">
        <v>2672</v>
      </c>
      <c r="M1089" s="6" t="s">
        <v>30</v>
      </c>
      <c r="N1089" s="6" t="s">
        <v>75</v>
      </c>
      <c r="O1089" s="6">
        <v>4</v>
      </c>
      <c r="P1089" s="6">
        <v>166.97</v>
      </c>
      <c r="Q1089" s="6">
        <v>104.41</v>
      </c>
      <c r="R1089" s="6">
        <v>667.86</v>
      </c>
      <c r="S1089" s="6">
        <v>0.02</v>
      </c>
      <c r="T1089" s="6">
        <v>13.36</v>
      </c>
      <c r="U1089" s="6">
        <v>654.51</v>
      </c>
      <c r="V1089" s="6">
        <v>417.66</v>
      </c>
      <c r="W1089" s="6">
        <v>236.85</v>
      </c>
      <c r="X1089" s="6" t="s">
        <v>45</v>
      </c>
    </row>
    <row r="1090" spans="1:24" x14ac:dyDescent="0.25">
      <c r="A1090" s="5" t="s">
        <v>1593</v>
      </c>
      <c r="B1090" s="18">
        <v>45339</v>
      </c>
      <c r="C1090" s="7" t="s">
        <v>331</v>
      </c>
      <c r="D1090" s="7" t="s">
        <v>48</v>
      </c>
      <c r="E1090" s="7" t="s">
        <v>250</v>
      </c>
      <c r="F1090" s="7" t="s">
        <v>251</v>
      </c>
      <c r="G1090" s="7" t="s">
        <v>51</v>
      </c>
      <c r="H1090" s="7" t="s">
        <v>252</v>
      </c>
      <c r="I1090" s="7" t="s">
        <v>40</v>
      </c>
      <c r="J1090" s="7" t="s">
        <v>117</v>
      </c>
      <c r="K1090" s="7" t="s">
        <v>195</v>
      </c>
      <c r="L1090" s="7" t="s">
        <v>2673</v>
      </c>
      <c r="M1090" s="7" t="s">
        <v>43</v>
      </c>
      <c r="N1090" s="7" t="s">
        <v>31</v>
      </c>
      <c r="O1090" s="7">
        <v>33</v>
      </c>
      <c r="P1090" s="7">
        <v>65.61</v>
      </c>
      <c r="Q1090" s="7">
        <v>36.909999999999997</v>
      </c>
      <c r="R1090" s="7">
        <v>2165.27</v>
      </c>
      <c r="S1090" s="7">
        <v>0.15</v>
      </c>
      <c r="T1090" s="7">
        <v>324.79000000000002</v>
      </c>
      <c r="U1090" s="7">
        <v>1840.48</v>
      </c>
      <c r="V1090" s="7">
        <v>1218.1199999999999</v>
      </c>
      <c r="W1090" s="7">
        <v>622.36</v>
      </c>
      <c r="X1090" s="7" t="s">
        <v>129</v>
      </c>
    </row>
    <row r="1091" spans="1:24" x14ac:dyDescent="0.25">
      <c r="A1091" s="16" t="s">
        <v>1594</v>
      </c>
      <c r="B1091" s="17">
        <v>45365</v>
      </c>
      <c r="C1091" s="6" t="s">
        <v>1122</v>
      </c>
      <c r="D1091" s="6" t="s">
        <v>159</v>
      </c>
      <c r="E1091" s="6" t="s">
        <v>109</v>
      </c>
      <c r="F1091" s="6" t="s">
        <v>110</v>
      </c>
      <c r="G1091" s="6" t="s">
        <v>80</v>
      </c>
      <c r="H1091" s="6" t="s">
        <v>81</v>
      </c>
      <c r="I1091" s="6" t="s">
        <v>58</v>
      </c>
      <c r="J1091" s="6" t="s">
        <v>323</v>
      </c>
      <c r="K1091" s="6" t="s">
        <v>111</v>
      </c>
      <c r="L1091" s="6" t="s">
        <v>2667</v>
      </c>
      <c r="M1091" s="6" t="s">
        <v>138</v>
      </c>
      <c r="N1091" s="6" t="s">
        <v>44</v>
      </c>
      <c r="O1091" s="6">
        <v>6</v>
      </c>
      <c r="P1091" s="6">
        <v>126.54</v>
      </c>
      <c r="Q1091" s="6">
        <v>68.599999999999994</v>
      </c>
      <c r="R1091" s="6">
        <v>759.26</v>
      </c>
      <c r="S1091" s="6">
        <v>0.2</v>
      </c>
      <c r="T1091" s="6">
        <v>151.85</v>
      </c>
      <c r="U1091" s="6">
        <v>607.41</v>
      </c>
      <c r="V1091" s="6">
        <v>411.59</v>
      </c>
      <c r="W1091" s="6">
        <v>195.82</v>
      </c>
      <c r="X1091" s="6" t="s">
        <v>32</v>
      </c>
    </row>
    <row r="1092" spans="1:24" x14ac:dyDescent="0.25">
      <c r="A1092" s="5" t="s">
        <v>1595</v>
      </c>
      <c r="B1092" s="18">
        <v>45440</v>
      </c>
      <c r="C1092" s="7" t="s">
        <v>613</v>
      </c>
      <c r="D1092" s="7" t="s">
        <v>87</v>
      </c>
      <c r="E1092" s="7" t="s">
        <v>109</v>
      </c>
      <c r="F1092" s="7" t="s">
        <v>110</v>
      </c>
      <c r="G1092" s="7" t="s">
        <v>80</v>
      </c>
      <c r="H1092" s="7" t="s">
        <v>81</v>
      </c>
      <c r="I1092" s="7" t="s">
        <v>53</v>
      </c>
      <c r="J1092" s="7" t="s">
        <v>143</v>
      </c>
      <c r="K1092" s="7" t="s">
        <v>248</v>
      </c>
      <c r="L1092" s="7" t="s">
        <v>2675</v>
      </c>
      <c r="M1092" s="7" t="s">
        <v>43</v>
      </c>
      <c r="N1092" s="7" t="s">
        <v>70</v>
      </c>
      <c r="O1092" s="7">
        <v>21</v>
      </c>
      <c r="P1092" s="7">
        <v>118.32</v>
      </c>
      <c r="Q1092" s="7">
        <v>79.28</v>
      </c>
      <c r="R1092" s="7">
        <v>2484.63</v>
      </c>
      <c r="S1092" s="7">
        <v>0.02</v>
      </c>
      <c r="T1092" s="7">
        <v>49.69</v>
      </c>
      <c r="U1092" s="7">
        <v>2434.9299999999998</v>
      </c>
      <c r="V1092" s="7">
        <v>1664.82</v>
      </c>
      <c r="W1092" s="7">
        <v>770.11</v>
      </c>
      <c r="X1092" s="7" t="s">
        <v>129</v>
      </c>
    </row>
    <row r="1093" spans="1:24" x14ac:dyDescent="0.25">
      <c r="A1093" s="16" t="s">
        <v>1596</v>
      </c>
      <c r="B1093" s="17">
        <v>45452</v>
      </c>
      <c r="C1093" s="6" t="s">
        <v>631</v>
      </c>
      <c r="D1093" s="6" t="s">
        <v>105</v>
      </c>
      <c r="E1093" s="6" t="s">
        <v>176</v>
      </c>
      <c r="F1093" s="6" t="s">
        <v>177</v>
      </c>
      <c r="G1093" s="6" t="s">
        <v>101</v>
      </c>
      <c r="H1093" s="6" t="s">
        <v>39</v>
      </c>
      <c r="I1093" s="6" t="s">
        <v>27</v>
      </c>
      <c r="J1093" s="6" t="s">
        <v>211</v>
      </c>
      <c r="K1093" s="6" t="s">
        <v>265</v>
      </c>
      <c r="L1093" s="6" t="s">
        <v>2678</v>
      </c>
      <c r="M1093" s="6" t="s">
        <v>153</v>
      </c>
      <c r="N1093" s="6" t="s">
        <v>44</v>
      </c>
      <c r="O1093" s="6">
        <v>22</v>
      </c>
      <c r="P1093" s="6">
        <v>97.65</v>
      </c>
      <c r="Q1093" s="6">
        <v>63.13</v>
      </c>
      <c r="R1093" s="6">
        <v>2148.2199999999998</v>
      </c>
      <c r="S1093" s="6">
        <v>0.05</v>
      </c>
      <c r="T1093" s="6">
        <v>107.41</v>
      </c>
      <c r="U1093" s="6">
        <v>2040.81</v>
      </c>
      <c r="V1093" s="6">
        <v>1388.77</v>
      </c>
      <c r="W1093" s="6">
        <v>652.03</v>
      </c>
      <c r="X1093" s="6" t="s">
        <v>45</v>
      </c>
    </row>
    <row r="1094" spans="1:24" x14ac:dyDescent="0.25">
      <c r="A1094" s="5" t="s">
        <v>1597</v>
      </c>
      <c r="B1094" s="18">
        <v>45373</v>
      </c>
      <c r="C1094" s="7" t="s">
        <v>414</v>
      </c>
      <c r="D1094" s="7" t="s">
        <v>22</v>
      </c>
      <c r="E1094" s="7" t="s">
        <v>66</v>
      </c>
      <c r="F1094" s="7" t="s">
        <v>67</v>
      </c>
      <c r="G1094" s="7" t="s">
        <v>38</v>
      </c>
      <c r="H1094" s="7" t="s">
        <v>68</v>
      </c>
      <c r="I1094" s="7" t="s">
        <v>58</v>
      </c>
      <c r="J1094" s="7" t="s">
        <v>345</v>
      </c>
      <c r="K1094" s="7" t="s">
        <v>83</v>
      </c>
      <c r="L1094" s="7" t="s">
        <v>2665</v>
      </c>
      <c r="M1094" s="7" t="s">
        <v>43</v>
      </c>
      <c r="N1094" s="7" t="s">
        <v>75</v>
      </c>
      <c r="O1094" s="7">
        <v>54</v>
      </c>
      <c r="P1094" s="7">
        <v>160.29</v>
      </c>
      <c r="Q1094" s="7">
        <v>103.87</v>
      </c>
      <c r="R1094" s="7">
        <v>8655.59</v>
      </c>
      <c r="S1094" s="7">
        <v>0.1</v>
      </c>
      <c r="T1094" s="7">
        <v>865.56</v>
      </c>
      <c r="U1094" s="7">
        <v>7790.03</v>
      </c>
      <c r="V1094" s="7">
        <v>5609.1</v>
      </c>
      <c r="W1094" s="7">
        <v>2180.92</v>
      </c>
      <c r="X1094" s="7" t="s">
        <v>45</v>
      </c>
    </row>
    <row r="1095" spans="1:24" x14ac:dyDescent="0.25">
      <c r="A1095" s="16" t="s">
        <v>1598</v>
      </c>
      <c r="B1095" s="17">
        <v>45325</v>
      </c>
      <c r="C1095" s="6" t="s">
        <v>438</v>
      </c>
      <c r="D1095" s="6" t="s">
        <v>221</v>
      </c>
      <c r="E1095" s="6" t="s">
        <v>93</v>
      </c>
      <c r="F1095" s="6" t="s">
        <v>94</v>
      </c>
      <c r="G1095" s="6" t="s">
        <v>95</v>
      </c>
      <c r="H1095" s="6" t="s">
        <v>96</v>
      </c>
      <c r="I1095" s="6" t="s">
        <v>27</v>
      </c>
      <c r="J1095" s="6" t="s">
        <v>106</v>
      </c>
      <c r="K1095" s="6" t="s">
        <v>170</v>
      </c>
      <c r="L1095" s="6" t="s">
        <v>2671</v>
      </c>
      <c r="M1095" s="6" t="s">
        <v>30</v>
      </c>
      <c r="N1095" s="6" t="s">
        <v>31</v>
      </c>
      <c r="O1095" s="6">
        <v>36</v>
      </c>
      <c r="P1095" s="6">
        <v>55.41</v>
      </c>
      <c r="Q1095" s="6">
        <v>31.66</v>
      </c>
      <c r="R1095" s="6">
        <v>1994.76</v>
      </c>
      <c r="S1095" s="6">
        <v>0.15</v>
      </c>
      <c r="T1095" s="6">
        <v>299.20999999999998</v>
      </c>
      <c r="U1095" s="6">
        <v>1695.54</v>
      </c>
      <c r="V1095" s="6">
        <v>1139.6199999999999</v>
      </c>
      <c r="W1095" s="6">
        <v>555.92999999999995</v>
      </c>
      <c r="X1095" s="6" t="s">
        <v>129</v>
      </c>
    </row>
    <row r="1096" spans="1:24" x14ac:dyDescent="0.25">
      <c r="A1096" s="5" t="s">
        <v>1599</v>
      </c>
      <c r="B1096" s="18">
        <v>45471</v>
      </c>
      <c r="C1096" s="7" t="s">
        <v>169</v>
      </c>
      <c r="D1096" s="7" t="s">
        <v>57</v>
      </c>
      <c r="E1096" s="7" t="s">
        <v>141</v>
      </c>
      <c r="F1096" s="7" t="s">
        <v>142</v>
      </c>
      <c r="G1096" s="7" t="s">
        <v>25</v>
      </c>
      <c r="H1096" s="7" t="s">
        <v>26</v>
      </c>
      <c r="I1096" s="7" t="s">
        <v>53</v>
      </c>
      <c r="J1096" s="7" t="s">
        <v>122</v>
      </c>
      <c r="K1096" s="7" t="s">
        <v>184</v>
      </c>
      <c r="L1096" s="7" t="s">
        <v>2672</v>
      </c>
      <c r="M1096" s="7" t="s">
        <v>153</v>
      </c>
      <c r="N1096" s="7" t="s">
        <v>84</v>
      </c>
      <c r="O1096" s="7">
        <v>70</v>
      </c>
      <c r="P1096" s="7">
        <v>102.25</v>
      </c>
      <c r="Q1096" s="7">
        <v>54.39</v>
      </c>
      <c r="R1096" s="7">
        <v>7157.32</v>
      </c>
      <c r="S1096" s="7">
        <v>0.05</v>
      </c>
      <c r="T1096" s="7">
        <v>357.87</v>
      </c>
      <c r="U1096" s="7">
        <v>6799.45</v>
      </c>
      <c r="V1096" s="7">
        <v>3807.12</v>
      </c>
      <c r="W1096" s="7">
        <v>2992.33</v>
      </c>
      <c r="X1096" s="7" t="s">
        <v>45</v>
      </c>
    </row>
    <row r="1097" spans="1:24" x14ac:dyDescent="0.25">
      <c r="A1097" s="16" t="s">
        <v>1600</v>
      </c>
      <c r="B1097" s="17">
        <v>45526</v>
      </c>
      <c r="C1097" s="6" t="s">
        <v>911</v>
      </c>
      <c r="D1097" s="6" t="s">
        <v>48</v>
      </c>
      <c r="E1097" s="6" t="s">
        <v>36</v>
      </c>
      <c r="F1097" s="6" t="s">
        <v>37</v>
      </c>
      <c r="G1097" s="6" t="s">
        <v>38</v>
      </c>
      <c r="H1097" s="6" t="s">
        <v>39</v>
      </c>
      <c r="I1097" s="6" t="s">
        <v>40</v>
      </c>
      <c r="J1097" s="6" t="s">
        <v>82</v>
      </c>
      <c r="K1097" s="6" t="s">
        <v>218</v>
      </c>
      <c r="L1097" s="6" t="s">
        <v>2674</v>
      </c>
      <c r="M1097" s="6" t="s">
        <v>61</v>
      </c>
      <c r="N1097" s="6" t="s">
        <v>84</v>
      </c>
      <c r="O1097" s="6">
        <v>39</v>
      </c>
      <c r="P1097" s="6">
        <v>166.46</v>
      </c>
      <c r="Q1097" s="6">
        <v>102.47</v>
      </c>
      <c r="R1097" s="6">
        <v>6492</v>
      </c>
      <c r="S1097" s="6">
        <v>0.15</v>
      </c>
      <c r="T1097" s="6">
        <v>973.8</v>
      </c>
      <c r="U1097" s="6">
        <v>5518.2</v>
      </c>
      <c r="V1097" s="6">
        <v>3996.41</v>
      </c>
      <c r="W1097" s="6">
        <v>1521.79</v>
      </c>
      <c r="X1097" s="6" t="s">
        <v>45</v>
      </c>
    </row>
    <row r="1098" spans="1:24" x14ac:dyDescent="0.25">
      <c r="A1098" s="5" t="s">
        <v>1601</v>
      </c>
      <c r="B1098" s="18">
        <v>45405</v>
      </c>
      <c r="C1098" s="7" t="s">
        <v>56</v>
      </c>
      <c r="D1098" s="7" t="s">
        <v>57</v>
      </c>
      <c r="E1098" s="7" t="s">
        <v>150</v>
      </c>
      <c r="F1098" s="7" t="s">
        <v>151</v>
      </c>
      <c r="G1098" s="7" t="s">
        <v>101</v>
      </c>
      <c r="H1098" s="7" t="s">
        <v>134</v>
      </c>
      <c r="I1098" s="7" t="s">
        <v>40</v>
      </c>
      <c r="J1098" s="7" t="s">
        <v>41</v>
      </c>
      <c r="K1098" s="7" t="s">
        <v>261</v>
      </c>
      <c r="L1098" s="7" t="s">
        <v>2677</v>
      </c>
      <c r="M1098" s="7" t="s">
        <v>30</v>
      </c>
      <c r="N1098" s="7" t="s">
        <v>44</v>
      </c>
      <c r="O1098" s="7">
        <v>29</v>
      </c>
      <c r="P1098" s="7">
        <v>80.94</v>
      </c>
      <c r="Q1098" s="7">
        <v>48.26</v>
      </c>
      <c r="R1098" s="7">
        <v>2347.3200000000002</v>
      </c>
      <c r="S1098" s="7">
        <v>0.2</v>
      </c>
      <c r="T1098" s="7">
        <v>469.46</v>
      </c>
      <c r="U1098" s="7">
        <v>1877.86</v>
      </c>
      <c r="V1098" s="7">
        <v>1399.41</v>
      </c>
      <c r="W1098" s="7">
        <v>478.45</v>
      </c>
      <c r="X1098" s="7" t="s">
        <v>45</v>
      </c>
    </row>
    <row r="1099" spans="1:24" x14ac:dyDescent="0.25">
      <c r="A1099" s="16" t="s">
        <v>1602</v>
      </c>
      <c r="B1099" s="17">
        <v>45398</v>
      </c>
      <c r="C1099" s="6" t="s">
        <v>194</v>
      </c>
      <c r="D1099" s="6" t="s">
        <v>163</v>
      </c>
      <c r="E1099" s="6" t="s">
        <v>132</v>
      </c>
      <c r="F1099" s="6" t="s">
        <v>133</v>
      </c>
      <c r="G1099" s="6" t="s">
        <v>51</v>
      </c>
      <c r="H1099" s="6" t="s">
        <v>134</v>
      </c>
      <c r="I1099" s="6" t="s">
        <v>27</v>
      </c>
      <c r="J1099" s="6" t="s">
        <v>189</v>
      </c>
      <c r="K1099" s="6" t="s">
        <v>265</v>
      </c>
      <c r="L1099" s="6" t="s">
        <v>2678</v>
      </c>
      <c r="M1099" s="6" t="s">
        <v>61</v>
      </c>
      <c r="N1099" s="6" t="s">
        <v>75</v>
      </c>
      <c r="O1099" s="6">
        <v>28</v>
      </c>
      <c r="P1099" s="6">
        <v>64.66</v>
      </c>
      <c r="Q1099" s="6">
        <v>32.6</v>
      </c>
      <c r="R1099" s="6">
        <v>1810.54</v>
      </c>
      <c r="S1099" s="6">
        <v>0.05</v>
      </c>
      <c r="T1099" s="6">
        <v>90.53</v>
      </c>
      <c r="U1099" s="6">
        <v>1720.02</v>
      </c>
      <c r="V1099" s="6">
        <v>912.71</v>
      </c>
      <c r="W1099" s="6">
        <v>807.31</v>
      </c>
      <c r="X1099" s="6" t="s">
        <v>45</v>
      </c>
    </row>
    <row r="1100" spans="1:24" x14ac:dyDescent="0.25">
      <c r="A1100" s="5" t="s">
        <v>1603</v>
      </c>
      <c r="B1100" s="18">
        <v>45609</v>
      </c>
      <c r="C1100" s="7" t="s">
        <v>662</v>
      </c>
      <c r="D1100" s="7" t="s">
        <v>156</v>
      </c>
      <c r="E1100" s="7" t="s">
        <v>99</v>
      </c>
      <c r="F1100" s="7" t="s">
        <v>100</v>
      </c>
      <c r="G1100" s="7" t="s">
        <v>101</v>
      </c>
      <c r="H1100" s="7" t="s">
        <v>102</v>
      </c>
      <c r="I1100" s="7" t="s">
        <v>40</v>
      </c>
      <c r="J1100" s="7" t="s">
        <v>117</v>
      </c>
      <c r="K1100" s="7" t="s">
        <v>42</v>
      </c>
      <c r="L1100" s="7" t="s">
        <v>2661</v>
      </c>
      <c r="M1100" s="7" t="s">
        <v>153</v>
      </c>
      <c r="N1100" s="7" t="s">
        <v>84</v>
      </c>
      <c r="O1100" s="7">
        <v>11</v>
      </c>
      <c r="P1100" s="7">
        <v>71.099999999999994</v>
      </c>
      <c r="Q1100" s="7">
        <v>43.77</v>
      </c>
      <c r="R1100" s="7">
        <v>782.06</v>
      </c>
      <c r="S1100" s="7">
        <v>0.1</v>
      </c>
      <c r="T1100" s="7">
        <v>78.209999999999994</v>
      </c>
      <c r="U1100" s="7">
        <v>703.86</v>
      </c>
      <c r="V1100" s="7">
        <v>481.44</v>
      </c>
      <c r="W1100" s="7">
        <v>222.41</v>
      </c>
      <c r="X1100" s="7" t="s">
        <v>963</v>
      </c>
    </row>
    <row r="1101" spans="1:24" x14ac:dyDescent="0.25">
      <c r="A1101" s="16" t="s">
        <v>1604</v>
      </c>
      <c r="B1101" s="17">
        <v>45622</v>
      </c>
      <c r="C1101" s="6" t="s">
        <v>953</v>
      </c>
      <c r="D1101" s="6" t="s">
        <v>221</v>
      </c>
      <c r="E1101" s="6" t="s">
        <v>132</v>
      </c>
      <c r="F1101" s="6" t="s">
        <v>133</v>
      </c>
      <c r="G1101" s="6" t="s">
        <v>51</v>
      </c>
      <c r="H1101" s="6" t="s">
        <v>134</v>
      </c>
      <c r="I1101" s="6" t="s">
        <v>40</v>
      </c>
      <c r="J1101" s="6" t="s">
        <v>41</v>
      </c>
      <c r="K1101" s="6" t="s">
        <v>90</v>
      </c>
      <c r="L1101" s="6" t="s">
        <v>2666</v>
      </c>
      <c r="M1101" s="6" t="s">
        <v>153</v>
      </c>
      <c r="N1101" s="6" t="s">
        <v>70</v>
      </c>
      <c r="O1101" s="6">
        <v>25</v>
      </c>
      <c r="P1101" s="6">
        <v>62.49</v>
      </c>
      <c r="Q1101" s="6">
        <v>31.84</v>
      </c>
      <c r="R1101" s="6">
        <v>1562.16</v>
      </c>
      <c r="S1101" s="6">
        <v>0.15</v>
      </c>
      <c r="T1101" s="6">
        <v>234.32</v>
      </c>
      <c r="U1101" s="6">
        <v>1327.84</v>
      </c>
      <c r="V1101" s="6">
        <v>795.94</v>
      </c>
      <c r="W1101" s="6">
        <v>531.89</v>
      </c>
      <c r="X1101" s="6" t="s">
        <v>129</v>
      </c>
    </row>
    <row r="1102" spans="1:24" x14ac:dyDescent="0.25">
      <c r="A1102" s="5" t="s">
        <v>1605</v>
      </c>
      <c r="B1102" s="18">
        <v>45583</v>
      </c>
      <c r="C1102" s="7" t="s">
        <v>339</v>
      </c>
      <c r="D1102" s="7" t="s">
        <v>221</v>
      </c>
      <c r="E1102" s="7" t="s">
        <v>222</v>
      </c>
      <c r="F1102" s="7" t="s">
        <v>223</v>
      </c>
      <c r="G1102" s="7" t="s">
        <v>101</v>
      </c>
      <c r="H1102" s="7" t="s">
        <v>68</v>
      </c>
      <c r="I1102" s="7" t="s">
        <v>40</v>
      </c>
      <c r="J1102" s="7" t="s">
        <v>82</v>
      </c>
      <c r="K1102" s="7" t="s">
        <v>83</v>
      </c>
      <c r="L1102" s="7" t="s">
        <v>2665</v>
      </c>
      <c r="M1102" s="7" t="s">
        <v>30</v>
      </c>
      <c r="N1102" s="7" t="s">
        <v>75</v>
      </c>
      <c r="O1102" s="7">
        <v>28</v>
      </c>
      <c r="P1102" s="7">
        <v>127.19</v>
      </c>
      <c r="Q1102" s="7">
        <v>78.36</v>
      </c>
      <c r="R1102" s="7">
        <v>3561.44</v>
      </c>
      <c r="S1102" s="7">
        <v>0.2</v>
      </c>
      <c r="T1102" s="7">
        <v>712.29</v>
      </c>
      <c r="U1102" s="7">
        <v>2849.15</v>
      </c>
      <c r="V1102" s="7">
        <v>2194.11</v>
      </c>
      <c r="W1102" s="7">
        <v>655.04</v>
      </c>
      <c r="X1102" s="7" t="s">
        <v>45</v>
      </c>
    </row>
    <row r="1103" spans="1:24" x14ac:dyDescent="0.25">
      <c r="A1103" s="16" t="s">
        <v>1606</v>
      </c>
      <c r="B1103" s="17">
        <v>45555</v>
      </c>
      <c r="C1103" s="6" t="s">
        <v>347</v>
      </c>
      <c r="D1103" s="6" t="s">
        <v>163</v>
      </c>
      <c r="E1103" s="6" t="s">
        <v>176</v>
      </c>
      <c r="F1103" s="6" t="s">
        <v>177</v>
      </c>
      <c r="G1103" s="6" t="s">
        <v>101</v>
      </c>
      <c r="H1103" s="6" t="s">
        <v>39</v>
      </c>
      <c r="I1103" s="6" t="s">
        <v>40</v>
      </c>
      <c r="J1103" s="6" t="s">
        <v>289</v>
      </c>
      <c r="K1103" s="6" t="s">
        <v>144</v>
      </c>
      <c r="L1103" s="6" t="s">
        <v>2669</v>
      </c>
      <c r="M1103" s="6" t="s">
        <v>153</v>
      </c>
      <c r="N1103" s="6" t="s">
        <v>84</v>
      </c>
      <c r="O1103" s="6">
        <v>9</v>
      </c>
      <c r="P1103" s="6">
        <v>104.88</v>
      </c>
      <c r="Q1103" s="6">
        <v>60.98</v>
      </c>
      <c r="R1103" s="6">
        <v>943.91</v>
      </c>
      <c r="S1103" s="6">
        <v>0.1</v>
      </c>
      <c r="T1103" s="6">
        <v>94.39</v>
      </c>
      <c r="U1103" s="6">
        <v>849.52</v>
      </c>
      <c r="V1103" s="6">
        <v>548.85</v>
      </c>
      <c r="W1103" s="6">
        <v>300.67</v>
      </c>
      <c r="X1103" s="6" t="s">
        <v>45</v>
      </c>
    </row>
    <row r="1104" spans="1:24" x14ac:dyDescent="0.25">
      <c r="A1104" s="5" t="s">
        <v>1607</v>
      </c>
      <c r="B1104" s="18">
        <v>45306</v>
      </c>
      <c r="C1104" s="7" t="s">
        <v>303</v>
      </c>
      <c r="D1104" s="7" t="s">
        <v>22</v>
      </c>
      <c r="E1104" s="7" t="s">
        <v>187</v>
      </c>
      <c r="F1104" s="7" t="s">
        <v>188</v>
      </c>
      <c r="G1104" s="7" t="s">
        <v>25</v>
      </c>
      <c r="H1104" s="7" t="s">
        <v>26</v>
      </c>
      <c r="I1104" s="7" t="s">
        <v>53</v>
      </c>
      <c r="J1104" s="7" t="s">
        <v>122</v>
      </c>
      <c r="K1104" s="7" t="s">
        <v>178</v>
      </c>
      <c r="L1104" s="7" t="s">
        <v>256</v>
      </c>
      <c r="M1104" s="7" t="s">
        <v>61</v>
      </c>
      <c r="N1104" s="7"/>
      <c r="O1104" s="7">
        <v>50</v>
      </c>
      <c r="P1104" s="7">
        <v>46.39</v>
      </c>
      <c r="Q1104" s="7">
        <v>27.43</v>
      </c>
      <c r="R1104" s="7">
        <v>2319.2600000000002</v>
      </c>
      <c r="S1104" s="7">
        <v>0.05</v>
      </c>
      <c r="T1104" s="7">
        <v>115.96</v>
      </c>
      <c r="U1104" s="7">
        <v>2203.3000000000002</v>
      </c>
      <c r="V1104" s="7">
        <v>1371.4</v>
      </c>
      <c r="W1104" s="7">
        <v>831.9</v>
      </c>
      <c r="X1104" s="7" t="s">
        <v>45</v>
      </c>
    </row>
    <row r="1105" spans="1:24" x14ac:dyDescent="0.25">
      <c r="A1105" s="16" t="s">
        <v>1608</v>
      </c>
      <c r="B1105" s="17">
        <v>45365</v>
      </c>
      <c r="C1105" s="6" t="s">
        <v>280</v>
      </c>
      <c r="D1105" s="6" t="s">
        <v>35</v>
      </c>
      <c r="E1105" s="6" t="s">
        <v>176</v>
      </c>
      <c r="F1105" s="6" t="s">
        <v>177</v>
      </c>
      <c r="G1105" s="6" t="s">
        <v>101</v>
      </c>
      <c r="H1105" s="6" t="s">
        <v>39</v>
      </c>
      <c r="I1105" s="6" t="s">
        <v>88</v>
      </c>
      <c r="J1105" s="6" t="s">
        <v>89</v>
      </c>
      <c r="K1105" s="6" t="s">
        <v>111</v>
      </c>
      <c r="L1105" s="6" t="s">
        <v>2667</v>
      </c>
      <c r="M1105" s="6" t="s">
        <v>61</v>
      </c>
      <c r="N1105" s="6" t="s">
        <v>75</v>
      </c>
      <c r="O1105" s="6">
        <v>35</v>
      </c>
      <c r="P1105" s="6">
        <v>100.67</v>
      </c>
      <c r="Q1105" s="6">
        <v>67.91</v>
      </c>
      <c r="R1105" s="6">
        <v>3523.32</v>
      </c>
      <c r="S1105" s="6">
        <v>0.15</v>
      </c>
      <c r="T1105" s="6">
        <v>528.5</v>
      </c>
      <c r="U1105" s="6">
        <v>2994.82</v>
      </c>
      <c r="V1105" s="6">
        <v>2376.69</v>
      </c>
      <c r="W1105" s="6">
        <v>618.13</v>
      </c>
      <c r="X1105" s="6" t="s">
        <v>32</v>
      </c>
    </row>
    <row r="1106" spans="1:24" x14ac:dyDescent="0.25">
      <c r="A1106" s="5" t="s">
        <v>1609</v>
      </c>
      <c r="B1106" s="18">
        <v>45434</v>
      </c>
      <c r="C1106" s="7" t="s">
        <v>506</v>
      </c>
      <c r="D1106" s="7" t="s">
        <v>264</v>
      </c>
      <c r="E1106" s="7" t="s">
        <v>165</v>
      </c>
      <c r="F1106" s="7" t="s">
        <v>166</v>
      </c>
      <c r="G1106" s="7" t="s">
        <v>95</v>
      </c>
      <c r="H1106" s="7" t="s">
        <v>167</v>
      </c>
      <c r="I1106" s="7" t="s">
        <v>40</v>
      </c>
      <c r="J1106" s="7" t="s">
        <v>41</v>
      </c>
      <c r="K1106" s="7" t="s">
        <v>74</v>
      </c>
      <c r="L1106" s="7" t="s">
        <v>2664</v>
      </c>
      <c r="M1106" s="7" t="s">
        <v>61</v>
      </c>
      <c r="N1106" s="7" t="s">
        <v>75</v>
      </c>
      <c r="O1106" s="7">
        <v>11</v>
      </c>
      <c r="P1106" s="7">
        <v>39.450000000000003</v>
      </c>
      <c r="Q1106" s="7">
        <v>24.84</v>
      </c>
      <c r="R1106" s="7">
        <v>433.96</v>
      </c>
      <c r="S1106" s="7">
        <v>0.05</v>
      </c>
      <c r="T1106" s="7">
        <v>21.7</v>
      </c>
      <c r="U1106" s="7">
        <v>412.26</v>
      </c>
      <c r="V1106" s="7">
        <v>273.27</v>
      </c>
      <c r="W1106" s="7">
        <v>138.99</v>
      </c>
      <c r="X1106" s="7" t="s">
        <v>32</v>
      </c>
    </row>
    <row r="1107" spans="1:24" x14ac:dyDescent="0.25">
      <c r="A1107" s="16" t="s">
        <v>1610</v>
      </c>
      <c r="B1107" s="17">
        <v>45595</v>
      </c>
      <c r="C1107" s="6" t="s">
        <v>823</v>
      </c>
      <c r="D1107" s="6" t="s">
        <v>87</v>
      </c>
      <c r="E1107" s="6" t="s">
        <v>222</v>
      </c>
      <c r="F1107" s="6" t="s">
        <v>223</v>
      </c>
      <c r="G1107" s="6" t="s">
        <v>101</v>
      </c>
      <c r="H1107" s="6" t="s">
        <v>68</v>
      </c>
      <c r="I1107" s="6" t="s">
        <v>40</v>
      </c>
      <c r="J1107" s="6" t="s">
        <v>117</v>
      </c>
      <c r="K1107" s="6" t="s">
        <v>42</v>
      </c>
      <c r="L1107" s="6" t="s">
        <v>2661</v>
      </c>
      <c r="M1107" s="6" t="s">
        <v>30</v>
      </c>
      <c r="N1107" s="6" t="s">
        <v>31</v>
      </c>
      <c r="O1107" s="6">
        <v>44</v>
      </c>
      <c r="P1107" s="6">
        <v>116.31</v>
      </c>
      <c r="Q1107" s="6">
        <v>80.55</v>
      </c>
      <c r="R1107" s="6">
        <v>5117.74</v>
      </c>
      <c r="S1107" s="6">
        <v>0.05</v>
      </c>
      <c r="T1107" s="6">
        <v>255.89</v>
      </c>
      <c r="U1107" s="6">
        <v>4861.8500000000004</v>
      </c>
      <c r="V1107" s="6">
        <v>3544.39</v>
      </c>
      <c r="W1107" s="6">
        <v>1317.46</v>
      </c>
      <c r="X1107" s="6" t="s">
        <v>45</v>
      </c>
    </row>
    <row r="1108" spans="1:24" x14ac:dyDescent="0.25">
      <c r="A1108" s="5" t="s">
        <v>1611</v>
      </c>
      <c r="B1108" s="18">
        <v>45428</v>
      </c>
      <c r="C1108" s="7" t="s">
        <v>318</v>
      </c>
      <c r="D1108" s="7" t="s">
        <v>121</v>
      </c>
      <c r="E1108" s="7" t="s">
        <v>209</v>
      </c>
      <c r="F1108" s="7" t="s">
        <v>210</v>
      </c>
      <c r="G1108" s="7" t="s">
        <v>51</v>
      </c>
      <c r="H1108" s="7" t="s">
        <v>116</v>
      </c>
      <c r="I1108" s="7" t="s">
        <v>27</v>
      </c>
      <c r="J1108" s="7" t="s">
        <v>211</v>
      </c>
      <c r="K1108" s="7" t="s">
        <v>178</v>
      </c>
      <c r="L1108" s="7" t="s">
        <v>256</v>
      </c>
      <c r="M1108" s="7" t="s">
        <v>43</v>
      </c>
      <c r="N1108" s="7" t="s">
        <v>44</v>
      </c>
      <c r="O1108" s="7">
        <v>20</v>
      </c>
      <c r="P1108" s="7">
        <v>19.21</v>
      </c>
      <c r="Q1108" s="7">
        <v>10.19</v>
      </c>
      <c r="R1108" s="7">
        <v>384.24</v>
      </c>
      <c r="S1108" s="7">
        <v>0.2</v>
      </c>
      <c r="T1108" s="7">
        <v>76.849999999999994</v>
      </c>
      <c r="U1108" s="7">
        <v>307.39</v>
      </c>
      <c r="V1108" s="7">
        <v>203.73</v>
      </c>
      <c r="W1108" s="7">
        <v>103.66</v>
      </c>
      <c r="X1108" s="7" t="s">
        <v>129</v>
      </c>
    </row>
    <row r="1109" spans="1:24" x14ac:dyDescent="0.25">
      <c r="A1109" s="16" t="s">
        <v>1612</v>
      </c>
      <c r="B1109" s="17">
        <v>45486</v>
      </c>
      <c r="C1109" s="6" t="s">
        <v>1469</v>
      </c>
      <c r="D1109" s="6" t="s">
        <v>121</v>
      </c>
      <c r="E1109" s="6" t="s">
        <v>250</v>
      </c>
      <c r="F1109" s="6" t="s">
        <v>251</v>
      </c>
      <c r="G1109" s="6" t="s">
        <v>51</v>
      </c>
      <c r="H1109" s="6" t="s">
        <v>252</v>
      </c>
      <c r="I1109" s="6" t="s">
        <v>88</v>
      </c>
      <c r="J1109" s="6" t="s">
        <v>135</v>
      </c>
      <c r="K1109" s="6" t="s">
        <v>195</v>
      </c>
      <c r="L1109" s="6" t="s">
        <v>2673</v>
      </c>
      <c r="M1109" s="6" t="s">
        <v>153</v>
      </c>
      <c r="N1109" s="6" t="s">
        <v>70</v>
      </c>
      <c r="O1109" s="6">
        <v>35</v>
      </c>
      <c r="P1109" s="6">
        <v>61.69</v>
      </c>
      <c r="Q1109" s="6">
        <v>36.08</v>
      </c>
      <c r="R1109" s="6">
        <v>2159.1799999999998</v>
      </c>
      <c r="S1109" s="6">
        <v>0.2</v>
      </c>
      <c r="T1109" s="6">
        <v>431.84</v>
      </c>
      <c r="U1109" s="6">
        <v>1727.35</v>
      </c>
      <c r="V1109" s="6">
        <v>1262.6300000000001</v>
      </c>
      <c r="W1109" s="6">
        <v>464.72</v>
      </c>
      <c r="X1109" s="6" t="s">
        <v>45</v>
      </c>
    </row>
    <row r="1110" spans="1:24" x14ac:dyDescent="0.25">
      <c r="A1110" s="5" t="s">
        <v>1613</v>
      </c>
      <c r="B1110" s="18">
        <v>45559</v>
      </c>
      <c r="C1110" s="7" t="s">
        <v>146</v>
      </c>
      <c r="D1110" s="7" t="s">
        <v>105</v>
      </c>
      <c r="E1110" s="7" t="s">
        <v>99</v>
      </c>
      <c r="F1110" s="7" t="s">
        <v>100</v>
      </c>
      <c r="G1110" s="7" t="s">
        <v>101</v>
      </c>
      <c r="H1110" s="7" t="s">
        <v>102</v>
      </c>
      <c r="I1110" s="7" t="s">
        <v>58</v>
      </c>
      <c r="J1110" s="7" t="s">
        <v>345</v>
      </c>
      <c r="K1110" s="7" t="s">
        <v>218</v>
      </c>
      <c r="L1110" s="7" t="s">
        <v>2674</v>
      </c>
      <c r="M1110" s="7" t="s">
        <v>153</v>
      </c>
      <c r="N1110" s="7" t="s">
        <v>84</v>
      </c>
      <c r="O1110" s="7">
        <v>20</v>
      </c>
      <c r="P1110" s="7">
        <v>65.16</v>
      </c>
      <c r="Q1110" s="7">
        <v>42.97</v>
      </c>
      <c r="R1110" s="7">
        <v>1303.1500000000001</v>
      </c>
      <c r="S1110" s="7">
        <v>0</v>
      </c>
      <c r="T1110" s="7">
        <v>0</v>
      </c>
      <c r="U1110" s="7">
        <v>1303.1500000000001</v>
      </c>
      <c r="V1110" s="7">
        <v>859.41</v>
      </c>
      <c r="W1110" s="7">
        <v>443.74</v>
      </c>
      <c r="X1110" s="7" t="s">
        <v>45</v>
      </c>
    </row>
    <row r="1111" spans="1:24" x14ac:dyDescent="0.25">
      <c r="A1111" s="16" t="s">
        <v>1614</v>
      </c>
      <c r="B1111" s="17">
        <v>45616</v>
      </c>
      <c r="C1111" s="6" t="s">
        <v>1129</v>
      </c>
      <c r="D1111" s="6" t="s">
        <v>65</v>
      </c>
      <c r="E1111" s="6" t="s">
        <v>109</v>
      </c>
      <c r="F1111" s="6" t="s">
        <v>110</v>
      </c>
      <c r="G1111" s="6" t="s">
        <v>80</v>
      </c>
      <c r="H1111" s="6" t="s">
        <v>81</v>
      </c>
      <c r="I1111" s="6" t="s">
        <v>58</v>
      </c>
      <c r="J1111" s="6" t="s">
        <v>73</v>
      </c>
      <c r="K1111" s="6" t="s">
        <v>90</v>
      </c>
      <c r="L1111" s="6" t="s">
        <v>2666</v>
      </c>
      <c r="M1111" s="6" t="s">
        <v>43</v>
      </c>
      <c r="N1111" s="6" t="s">
        <v>70</v>
      </c>
      <c r="O1111" s="6">
        <v>37</v>
      </c>
      <c r="P1111" s="6">
        <v>130.96</v>
      </c>
      <c r="Q1111" s="6">
        <v>72.77</v>
      </c>
      <c r="R1111" s="6">
        <v>4845.46</v>
      </c>
      <c r="S1111" s="6">
        <v>0.2</v>
      </c>
      <c r="T1111" s="6">
        <v>969.09</v>
      </c>
      <c r="U1111" s="6">
        <v>3876.37</v>
      </c>
      <c r="V1111" s="6">
        <v>2692.43</v>
      </c>
      <c r="W1111" s="6">
        <v>1183.94</v>
      </c>
      <c r="X1111" s="6" t="s">
        <v>45</v>
      </c>
    </row>
    <row r="1112" spans="1:24" x14ac:dyDescent="0.25">
      <c r="A1112" s="5" t="s">
        <v>1615</v>
      </c>
      <c r="B1112" s="18">
        <v>45449</v>
      </c>
      <c r="C1112" s="7" t="s">
        <v>737</v>
      </c>
      <c r="D1112" s="7" t="s">
        <v>22</v>
      </c>
      <c r="E1112" s="7" t="s">
        <v>99</v>
      </c>
      <c r="F1112" s="7" t="s">
        <v>100</v>
      </c>
      <c r="G1112" s="7" t="s">
        <v>101</v>
      </c>
      <c r="H1112" s="7" t="s">
        <v>102</v>
      </c>
      <c r="I1112" s="7" t="s">
        <v>88</v>
      </c>
      <c r="J1112" s="7" t="s">
        <v>135</v>
      </c>
      <c r="K1112" s="7" t="s">
        <v>170</v>
      </c>
      <c r="L1112" s="7" t="s">
        <v>2671</v>
      </c>
      <c r="M1112" s="7" t="s">
        <v>30</v>
      </c>
      <c r="N1112" s="7" t="s">
        <v>44</v>
      </c>
      <c r="O1112" s="7">
        <v>38</v>
      </c>
      <c r="P1112" s="7">
        <v>65.3</v>
      </c>
      <c r="Q1112" s="7">
        <v>41.16</v>
      </c>
      <c r="R1112" s="7">
        <v>2481.35</v>
      </c>
      <c r="S1112" s="7">
        <v>0.02</v>
      </c>
      <c r="T1112" s="7">
        <v>49.63</v>
      </c>
      <c r="U1112" s="7">
        <v>2431.7199999999998</v>
      </c>
      <c r="V1112" s="7">
        <v>1564.11</v>
      </c>
      <c r="W1112" s="7">
        <v>867.61</v>
      </c>
      <c r="X1112" s="7" t="s">
        <v>45</v>
      </c>
    </row>
    <row r="1113" spans="1:24" x14ac:dyDescent="0.25">
      <c r="A1113" s="16" t="s">
        <v>1616</v>
      </c>
      <c r="B1113" s="17">
        <v>45604</v>
      </c>
      <c r="C1113" s="6" t="s">
        <v>1617</v>
      </c>
      <c r="D1113" s="6" t="s">
        <v>35</v>
      </c>
      <c r="E1113" s="6" t="s">
        <v>114</v>
      </c>
      <c r="F1113" s="6" t="s">
        <v>115</v>
      </c>
      <c r="G1113" s="6" t="s">
        <v>95</v>
      </c>
      <c r="H1113" s="6" t="s">
        <v>116</v>
      </c>
      <c r="I1113" s="6" t="s">
        <v>88</v>
      </c>
      <c r="J1113" s="6" t="s">
        <v>135</v>
      </c>
      <c r="K1113" s="6" t="s">
        <v>42</v>
      </c>
      <c r="L1113" s="6" t="s">
        <v>2661</v>
      </c>
      <c r="M1113" s="6" t="s">
        <v>61</v>
      </c>
      <c r="N1113" s="6" t="s">
        <v>31</v>
      </c>
      <c r="O1113" s="6">
        <v>10</v>
      </c>
      <c r="P1113" s="6">
        <v>36.520000000000003</v>
      </c>
      <c r="Q1113" s="6">
        <v>20.98</v>
      </c>
      <c r="R1113" s="6">
        <v>365.17</v>
      </c>
      <c r="S1113" s="6">
        <v>0.1</v>
      </c>
      <c r="T1113" s="6">
        <v>36.520000000000003</v>
      </c>
      <c r="U1113" s="6">
        <v>328.66</v>
      </c>
      <c r="V1113" s="6">
        <v>209.79</v>
      </c>
      <c r="W1113" s="6">
        <v>118.87</v>
      </c>
      <c r="X1113" s="6" t="s">
        <v>45</v>
      </c>
    </row>
    <row r="1114" spans="1:24" x14ac:dyDescent="0.25">
      <c r="A1114" s="5" t="s">
        <v>1618</v>
      </c>
      <c r="B1114" s="18">
        <v>45599</v>
      </c>
      <c r="C1114" s="7" t="s">
        <v>878</v>
      </c>
      <c r="D1114" s="7" t="s">
        <v>65</v>
      </c>
      <c r="E1114" s="7" t="s">
        <v>150</v>
      </c>
      <c r="F1114" s="7" t="s">
        <v>151</v>
      </c>
      <c r="G1114" s="7" t="s">
        <v>101</v>
      </c>
      <c r="H1114" s="7" t="s">
        <v>134</v>
      </c>
      <c r="I1114" s="7" t="s">
        <v>27</v>
      </c>
      <c r="J1114" s="7" t="s">
        <v>106</v>
      </c>
      <c r="K1114" s="7" t="s">
        <v>60</v>
      </c>
      <c r="L1114" s="7" t="s">
        <v>2662</v>
      </c>
      <c r="M1114" s="7" t="s">
        <v>43</v>
      </c>
      <c r="N1114" s="7" t="s">
        <v>75</v>
      </c>
      <c r="O1114" s="7">
        <v>43</v>
      </c>
      <c r="P1114" s="7">
        <v>84.08</v>
      </c>
      <c r="Q1114" s="7">
        <v>54.92</v>
      </c>
      <c r="R1114" s="7">
        <v>3615.24</v>
      </c>
      <c r="S1114" s="7">
        <v>0.1</v>
      </c>
      <c r="T1114" s="7">
        <v>361.52</v>
      </c>
      <c r="U1114" s="7">
        <v>3253.72</v>
      </c>
      <c r="V1114" s="7">
        <v>2361.5500000000002</v>
      </c>
      <c r="W1114" s="7">
        <v>892.17</v>
      </c>
      <c r="X1114" s="7" t="s">
        <v>45</v>
      </c>
    </row>
    <row r="1115" spans="1:24" x14ac:dyDescent="0.25">
      <c r="A1115" s="16" t="s">
        <v>1619</v>
      </c>
      <c r="B1115" s="17">
        <v>45394</v>
      </c>
      <c r="C1115" s="6" t="s">
        <v>1620</v>
      </c>
      <c r="D1115" s="6" t="s">
        <v>359</v>
      </c>
      <c r="E1115" s="6" t="s">
        <v>141</v>
      </c>
      <c r="F1115" s="6" t="s">
        <v>142</v>
      </c>
      <c r="G1115" s="6" t="s">
        <v>25</v>
      </c>
      <c r="H1115" s="6" t="s">
        <v>26</v>
      </c>
      <c r="I1115" s="6" t="s">
        <v>520</v>
      </c>
      <c r="J1115" s="6" t="s">
        <v>232</v>
      </c>
      <c r="K1115" s="6" t="s">
        <v>74</v>
      </c>
      <c r="L1115" s="6" t="s">
        <v>2664</v>
      </c>
      <c r="M1115" s="6" t="s">
        <v>153</v>
      </c>
      <c r="N1115" s="6" t="s">
        <v>75</v>
      </c>
      <c r="O1115" s="6">
        <v>17</v>
      </c>
      <c r="P1115" s="6">
        <v>97.31</v>
      </c>
      <c r="Q1115" s="6">
        <v>55.44</v>
      </c>
      <c r="R1115" s="6">
        <v>1654.27</v>
      </c>
      <c r="S1115" s="6">
        <v>0.15</v>
      </c>
      <c r="T1115" s="6">
        <v>248.14</v>
      </c>
      <c r="U1115" s="6">
        <v>1406.13</v>
      </c>
      <c r="V1115" s="6">
        <v>942.5</v>
      </c>
      <c r="W1115" s="6">
        <v>463.63</v>
      </c>
      <c r="X1115" s="6" t="s">
        <v>45</v>
      </c>
    </row>
    <row r="1116" spans="1:24" x14ac:dyDescent="0.25">
      <c r="A1116" s="5" t="s">
        <v>1621</v>
      </c>
      <c r="B1116" s="18">
        <v>45648</v>
      </c>
      <c r="C1116" s="7" t="s">
        <v>303</v>
      </c>
      <c r="D1116" s="7" t="s">
        <v>22</v>
      </c>
      <c r="E1116" s="7" t="s">
        <v>99</v>
      </c>
      <c r="F1116" s="7" t="s">
        <v>100</v>
      </c>
      <c r="G1116" s="7" t="s">
        <v>101</v>
      </c>
      <c r="H1116" s="7" t="s">
        <v>102</v>
      </c>
      <c r="I1116" s="7" t="s">
        <v>27</v>
      </c>
      <c r="J1116" s="7" t="s">
        <v>28</v>
      </c>
      <c r="K1116" s="7" t="s">
        <v>29</v>
      </c>
      <c r="L1116" s="7" t="s">
        <v>2660</v>
      </c>
      <c r="M1116" s="7" t="s">
        <v>30</v>
      </c>
      <c r="N1116" s="7" t="s">
        <v>44</v>
      </c>
      <c r="O1116" s="7">
        <v>13</v>
      </c>
      <c r="P1116" s="7">
        <v>66.13</v>
      </c>
      <c r="Q1116" s="7">
        <v>40.880000000000003</v>
      </c>
      <c r="R1116" s="7">
        <v>859.68</v>
      </c>
      <c r="S1116" s="7">
        <v>0</v>
      </c>
      <c r="T1116" s="7">
        <v>0</v>
      </c>
      <c r="U1116" s="7">
        <v>859.68</v>
      </c>
      <c r="V1116" s="7">
        <v>531.39</v>
      </c>
      <c r="W1116" s="7">
        <v>328.28</v>
      </c>
      <c r="X1116" s="7" t="s">
        <v>45</v>
      </c>
    </row>
    <row r="1117" spans="1:24" x14ac:dyDescent="0.25">
      <c r="A1117" s="16" t="s">
        <v>1622</v>
      </c>
      <c r="B1117" s="17">
        <v>45648</v>
      </c>
      <c r="C1117" s="6" t="s">
        <v>47</v>
      </c>
      <c r="D1117" s="6" t="s">
        <v>48</v>
      </c>
      <c r="E1117" s="6" t="s">
        <v>114</v>
      </c>
      <c r="F1117" s="6" t="s">
        <v>115</v>
      </c>
      <c r="G1117" s="6" t="s">
        <v>95</v>
      </c>
      <c r="H1117" s="6" t="s">
        <v>116</v>
      </c>
      <c r="I1117" s="6" t="s">
        <v>53</v>
      </c>
      <c r="J1117" s="6" t="s">
        <v>54</v>
      </c>
      <c r="K1117" s="6" t="s">
        <v>90</v>
      </c>
      <c r="L1117" s="6" t="s">
        <v>2666</v>
      </c>
      <c r="M1117" s="6" t="s">
        <v>153</v>
      </c>
      <c r="N1117" s="6" t="s">
        <v>44</v>
      </c>
      <c r="O1117" s="6">
        <v>59</v>
      </c>
      <c r="P1117" s="6">
        <v>34.72</v>
      </c>
      <c r="Q1117" s="6">
        <v>21.84</v>
      </c>
      <c r="R1117" s="6">
        <v>2048.6</v>
      </c>
      <c r="S1117" s="6">
        <v>0.1</v>
      </c>
      <c r="T1117" s="6">
        <v>204.86</v>
      </c>
      <c r="U1117" s="6">
        <v>1843.74</v>
      </c>
      <c r="V1117" s="6">
        <v>1288.33</v>
      </c>
      <c r="W1117" s="6">
        <v>555.41</v>
      </c>
      <c r="X1117" s="6" t="s">
        <v>45</v>
      </c>
    </row>
    <row r="1118" spans="1:24" x14ac:dyDescent="0.25">
      <c r="A1118" s="5" t="s">
        <v>1623</v>
      </c>
      <c r="B1118" s="18">
        <v>45423</v>
      </c>
      <c r="C1118" s="7" t="s">
        <v>47</v>
      </c>
      <c r="D1118" s="7" t="s">
        <v>48</v>
      </c>
      <c r="E1118" s="7" t="s">
        <v>176</v>
      </c>
      <c r="F1118" s="7" t="s">
        <v>177</v>
      </c>
      <c r="G1118" s="7" t="s">
        <v>101</v>
      </c>
      <c r="H1118" s="7" t="s">
        <v>39</v>
      </c>
      <c r="I1118" s="7" t="s">
        <v>40</v>
      </c>
      <c r="J1118" s="7" t="s">
        <v>289</v>
      </c>
      <c r="K1118" s="7" t="s">
        <v>184</v>
      </c>
      <c r="L1118" s="7" t="s">
        <v>2672</v>
      </c>
      <c r="M1118" s="7" t="s">
        <v>30</v>
      </c>
      <c r="N1118" s="7" t="s">
        <v>75</v>
      </c>
      <c r="O1118" s="7">
        <v>63</v>
      </c>
      <c r="P1118" s="7">
        <v>97.84</v>
      </c>
      <c r="Q1118" s="7">
        <v>63.54</v>
      </c>
      <c r="R1118" s="7">
        <v>6163.91</v>
      </c>
      <c r="S1118" s="7">
        <v>0.2</v>
      </c>
      <c r="T1118" s="7">
        <v>1232.78</v>
      </c>
      <c r="U1118" s="7">
        <v>4931.13</v>
      </c>
      <c r="V1118" s="7">
        <v>4003.2</v>
      </c>
      <c r="W1118" s="7">
        <v>927.93</v>
      </c>
      <c r="X1118" s="7" t="s">
        <v>129</v>
      </c>
    </row>
    <row r="1119" spans="1:24" x14ac:dyDescent="0.25">
      <c r="A1119" s="16" t="s">
        <v>1624</v>
      </c>
      <c r="B1119" s="17">
        <v>45488</v>
      </c>
      <c r="C1119" s="6" t="s">
        <v>584</v>
      </c>
      <c r="D1119" s="6" t="s">
        <v>105</v>
      </c>
      <c r="E1119" s="6" t="s">
        <v>250</v>
      </c>
      <c r="F1119" s="6" t="s">
        <v>251</v>
      </c>
      <c r="G1119" s="6" t="s">
        <v>51</v>
      </c>
      <c r="H1119" s="6" t="s">
        <v>252</v>
      </c>
      <c r="I1119" s="6" t="s">
        <v>27</v>
      </c>
      <c r="J1119" s="6" t="s">
        <v>106</v>
      </c>
      <c r="K1119" s="6" t="s">
        <v>83</v>
      </c>
      <c r="L1119" s="6" t="s">
        <v>2665</v>
      </c>
      <c r="M1119" s="6" t="s">
        <v>153</v>
      </c>
      <c r="N1119" s="6" t="s">
        <v>44</v>
      </c>
      <c r="O1119" s="6">
        <v>31</v>
      </c>
      <c r="P1119" s="6">
        <v>64.39</v>
      </c>
      <c r="Q1119" s="6">
        <v>40.36</v>
      </c>
      <c r="R1119" s="6">
        <v>1996.15</v>
      </c>
      <c r="S1119" s="6">
        <v>0.1</v>
      </c>
      <c r="T1119" s="6">
        <v>199.61</v>
      </c>
      <c r="U1119" s="6">
        <v>1796.53</v>
      </c>
      <c r="V1119" s="6">
        <v>1251.07</v>
      </c>
      <c r="W1119" s="6">
        <v>545.46</v>
      </c>
      <c r="X1119" s="6" t="s">
        <v>129</v>
      </c>
    </row>
    <row r="1120" spans="1:24" x14ac:dyDescent="0.25">
      <c r="A1120" s="5" t="s">
        <v>1625</v>
      </c>
      <c r="B1120" s="18">
        <v>45522</v>
      </c>
      <c r="C1120" s="7" t="s">
        <v>291</v>
      </c>
      <c r="D1120" s="7" t="s">
        <v>57</v>
      </c>
      <c r="E1120" s="7" t="s">
        <v>176</v>
      </c>
      <c r="F1120" s="7" t="s">
        <v>177</v>
      </c>
      <c r="G1120" s="7" t="s">
        <v>101</v>
      </c>
      <c r="H1120" s="7" t="s">
        <v>39</v>
      </c>
      <c r="I1120" s="7" t="s">
        <v>53</v>
      </c>
      <c r="J1120" s="7" t="s">
        <v>54</v>
      </c>
      <c r="K1120" s="7" t="s">
        <v>218</v>
      </c>
      <c r="L1120" s="7" t="s">
        <v>2674</v>
      </c>
      <c r="M1120" s="7" t="s">
        <v>43</v>
      </c>
      <c r="N1120" s="7" t="s">
        <v>44</v>
      </c>
      <c r="O1120" s="7">
        <v>21</v>
      </c>
      <c r="P1120" s="7">
        <v>100.5</v>
      </c>
      <c r="Q1120" s="7">
        <v>60.79</v>
      </c>
      <c r="R1120" s="7">
        <v>2110.59</v>
      </c>
      <c r="S1120" s="7">
        <v>0.02</v>
      </c>
      <c r="T1120" s="7">
        <v>42.21</v>
      </c>
      <c r="U1120" s="7">
        <v>2068.37</v>
      </c>
      <c r="V1120" s="7">
        <v>1276.6400000000001</v>
      </c>
      <c r="W1120" s="7">
        <v>791.73</v>
      </c>
      <c r="X1120" s="7" t="s">
        <v>45</v>
      </c>
    </row>
    <row r="1121" spans="1:24" x14ac:dyDescent="0.25">
      <c r="A1121" s="16" t="s">
        <v>1626</v>
      </c>
      <c r="B1121" s="17">
        <v>45322</v>
      </c>
      <c r="C1121" s="6" t="s">
        <v>578</v>
      </c>
      <c r="D1121" s="6" t="s">
        <v>221</v>
      </c>
      <c r="E1121" s="6" t="s">
        <v>36</v>
      </c>
      <c r="F1121" s="6" t="s">
        <v>37</v>
      </c>
      <c r="G1121" s="6" t="s">
        <v>38</v>
      </c>
      <c r="H1121" s="6" t="s">
        <v>39</v>
      </c>
      <c r="I1121" s="6" t="s">
        <v>40</v>
      </c>
      <c r="J1121" s="6" t="s">
        <v>41</v>
      </c>
      <c r="K1121" s="6" t="s">
        <v>218</v>
      </c>
      <c r="L1121" s="6" t="s">
        <v>2674</v>
      </c>
      <c r="M1121" s="6" t="s">
        <v>153</v>
      </c>
      <c r="N1121" s="6" t="s">
        <v>75</v>
      </c>
      <c r="O1121" s="6">
        <v>64</v>
      </c>
      <c r="P1121" s="6">
        <v>171.76</v>
      </c>
      <c r="Q1121" s="6">
        <v>98.34</v>
      </c>
      <c r="R1121" s="6">
        <v>10992.9</v>
      </c>
      <c r="S1121" s="6">
        <v>0.05</v>
      </c>
      <c r="T1121" s="6">
        <v>549.64</v>
      </c>
      <c r="U1121" s="6">
        <v>10443.25</v>
      </c>
      <c r="V1121" s="6">
        <v>6293.95</v>
      </c>
      <c r="W1121" s="6">
        <v>4149.3</v>
      </c>
      <c r="X1121" s="6" t="s">
        <v>45</v>
      </c>
    </row>
    <row r="1122" spans="1:24" x14ac:dyDescent="0.25">
      <c r="A1122" s="5" t="s">
        <v>1627</v>
      </c>
      <c r="B1122" s="18">
        <v>45553</v>
      </c>
      <c r="C1122" s="7" t="s">
        <v>757</v>
      </c>
      <c r="D1122" s="7" t="s">
        <v>163</v>
      </c>
      <c r="E1122" s="7" t="s">
        <v>23</v>
      </c>
      <c r="F1122" s="7" t="s">
        <v>24</v>
      </c>
      <c r="G1122" s="7" t="s">
        <v>25</v>
      </c>
      <c r="H1122" s="7" t="s">
        <v>26</v>
      </c>
      <c r="I1122" s="7" t="s">
        <v>88</v>
      </c>
      <c r="J1122" s="7" t="s">
        <v>173</v>
      </c>
      <c r="K1122" s="7" t="s">
        <v>83</v>
      </c>
      <c r="L1122" s="7" t="s">
        <v>2665</v>
      </c>
      <c r="M1122" s="7" t="s">
        <v>61</v>
      </c>
      <c r="N1122" s="7" t="s">
        <v>70</v>
      </c>
      <c r="O1122" s="7">
        <v>71</v>
      </c>
      <c r="P1122" s="7">
        <v>77.34</v>
      </c>
      <c r="Q1122" s="7">
        <v>43.33</v>
      </c>
      <c r="R1122" s="7">
        <v>5491.26</v>
      </c>
      <c r="S1122" s="7">
        <v>0.05</v>
      </c>
      <c r="T1122" s="7">
        <v>274.56</v>
      </c>
      <c r="U1122" s="7">
        <v>5216.7</v>
      </c>
      <c r="V1122" s="7">
        <v>3076.17</v>
      </c>
      <c r="W1122" s="7">
        <v>2140.5300000000002</v>
      </c>
      <c r="X1122" s="7" t="s">
        <v>45</v>
      </c>
    </row>
    <row r="1123" spans="1:24" x14ac:dyDescent="0.25">
      <c r="A1123" s="16" t="s">
        <v>1628</v>
      </c>
      <c r="B1123" s="17">
        <v>45448</v>
      </c>
      <c r="C1123" s="6" t="s">
        <v>888</v>
      </c>
      <c r="D1123" s="6" t="s">
        <v>159</v>
      </c>
      <c r="E1123" s="6" t="s">
        <v>150</v>
      </c>
      <c r="F1123" s="6" t="s">
        <v>151</v>
      </c>
      <c r="G1123" s="6" t="s">
        <v>101</v>
      </c>
      <c r="H1123" s="6" t="s">
        <v>134</v>
      </c>
      <c r="I1123" s="6" t="s">
        <v>40</v>
      </c>
      <c r="J1123" s="6" t="s">
        <v>82</v>
      </c>
      <c r="K1123" s="6" t="s">
        <v>265</v>
      </c>
      <c r="L1123" s="6" t="s">
        <v>2678</v>
      </c>
      <c r="M1123" s="6" t="s">
        <v>61</v>
      </c>
      <c r="N1123" s="6" t="s">
        <v>75</v>
      </c>
      <c r="O1123" s="6">
        <v>31</v>
      </c>
      <c r="P1123" s="6">
        <v>87.32</v>
      </c>
      <c r="Q1123" s="6">
        <v>51.49</v>
      </c>
      <c r="R1123" s="6">
        <v>2706.98</v>
      </c>
      <c r="S1123" s="6">
        <v>0.02</v>
      </c>
      <c r="T1123" s="6">
        <v>54.14</v>
      </c>
      <c r="U1123" s="6">
        <v>2652.84</v>
      </c>
      <c r="V1123" s="6">
        <v>1596.29</v>
      </c>
      <c r="W1123" s="6">
        <v>1056.55</v>
      </c>
      <c r="X1123" s="6" t="s">
        <v>45</v>
      </c>
    </row>
    <row r="1124" spans="1:24" x14ac:dyDescent="0.25">
      <c r="A1124" s="5" t="s">
        <v>1629</v>
      </c>
      <c r="B1124" s="18">
        <v>45419</v>
      </c>
      <c r="C1124" s="7" t="s">
        <v>948</v>
      </c>
      <c r="D1124" s="7" t="s">
        <v>87</v>
      </c>
      <c r="E1124" s="7" t="s">
        <v>49</v>
      </c>
      <c r="F1124" s="7" t="s">
        <v>50</v>
      </c>
      <c r="G1124" s="7" t="s">
        <v>51</v>
      </c>
      <c r="H1124" s="7" t="s">
        <v>52</v>
      </c>
      <c r="I1124" s="7" t="s">
        <v>53</v>
      </c>
      <c r="J1124" s="7" t="s">
        <v>232</v>
      </c>
      <c r="K1124" s="7" t="s">
        <v>261</v>
      </c>
      <c r="L1124" s="7" t="s">
        <v>2677</v>
      </c>
      <c r="M1124" s="7" t="s">
        <v>61</v>
      </c>
      <c r="N1124" s="7" t="s">
        <v>31</v>
      </c>
      <c r="O1124" s="7">
        <v>45</v>
      </c>
      <c r="P1124" s="7">
        <v>26.12</v>
      </c>
      <c r="Q1124" s="7">
        <v>12.91</v>
      </c>
      <c r="R1124" s="7">
        <v>1175.47</v>
      </c>
      <c r="S1124" s="7">
        <v>0</v>
      </c>
      <c r="T1124" s="7">
        <v>0</v>
      </c>
      <c r="U1124" s="7">
        <v>1175.47</v>
      </c>
      <c r="V1124" s="7">
        <v>581.07000000000005</v>
      </c>
      <c r="W1124" s="7">
        <v>594.4</v>
      </c>
      <c r="X1124" s="7" t="s">
        <v>45</v>
      </c>
    </row>
    <row r="1125" spans="1:24" x14ac:dyDescent="0.25">
      <c r="A1125" s="16" t="s">
        <v>1630</v>
      </c>
      <c r="B1125" s="17">
        <v>45434</v>
      </c>
      <c r="C1125" s="6" t="s">
        <v>180</v>
      </c>
      <c r="D1125" s="6" t="s">
        <v>163</v>
      </c>
      <c r="E1125" s="6" t="s">
        <v>150</v>
      </c>
      <c r="F1125" s="6" t="s">
        <v>151</v>
      </c>
      <c r="G1125" s="6" t="s">
        <v>101</v>
      </c>
      <c r="H1125" s="6" t="s">
        <v>134</v>
      </c>
      <c r="I1125" s="6" t="s">
        <v>88</v>
      </c>
      <c r="J1125" s="6" t="s">
        <v>89</v>
      </c>
      <c r="K1125" s="6" t="s">
        <v>144</v>
      </c>
      <c r="L1125" s="6" t="s">
        <v>2669</v>
      </c>
      <c r="M1125" s="6" t="s">
        <v>153</v>
      </c>
      <c r="N1125" s="6" t="s">
        <v>84</v>
      </c>
      <c r="O1125" s="6">
        <v>61</v>
      </c>
      <c r="P1125" s="6">
        <v>89.64</v>
      </c>
      <c r="Q1125" s="6">
        <v>48.73</v>
      </c>
      <c r="R1125" s="6">
        <v>5467.82</v>
      </c>
      <c r="S1125" s="6">
        <v>0.02</v>
      </c>
      <c r="T1125" s="6">
        <v>109.36</v>
      </c>
      <c r="U1125" s="6">
        <v>5358.46</v>
      </c>
      <c r="V1125" s="6">
        <v>2972.24</v>
      </c>
      <c r="W1125" s="6">
        <v>2386.2199999999998</v>
      </c>
      <c r="X1125" s="6" t="s">
        <v>45</v>
      </c>
    </row>
    <row r="1126" spans="1:24" x14ac:dyDescent="0.25">
      <c r="A1126" s="5" t="s">
        <v>1631</v>
      </c>
      <c r="B1126" s="18">
        <v>45346</v>
      </c>
      <c r="C1126" s="7"/>
      <c r="D1126" s="7"/>
      <c r="E1126" s="7" t="s">
        <v>49</v>
      </c>
      <c r="F1126" s="7" t="s">
        <v>50</v>
      </c>
      <c r="G1126" s="7" t="s">
        <v>51</v>
      </c>
      <c r="H1126" s="7" t="s">
        <v>52</v>
      </c>
      <c r="I1126" s="7" t="s">
        <v>58</v>
      </c>
      <c r="J1126" s="7" t="s">
        <v>345</v>
      </c>
      <c r="K1126" s="7" t="s">
        <v>60</v>
      </c>
      <c r="L1126" s="7" t="s">
        <v>2662</v>
      </c>
      <c r="M1126" s="7" t="s">
        <v>153</v>
      </c>
      <c r="N1126" s="7" t="s">
        <v>31</v>
      </c>
      <c r="O1126" s="7">
        <v>8</v>
      </c>
      <c r="P1126" s="7">
        <v>25.16</v>
      </c>
      <c r="Q1126" s="7">
        <v>13.41</v>
      </c>
      <c r="R1126" s="7">
        <v>201.31</v>
      </c>
      <c r="S1126" s="7">
        <v>0.05</v>
      </c>
      <c r="T1126" s="7">
        <v>10.07</v>
      </c>
      <c r="U1126" s="7">
        <v>191.24</v>
      </c>
      <c r="V1126" s="7">
        <v>107.27</v>
      </c>
      <c r="W1126" s="7">
        <v>83.97</v>
      </c>
      <c r="X1126" s="7" t="s">
        <v>45</v>
      </c>
    </row>
    <row r="1127" spans="1:24" x14ac:dyDescent="0.25">
      <c r="A1127" s="16" t="s">
        <v>1632</v>
      </c>
      <c r="B1127" s="17">
        <v>45383</v>
      </c>
      <c r="C1127" s="6" t="s">
        <v>1047</v>
      </c>
      <c r="D1127" s="6" t="s">
        <v>156</v>
      </c>
      <c r="E1127" s="6" t="s">
        <v>36</v>
      </c>
      <c r="F1127" s="6" t="s">
        <v>37</v>
      </c>
      <c r="G1127" s="6" t="s">
        <v>38</v>
      </c>
      <c r="H1127" s="6" t="s">
        <v>39</v>
      </c>
      <c r="I1127" s="6" t="s">
        <v>40</v>
      </c>
      <c r="J1127" s="6" t="s">
        <v>289</v>
      </c>
      <c r="K1127" s="6" t="s">
        <v>178</v>
      </c>
      <c r="L1127" s="6" t="s">
        <v>256</v>
      </c>
      <c r="M1127" s="6" t="s">
        <v>153</v>
      </c>
      <c r="N1127" s="6" t="s">
        <v>44</v>
      </c>
      <c r="O1127" s="6">
        <v>7</v>
      </c>
      <c r="P1127" s="6">
        <v>176.5</v>
      </c>
      <c r="Q1127" s="6">
        <v>94.02</v>
      </c>
      <c r="R1127" s="6">
        <v>1235.48</v>
      </c>
      <c r="S1127" s="6">
        <v>0.05</v>
      </c>
      <c r="T1127" s="6">
        <v>61.77</v>
      </c>
      <c r="U1127" s="6">
        <v>1173.7</v>
      </c>
      <c r="V1127" s="6">
        <v>658.15</v>
      </c>
      <c r="W1127" s="6">
        <v>515.54999999999995</v>
      </c>
      <c r="X1127" s="6" t="s">
        <v>32</v>
      </c>
    </row>
    <row r="1128" spans="1:24" x14ac:dyDescent="0.25">
      <c r="A1128" s="5" t="s">
        <v>1633</v>
      </c>
      <c r="B1128" s="18">
        <v>45645</v>
      </c>
      <c r="C1128" s="7" t="s">
        <v>983</v>
      </c>
      <c r="D1128" s="7" t="s">
        <v>351</v>
      </c>
      <c r="E1128" s="7" t="s">
        <v>216</v>
      </c>
      <c r="F1128" s="7" t="s">
        <v>217</v>
      </c>
      <c r="G1128" s="7" t="s">
        <v>38</v>
      </c>
      <c r="H1128" s="7" t="s">
        <v>134</v>
      </c>
      <c r="I1128" s="7" t="s">
        <v>58</v>
      </c>
      <c r="J1128" s="7" t="s">
        <v>345</v>
      </c>
      <c r="K1128" s="7" t="s">
        <v>253</v>
      </c>
      <c r="L1128" s="7" t="s">
        <v>2676</v>
      </c>
      <c r="M1128" s="7" t="s">
        <v>61</v>
      </c>
      <c r="N1128" s="7" t="s">
        <v>70</v>
      </c>
      <c r="O1128" s="7">
        <v>36</v>
      </c>
      <c r="P1128" s="7">
        <v>105.3</v>
      </c>
      <c r="Q1128" s="7">
        <v>61.9</v>
      </c>
      <c r="R1128" s="7">
        <v>3790.8</v>
      </c>
      <c r="S1128" s="7">
        <v>0.15</v>
      </c>
      <c r="T1128" s="7">
        <v>568.62</v>
      </c>
      <c r="U1128" s="7">
        <v>3222.18</v>
      </c>
      <c r="V1128" s="7">
        <v>2228.46</v>
      </c>
      <c r="W1128" s="7">
        <v>993.73</v>
      </c>
      <c r="X1128" s="7" t="s">
        <v>45</v>
      </c>
    </row>
    <row r="1129" spans="1:24" x14ac:dyDescent="0.25">
      <c r="A1129" s="16" t="s">
        <v>1634</v>
      </c>
      <c r="B1129" s="17">
        <v>45318</v>
      </c>
      <c r="C1129" s="6" t="s">
        <v>1210</v>
      </c>
      <c r="D1129" s="6" t="s">
        <v>65</v>
      </c>
      <c r="E1129" s="6" t="s">
        <v>222</v>
      </c>
      <c r="F1129" s="6" t="s">
        <v>223</v>
      </c>
      <c r="G1129" s="6" t="s">
        <v>101</v>
      </c>
      <c r="H1129" s="6" t="s">
        <v>68</v>
      </c>
      <c r="I1129" s="6" t="s">
        <v>40</v>
      </c>
      <c r="J1129" s="6" t="s">
        <v>41</v>
      </c>
      <c r="K1129" s="6" t="s">
        <v>152</v>
      </c>
      <c r="L1129" s="6" t="s">
        <v>2670</v>
      </c>
      <c r="M1129" s="6" t="s">
        <v>43</v>
      </c>
      <c r="N1129" s="6" t="s">
        <v>70</v>
      </c>
      <c r="O1129" s="6">
        <v>35</v>
      </c>
      <c r="P1129" s="6">
        <v>128.87</v>
      </c>
      <c r="Q1129" s="6">
        <v>76.44</v>
      </c>
      <c r="R1129" s="6">
        <v>4510.58</v>
      </c>
      <c r="S1129" s="6">
        <v>0.1</v>
      </c>
      <c r="T1129" s="6">
        <v>451.06</v>
      </c>
      <c r="U1129" s="6">
        <v>4059.52</v>
      </c>
      <c r="V1129" s="6">
        <v>2675.34</v>
      </c>
      <c r="W1129" s="6">
        <v>1384.18</v>
      </c>
      <c r="X1129" s="6" t="s">
        <v>45</v>
      </c>
    </row>
    <row r="1130" spans="1:24" x14ac:dyDescent="0.25">
      <c r="A1130" s="5" t="s">
        <v>1635</v>
      </c>
      <c r="B1130" s="18">
        <v>45506</v>
      </c>
      <c r="C1130" s="7" t="s">
        <v>1412</v>
      </c>
      <c r="D1130" s="7" t="s">
        <v>48</v>
      </c>
      <c r="E1130" s="7" t="s">
        <v>126</v>
      </c>
      <c r="F1130" s="7" t="s">
        <v>127</v>
      </c>
      <c r="G1130" s="7" t="s">
        <v>95</v>
      </c>
      <c r="H1130" s="7" t="s">
        <v>128</v>
      </c>
      <c r="I1130" s="7" t="s">
        <v>40</v>
      </c>
      <c r="J1130" s="7" t="s">
        <v>289</v>
      </c>
      <c r="K1130" s="7" t="s">
        <v>83</v>
      </c>
      <c r="L1130" s="7" t="s">
        <v>2665</v>
      </c>
      <c r="M1130" s="7" t="s">
        <v>61</v>
      </c>
      <c r="N1130" s="7" t="s">
        <v>70</v>
      </c>
      <c r="O1130" s="7">
        <v>26</v>
      </c>
      <c r="P1130" s="7">
        <v>83.28</v>
      </c>
      <c r="Q1130" s="7">
        <v>49.43</v>
      </c>
      <c r="R1130" s="7">
        <v>2165.23</v>
      </c>
      <c r="S1130" s="7">
        <v>0.2</v>
      </c>
      <c r="T1130" s="7">
        <v>433.05</v>
      </c>
      <c r="U1130" s="7">
        <v>1732.18</v>
      </c>
      <c r="V1130" s="7">
        <v>1285.08</v>
      </c>
      <c r="W1130" s="7">
        <v>447.1</v>
      </c>
      <c r="X1130" s="7" t="s">
        <v>45</v>
      </c>
    </row>
    <row r="1131" spans="1:24" x14ac:dyDescent="0.25">
      <c r="A1131" s="16" t="s">
        <v>1636</v>
      </c>
      <c r="B1131" s="17">
        <v>45574</v>
      </c>
      <c r="C1131" s="6" t="s">
        <v>314</v>
      </c>
      <c r="D1131" s="6" t="s">
        <v>163</v>
      </c>
      <c r="E1131" s="6" t="s">
        <v>132</v>
      </c>
      <c r="F1131" s="6" t="s">
        <v>133</v>
      </c>
      <c r="G1131" s="6" t="s">
        <v>51</v>
      </c>
      <c r="H1131" s="6" t="s">
        <v>134</v>
      </c>
      <c r="I1131" s="6" t="s">
        <v>40</v>
      </c>
      <c r="J1131" s="6" t="s">
        <v>289</v>
      </c>
      <c r="K1131" s="6"/>
      <c r="L1131" s="6"/>
      <c r="M1131" s="6" t="s">
        <v>153</v>
      </c>
      <c r="N1131" s="6" t="s">
        <v>75</v>
      </c>
      <c r="O1131" s="6">
        <v>46</v>
      </c>
      <c r="P1131" s="6">
        <v>59.03</v>
      </c>
      <c r="Q1131" s="6">
        <v>35.85</v>
      </c>
      <c r="R1131" s="6">
        <v>2715.41</v>
      </c>
      <c r="S1131" s="6">
        <v>0.02</v>
      </c>
      <c r="T1131" s="6">
        <v>54.31</v>
      </c>
      <c r="U1131" s="6">
        <v>2661.11</v>
      </c>
      <c r="V1131" s="6">
        <v>1649.03</v>
      </c>
      <c r="W1131" s="6">
        <v>1012.07</v>
      </c>
      <c r="X1131" s="6" t="s">
        <v>45</v>
      </c>
    </row>
    <row r="1132" spans="1:24" x14ac:dyDescent="0.25">
      <c r="A1132" s="5" t="s">
        <v>1637</v>
      </c>
      <c r="B1132" s="18">
        <v>45596</v>
      </c>
      <c r="C1132" s="7" t="s">
        <v>162</v>
      </c>
      <c r="D1132" s="7" t="s">
        <v>163</v>
      </c>
      <c r="E1132" s="7" t="s">
        <v>216</v>
      </c>
      <c r="F1132" s="7" t="s">
        <v>217</v>
      </c>
      <c r="G1132" s="7" t="s">
        <v>38</v>
      </c>
      <c r="H1132" s="7" t="s">
        <v>134</v>
      </c>
      <c r="I1132" s="7" t="s">
        <v>58</v>
      </c>
      <c r="J1132" s="7" t="s">
        <v>59</v>
      </c>
      <c r="K1132" s="7" t="s">
        <v>29</v>
      </c>
      <c r="L1132" s="7" t="s">
        <v>2660</v>
      </c>
      <c r="M1132" s="7" t="s">
        <v>30</v>
      </c>
      <c r="N1132" s="7" t="s">
        <v>44</v>
      </c>
      <c r="O1132" s="7">
        <v>4</v>
      </c>
      <c r="P1132" s="7">
        <v>105.4</v>
      </c>
      <c r="Q1132" s="7">
        <v>62.82</v>
      </c>
      <c r="R1132" s="7">
        <v>421.61</v>
      </c>
      <c r="S1132" s="7">
        <v>0.05</v>
      </c>
      <c r="T1132" s="7">
        <v>21.08</v>
      </c>
      <c r="U1132" s="7">
        <v>400.53</v>
      </c>
      <c r="V1132" s="7">
        <v>251.3</v>
      </c>
      <c r="W1132" s="7">
        <v>149.22999999999999</v>
      </c>
      <c r="X1132" s="7" t="s">
        <v>45</v>
      </c>
    </row>
    <row r="1133" spans="1:24" x14ac:dyDescent="0.25">
      <c r="A1133" s="16" t="s">
        <v>1638</v>
      </c>
      <c r="B1133" s="17">
        <v>45374</v>
      </c>
      <c r="C1133" s="6" t="s">
        <v>1493</v>
      </c>
      <c r="D1133" s="6" t="s">
        <v>159</v>
      </c>
      <c r="E1133" s="6" t="s">
        <v>109</v>
      </c>
      <c r="F1133" s="6" t="s">
        <v>110</v>
      </c>
      <c r="G1133" s="6" t="s">
        <v>80</v>
      </c>
      <c r="H1133" s="6" t="s">
        <v>81</v>
      </c>
      <c r="I1133" s="6" t="s">
        <v>88</v>
      </c>
      <c r="J1133" s="6" t="s">
        <v>173</v>
      </c>
      <c r="K1133" s="6" t="s">
        <v>261</v>
      </c>
      <c r="L1133" s="6" t="s">
        <v>2677</v>
      </c>
      <c r="M1133" s="6" t="s">
        <v>30</v>
      </c>
      <c r="N1133" s="6" t="s">
        <v>70</v>
      </c>
      <c r="O1133" s="6">
        <v>12</v>
      </c>
      <c r="P1133" s="6">
        <v>118.77</v>
      </c>
      <c r="Q1133" s="6">
        <v>-10</v>
      </c>
      <c r="R1133" s="6">
        <v>1425.25</v>
      </c>
      <c r="S1133" s="6">
        <v>0.15</v>
      </c>
      <c r="T1133" s="6">
        <v>213.79</v>
      </c>
      <c r="U1133" s="6">
        <v>1211.46</v>
      </c>
      <c r="V1133" s="6">
        <v>912.5</v>
      </c>
      <c r="W1133" s="6">
        <v>298.95999999999998</v>
      </c>
      <c r="X1133" s="6" t="s">
        <v>45</v>
      </c>
    </row>
    <row r="1134" spans="1:24" x14ac:dyDescent="0.25">
      <c r="A1134" s="5" t="s">
        <v>1639</v>
      </c>
      <c r="B1134" s="18">
        <v>45311</v>
      </c>
      <c r="C1134" s="7" t="s">
        <v>495</v>
      </c>
      <c r="D1134" s="7" t="s">
        <v>125</v>
      </c>
      <c r="E1134" s="7" t="s">
        <v>99</v>
      </c>
      <c r="F1134" s="7" t="s">
        <v>100</v>
      </c>
      <c r="G1134" s="7" t="s">
        <v>101</v>
      </c>
      <c r="H1134" s="7" t="s">
        <v>102</v>
      </c>
      <c r="I1134" s="7" t="s">
        <v>58</v>
      </c>
      <c r="J1134" s="7" t="s">
        <v>345</v>
      </c>
      <c r="K1134" s="7" t="s">
        <v>90</v>
      </c>
      <c r="L1134" s="7" t="s">
        <v>2666</v>
      </c>
      <c r="M1134" s="7" t="s">
        <v>30</v>
      </c>
      <c r="N1134" s="7" t="s">
        <v>70</v>
      </c>
      <c r="O1134" s="7">
        <v>73</v>
      </c>
      <c r="P1134" s="7">
        <v>72.05</v>
      </c>
      <c r="Q1134" s="7">
        <v>40.65</v>
      </c>
      <c r="R1134" s="7">
        <v>5259.86</v>
      </c>
      <c r="S1134" s="7">
        <v>0.1</v>
      </c>
      <c r="T1134" s="7">
        <v>525.99</v>
      </c>
      <c r="U1134" s="7">
        <v>4733.88</v>
      </c>
      <c r="V1134" s="7">
        <v>2967.09</v>
      </c>
      <c r="W1134" s="7">
        <v>1766.78</v>
      </c>
      <c r="X1134" s="7" t="s">
        <v>45</v>
      </c>
    </row>
    <row r="1135" spans="1:24" x14ac:dyDescent="0.25">
      <c r="A1135" s="16" t="s">
        <v>1640</v>
      </c>
      <c r="B1135" s="17">
        <v>45387</v>
      </c>
      <c r="C1135" s="6" t="s">
        <v>717</v>
      </c>
      <c r="D1135" s="6" t="s">
        <v>35</v>
      </c>
      <c r="E1135" s="6" t="s">
        <v>222</v>
      </c>
      <c r="F1135" s="6" t="s">
        <v>223</v>
      </c>
      <c r="G1135" s="6" t="s">
        <v>101</v>
      </c>
      <c r="H1135" s="6" t="s">
        <v>68</v>
      </c>
      <c r="I1135" s="6" t="s">
        <v>88</v>
      </c>
      <c r="J1135" s="6" t="s">
        <v>173</v>
      </c>
      <c r="K1135" s="6" t="s">
        <v>170</v>
      </c>
      <c r="L1135" s="6" t="s">
        <v>2671</v>
      </c>
      <c r="M1135" s="6" t="s">
        <v>61</v>
      </c>
      <c r="N1135" s="6" t="s">
        <v>70</v>
      </c>
      <c r="O1135" s="6">
        <v>41</v>
      </c>
      <c r="P1135" s="6">
        <v>112.8</v>
      </c>
      <c r="Q1135" s="6">
        <v>81.67</v>
      </c>
      <c r="R1135" s="6">
        <v>4624.66</v>
      </c>
      <c r="S1135" s="6">
        <v>0.15</v>
      </c>
      <c r="T1135" s="6">
        <v>693.7</v>
      </c>
      <c r="U1135" s="6">
        <v>3930.96</v>
      </c>
      <c r="V1135" s="6">
        <v>3348.54</v>
      </c>
      <c r="W1135" s="6">
        <v>582.41999999999996</v>
      </c>
      <c r="X1135" s="6" t="s">
        <v>45</v>
      </c>
    </row>
    <row r="1136" spans="1:24" x14ac:dyDescent="0.25">
      <c r="A1136" s="5" t="s">
        <v>1641</v>
      </c>
      <c r="B1136" s="18">
        <v>45585</v>
      </c>
      <c r="C1136" s="7" t="s">
        <v>852</v>
      </c>
      <c r="D1136" s="7" t="s">
        <v>57</v>
      </c>
      <c r="E1136" s="7" t="s">
        <v>187</v>
      </c>
      <c r="F1136" s="7" t="s">
        <v>188</v>
      </c>
      <c r="G1136" s="7" t="s">
        <v>25</v>
      </c>
      <c r="H1136" s="7" t="s">
        <v>26</v>
      </c>
      <c r="I1136" s="7" t="s">
        <v>40</v>
      </c>
      <c r="J1136" s="7" t="s">
        <v>117</v>
      </c>
      <c r="K1136" s="7"/>
      <c r="L1136" s="7"/>
      <c r="M1136" s="7" t="s">
        <v>153</v>
      </c>
      <c r="N1136" s="7" t="s">
        <v>75</v>
      </c>
      <c r="O1136" s="7">
        <v>54</v>
      </c>
      <c r="P1136" s="7">
        <v>47.96</v>
      </c>
      <c r="Q1136" s="7">
        <v>30.52</v>
      </c>
      <c r="R1136" s="7">
        <v>2589.6</v>
      </c>
      <c r="S1136" s="7">
        <v>0.2</v>
      </c>
      <c r="T1136" s="7">
        <v>517.91999999999996</v>
      </c>
      <c r="U1136" s="7">
        <v>2071.6799999999998</v>
      </c>
      <c r="V1136" s="7">
        <v>1648.25</v>
      </c>
      <c r="W1136" s="7">
        <v>423.43</v>
      </c>
      <c r="X1136" s="7" t="s">
        <v>45</v>
      </c>
    </row>
    <row r="1137" spans="1:24" x14ac:dyDescent="0.25">
      <c r="A1137" s="16" t="s">
        <v>1642</v>
      </c>
      <c r="B1137" s="17">
        <v>45375</v>
      </c>
      <c r="C1137" s="6" t="s">
        <v>653</v>
      </c>
      <c r="D1137" s="6" t="s">
        <v>87</v>
      </c>
      <c r="E1137" s="6" t="s">
        <v>36</v>
      </c>
      <c r="F1137" s="6" t="s">
        <v>37</v>
      </c>
      <c r="G1137" s="6" t="s">
        <v>38</v>
      </c>
      <c r="H1137" s="6" t="s">
        <v>39</v>
      </c>
      <c r="I1137" s="6" t="s">
        <v>40</v>
      </c>
      <c r="J1137" s="6" t="s">
        <v>117</v>
      </c>
      <c r="K1137" s="6" t="s">
        <v>152</v>
      </c>
      <c r="L1137" s="6" t="s">
        <v>2670</v>
      </c>
      <c r="M1137" s="6" t="s">
        <v>153</v>
      </c>
      <c r="N1137" s="6" t="s">
        <v>84</v>
      </c>
      <c r="O1137" s="6">
        <v>27</v>
      </c>
      <c r="P1137" s="6">
        <v>170.63</v>
      </c>
      <c r="Q1137" s="6">
        <v>94.24</v>
      </c>
      <c r="R1137" s="6">
        <v>4606.97</v>
      </c>
      <c r="S1137" s="6">
        <v>0</v>
      </c>
      <c r="T1137" s="6">
        <v>0</v>
      </c>
      <c r="U1137" s="6">
        <v>4606.97</v>
      </c>
      <c r="V1137" s="6">
        <v>2544.36</v>
      </c>
      <c r="W1137" s="6">
        <v>2062.61</v>
      </c>
      <c r="X1137" s="6" t="s">
        <v>45</v>
      </c>
    </row>
    <row r="1138" spans="1:24" x14ac:dyDescent="0.25">
      <c r="A1138" s="5" t="s">
        <v>1643</v>
      </c>
      <c r="B1138" s="18">
        <v>45530</v>
      </c>
      <c r="C1138" s="7" t="s">
        <v>72</v>
      </c>
      <c r="D1138" s="7" t="s">
        <v>48</v>
      </c>
      <c r="E1138" s="7" t="s">
        <v>66</v>
      </c>
      <c r="F1138" s="7" t="s">
        <v>67</v>
      </c>
      <c r="G1138" s="7" t="s">
        <v>38</v>
      </c>
      <c r="H1138" s="7" t="s">
        <v>68</v>
      </c>
      <c r="I1138" s="7" t="s">
        <v>40</v>
      </c>
      <c r="J1138" s="7" t="s">
        <v>41</v>
      </c>
      <c r="K1138" s="7" t="s">
        <v>152</v>
      </c>
      <c r="L1138" s="7" t="s">
        <v>2670</v>
      </c>
      <c r="M1138" s="7" t="s">
        <v>43</v>
      </c>
      <c r="N1138" s="7" t="s">
        <v>75</v>
      </c>
      <c r="O1138" s="7">
        <v>33</v>
      </c>
      <c r="P1138" s="7">
        <v>167.87</v>
      </c>
      <c r="Q1138" s="7">
        <v>110.59</v>
      </c>
      <c r="R1138" s="7">
        <v>5539.73</v>
      </c>
      <c r="S1138" s="7">
        <v>0.05</v>
      </c>
      <c r="T1138" s="7">
        <v>276.99</v>
      </c>
      <c r="U1138" s="7">
        <v>5262.74</v>
      </c>
      <c r="V1138" s="7">
        <v>3649.5</v>
      </c>
      <c r="W1138" s="7">
        <v>1613.24</v>
      </c>
      <c r="X1138" s="7" t="s">
        <v>45</v>
      </c>
    </row>
    <row r="1139" spans="1:24" x14ac:dyDescent="0.25">
      <c r="A1139" s="16" t="s">
        <v>1644</v>
      </c>
      <c r="B1139" s="17">
        <v>45426</v>
      </c>
      <c r="C1139" s="6" t="s">
        <v>333</v>
      </c>
      <c r="D1139" s="6" t="s">
        <v>57</v>
      </c>
      <c r="E1139" s="6" t="s">
        <v>109</v>
      </c>
      <c r="F1139" s="6" t="s">
        <v>110</v>
      </c>
      <c r="G1139" s="6" t="s">
        <v>80</v>
      </c>
      <c r="H1139" s="6" t="s">
        <v>81</v>
      </c>
      <c r="I1139" s="6" t="s">
        <v>53</v>
      </c>
      <c r="J1139" s="6" t="s">
        <v>122</v>
      </c>
      <c r="K1139" s="6" t="s">
        <v>184</v>
      </c>
      <c r="L1139" s="6" t="s">
        <v>2672</v>
      </c>
      <c r="M1139" s="6" t="s">
        <v>153</v>
      </c>
      <c r="N1139" s="6" t="s">
        <v>75</v>
      </c>
      <c r="O1139" s="6">
        <v>6</v>
      </c>
      <c r="P1139" s="6">
        <v>133.33000000000001</v>
      </c>
      <c r="Q1139" s="6">
        <v>75.599999999999994</v>
      </c>
      <c r="R1139" s="6">
        <v>799.97</v>
      </c>
      <c r="S1139" s="6">
        <v>0.2</v>
      </c>
      <c r="T1139" s="6">
        <v>159.99</v>
      </c>
      <c r="U1139" s="6">
        <v>639.98</v>
      </c>
      <c r="V1139" s="6">
        <v>453.62</v>
      </c>
      <c r="W1139" s="6">
        <v>186.36</v>
      </c>
      <c r="X1139" s="6" t="s">
        <v>129</v>
      </c>
    </row>
    <row r="1140" spans="1:24" x14ac:dyDescent="0.25">
      <c r="A1140" s="5" t="s">
        <v>1645</v>
      </c>
      <c r="B1140" s="18">
        <v>45368</v>
      </c>
      <c r="C1140" s="7" t="s">
        <v>278</v>
      </c>
      <c r="D1140" s="7" t="s">
        <v>48</v>
      </c>
      <c r="E1140" s="7" t="s">
        <v>23</v>
      </c>
      <c r="F1140" s="7" t="s">
        <v>24</v>
      </c>
      <c r="G1140" s="7" t="s">
        <v>25</v>
      </c>
      <c r="H1140" s="7" t="s">
        <v>26</v>
      </c>
      <c r="I1140" s="7" t="s">
        <v>40</v>
      </c>
      <c r="J1140" s="7" t="s">
        <v>82</v>
      </c>
      <c r="K1140" s="7" t="s">
        <v>29</v>
      </c>
      <c r="L1140" s="7" t="s">
        <v>2660</v>
      </c>
      <c r="M1140" s="7" t="s">
        <v>153</v>
      </c>
      <c r="N1140" s="7" t="s">
        <v>44</v>
      </c>
      <c r="O1140" s="7">
        <v>58</v>
      </c>
      <c r="P1140" s="7">
        <v>72.099999999999994</v>
      </c>
      <c r="Q1140" s="7">
        <v>45.13</v>
      </c>
      <c r="R1140" s="7">
        <v>4181.53</v>
      </c>
      <c r="S1140" s="7">
        <v>0.15</v>
      </c>
      <c r="T1140" s="7">
        <v>627.23</v>
      </c>
      <c r="U1140" s="7">
        <v>3554.3</v>
      </c>
      <c r="V1140" s="7">
        <v>2617.3200000000002</v>
      </c>
      <c r="W1140" s="7">
        <v>936.97</v>
      </c>
      <c r="X1140" s="7" t="s">
        <v>32</v>
      </c>
    </row>
    <row r="1141" spans="1:24" x14ac:dyDescent="0.25">
      <c r="A1141" s="16" t="s">
        <v>1646</v>
      </c>
      <c r="B1141" s="17">
        <v>45316</v>
      </c>
      <c r="C1141" s="6" t="s">
        <v>992</v>
      </c>
      <c r="D1141" s="6"/>
      <c r="E1141" s="6" t="s">
        <v>176</v>
      </c>
      <c r="F1141" s="6" t="s">
        <v>177</v>
      </c>
      <c r="G1141" s="6" t="s">
        <v>101</v>
      </c>
      <c r="H1141" s="6" t="s">
        <v>39</v>
      </c>
      <c r="I1141" s="6" t="s">
        <v>58</v>
      </c>
      <c r="J1141" s="6" t="s">
        <v>59</v>
      </c>
      <c r="K1141" s="6" t="s">
        <v>248</v>
      </c>
      <c r="L1141" s="6" t="s">
        <v>2675</v>
      </c>
      <c r="M1141" s="6" t="s">
        <v>61</v>
      </c>
      <c r="N1141" s="6" t="s">
        <v>44</v>
      </c>
      <c r="O1141" s="6">
        <v>19</v>
      </c>
      <c r="P1141" s="6">
        <v>100.44</v>
      </c>
      <c r="Q1141" s="6">
        <v>68</v>
      </c>
      <c r="R1141" s="6">
        <v>1908.32</v>
      </c>
      <c r="S1141" s="6">
        <v>0.05</v>
      </c>
      <c r="T1141" s="6">
        <v>95.42</v>
      </c>
      <c r="U1141" s="6">
        <v>1496.2</v>
      </c>
      <c r="V1141" s="6">
        <v>1292.06</v>
      </c>
      <c r="W1141" s="6">
        <v>520.85</v>
      </c>
      <c r="X1141" s="6" t="s">
        <v>45</v>
      </c>
    </row>
    <row r="1142" spans="1:24" x14ac:dyDescent="0.25">
      <c r="A1142" s="5" t="s">
        <v>1647</v>
      </c>
      <c r="B1142" s="18">
        <v>45526</v>
      </c>
      <c r="C1142" s="7" t="s">
        <v>651</v>
      </c>
      <c r="D1142" s="7" t="s">
        <v>105</v>
      </c>
      <c r="E1142" s="7" t="s">
        <v>165</v>
      </c>
      <c r="F1142" s="7" t="s">
        <v>166</v>
      </c>
      <c r="G1142" s="7" t="s">
        <v>95</v>
      </c>
      <c r="H1142" s="7" t="s">
        <v>167</v>
      </c>
      <c r="I1142" s="7" t="s">
        <v>58</v>
      </c>
      <c r="J1142" s="7" t="s">
        <v>323</v>
      </c>
      <c r="K1142" s="7" t="s">
        <v>253</v>
      </c>
      <c r="L1142" s="7" t="s">
        <v>2676</v>
      </c>
      <c r="M1142" s="7" t="s">
        <v>43</v>
      </c>
      <c r="N1142" s="7" t="s">
        <v>44</v>
      </c>
      <c r="O1142" s="7">
        <v>73</v>
      </c>
      <c r="P1142" s="7">
        <v>43.37</v>
      </c>
      <c r="Q1142" s="7">
        <v>23.85</v>
      </c>
      <c r="R1142" s="7">
        <v>3166.11</v>
      </c>
      <c r="S1142" s="7">
        <v>0.2</v>
      </c>
      <c r="T1142" s="7">
        <v>633.22</v>
      </c>
      <c r="U1142" s="7">
        <v>2532.89</v>
      </c>
      <c r="V1142" s="7">
        <v>1741.19</v>
      </c>
      <c r="W1142" s="7">
        <v>791.71</v>
      </c>
      <c r="X1142" s="7" t="s">
        <v>45</v>
      </c>
    </row>
    <row r="1143" spans="1:24" x14ac:dyDescent="0.25">
      <c r="A1143" s="16" t="s">
        <v>1648</v>
      </c>
      <c r="B1143" s="17">
        <v>45574</v>
      </c>
      <c r="C1143" s="6" t="s">
        <v>182</v>
      </c>
      <c r="D1143" s="6" t="s">
        <v>35</v>
      </c>
      <c r="E1143" s="6" t="s">
        <v>66</v>
      </c>
      <c r="F1143" s="6" t="s">
        <v>67</v>
      </c>
      <c r="G1143" s="6" t="s">
        <v>38</v>
      </c>
      <c r="H1143" s="6" t="s">
        <v>68</v>
      </c>
      <c r="I1143" s="6" t="s">
        <v>53</v>
      </c>
      <c r="J1143" s="6"/>
      <c r="K1143" s="6" t="s">
        <v>144</v>
      </c>
      <c r="L1143" s="6" t="s">
        <v>2669</v>
      </c>
      <c r="M1143" s="6" t="s">
        <v>61</v>
      </c>
      <c r="N1143" s="6" t="s">
        <v>70</v>
      </c>
      <c r="O1143" s="6">
        <v>68</v>
      </c>
      <c r="P1143" s="6">
        <v>156.63</v>
      </c>
      <c r="Q1143" s="6">
        <v>102.87</v>
      </c>
      <c r="R1143" s="6">
        <v>10650.82</v>
      </c>
      <c r="S1143" s="6">
        <v>0</v>
      </c>
      <c r="T1143" s="6">
        <v>0</v>
      </c>
      <c r="U1143" s="6">
        <v>10650.82</v>
      </c>
      <c r="V1143" s="6">
        <v>6995.45</v>
      </c>
      <c r="W1143" s="6">
        <v>3655.37</v>
      </c>
      <c r="X1143" s="6" t="s">
        <v>45</v>
      </c>
    </row>
    <row r="1144" spans="1:24" x14ac:dyDescent="0.25">
      <c r="A1144" s="5" t="s">
        <v>1649</v>
      </c>
      <c r="B1144" s="18">
        <v>45400</v>
      </c>
      <c r="C1144" s="7" t="s">
        <v>626</v>
      </c>
      <c r="D1144" s="7" t="s">
        <v>163</v>
      </c>
      <c r="E1144" s="7" t="s">
        <v>222</v>
      </c>
      <c r="F1144" s="7" t="s">
        <v>223</v>
      </c>
      <c r="G1144" s="7" t="s">
        <v>101</v>
      </c>
      <c r="H1144" s="7" t="s">
        <v>68</v>
      </c>
      <c r="I1144" s="7" t="s">
        <v>88</v>
      </c>
      <c r="J1144" s="7" t="s">
        <v>135</v>
      </c>
      <c r="K1144" s="7"/>
      <c r="L1144" s="7"/>
      <c r="M1144" s="7" t="s">
        <v>153</v>
      </c>
      <c r="N1144" s="7" t="s">
        <v>70</v>
      </c>
      <c r="O1144" s="7">
        <v>53</v>
      </c>
      <c r="P1144" s="7">
        <v>112.79</v>
      </c>
      <c r="Q1144" s="7">
        <v>80.88</v>
      </c>
      <c r="R1144" s="7">
        <v>5977.68</v>
      </c>
      <c r="S1144" s="7">
        <v>0.2</v>
      </c>
      <c r="T1144" s="7">
        <v>1195.54</v>
      </c>
      <c r="U1144" s="7">
        <v>4782.1499999999996</v>
      </c>
      <c r="V1144" s="7">
        <v>4286.7</v>
      </c>
      <c r="W1144" s="7">
        <v>495.44</v>
      </c>
      <c r="X1144" s="7" t="s">
        <v>32</v>
      </c>
    </row>
    <row r="1145" spans="1:24" x14ac:dyDescent="0.25">
      <c r="A1145" s="16" t="s">
        <v>1650</v>
      </c>
      <c r="B1145" s="17">
        <v>45624</v>
      </c>
      <c r="C1145" s="6" t="s">
        <v>711</v>
      </c>
      <c r="D1145" s="6" t="s">
        <v>57</v>
      </c>
      <c r="E1145" s="6" t="s">
        <v>165</v>
      </c>
      <c r="F1145" s="6" t="s">
        <v>166</v>
      </c>
      <c r="G1145" s="6" t="s">
        <v>95</v>
      </c>
      <c r="H1145" s="6" t="s">
        <v>167</v>
      </c>
      <c r="I1145" s="6" t="s">
        <v>53</v>
      </c>
      <c r="J1145" s="6" t="s">
        <v>122</v>
      </c>
      <c r="K1145" s="6" t="s">
        <v>118</v>
      </c>
      <c r="L1145" s="6" t="s">
        <v>2668</v>
      </c>
      <c r="M1145" s="6" t="s">
        <v>61</v>
      </c>
      <c r="N1145" s="6" t="s">
        <v>44</v>
      </c>
      <c r="O1145" s="6">
        <v>75</v>
      </c>
      <c r="P1145" s="6">
        <v>43.89</v>
      </c>
      <c r="Q1145" s="6">
        <v>26.01</v>
      </c>
      <c r="R1145" s="6">
        <v>3292.11</v>
      </c>
      <c r="S1145" s="6">
        <v>0.2</v>
      </c>
      <c r="T1145" s="6">
        <v>658.42</v>
      </c>
      <c r="U1145" s="6">
        <v>2633.69</v>
      </c>
      <c r="V1145" s="6">
        <v>1950.52</v>
      </c>
      <c r="W1145" s="6">
        <v>683.16</v>
      </c>
      <c r="X1145" s="6" t="s">
        <v>45</v>
      </c>
    </row>
    <row r="1146" spans="1:24" x14ac:dyDescent="0.25">
      <c r="A1146" s="5" t="s">
        <v>1651</v>
      </c>
      <c r="B1146" s="18">
        <v>45594</v>
      </c>
      <c r="C1146" s="7"/>
      <c r="D1146" s="7"/>
      <c r="E1146" s="7" t="s">
        <v>176</v>
      </c>
      <c r="F1146" s="7" t="s">
        <v>177</v>
      </c>
      <c r="G1146" s="7" t="s">
        <v>101</v>
      </c>
      <c r="H1146" s="7" t="s">
        <v>39</v>
      </c>
      <c r="I1146" s="7" t="s">
        <v>53</v>
      </c>
      <c r="J1146" s="7" t="s">
        <v>143</v>
      </c>
      <c r="K1146" s="7" t="s">
        <v>60</v>
      </c>
      <c r="L1146" s="7" t="s">
        <v>2662</v>
      </c>
      <c r="M1146" s="7" t="s">
        <v>61</v>
      </c>
      <c r="N1146" s="7" t="s">
        <v>75</v>
      </c>
      <c r="O1146" s="7">
        <v>39</v>
      </c>
      <c r="P1146" s="7">
        <v>97.54</v>
      </c>
      <c r="Q1146" s="7">
        <v>62.91</v>
      </c>
      <c r="R1146" s="7">
        <v>3804.21</v>
      </c>
      <c r="S1146" s="7">
        <v>0.05</v>
      </c>
      <c r="T1146" s="7">
        <v>190.21</v>
      </c>
      <c r="U1146" s="7">
        <v>3614</v>
      </c>
      <c r="V1146" s="7">
        <v>2453.5</v>
      </c>
      <c r="W1146" s="7">
        <v>1160.5</v>
      </c>
      <c r="X1146" s="7" t="s">
        <v>45</v>
      </c>
    </row>
    <row r="1147" spans="1:24" x14ac:dyDescent="0.25">
      <c r="A1147" s="16" t="s">
        <v>1652</v>
      </c>
      <c r="B1147" s="17">
        <v>45545</v>
      </c>
      <c r="C1147" s="6" t="s">
        <v>155</v>
      </c>
      <c r="D1147" s="6" t="s">
        <v>156</v>
      </c>
      <c r="E1147" s="6" t="s">
        <v>66</v>
      </c>
      <c r="F1147" s="6" t="s">
        <v>67</v>
      </c>
      <c r="G1147" s="6" t="s">
        <v>38</v>
      </c>
      <c r="H1147" s="6" t="s">
        <v>68</v>
      </c>
      <c r="I1147" s="6" t="s">
        <v>53</v>
      </c>
      <c r="J1147" s="6" t="s">
        <v>143</v>
      </c>
      <c r="K1147" s="6" t="s">
        <v>195</v>
      </c>
      <c r="L1147" s="6" t="s">
        <v>2673</v>
      </c>
      <c r="M1147" s="6" t="s">
        <v>61</v>
      </c>
      <c r="N1147" s="6" t="s">
        <v>31</v>
      </c>
      <c r="O1147" s="6">
        <v>29</v>
      </c>
      <c r="P1147" s="6">
        <v>156.61000000000001</v>
      </c>
      <c r="Q1147" s="6">
        <v>96.81</v>
      </c>
      <c r="R1147" s="6">
        <v>4541.66</v>
      </c>
      <c r="S1147" s="6">
        <v>0</v>
      </c>
      <c r="T1147" s="6">
        <v>0</v>
      </c>
      <c r="U1147" s="6">
        <v>4541.66</v>
      </c>
      <c r="V1147" s="6">
        <v>2807.62</v>
      </c>
      <c r="W1147" s="6">
        <v>1734.04</v>
      </c>
      <c r="X1147" s="6" t="s">
        <v>32</v>
      </c>
    </row>
    <row r="1148" spans="1:24" x14ac:dyDescent="0.25">
      <c r="A1148" s="5" t="s">
        <v>1653</v>
      </c>
      <c r="B1148" s="18">
        <v>45434</v>
      </c>
      <c r="C1148" s="7" t="s">
        <v>897</v>
      </c>
      <c r="D1148" s="7" t="s">
        <v>65</v>
      </c>
      <c r="E1148" s="7" t="s">
        <v>187</v>
      </c>
      <c r="F1148" s="7" t="s">
        <v>188</v>
      </c>
      <c r="G1148" s="7" t="s">
        <v>25</v>
      </c>
      <c r="H1148" s="7" t="s">
        <v>26</v>
      </c>
      <c r="I1148" s="7" t="s">
        <v>27</v>
      </c>
      <c r="J1148" s="7" t="s">
        <v>106</v>
      </c>
      <c r="K1148" s="7" t="s">
        <v>69</v>
      </c>
      <c r="L1148" s="7" t="s">
        <v>2663</v>
      </c>
      <c r="M1148" s="7" t="s">
        <v>61</v>
      </c>
      <c r="N1148" s="7" t="s">
        <v>44</v>
      </c>
      <c r="O1148" s="7">
        <v>63</v>
      </c>
      <c r="P1148" s="7">
        <v>51.77</v>
      </c>
      <c r="Q1148" s="7">
        <v>26.8</v>
      </c>
      <c r="R1148" s="7">
        <v>3261.24</v>
      </c>
      <c r="S1148" s="7">
        <v>0.05</v>
      </c>
      <c r="T1148" s="7">
        <v>163.06</v>
      </c>
      <c r="U1148" s="7">
        <v>3098.18</v>
      </c>
      <c r="V1148" s="7">
        <v>1688.37</v>
      </c>
      <c r="W1148" s="7">
        <v>1409.81</v>
      </c>
      <c r="X1148" s="7" t="s">
        <v>129</v>
      </c>
    </row>
    <row r="1149" spans="1:24" x14ac:dyDescent="0.25">
      <c r="A1149" s="16" t="s">
        <v>1654</v>
      </c>
      <c r="B1149" s="17">
        <v>45351</v>
      </c>
      <c r="C1149" s="6" t="s">
        <v>798</v>
      </c>
      <c r="D1149" s="6" t="s">
        <v>259</v>
      </c>
      <c r="E1149" s="6" t="s">
        <v>126</v>
      </c>
      <c r="F1149" s="6" t="s">
        <v>127</v>
      </c>
      <c r="G1149" s="6" t="s">
        <v>95</v>
      </c>
      <c r="H1149" s="6" t="s">
        <v>128</v>
      </c>
      <c r="I1149" s="6" t="s">
        <v>58</v>
      </c>
      <c r="J1149" s="6" t="s">
        <v>73</v>
      </c>
      <c r="K1149" s="6" t="s">
        <v>218</v>
      </c>
      <c r="L1149" s="6" t="s">
        <v>2674</v>
      </c>
      <c r="M1149" s="6" t="s">
        <v>30</v>
      </c>
      <c r="N1149" s="6" t="s">
        <v>70</v>
      </c>
      <c r="O1149" s="6">
        <v>18</v>
      </c>
      <c r="P1149" s="6">
        <v>92.27</v>
      </c>
      <c r="Q1149" s="6">
        <v>53.58</v>
      </c>
      <c r="R1149" s="6">
        <v>1660.85</v>
      </c>
      <c r="S1149" s="6">
        <v>0</v>
      </c>
      <c r="T1149" s="6">
        <v>0</v>
      </c>
      <c r="U1149" s="6">
        <v>1660.85</v>
      </c>
      <c r="V1149" s="6">
        <v>964.43</v>
      </c>
      <c r="W1149" s="6">
        <v>696.43</v>
      </c>
      <c r="X1149" s="6" t="s">
        <v>45</v>
      </c>
    </row>
    <row r="1150" spans="1:24" x14ac:dyDescent="0.25">
      <c r="A1150" s="5" t="s">
        <v>1655</v>
      </c>
      <c r="B1150" s="18">
        <v>45327</v>
      </c>
      <c r="C1150" s="7" t="s">
        <v>86</v>
      </c>
      <c r="D1150" s="7" t="s">
        <v>87</v>
      </c>
      <c r="E1150" s="7" t="s">
        <v>216</v>
      </c>
      <c r="F1150" s="7" t="s">
        <v>217</v>
      </c>
      <c r="G1150" s="7" t="s">
        <v>38</v>
      </c>
      <c r="H1150" s="7" t="s">
        <v>134</v>
      </c>
      <c r="I1150" s="7" t="s">
        <v>58</v>
      </c>
      <c r="J1150" s="7" t="s">
        <v>73</v>
      </c>
      <c r="K1150" s="7" t="s">
        <v>90</v>
      </c>
      <c r="L1150" s="7" t="s">
        <v>2666</v>
      </c>
      <c r="M1150" s="7" t="s">
        <v>153</v>
      </c>
      <c r="N1150" s="7" t="s">
        <v>44</v>
      </c>
      <c r="O1150" s="7">
        <v>43</v>
      </c>
      <c r="P1150" s="7">
        <v>106.67</v>
      </c>
      <c r="Q1150" s="7">
        <v>65.13</v>
      </c>
      <c r="R1150" s="7">
        <v>4586.95</v>
      </c>
      <c r="S1150" s="7">
        <v>0.15</v>
      </c>
      <c r="T1150" s="7">
        <v>688.04</v>
      </c>
      <c r="U1150" s="7">
        <v>3898.91</v>
      </c>
      <c r="V1150" s="7">
        <v>2800.42</v>
      </c>
      <c r="W1150" s="7">
        <v>1098.49</v>
      </c>
      <c r="X1150" s="7" t="s">
        <v>45</v>
      </c>
    </row>
    <row r="1151" spans="1:24" x14ac:dyDescent="0.25">
      <c r="A1151" s="16" t="s">
        <v>1656</v>
      </c>
      <c r="B1151" s="17">
        <v>45439</v>
      </c>
      <c r="C1151" s="6" t="s">
        <v>77</v>
      </c>
      <c r="D1151" s="6" t="s">
        <v>22</v>
      </c>
      <c r="E1151" s="6" t="s">
        <v>78</v>
      </c>
      <c r="F1151" s="6" t="s">
        <v>79</v>
      </c>
      <c r="G1151" s="6" t="s">
        <v>80</v>
      </c>
      <c r="H1151" s="6" t="s">
        <v>81</v>
      </c>
      <c r="I1151" s="6" t="s">
        <v>53</v>
      </c>
      <c r="J1151" s="6" t="s">
        <v>143</v>
      </c>
      <c r="K1151" s="6" t="s">
        <v>90</v>
      </c>
      <c r="L1151" s="6" t="s">
        <v>2666</v>
      </c>
      <c r="M1151" s="6" t="s">
        <v>61</v>
      </c>
      <c r="N1151" s="6" t="s">
        <v>75</v>
      </c>
      <c r="O1151" s="6">
        <v>77</v>
      </c>
      <c r="P1151" s="6">
        <v>135.4</v>
      </c>
      <c r="Q1151" s="6">
        <v>80.489999999999995</v>
      </c>
      <c r="R1151" s="6">
        <v>10425.469999999999</v>
      </c>
      <c r="S1151" s="6">
        <v>0.05</v>
      </c>
      <c r="T1151" s="6">
        <v>521.27</v>
      </c>
      <c r="U1151" s="6">
        <v>9904.19</v>
      </c>
      <c r="V1151" s="6">
        <v>6197.92</v>
      </c>
      <c r="W1151" s="6">
        <v>3706.27</v>
      </c>
      <c r="X1151" s="6" t="s">
        <v>129</v>
      </c>
    </row>
    <row r="1152" spans="1:24" x14ac:dyDescent="0.25">
      <c r="A1152" s="5" t="s">
        <v>1657</v>
      </c>
      <c r="B1152" s="18">
        <v>45332</v>
      </c>
      <c r="C1152" s="7" t="s">
        <v>897</v>
      </c>
      <c r="D1152" s="7" t="s">
        <v>65</v>
      </c>
      <c r="E1152" s="7" t="s">
        <v>23</v>
      </c>
      <c r="F1152" s="7" t="s">
        <v>24</v>
      </c>
      <c r="G1152" s="7" t="s">
        <v>25</v>
      </c>
      <c r="H1152" s="7" t="s">
        <v>26</v>
      </c>
      <c r="I1152" s="7" t="s">
        <v>27</v>
      </c>
      <c r="J1152" s="7" t="s">
        <v>106</v>
      </c>
      <c r="K1152" s="7" t="s">
        <v>261</v>
      </c>
      <c r="L1152" s="7" t="s">
        <v>2677</v>
      </c>
      <c r="M1152" s="7" t="s">
        <v>30</v>
      </c>
      <c r="N1152" s="7" t="s">
        <v>75</v>
      </c>
      <c r="O1152" s="7">
        <v>45</v>
      </c>
      <c r="P1152" s="7">
        <v>79.86</v>
      </c>
      <c r="Q1152" s="7">
        <v>41.12</v>
      </c>
      <c r="R1152" s="7">
        <v>3593.91</v>
      </c>
      <c r="S1152" s="7">
        <v>0.1</v>
      </c>
      <c r="T1152" s="7">
        <v>359.39</v>
      </c>
      <c r="U1152" s="7">
        <v>3234.52</v>
      </c>
      <c r="V1152" s="7">
        <v>1850.52</v>
      </c>
      <c r="W1152" s="7">
        <v>1384</v>
      </c>
      <c r="X1152" s="7" t="s">
        <v>45</v>
      </c>
    </row>
    <row r="1153" spans="1:24" x14ac:dyDescent="0.25">
      <c r="A1153" s="16" t="s">
        <v>1658</v>
      </c>
      <c r="B1153" s="17">
        <v>45488</v>
      </c>
      <c r="C1153" s="6" t="s">
        <v>301</v>
      </c>
      <c r="D1153" s="6" t="s">
        <v>259</v>
      </c>
      <c r="E1153" s="6" t="s">
        <v>93</v>
      </c>
      <c r="F1153" s="6" t="s">
        <v>94</v>
      </c>
      <c r="G1153" s="6" t="s">
        <v>95</v>
      </c>
      <c r="H1153" s="6" t="s">
        <v>96</v>
      </c>
      <c r="I1153" s="6" t="s">
        <v>88</v>
      </c>
      <c r="J1153" s="6" t="s">
        <v>89</v>
      </c>
      <c r="K1153" s="6" t="s">
        <v>265</v>
      </c>
      <c r="L1153" s="6" t="s">
        <v>2678</v>
      </c>
      <c r="M1153" s="6" t="s">
        <v>30</v>
      </c>
      <c r="N1153" s="6" t="s">
        <v>31</v>
      </c>
      <c r="O1153" s="6">
        <v>20</v>
      </c>
      <c r="P1153" s="6">
        <v>58.59</v>
      </c>
      <c r="Q1153" s="6">
        <v>30.72</v>
      </c>
      <c r="R1153" s="6">
        <v>1171.73</v>
      </c>
      <c r="S1153" s="6">
        <v>0.2</v>
      </c>
      <c r="T1153" s="6">
        <v>234.35</v>
      </c>
      <c r="U1153" s="6">
        <v>937.39</v>
      </c>
      <c r="V1153" s="6">
        <v>614.33000000000004</v>
      </c>
      <c r="W1153" s="6">
        <v>323.06</v>
      </c>
      <c r="X1153" s="6" t="s">
        <v>45</v>
      </c>
    </row>
    <row r="1154" spans="1:24" x14ac:dyDescent="0.25">
      <c r="A1154" s="5" t="s">
        <v>1659</v>
      </c>
      <c r="B1154" s="18">
        <v>45366</v>
      </c>
      <c r="C1154" s="7" t="s">
        <v>485</v>
      </c>
      <c r="D1154" s="7" t="s">
        <v>22</v>
      </c>
      <c r="E1154" s="7" t="s">
        <v>36</v>
      </c>
      <c r="F1154" s="7" t="s">
        <v>37</v>
      </c>
      <c r="G1154" s="7" t="s">
        <v>38</v>
      </c>
      <c r="H1154" s="7" t="s">
        <v>39</v>
      </c>
      <c r="I1154" s="7" t="s">
        <v>88</v>
      </c>
      <c r="J1154" s="7" t="s">
        <v>135</v>
      </c>
      <c r="K1154" s="7" t="s">
        <v>265</v>
      </c>
      <c r="L1154" s="7" t="s">
        <v>2678</v>
      </c>
      <c r="M1154" s="7" t="s">
        <v>43</v>
      </c>
      <c r="N1154" s="7" t="s">
        <v>75</v>
      </c>
      <c r="O1154" s="7">
        <v>73</v>
      </c>
      <c r="P1154" s="7">
        <v>176.69</v>
      </c>
      <c r="Q1154" s="7">
        <v>101.37</v>
      </c>
      <c r="R1154" s="7">
        <v>12898.23</v>
      </c>
      <c r="S1154" s="7">
        <v>0.02</v>
      </c>
      <c r="T1154" s="7">
        <v>257.95999999999998</v>
      </c>
      <c r="U1154" s="7">
        <v>12640.27</v>
      </c>
      <c r="V1154" s="7">
        <v>7400.04</v>
      </c>
      <c r="W1154" s="7">
        <v>5240.2299999999996</v>
      </c>
      <c r="X1154" s="7" t="s">
        <v>45</v>
      </c>
    </row>
    <row r="1155" spans="1:24" x14ac:dyDescent="0.25">
      <c r="A1155" s="16" t="s">
        <v>1660</v>
      </c>
      <c r="B1155" s="17">
        <v>45622</v>
      </c>
      <c r="C1155" s="6" t="s">
        <v>541</v>
      </c>
      <c r="D1155" s="6" t="s">
        <v>159</v>
      </c>
      <c r="E1155" s="6" t="s">
        <v>165</v>
      </c>
      <c r="F1155" s="6" t="s">
        <v>166</v>
      </c>
      <c r="G1155" s="6" t="s">
        <v>95</v>
      </c>
      <c r="H1155" s="6" t="s">
        <v>167</v>
      </c>
      <c r="I1155" s="6" t="s">
        <v>88</v>
      </c>
      <c r="J1155" s="6" t="s">
        <v>135</v>
      </c>
      <c r="K1155" s="6" t="s">
        <v>265</v>
      </c>
      <c r="L1155" s="6" t="s">
        <v>2678</v>
      </c>
      <c r="M1155" s="6" t="s">
        <v>153</v>
      </c>
      <c r="N1155" s="6" t="s">
        <v>75</v>
      </c>
      <c r="O1155" s="6">
        <v>63</v>
      </c>
      <c r="P1155" s="6">
        <v>42.13</v>
      </c>
      <c r="Q1155" s="6">
        <v>25.81</v>
      </c>
      <c r="R1155" s="6">
        <v>2653.96</v>
      </c>
      <c r="S1155" s="6">
        <v>0.1</v>
      </c>
      <c r="T1155" s="6">
        <v>265.39999999999998</v>
      </c>
      <c r="U1155" s="6">
        <v>2388.56</v>
      </c>
      <c r="V1155" s="6">
        <v>1626.16</v>
      </c>
      <c r="W1155" s="6">
        <v>762.4</v>
      </c>
      <c r="X1155" s="6" t="s">
        <v>45</v>
      </c>
    </row>
    <row r="1156" spans="1:24" x14ac:dyDescent="0.25">
      <c r="A1156" s="5" t="s">
        <v>1661</v>
      </c>
      <c r="B1156" s="18">
        <v>45497</v>
      </c>
      <c r="C1156" s="7" t="s">
        <v>77</v>
      </c>
      <c r="D1156" s="7" t="s">
        <v>22</v>
      </c>
      <c r="E1156" s="7" t="s">
        <v>23</v>
      </c>
      <c r="F1156" s="7" t="s">
        <v>24</v>
      </c>
      <c r="G1156" s="7" t="s">
        <v>25</v>
      </c>
      <c r="H1156" s="7" t="s">
        <v>26</v>
      </c>
      <c r="I1156" s="7" t="s">
        <v>88</v>
      </c>
      <c r="J1156" s="7" t="s">
        <v>89</v>
      </c>
      <c r="K1156" s="7" t="s">
        <v>69</v>
      </c>
      <c r="L1156" s="7" t="s">
        <v>2663</v>
      </c>
      <c r="M1156" s="7" t="s">
        <v>30</v>
      </c>
      <c r="N1156" s="7" t="s">
        <v>44</v>
      </c>
      <c r="O1156" s="7">
        <v>71</v>
      </c>
      <c r="P1156" s="7">
        <v>69.599999999999994</v>
      </c>
      <c r="Q1156" s="7">
        <v>0</v>
      </c>
      <c r="R1156" s="7">
        <v>4941.79</v>
      </c>
      <c r="S1156" s="7">
        <v>0.1</v>
      </c>
      <c r="T1156" s="7">
        <v>494.18</v>
      </c>
      <c r="U1156" s="7">
        <v>4447.6099999999997</v>
      </c>
      <c r="V1156" s="7">
        <v>2910.52</v>
      </c>
      <c r="W1156" s="7">
        <v>1537.09</v>
      </c>
      <c r="X1156" s="7" t="s">
        <v>45</v>
      </c>
    </row>
    <row r="1157" spans="1:24" x14ac:dyDescent="0.25">
      <c r="A1157" s="16" t="s">
        <v>1662</v>
      </c>
      <c r="B1157" s="17">
        <v>45593</v>
      </c>
      <c r="C1157" s="6" t="s">
        <v>658</v>
      </c>
      <c r="D1157" s="6" t="s">
        <v>264</v>
      </c>
      <c r="E1157" s="6" t="s">
        <v>176</v>
      </c>
      <c r="F1157" s="6" t="s">
        <v>177</v>
      </c>
      <c r="G1157" s="6" t="s">
        <v>101</v>
      </c>
      <c r="H1157" s="6" t="s">
        <v>39</v>
      </c>
      <c r="I1157" s="6" t="s">
        <v>53</v>
      </c>
      <c r="J1157" s="6" t="s">
        <v>122</v>
      </c>
      <c r="K1157" s="6" t="s">
        <v>195</v>
      </c>
      <c r="L1157" s="6" t="s">
        <v>2673</v>
      </c>
      <c r="M1157" s="6" t="s">
        <v>153</v>
      </c>
      <c r="N1157" s="6" t="s">
        <v>75</v>
      </c>
      <c r="O1157" s="6">
        <v>28</v>
      </c>
      <c r="P1157" s="6">
        <v>99.28</v>
      </c>
      <c r="Q1157" s="6">
        <v>59.58</v>
      </c>
      <c r="R1157" s="6">
        <v>2779.83</v>
      </c>
      <c r="S1157" s="6">
        <v>0.1</v>
      </c>
      <c r="T1157" s="6">
        <v>277.98</v>
      </c>
      <c r="U1157" s="6">
        <v>2501.84</v>
      </c>
      <c r="V1157" s="6">
        <v>1668.17</v>
      </c>
      <c r="W1157" s="6">
        <v>833.67</v>
      </c>
      <c r="X1157" s="6" t="s">
        <v>32</v>
      </c>
    </row>
    <row r="1158" spans="1:24" x14ac:dyDescent="0.25">
      <c r="A1158" s="5" t="s">
        <v>1663</v>
      </c>
      <c r="B1158" s="18">
        <v>45306</v>
      </c>
      <c r="C1158" s="7" t="s">
        <v>47</v>
      </c>
      <c r="D1158" s="7" t="s">
        <v>48</v>
      </c>
      <c r="E1158" s="7" t="s">
        <v>132</v>
      </c>
      <c r="F1158" s="7" t="s">
        <v>133</v>
      </c>
      <c r="G1158" s="7" t="s">
        <v>51</v>
      </c>
      <c r="H1158" s="7" t="s">
        <v>134</v>
      </c>
      <c r="I1158" s="7" t="s">
        <v>58</v>
      </c>
      <c r="J1158" s="7" t="s">
        <v>345</v>
      </c>
      <c r="K1158" s="7" t="s">
        <v>42</v>
      </c>
      <c r="L1158" s="7" t="s">
        <v>2661</v>
      </c>
      <c r="M1158" s="7" t="s">
        <v>138</v>
      </c>
      <c r="N1158" s="7" t="s">
        <v>75</v>
      </c>
      <c r="O1158" s="7">
        <v>11</v>
      </c>
      <c r="P1158" s="7">
        <v>64.430000000000007</v>
      </c>
      <c r="Q1158" s="7">
        <v>36.21</v>
      </c>
      <c r="R1158" s="7">
        <v>708.7</v>
      </c>
      <c r="S1158" s="7">
        <v>0</v>
      </c>
      <c r="T1158" s="7">
        <v>0</v>
      </c>
      <c r="U1158" s="7">
        <v>708.7</v>
      </c>
      <c r="V1158" s="7">
        <v>398.26</v>
      </c>
      <c r="W1158" s="7">
        <v>310.45</v>
      </c>
      <c r="X1158" s="7" t="s">
        <v>32</v>
      </c>
    </row>
    <row r="1159" spans="1:24" x14ac:dyDescent="0.25">
      <c r="A1159" s="16" t="s">
        <v>1664</v>
      </c>
      <c r="B1159" s="17">
        <v>45560</v>
      </c>
      <c r="C1159" s="6" t="s">
        <v>517</v>
      </c>
      <c r="D1159" s="6" t="s">
        <v>163</v>
      </c>
      <c r="E1159" s="6" t="s">
        <v>49</v>
      </c>
      <c r="F1159" s="6" t="s">
        <v>50</v>
      </c>
      <c r="G1159" s="6" t="s">
        <v>51</v>
      </c>
      <c r="H1159" s="6" t="s">
        <v>52</v>
      </c>
      <c r="I1159" s="6" t="s">
        <v>40</v>
      </c>
      <c r="J1159" s="6" t="s">
        <v>82</v>
      </c>
      <c r="K1159" s="6" t="s">
        <v>83</v>
      </c>
      <c r="L1159" s="6" t="s">
        <v>2665</v>
      </c>
      <c r="M1159" s="6" t="s">
        <v>61</v>
      </c>
      <c r="N1159" s="6" t="s">
        <v>84</v>
      </c>
      <c r="O1159" s="6">
        <v>11</v>
      </c>
      <c r="P1159" s="6">
        <v>25.05</v>
      </c>
      <c r="Q1159" s="6">
        <v>13</v>
      </c>
      <c r="R1159" s="6">
        <v>275.5</v>
      </c>
      <c r="S1159" s="6">
        <v>0.1</v>
      </c>
      <c r="T1159" s="6">
        <v>27.55</v>
      </c>
      <c r="U1159" s="6">
        <v>247.95</v>
      </c>
      <c r="V1159" s="6">
        <v>143.03</v>
      </c>
      <c r="W1159" s="6">
        <v>104.91</v>
      </c>
      <c r="X1159" s="6" t="s">
        <v>45</v>
      </c>
    </row>
    <row r="1160" spans="1:24" x14ac:dyDescent="0.25">
      <c r="A1160" s="5" t="s">
        <v>1665</v>
      </c>
      <c r="B1160" s="18">
        <v>45325</v>
      </c>
      <c r="C1160" s="7" t="s">
        <v>124</v>
      </c>
      <c r="D1160" s="7" t="s">
        <v>125</v>
      </c>
      <c r="E1160" s="7" t="s">
        <v>150</v>
      </c>
      <c r="F1160" s="7" t="s">
        <v>151</v>
      </c>
      <c r="G1160" s="7" t="s">
        <v>101</v>
      </c>
      <c r="H1160" s="7" t="s">
        <v>134</v>
      </c>
      <c r="I1160" s="7" t="s">
        <v>53</v>
      </c>
      <c r="J1160" s="7" t="s">
        <v>143</v>
      </c>
      <c r="K1160" s="7" t="s">
        <v>118</v>
      </c>
      <c r="L1160" s="7" t="s">
        <v>2668</v>
      </c>
      <c r="M1160" s="7" t="s">
        <v>61</v>
      </c>
      <c r="N1160" s="7" t="s">
        <v>75</v>
      </c>
      <c r="O1160" s="7">
        <v>63</v>
      </c>
      <c r="P1160" s="7">
        <v>79.17</v>
      </c>
      <c r="Q1160" s="7">
        <v>47.02</v>
      </c>
      <c r="R1160" s="7">
        <v>4987.6499999999996</v>
      </c>
      <c r="S1160" s="7">
        <v>0</v>
      </c>
      <c r="T1160" s="7">
        <v>0</v>
      </c>
      <c r="U1160" s="7">
        <v>4987.6499999999996</v>
      </c>
      <c r="V1160" s="7">
        <v>2962.18</v>
      </c>
      <c r="W1160" s="7">
        <v>2025.47</v>
      </c>
      <c r="X1160" s="7" t="s">
        <v>45</v>
      </c>
    </row>
    <row r="1161" spans="1:24" x14ac:dyDescent="0.25">
      <c r="A1161" s="16" t="s">
        <v>1666</v>
      </c>
      <c r="B1161" s="17">
        <v>45412</v>
      </c>
      <c r="C1161" s="6" t="s">
        <v>428</v>
      </c>
      <c r="D1161" s="6" t="s">
        <v>57</v>
      </c>
      <c r="E1161" s="6" t="s">
        <v>209</v>
      </c>
      <c r="F1161" s="6" t="s">
        <v>210</v>
      </c>
      <c r="G1161" s="6" t="s">
        <v>51</v>
      </c>
      <c r="H1161" s="6" t="s">
        <v>116</v>
      </c>
      <c r="I1161" s="6" t="s">
        <v>53</v>
      </c>
      <c r="J1161" s="6" t="s">
        <v>54</v>
      </c>
      <c r="K1161" s="6" t="s">
        <v>253</v>
      </c>
      <c r="L1161" s="6" t="s">
        <v>2676</v>
      </c>
      <c r="M1161" s="6" t="s">
        <v>61</v>
      </c>
      <c r="N1161" s="6" t="s">
        <v>84</v>
      </c>
      <c r="O1161" s="6">
        <v>75</v>
      </c>
      <c r="P1161" s="6">
        <v>16.93</v>
      </c>
      <c r="Q1161" s="6">
        <v>9.3699999999999992</v>
      </c>
      <c r="R1161" s="6">
        <v>1269.73</v>
      </c>
      <c r="S1161" s="6">
        <v>0.15</v>
      </c>
      <c r="T1161" s="6">
        <v>190.46</v>
      </c>
      <c r="U1161" s="6">
        <v>1079.27</v>
      </c>
      <c r="V1161" s="6">
        <v>702.49</v>
      </c>
      <c r="W1161" s="6">
        <v>376.78</v>
      </c>
      <c r="X1161" s="6" t="s">
        <v>45</v>
      </c>
    </row>
    <row r="1162" spans="1:24" x14ac:dyDescent="0.25">
      <c r="A1162" s="5" t="s">
        <v>1156</v>
      </c>
      <c r="B1162" s="18">
        <v>45404</v>
      </c>
      <c r="C1162" s="7" t="s">
        <v>237</v>
      </c>
      <c r="D1162" s="7" t="s">
        <v>105</v>
      </c>
      <c r="E1162" s="7" t="s">
        <v>36</v>
      </c>
      <c r="F1162" s="7" t="s">
        <v>37</v>
      </c>
      <c r="G1162" s="7" t="s">
        <v>38</v>
      </c>
      <c r="H1162" s="7" t="s">
        <v>39</v>
      </c>
      <c r="I1162" s="7" t="s">
        <v>58</v>
      </c>
      <c r="J1162" s="7" t="s">
        <v>345</v>
      </c>
      <c r="K1162" s="7" t="s">
        <v>170</v>
      </c>
      <c r="L1162" s="7" t="s">
        <v>2671</v>
      </c>
      <c r="M1162" s="7" t="s">
        <v>61</v>
      </c>
      <c r="N1162" s="7" t="s">
        <v>84</v>
      </c>
      <c r="O1162" s="7">
        <v>51</v>
      </c>
      <c r="P1162" s="7">
        <v>174.96</v>
      </c>
      <c r="Q1162" s="7">
        <v>102.81</v>
      </c>
      <c r="R1162" s="7">
        <v>8923.1</v>
      </c>
      <c r="S1162" s="7">
        <v>0.15</v>
      </c>
      <c r="T1162" s="7">
        <v>1338.46</v>
      </c>
      <c r="U1162" s="7">
        <v>7584.63</v>
      </c>
      <c r="V1162" s="7">
        <v>5243.5</v>
      </c>
      <c r="W1162" s="7">
        <v>2341.13</v>
      </c>
      <c r="X1162" s="7" t="s">
        <v>45</v>
      </c>
    </row>
    <row r="1163" spans="1:24" x14ac:dyDescent="0.25">
      <c r="A1163" s="16" t="s">
        <v>1667</v>
      </c>
      <c r="B1163" s="17">
        <v>45428</v>
      </c>
      <c r="C1163" s="6" t="s">
        <v>220</v>
      </c>
      <c r="D1163" s="6" t="s">
        <v>221</v>
      </c>
      <c r="E1163" s="6" t="s">
        <v>165</v>
      </c>
      <c r="F1163" s="6" t="s">
        <v>166</v>
      </c>
      <c r="G1163" s="6" t="s">
        <v>95</v>
      </c>
      <c r="H1163" s="6" t="s">
        <v>167</v>
      </c>
      <c r="I1163" s="6" t="s">
        <v>88</v>
      </c>
      <c r="J1163" s="6" t="s">
        <v>89</v>
      </c>
      <c r="K1163" s="6" t="s">
        <v>144</v>
      </c>
      <c r="L1163" s="6" t="s">
        <v>2669</v>
      </c>
      <c r="M1163" s="6" t="s">
        <v>153</v>
      </c>
      <c r="N1163" s="6" t="s">
        <v>44</v>
      </c>
      <c r="O1163" s="6">
        <v>19</v>
      </c>
      <c r="P1163" s="6">
        <v>41.11</v>
      </c>
      <c r="Q1163" s="6">
        <v>25.53</v>
      </c>
      <c r="R1163" s="6">
        <v>781.12</v>
      </c>
      <c r="S1163" s="6">
        <v>0</v>
      </c>
      <c r="T1163" s="6">
        <v>0</v>
      </c>
      <c r="U1163" s="6">
        <v>781.12</v>
      </c>
      <c r="V1163" s="6">
        <v>485.06</v>
      </c>
      <c r="W1163" s="6">
        <v>296.06</v>
      </c>
      <c r="X1163" s="6" t="s">
        <v>129</v>
      </c>
    </row>
    <row r="1164" spans="1:24" x14ac:dyDescent="0.25">
      <c r="A1164" s="5" t="s">
        <v>1668</v>
      </c>
      <c r="B1164" s="18">
        <v>45479</v>
      </c>
      <c r="C1164" s="7" t="s">
        <v>1219</v>
      </c>
      <c r="D1164" s="7" t="s">
        <v>359</v>
      </c>
      <c r="E1164" s="7" t="s">
        <v>209</v>
      </c>
      <c r="F1164" s="7" t="s">
        <v>210</v>
      </c>
      <c r="G1164" s="7" t="s">
        <v>51</v>
      </c>
      <c r="H1164" s="7" t="s">
        <v>116</v>
      </c>
      <c r="I1164" s="7" t="s">
        <v>53</v>
      </c>
      <c r="J1164" s="7" t="s">
        <v>122</v>
      </c>
      <c r="K1164" s="7" t="s">
        <v>29</v>
      </c>
      <c r="L1164" s="7" t="s">
        <v>2660</v>
      </c>
      <c r="M1164" s="7" t="s">
        <v>43</v>
      </c>
      <c r="N1164" s="7" t="s">
        <v>31</v>
      </c>
      <c r="O1164" s="7">
        <v>56</v>
      </c>
      <c r="P1164" s="7">
        <v>16.89</v>
      </c>
      <c r="Q1164" s="7">
        <v>9.85</v>
      </c>
      <c r="R1164" s="7">
        <v>945.63</v>
      </c>
      <c r="S1164" s="7">
        <v>0</v>
      </c>
      <c r="T1164" s="7">
        <v>0</v>
      </c>
      <c r="U1164" s="7">
        <v>945.63</v>
      </c>
      <c r="V1164" s="7">
        <v>551.36</v>
      </c>
      <c r="W1164" s="7">
        <v>394.27</v>
      </c>
      <c r="X1164" s="7" t="s">
        <v>45</v>
      </c>
    </row>
    <row r="1165" spans="1:24" x14ac:dyDescent="0.25">
      <c r="A1165" s="16" t="s">
        <v>1669</v>
      </c>
      <c r="B1165" s="17">
        <v>45630</v>
      </c>
      <c r="C1165" s="6" t="s">
        <v>301</v>
      </c>
      <c r="D1165" s="6" t="s">
        <v>259</v>
      </c>
      <c r="E1165" s="6" t="s">
        <v>187</v>
      </c>
      <c r="F1165" s="6" t="s">
        <v>188</v>
      </c>
      <c r="G1165" s="6" t="s">
        <v>25</v>
      </c>
      <c r="H1165" s="6" t="s">
        <v>26</v>
      </c>
      <c r="I1165" s="6" t="s">
        <v>88</v>
      </c>
      <c r="J1165" s="6" t="s">
        <v>135</v>
      </c>
      <c r="K1165" s="6" t="s">
        <v>248</v>
      </c>
      <c r="L1165" s="6" t="s">
        <v>2675</v>
      </c>
      <c r="M1165" s="6" t="s">
        <v>43</v>
      </c>
      <c r="N1165" s="6" t="s">
        <v>44</v>
      </c>
      <c r="O1165" s="6">
        <v>18</v>
      </c>
      <c r="P1165" s="6">
        <v>48.88</v>
      </c>
      <c r="Q1165" s="6">
        <v>30.91</v>
      </c>
      <c r="R1165" s="6">
        <v>879.92</v>
      </c>
      <c r="S1165" s="6">
        <v>0</v>
      </c>
      <c r="T1165" s="6">
        <v>0</v>
      </c>
      <c r="U1165" s="6">
        <v>879.92</v>
      </c>
      <c r="V1165" s="6">
        <v>556.29</v>
      </c>
      <c r="W1165" s="6">
        <v>323.62</v>
      </c>
      <c r="X1165" s="6" t="s">
        <v>45</v>
      </c>
    </row>
    <row r="1166" spans="1:24" x14ac:dyDescent="0.25">
      <c r="A1166" s="5" t="s">
        <v>1670</v>
      </c>
      <c r="B1166" s="18">
        <v>45642</v>
      </c>
      <c r="C1166" s="7" t="s">
        <v>717</v>
      </c>
      <c r="D1166" s="7" t="s">
        <v>35</v>
      </c>
      <c r="E1166" s="7" t="s">
        <v>150</v>
      </c>
      <c r="F1166" s="7" t="s">
        <v>151</v>
      </c>
      <c r="G1166" s="7" t="s">
        <v>101</v>
      </c>
      <c r="H1166" s="7" t="s">
        <v>134</v>
      </c>
      <c r="I1166" s="7" t="s">
        <v>27</v>
      </c>
      <c r="J1166" s="7" t="s">
        <v>106</v>
      </c>
      <c r="K1166" s="7" t="s">
        <v>218</v>
      </c>
      <c r="L1166" s="7" t="s">
        <v>2674</v>
      </c>
      <c r="M1166" s="7" t="s">
        <v>61</v>
      </c>
      <c r="N1166" s="7" t="s">
        <v>44</v>
      </c>
      <c r="O1166" s="7">
        <v>46</v>
      </c>
      <c r="P1166" s="7">
        <v>83.88</v>
      </c>
      <c r="Q1166" s="7">
        <v>54.09</v>
      </c>
      <c r="R1166" s="7">
        <v>3858.44</v>
      </c>
      <c r="S1166" s="7">
        <v>0.05</v>
      </c>
      <c r="T1166" s="7">
        <v>192.92</v>
      </c>
      <c r="U1166" s="7">
        <v>3665.52</v>
      </c>
      <c r="V1166" s="7">
        <v>2488.31</v>
      </c>
      <c r="W1166" s="7">
        <v>1177.21</v>
      </c>
      <c r="X1166" s="7" t="s">
        <v>45</v>
      </c>
    </row>
    <row r="1167" spans="1:24" x14ac:dyDescent="0.25">
      <c r="A1167" s="16" t="s">
        <v>1671</v>
      </c>
      <c r="B1167" s="17">
        <v>45552</v>
      </c>
      <c r="C1167" s="6" t="s">
        <v>148</v>
      </c>
      <c r="D1167" s="6" t="s">
        <v>149</v>
      </c>
      <c r="E1167" s="6" t="s">
        <v>93</v>
      </c>
      <c r="F1167" s="6" t="s">
        <v>94</v>
      </c>
      <c r="G1167" s="6" t="s">
        <v>95</v>
      </c>
      <c r="H1167" s="6" t="s">
        <v>96</v>
      </c>
      <c r="I1167" s="6" t="s">
        <v>88</v>
      </c>
      <c r="J1167" s="6" t="s">
        <v>183</v>
      </c>
      <c r="K1167" s="6" t="s">
        <v>170</v>
      </c>
      <c r="L1167" s="6" t="s">
        <v>2671</v>
      </c>
      <c r="M1167" s="6" t="s">
        <v>61</v>
      </c>
      <c r="N1167" s="6" t="s">
        <v>31</v>
      </c>
      <c r="O1167" s="6">
        <v>35</v>
      </c>
      <c r="P1167" s="6">
        <v>56.83</v>
      </c>
      <c r="Q1167" s="6">
        <v>31.43</v>
      </c>
      <c r="R1167" s="6">
        <v>1988.88</v>
      </c>
      <c r="S1167" s="6">
        <v>0.2</v>
      </c>
      <c r="T1167" s="6">
        <v>397.78</v>
      </c>
      <c r="U1167" s="6">
        <v>1591.1</v>
      </c>
      <c r="V1167" s="6">
        <v>1100.1500000000001</v>
      </c>
      <c r="W1167" s="6">
        <v>490.95</v>
      </c>
      <c r="X1167" s="6" t="s">
        <v>45</v>
      </c>
    </row>
    <row r="1168" spans="1:24" x14ac:dyDescent="0.25">
      <c r="A1168" s="5" t="s">
        <v>1672</v>
      </c>
      <c r="B1168" s="18">
        <v>45336</v>
      </c>
      <c r="C1168" s="7" t="s">
        <v>638</v>
      </c>
      <c r="D1168" s="7" t="s">
        <v>87</v>
      </c>
      <c r="E1168" s="7" t="s">
        <v>187</v>
      </c>
      <c r="F1168" s="7" t="s">
        <v>188</v>
      </c>
      <c r="G1168" s="7" t="s">
        <v>25</v>
      </c>
      <c r="H1168" s="7" t="s">
        <v>26</v>
      </c>
      <c r="I1168" s="7" t="s">
        <v>88</v>
      </c>
      <c r="J1168" s="7" t="s">
        <v>135</v>
      </c>
      <c r="K1168" s="7" t="s">
        <v>152</v>
      </c>
      <c r="L1168" s="7" t="s">
        <v>2670</v>
      </c>
      <c r="M1168" s="7" t="s">
        <v>43</v>
      </c>
      <c r="N1168" s="7" t="s">
        <v>70</v>
      </c>
      <c r="O1168" s="7">
        <v>14</v>
      </c>
      <c r="P1168" s="7">
        <v>45.58</v>
      </c>
      <c r="Q1168" s="7">
        <v>28.36</v>
      </c>
      <c r="R1168" s="7">
        <v>638.07000000000005</v>
      </c>
      <c r="S1168" s="7">
        <v>0.02</v>
      </c>
      <c r="T1168" s="7">
        <v>12.76</v>
      </c>
      <c r="U1168" s="7">
        <v>625.30999999999995</v>
      </c>
      <c r="V1168" s="7">
        <v>397.05</v>
      </c>
      <c r="W1168" s="7">
        <v>228.26</v>
      </c>
      <c r="X1168" s="7" t="s">
        <v>32</v>
      </c>
    </row>
    <row r="1169" spans="1:24" x14ac:dyDescent="0.25">
      <c r="A1169" s="16" t="s">
        <v>1673</v>
      </c>
      <c r="B1169" s="17">
        <v>45395</v>
      </c>
      <c r="C1169" s="6" t="s">
        <v>535</v>
      </c>
      <c r="D1169" s="6" t="s">
        <v>221</v>
      </c>
      <c r="E1169" s="6" t="s">
        <v>126</v>
      </c>
      <c r="F1169" s="6" t="s">
        <v>127</v>
      </c>
      <c r="G1169" s="6" t="s">
        <v>95</v>
      </c>
      <c r="H1169" s="6" t="s">
        <v>128</v>
      </c>
      <c r="I1169" s="6" t="s">
        <v>27</v>
      </c>
      <c r="J1169" s="6" t="s">
        <v>106</v>
      </c>
      <c r="K1169" s="6" t="s">
        <v>83</v>
      </c>
      <c r="L1169" s="6" t="s">
        <v>2665</v>
      </c>
      <c r="M1169" s="6" t="s">
        <v>153</v>
      </c>
      <c r="N1169" s="6" t="s">
        <v>44</v>
      </c>
      <c r="O1169" s="6">
        <v>6</v>
      </c>
      <c r="P1169" s="6">
        <v>87.93</v>
      </c>
      <c r="Q1169" s="6">
        <v>55.19</v>
      </c>
      <c r="R1169" s="6">
        <v>527.55999999999995</v>
      </c>
      <c r="S1169" s="6">
        <v>0.02</v>
      </c>
      <c r="T1169" s="6">
        <v>10.55</v>
      </c>
      <c r="U1169" s="6">
        <v>517</v>
      </c>
      <c r="V1169" s="6">
        <v>331.12</v>
      </c>
      <c r="W1169" s="6">
        <v>185.89</v>
      </c>
      <c r="X1169" s="6" t="s">
        <v>45</v>
      </c>
    </row>
    <row r="1170" spans="1:24" x14ac:dyDescent="0.25">
      <c r="A1170" s="5" t="s">
        <v>1674</v>
      </c>
      <c r="B1170" s="18">
        <v>45582</v>
      </c>
      <c r="C1170" s="7" t="s">
        <v>1098</v>
      </c>
      <c r="D1170" s="7" t="s">
        <v>121</v>
      </c>
      <c r="E1170" s="7" t="s">
        <v>23</v>
      </c>
      <c r="F1170" s="7" t="s">
        <v>24</v>
      </c>
      <c r="G1170" s="7" t="s">
        <v>25</v>
      </c>
      <c r="H1170" s="7" t="s">
        <v>26</v>
      </c>
      <c r="I1170" s="7" t="s">
        <v>88</v>
      </c>
      <c r="J1170" s="7" t="s">
        <v>89</v>
      </c>
      <c r="K1170" s="7" t="s">
        <v>83</v>
      </c>
      <c r="L1170" s="7" t="s">
        <v>2665</v>
      </c>
      <c r="M1170" s="7" t="s">
        <v>30</v>
      </c>
      <c r="N1170" s="7" t="s">
        <v>75</v>
      </c>
      <c r="O1170" s="7">
        <v>50</v>
      </c>
      <c r="P1170" s="7">
        <v>76</v>
      </c>
      <c r="Q1170" s="7">
        <v>41.03</v>
      </c>
      <c r="R1170" s="7">
        <v>3800.19</v>
      </c>
      <c r="S1170" s="7">
        <v>0.2</v>
      </c>
      <c r="T1170" s="7">
        <v>760.04</v>
      </c>
      <c r="U1170" s="7">
        <v>3040.15</v>
      </c>
      <c r="V1170" s="7">
        <v>2051.36</v>
      </c>
      <c r="W1170" s="7">
        <v>988.79</v>
      </c>
      <c r="X1170" s="7" t="s">
        <v>129</v>
      </c>
    </row>
    <row r="1171" spans="1:24" x14ac:dyDescent="0.25">
      <c r="A1171" s="16" t="s">
        <v>1675</v>
      </c>
      <c r="B1171" s="17">
        <v>45400</v>
      </c>
      <c r="C1171" s="6" t="s">
        <v>933</v>
      </c>
      <c r="D1171" s="6" t="s">
        <v>159</v>
      </c>
      <c r="E1171" s="6" t="s">
        <v>250</v>
      </c>
      <c r="F1171" s="6" t="s">
        <v>251</v>
      </c>
      <c r="G1171" s="6" t="s">
        <v>51</v>
      </c>
      <c r="H1171" s="6" t="s">
        <v>252</v>
      </c>
      <c r="I1171" s="6" t="s">
        <v>27</v>
      </c>
      <c r="J1171" s="6" t="s">
        <v>106</v>
      </c>
      <c r="K1171" s="6" t="s">
        <v>29</v>
      </c>
      <c r="L1171" s="6" t="s">
        <v>2660</v>
      </c>
      <c r="M1171" s="6" t="s">
        <v>43</v>
      </c>
      <c r="N1171" s="6" t="s">
        <v>75</v>
      </c>
      <c r="O1171" s="6">
        <v>20</v>
      </c>
      <c r="P1171" s="6">
        <v>68.430000000000007</v>
      </c>
      <c r="Q1171" s="6">
        <v>37.369999999999997</v>
      </c>
      <c r="R1171" s="6">
        <v>1368.69</v>
      </c>
      <c r="S1171" s="6">
        <v>0.02</v>
      </c>
      <c r="T1171" s="6">
        <v>27.37</v>
      </c>
      <c r="U1171" s="6">
        <v>1341.31</v>
      </c>
      <c r="V1171" s="6">
        <v>747.5</v>
      </c>
      <c r="W1171" s="6">
        <v>593.80999999999995</v>
      </c>
      <c r="X1171" s="6" t="s">
        <v>45</v>
      </c>
    </row>
    <row r="1172" spans="1:24" x14ac:dyDescent="0.25">
      <c r="A1172" s="5" t="s">
        <v>1676</v>
      </c>
      <c r="B1172" s="18">
        <v>45315</v>
      </c>
      <c r="C1172" s="7" t="s">
        <v>975</v>
      </c>
      <c r="D1172" s="7" t="s">
        <v>105</v>
      </c>
      <c r="E1172" s="7" t="s">
        <v>141</v>
      </c>
      <c r="F1172" s="7" t="s">
        <v>142</v>
      </c>
      <c r="G1172" s="7" t="s">
        <v>25</v>
      </c>
      <c r="H1172" s="7" t="s">
        <v>26</v>
      </c>
      <c r="I1172" s="7" t="s">
        <v>58</v>
      </c>
      <c r="J1172" s="7" t="s">
        <v>345</v>
      </c>
      <c r="K1172" s="7" t="s">
        <v>248</v>
      </c>
      <c r="L1172" s="7" t="s">
        <v>2675</v>
      </c>
      <c r="M1172" s="7" t="s">
        <v>30</v>
      </c>
      <c r="N1172" s="7" t="s">
        <v>31</v>
      </c>
      <c r="O1172" s="7">
        <v>10</v>
      </c>
      <c r="P1172" s="7">
        <v>101.12</v>
      </c>
      <c r="Q1172" s="7">
        <v>53.98</v>
      </c>
      <c r="R1172" s="7">
        <v>1011.17</v>
      </c>
      <c r="S1172" s="7">
        <v>0.2</v>
      </c>
      <c r="T1172" s="7">
        <v>202.23</v>
      </c>
      <c r="U1172" s="7">
        <v>808.94</v>
      </c>
      <c r="V1172" s="7">
        <v>539.77</v>
      </c>
      <c r="W1172" s="7">
        <v>269.17</v>
      </c>
      <c r="X1172" s="7" t="s">
        <v>129</v>
      </c>
    </row>
    <row r="1173" spans="1:24" x14ac:dyDescent="0.25">
      <c r="A1173" s="16" t="s">
        <v>1677</v>
      </c>
      <c r="B1173" s="17">
        <v>45404</v>
      </c>
      <c r="C1173" s="6" t="s">
        <v>276</v>
      </c>
      <c r="D1173" s="6" t="s">
        <v>221</v>
      </c>
      <c r="E1173" s="6" t="s">
        <v>99</v>
      </c>
      <c r="F1173" s="6" t="s">
        <v>100</v>
      </c>
      <c r="G1173" s="6" t="s">
        <v>101</v>
      </c>
      <c r="H1173" s="6" t="s">
        <v>102</v>
      </c>
      <c r="I1173" s="6" t="s">
        <v>27</v>
      </c>
      <c r="J1173" s="6" t="s">
        <v>28</v>
      </c>
      <c r="K1173" s="6" t="s">
        <v>178</v>
      </c>
      <c r="L1173" s="6" t="s">
        <v>256</v>
      </c>
      <c r="M1173" s="6" t="s">
        <v>61</v>
      </c>
      <c r="N1173" s="6" t="s">
        <v>84</v>
      </c>
      <c r="O1173" s="6">
        <v>26</v>
      </c>
      <c r="P1173" s="6">
        <v>65.05</v>
      </c>
      <c r="Q1173" s="6">
        <v>42.28</v>
      </c>
      <c r="R1173" s="6">
        <v>1691.23</v>
      </c>
      <c r="S1173" s="6">
        <v>0.1</v>
      </c>
      <c r="T1173" s="6">
        <v>169.12</v>
      </c>
      <c r="U1173" s="6">
        <v>1522.1</v>
      </c>
      <c r="V1173" s="6">
        <v>1099.27</v>
      </c>
      <c r="W1173" s="6">
        <v>422.84</v>
      </c>
      <c r="X1173" s="6" t="s">
        <v>45</v>
      </c>
    </row>
    <row r="1174" spans="1:24" x14ac:dyDescent="0.25">
      <c r="A1174" s="5" t="s">
        <v>1678</v>
      </c>
      <c r="B1174" s="18">
        <v>45564</v>
      </c>
      <c r="C1174" s="7" t="s">
        <v>447</v>
      </c>
      <c r="D1174" s="7" t="s">
        <v>48</v>
      </c>
      <c r="E1174" s="7" t="s">
        <v>78</v>
      </c>
      <c r="F1174" s="7" t="s">
        <v>79</v>
      </c>
      <c r="G1174" s="7" t="s">
        <v>80</v>
      </c>
      <c r="H1174" s="7" t="s">
        <v>81</v>
      </c>
      <c r="I1174" s="7" t="s">
        <v>40</v>
      </c>
      <c r="J1174" s="7" t="s">
        <v>82</v>
      </c>
      <c r="K1174" s="7" t="s">
        <v>29</v>
      </c>
      <c r="L1174" s="7" t="s">
        <v>2660</v>
      </c>
      <c r="M1174" s="7" t="s">
        <v>61</v>
      </c>
      <c r="N1174" s="7" t="s">
        <v>84</v>
      </c>
      <c r="O1174" s="7">
        <v>7</v>
      </c>
      <c r="P1174" s="7">
        <v>143.66</v>
      </c>
      <c r="Q1174" s="7">
        <v>80.83</v>
      </c>
      <c r="R1174" s="7">
        <v>1005.64</v>
      </c>
      <c r="S1174" s="7">
        <v>0.1</v>
      </c>
      <c r="T1174" s="7">
        <v>100.56</v>
      </c>
      <c r="U1174" s="7">
        <v>905.08</v>
      </c>
      <c r="V1174" s="7">
        <v>565.84</v>
      </c>
      <c r="W1174" s="7">
        <v>339.23</v>
      </c>
      <c r="X1174" s="7" t="s">
        <v>45</v>
      </c>
    </row>
    <row r="1175" spans="1:24" x14ac:dyDescent="0.25">
      <c r="A1175" s="16" t="s">
        <v>1679</v>
      </c>
      <c r="B1175" s="17">
        <v>45608</v>
      </c>
      <c r="C1175" s="6" t="s">
        <v>328</v>
      </c>
      <c r="D1175" s="6" t="s">
        <v>159</v>
      </c>
      <c r="E1175" s="6" t="s">
        <v>176</v>
      </c>
      <c r="F1175" s="6" t="s">
        <v>177</v>
      </c>
      <c r="G1175" s="6" t="s">
        <v>101</v>
      </c>
      <c r="H1175" s="6" t="s">
        <v>39</v>
      </c>
      <c r="I1175" s="6" t="s">
        <v>288</v>
      </c>
      <c r="J1175" s="6" t="s">
        <v>117</v>
      </c>
      <c r="K1175" s="6" t="s">
        <v>218</v>
      </c>
      <c r="L1175" s="6" t="s">
        <v>2674</v>
      </c>
      <c r="M1175" s="6" t="s">
        <v>61</v>
      </c>
      <c r="N1175" s="6" t="s">
        <v>70</v>
      </c>
      <c r="O1175" s="6">
        <v>9</v>
      </c>
      <c r="P1175" s="6">
        <v>102.3</v>
      </c>
      <c r="Q1175" s="6">
        <v>61.48</v>
      </c>
      <c r="R1175" s="6">
        <v>920.66</v>
      </c>
      <c r="S1175" s="6">
        <v>0.02</v>
      </c>
      <c r="T1175" s="6">
        <v>18.41</v>
      </c>
      <c r="U1175" s="6">
        <v>902.25</v>
      </c>
      <c r="V1175" s="6">
        <v>553.32000000000005</v>
      </c>
      <c r="W1175" s="6">
        <v>348.93</v>
      </c>
      <c r="X1175" s="6" t="s">
        <v>45</v>
      </c>
    </row>
    <row r="1176" spans="1:24" x14ac:dyDescent="0.25">
      <c r="A1176" s="5" t="s">
        <v>1680</v>
      </c>
      <c r="B1176" s="18">
        <v>45492</v>
      </c>
      <c r="C1176" s="7" t="s">
        <v>1426</v>
      </c>
      <c r="D1176" s="7" t="s">
        <v>22</v>
      </c>
      <c r="E1176" s="7" t="s">
        <v>176</v>
      </c>
      <c r="F1176" s="7" t="s">
        <v>177</v>
      </c>
      <c r="G1176" s="7" t="s">
        <v>101</v>
      </c>
      <c r="H1176" s="7" t="s">
        <v>39</v>
      </c>
      <c r="I1176" s="7" t="s">
        <v>58</v>
      </c>
      <c r="J1176" s="7" t="s">
        <v>73</v>
      </c>
      <c r="K1176" s="7" t="s">
        <v>218</v>
      </c>
      <c r="L1176" s="7" t="s">
        <v>2674</v>
      </c>
      <c r="M1176" s="7" t="s">
        <v>61</v>
      </c>
      <c r="N1176" s="7" t="s">
        <v>44</v>
      </c>
      <c r="O1176" s="7">
        <v>10</v>
      </c>
      <c r="P1176" s="7">
        <v>98.81</v>
      </c>
      <c r="Q1176" s="7">
        <v>65.28</v>
      </c>
      <c r="R1176" s="7">
        <v>988.13</v>
      </c>
      <c r="S1176" s="7">
        <v>0.15</v>
      </c>
      <c r="T1176" s="7">
        <v>148.22</v>
      </c>
      <c r="U1176" s="7">
        <v>839.91</v>
      </c>
      <c r="V1176" s="7">
        <v>652.78</v>
      </c>
      <c r="W1176" s="7">
        <v>187.13</v>
      </c>
      <c r="X1176" s="7" t="s">
        <v>45</v>
      </c>
    </row>
    <row r="1177" spans="1:24" x14ac:dyDescent="0.25">
      <c r="A1177" s="16" t="s">
        <v>1681</v>
      </c>
      <c r="B1177" s="17">
        <v>45556</v>
      </c>
      <c r="C1177" s="6" t="s">
        <v>578</v>
      </c>
      <c r="D1177" s="6" t="s">
        <v>221</v>
      </c>
      <c r="E1177" s="6" t="s">
        <v>66</v>
      </c>
      <c r="F1177" s="6" t="s">
        <v>67</v>
      </c>
      <c r="G1177" s="6" t="s">
        <v>38</v>
      </c>
      <c r="H1177" s="6" t="s">
        <v>68</v>
      </c>
      <c r="I1177" s="6" t="s">
        <v>88</v>
      </c>
      <c r="J1177" s="6" t="s">
        <v>89</v>
      </c>
      <c r="K1177" s="6" t="s">
        <v>83</v>
      </c>
      <c r="L1177" s="6" t="s">
        <v>2665</v>
      </c>
      <c r="M1177" s="6" t="s">
        <v>30</v>
      </c>
      <c r="N1177" s="6" t="s">
        <v>31</v>
      </c>
      <c r="O1177" s="6">
        <v>17</v>
      </c>
      <c r="P1177" s="6">
        <v>155.57</v>
      </c>
      <c r="Q1177" s="6">
        <v>106.79</v>
      </c>
      <c r="R1177" s="6">
        <v>2644.72</v>
      </c>
      <c r="S1177" s="6">
        <v>0.15</v>
      </c>
      <c r="T1177" s="6">
        <v>396.71</v>
      </c>
      <c r="U1177" s="6">
        <v>2248.02</v>
      </c>
      <c r="V1177" s="6">
        <v>1815.41</v>
      </c>
      <c r="W1177" s="6">
        <v>432.61</v>
      </c>
      <c r="X1177" s="6" t="s">
        <v>129</v>
      </c>
    </row>
    <row r="1178" spans="1:24" x14ac:dyDescent="0.25">
      <c r="A1178" s="5" t="s">
        <v>1682</v>
      </c>
      <c r="B1178" s="18">
        <v>45583</v>
      </c>
      <c r="C1178" s="7" t="s">
        <v>1033</v>
      </c>
      <c r="D1178" s="7" t="s">
        <v>105</v>
      </c>
      <c r="E1178" s="7" t="s">
        <v>132</v>
      </c>
      <c r="F1178" s="7" t="s">
        <v>133</v>
      </c>
      <c r="G1178" s="7" t="s">
        <v>51</v>
      </c>
      <c r="H1178" s="7" t="s">
        <v>134</v>
      </c>
      <c r="I1178" s="7" t="s">
        <v>88</v>
      </c>
      <c r="J1178" s="7" t="s">
        <v>89</v>
      </c>
      <c r="K1178" s="7" t="s">
        <v>29</v>
      </c>
      <c r="L1178" s="7" t="s">
        <v>2660</v>
      </c>
      <c r="M1178" s="7" t="s">
        <v>43</v>
      </c>
      <c r="N1178" s="7" t="s">
        <v>44</v>
      </c>
      <c r="O1178" s="7">
        <v>61</v>
      </c>
      <c r="P1178" s="7">
        <v>58.29</v>
      </c>
      <c r="Q1178" s="7">
        <v>33.869999999999997</v>
      </c>
      <c r="R1178" s="7">
        <v>3555.47</v>
      </c>
      <c r="S1178" s="7">
        <v>0.2</v>
      </c>
      <c r="T1178" s="7">
        <v>711.09</v>
      </c>
      <c r="U1178" s="7">
        <v>2844.37</v>
      </c>
      <c r="V1178" s="7">
        <v>2066.1799999999998</v>
      </c>
      <c r="W1178" s="7">
        <v>778.19</v>
      </c>
      <c r="X1178" s="7" t="s">
        <v>129</v>
      </c>
    </row>
    <row r="1179" spans="1:24" x14ac:dyDescent="0.25">
      <c r="A1179" s="16" t="s">
        <v>1683</v>
      </c>
      <c r="B1179" s="17">
        <v>45446</v>
      </c>
      <c r="C1179" s="6" t="s">
        <v>278</v>
      </c>
      <c r="D1179" s="6" t="s">
        <v>48</v>
      </c>
      <c r="E1179" s="6" t="s">
        <v>49</v>
      </c>
      <c r="F1179" s="6" t="s">
        <v>50</v>
      </c>
      <c r="G1179" s="6" t="s">
        <v>51</v>
      </c>
      <c r="H1179" s="6" t="s">
        <v>52</v>
      </c>
      <c r="I1179" s="6" t="s">
        <v>58</v>
      </c>
      <c r="J1179" s="6" t="s">
        <v>73</v>
      </c>
      <c r="K1179" s="6" t="s">
        <v>90</v>
      </c>
      <c r="L1179" s="6" t="s">
        <v>2666</v>
      </c>
      <c r="M1179" s="6" t="s">
        <v>61</v>
      </c>
      <c r="N1179" s="6" t="s">
        <v>31</v>
      </c>
      <c r="O1179" s="6">
        <v>26</v>
      </c>
      <c r="P1179" s="6">
        <v>25.43</v>
      </c>
      <c r="Q1179" s="6">
        <v>11.98</v>
      </c>
      <c r="R1179" s="6">
        <v>661.07</v>
      </c>
      <c r="S1179" s="6">
        <v>0.1</v>
      </c>
      <c r="T1179" s="6">
        <v>66.11</v>
      </c>
      <c r="U1179" s="6">
        <v>594.96</v>
      </c>
      <c r="V1179" s="6">
        <v>311.45999999999998</v>
      </c>
      <c r="W1179" s="6">
        <v>283.5</v>
      </c>
      <c r="X1179" s="6" t="s">
        <v>32</v>
      </c>
    </row>
    <row r="1180" spans="1:24" x14ac:dyDescent="0.25">
      <c r="A1180" s="5" t="s">
        <v>1684</v>
      </c>
      <c r="B1180" s="18">
        <v>45391</v>
      </c>
      <c r="C1180" s="7" t="s">
        <v>280</v>
      </c>
      <c r="D1180" s="7" t="s">
        <v>35</v>
      </c>
      <c r="E1180" s="7" t="s">
        <v>23</v>
      </c>
      <c r="F1180" s="7" t="s">
        <v>24</v>
      </c>
      <c r="G1180" s="7" t="s">
        <v>25</v>
      </c>
      <c r="H1180" s="7" t="s">
        <v>26</v>
      </c>
      <c r="I1180" s="7" t="s">
        <v>40</v>
      </c>
      <c r="J1180" s="7" t="s">
        <v>117</v>
      </c>
      <c r="K1180" s="7" t="s">
        <v>83</v>
      </c>
      <c r="L1180" s="7" t="s">
        <v>2665</v>
      </c>
      <c r="M1180" s="7" t="s">
        <v>153</v>
      </c>
      <c r="N1180" s="7" t="s">
        <v>44</v>
      </c>
      <c r="O1180" s="7">
        <v>41</v>
      </c>
      <c r="P1180" s="7">
        <v>79.34</v>
      </c>
      <c r="Q1180" s="7">
        <v>47.14</v>
      </c>
      <c r="R1180" s="7">
        <v>3253</v>
      </c>
      <c r="S1180" s="7">
        <v>0.1</v>
      </c>
      <c r="T1180" s="7">
        <v>325.3</v>
      </c>
      <c r="U1180" s="7">
        <v>2927.7</v>
      </c>
      <c r="V1180" s="7">
        <v>1932.77</v>
      </c>
      <c r="W1180" s="7">
        <v>994.93</v>
      </c>
      <c r="X1180" s="7" t="s">
        <v>45</v>
      </c>
    </row>
    <row r="1181" spans="1:24" x14ac:dyDescent="0.25">
      <c r="A1181" s="16" t="s">
        <v>1685</v>
      </c>
      <c r="B1181" s="17">
        <v>45318</v>
      </c>
      <c r="C1181" s="6" t="s">
        <v>739</v>
      </c>
      <c r="D1181" s="6" t="s">
        <v>48</v>
      </c>
      <c r="E1181" s="6" t="s">
        <v>126</v>
      </c>
      <c r="F1181" s="6" t="s">
        <v>127</v>
      </c>
      <c r="G1181" s="6" t="s">
        <v>95</v>
      </c>
      <c r="H1181" s="6" t="s">
        <v>128</v>
      </c>
      <c r="I1181" s="6" t="s">
        <v>58</v>
      </c>
      <c r="J1181" s="6" t="s">
        <v>323</v>
      </c>
      <c r="K1181" s="6" t="s">
        <v>265</v>
      </c>
      <c r="L1181" s="6" t="s">
        <v>2678</v>
      </c>
      <c r="M1181" s="6" t="s">
        <v>609</v>
      </c>
      <c r="N1181" s="6" t="s">
        <v>31</v>
      </c>
      <c r="O1181" s="6">
        <v>33</v>
      </c>
      <c r="P1181" s="6">
        <v>83.54</v>
      </c>
      <c r="Q1181" s="6">
        <v>51.12</v>
      </c>
      <c r="R1181" s="6">
        <v>2756.86</v>
      </c>
      <c r="S1181" s="6">
        <v>0.1</v>
      </c>
      <c r="T1181" s="6">
        <v>275.69</v>
      </c>
      <c r="U1181" s="6">
        <v>2481.1799999999998</v>
      </c>
      <c r="V1181" s="6">
        <v>1687.06</v>
      </c>
      <c r="W1181" s="6">
        <v>794.12</v>
      </c>
      <c r="X1181" s="6" t="s">
        <v>45</v>
      </c>
    </row>
    <row r="1182" spans="1:24" x14ac:dyDescent="0.25">
      <c r="A1182" s="5" t="s">
        <v>1686</v>
      </c>
      <c r="B1182" s="18">
        <v>45314</v>
      </c>
      <c r="C1182" s="7" t="s">
        <v>735</v>
      </c>
      <c r="D1182" s="7" t="s">
        <v>22</v>
      </c>
      <c r="E1182" s="7" t="s">
        <v>176</v>
      </c>
      <c r="F1182" s="7" t="s">
        <v>177</v>
      </c>
      <c r="G1182" s="7" t="s">
        <v>101</v>
      </c>
      <c r="H1182" s="7" t="s">
        <v>39</v>
      </c>
      <c r="I1182" s="7" t="s">
        <v>27</v>
      </c>
      <c r="J1182" s="7" t="s">
        <v>106</v>
      </c>
      <c r="K1182" s="7" t="s">
        <v>90</v>
      </c>
      <c r="L1182" s="7" t="s">
        <v>2666</v>
      </c>
      <c r="M1182" s="7" t="s">
        <v>153</v>
      </c>
      <c r="N1182" s="7" t="s">
        <v>70</v>
      </c>
      <c r="O1182" s="7">
        <v>76</v>
      </c>
      <c r="P1182" s="7">
        <v>99.51</v>
      </c>
      <c r="Q1182" s="7">
        <v>61.79</v>
      </c>
      <c r="R1182" s="7">
        <v>7563.12</v>
      </c>
      <c r="S1182" s="7">
        <v>0.05</v>
      </c>
      <c r="T1182" s="7">
        <v>378.16</v>
      </c>
      <c r="U1182" s="7">
        <v>7184.96</v>
      </c>
      <c r="V1182" s="7">
        <v>4695.88</v>
      </c>
      <c r="W1182" s="7">
        <v>2489.08</v>
      </c>
      <c r="X1182" s="7" t="s">
        <v>32</v>
      </c>
    </row>
    <row r="1183" spans="1:24" x14ac:dyDescent="0.25">
      <c r="A1183" s="16" t="s">
        <v>1687</v>
      </c>
      <c r="B1183" s="17">
        <v>45602</v>
      </c>
      <c r="C1183" s="6" t="s">
        <v>600</v>
      </c>
      <c r="D1183" s="6" t="s">
        <v>87</v>
      </c>
      <c r="E1183" s="6" t="s">
        <v>78</v>
      </c>
      <c r="F1183" s="6" t="s">
        <v>79</v>
      </c>
      <c r="G1183" s="6" t="s">
        <v>80</v>
      </c>
      <c r="H1183" s="6" t="s">
        <v>81</v>
      </c>
      <c r="I1183" s="6" t="s">
        <v>58</v>
      </c>
      <c r="J1183" s="6" t="s">
        <v>345</v>
      </c>
      <c r="K1183" s="6" t="s">
        <v>261</v>
      </c>
      <c r="L1183" s="6" t="s">
        <v>2677</v>
      </c>
      <c r="M1183" s="6" t="s">
        <v>30</v>
      </c>
      <c r="N1183" s="6" t="s">
        <v>31</v>
      </c>
      <c r="O1183" s="6">
        <v>35</v>
      </c>
      <c r="P1183" s="6">
        <v>142.76</v>
      </c>
      <c r="Q1183" s="6">
        <v>82.91</v>
      </c>
      <c r="R1183" s="6">
        <v>4996.75</v>
      </c>
      <c r="S1183" s="6">
        <v>0</v>
      </c>
      <c r="T1183" s="6">
        <v>0</v>
      </c>
      <c r="U1183" s="6">
        <v>4996.75</v>
      </c>
      <c r="V1183" s="6">
        <v>2901.86</v>
      </c>
      <c r="W1183" s="6">
        <v>2094.89</v>
      </c>
      <c r="X1183" s="6" t="s">
        <v>45</v>
      </c>
    </row>
    <row r="1184" spans="1:24" x14ac:dyDescent="0.25">
      <c r="A1184" s="5" t="s">
        <v>1688</v>
      </c>
      <c r="B1184" s="18">
        <v>45464</v>
      </c>
      <c r="C1184" s="7" t="s">
        <v>422</v>
      </c>
      <c r="D1184" s="7" t="s">
        <v>48</v>
      </c>
      <c r="E1184" s="7" t="s">
        <v>141</v>
      </c>
      <c r="F1184" s="7" t="s">
        <v>142</v>
      </c>
      <c r="G1184" s="7" t="s">
        <v>25</v>
      </c>
      <c r="H1184" s="7" t="s">
        <v>26</v>
      </c>
      <c r="I1184" s="7" t="s">
        <v>40</v>
      </c>
      <c r="J1184" s="7" t="s">
        <v>82</v>
      </c>
      <c r="K1184" s="7" t="s">
        <v>83</v>
      </c>
      <c r="L1184" s="7" t="s">
        <v>2665</v>
      </c>
      <c r="M1184" s="7" t="s">
        <v>61</v>
      </c>
      <c r="N1184" s="7" t="s">
        <v>84</v>
      </c>
      <c r="O1184" s="7">
        <v>48</v>
      </c>
      <c r="P1184" s="7">
        <v>89.35</v>
      </c>
      <c r="Q1184" s="7">
        <v>56.5</v>
      </c>
      <c r="R1184" s="7">
        <v>4288.66</v>
      </c>
      <c r="S1184" s="7">
        <v>0.2</v>
      </c>
      <c r="T1184" s="7">
        <v>857.73</v>
      </c>
      <c r="U1184" s="7">
        <v>3430.93</v>
      </c>
      <c r="V1184" s="7">
        <v>2711.96</v>
      </c>
      <c r="W1184" s="7">
        <v>718.97</v>
      </c>
      <c r="X1184" s="7" t="s">
        <v>129</v>
      </c>
    </row>
    <row r="1185" spans="1:24" x14ac:dyDescent="0.25">
      <c r="A1185" s="16" t="s">
        <v>1689</v>
      </c>
      <c r="B1185" s="17">
        <v>45593</v>
      </c>
      <c r="C1185" s="6" t="s">
        <v>1281</v>
      </c>
      <c r="D1185" s="6" t="s">
        <v>35</v>
      </c>
      <c r="E1185" s="6" t="s">
        <v>99</v>
      </c>
      <c r="F1185" s="6" t="s">
        <v>100</v>
      </c>
      <c r="G1185" s="6" t="s">
        <v>101</v>
      </c>
      <c r="H1185" s="6" t="s">
        <v>102</v>
      </c>
      <c r="I1185" s="6" t="s">
        <v>88</v>
      </c>
      <c r="J1185" s="6" t="s">
        <v>135</v>
      </c>
      <c r="K1185" s="6" t="s">
        <v>83</v>
      </c>
      <c r="L1185" s="6" t="s">
        <v>2665</v>
      </c>
      <c r="M1185" s="6" t="s">
        <v>153</v>
      </c>
      <c r="N1185" s="6" t="s">
        <v>70</v>
      </c>
      <c r="O1185" s="6">
        <v>29</v>
      </c>
      <c r="P1185" s="6">
        <v>73.89</v>
      </c>
      <c r="Q1185" s="6">
        <v>38.130000000000003</v>
      </c>
      <c r="R1185" s="6">
        <v>2142.83</v>
      </c>
      <c r="S1185" s="6">
        <v>0.2</v>
      </c>
      <c r="T1185" s="6">
        <v>428.57</v>
      </c>
      <c r="U1185" s="6">
        <v>1714.27</v>
      </c>
      <c r="V1185" s="6">
        <v>1105.75</v>
      </c>
      <c r="W1185" s="6">
        <v>608.52</v>
      </c>
      <c r="X1185" s="6" t="s">
        <v>45</v>
      </c>
    </row>
    <row r="1186" spans="1:24" x14ac:dyDescent="0.25">
      <c r="A1186" s="5" t="s">
        <v>1690</v>
      </c>
      <c r="B1186" s="18">
        <v>45647</v>
      </c>
      <c r="C1186" s="7" t="s">
        <v>852</v>
      </c>
      <c r="D1186" s="7" t="s">
        <v>57</v>
      </c>
      <c r="E1186" s="7" t="s">
        <v>49</v>
      </c>
      <c r="F1186" s="7" t="s">
        <v>50</v>
      </c>
      <c r="G1186" s="7" t="s">
        <v>51</v>
      </c>
      <c r="H1186" s="7" t="s">
        <v>52</v>
      </c>
      <c r="I1186" s="7" t="s">
        <v>27</v>
      </c>
      <c r="J1186" s="7" t="s">
        <v>28</v>
      </c>
      <c r="K1186" s="7" t="s">
        <v>83</v>
      </c>
      <c r="L1186" s="7" t="s">
        <v>2665</v>
      </c>
      <c r="M1186" s="7" t="s">
        <v>43</v>
      </c>
      <c r="N1186" s="7" t="s">
        <v>44</v>
      </c>
      <c r="O1186" s="7">
        <v>73</v>
      </c>
      <c r="P1186" s="7">
        <v>25.25</v>
      </c>
      <c r="Q1186" s="7">
        <v>13.26</v>
      </c>
      <c r="R1186" s="7">
        <v>1843.51</v>
      </c>
      <c r="S1186" s="7">
        <v>0.15</v>
      </c>
      <c r="T1186" s="7">
        <v>276.52999999999997</v>
      </c>
      <c r="U1186" s="7">
        <v>1566.98</v>
      </c>
      <c r="V1186" s="7">
        <v>967.92</v>
      </c>
      <c r="W1186" s="7">
        <v>599.05999999999995</v>
      </c>
      <c r="X1186" s="7" t="s">
        <v>45</v>
      </c>
    </row>
    <row r="1187" spans="1:24" x14ac:dyDescent="0.25">
      <c r="A1187" s="16" t="s">
        <v>1691</v>
      </c>
      <c r="B1187" s="17">
        <v>45434</v>
      </c>
      <c r="C1187" s="6" t="s">
        <v>373</v>
      </c>
      <c r="D1187" s="6" t="s">
        <v>264</v>
      </c>
      <c r="E1187" s="6" t="s">
        <v>150</v>
      </c>
      <c r="F1187" s="6" t="s">
        <v>151</v>
      </c>
      <c r="G1187" s="6" t="s">
        <v>101</v>
      </c>
      <c r="H1187" s="6" t="s">
        <v>134</v>
      </c>
      <c r="I1187" s="6" t="s">
        <v>40</v>
      </c>
      <c r="J1187" s="6" t="s">
        <v>82</v>
      </c>
      <c r="K1187" s="6" t="s">
        <v>69</v>
      </c>
      <c r="L1187" s="6" t="s">
        <v>2663</v>
      </c>
      <c r="M1187" s="6" t="s">
        <v>43</v>
      </c>
      <c r="N1187" s="6" t="s">
        <v>75</v>
      </c>
      <c r="O1187" s="6">
        <v>41</v>
      </c>
      <c r="P1187" s="6">
        <v>85.66</v>
      </c>
      <c r="Q1187" s="6">
        <v>47.46</v>
      </c>
      <c r="R1187" s="6">
        <v>3512</v>
      </c>
      <c r="S1187" s="6">
        <v>0.05</v>
      </c>
      <c r="T1187" s="6">
        <v>175.6</v>
      </c>
      <c r="U1187" s="6">
        <v>3336.4</v>
      </c>
      <c r="V1187" s="6">
        <v>1945.96</v>
      </c>
      <c r="W1187" s="6">
        <v>1390.44</v>
      </c>
      <c r="X1187" s="6" t="s">
        <v>45</v>
      </c>
    </row>
    <row r="1188" spans="1:24" x14ac:dyDescent="0.25">
      <c r="A1188" s="5" t="s">
        <v>1692</v>
      </c>
      <c r="B1188" s="18">
        <v>45561</v>
      </c>
      <c r="C1188" s="7" t="s">
        <v>513</v>
      </c>
      <c r="D1188" s="7" t="s">
        <v>48</v>
      </c>
      <c r="E1188" s="7" t="s">
        <v>250</v>
      </c>
      <c r="F1188" s="7" t="s">
        <v>251</v>
      </c>
      <c r="G1188" s="7" t="s">
        <v>51</v>
      </c>
      <c r="H1188" s="7" t="s">
        <v>252</v>
      </c>
      <c r="I1188" s="7" t="s">
        <v>88</v>
      </c>
      <c r="J1188" s="7" t="s">
        <v>135</v>
      </c>
      <c r="K1188" s="7" t="s">
        <v>248</v>
      </c>
      <c r="L1188" s="7" t="s">
        <v>2675</v>
      </c>
      <c r="M1188" s="7" t="s">
        <v>30</v>
      </c>
      <c r="N1188" s="7" t="s">
        <v>70</v>
      </c>
      <c r="O1188" s="7">
        <v>68</v>
      </c>
      <c r="P1188" s="7">
        <v>64.849999999999994</v>
      </c>
      <c r="Q1188" s="7">
        <v>36.520000000000003</v>
      </c>
      <c r="R1188" s="7">
        <v>4410.01</v>
      </c>
      <c r="S1188" s="7">
        <v>0</v>
      </c>
      <c r="T1188" s="7">
        <v>0</v>
      </c>
      <c r="U1188" s="7">
        <v>4410.01</v>
      </c>
      <c r="V1188" s="7">
        <v>2483.44</v>
      </c>
      <c r="W1188" s="7">
        <v>1926.57</v>
      </c>
      <c r="X1188" s="7" t="s">
        <v>45</v>
      </c>
    </row>
    <row r="1189" spans="1:24" x14ac:dyDescent="0.25">
      <c r="A1189" s="16" t="s">
        <v>1693</v>
      </c>
      <c r="B1189" s="17">
        <v>45595</v>
      </c>
      <c r="C1189" s="6" t="s">
        <v>227</v>
      </c>
      <c r="D1189" s="6" t="s">
        <v>159</v>
      </c>
      <c r="E1189" s="6" t="s">
        <v>209</v>
      </c>
      <c r="F1189" s="6" t="s">
        <v>210</v>
      </c>
      <c r="G1189" s="6" t="s">
        <v>51</v>
      </c>
      <c r="H1189" s="6" t="s">
        <v>116</v>
      </c>
      <c r="I1189" s="6" t="s">
        <v>88</v>
      </c>
      <c r="J1189" s="6" t="s">
        <v>89</v>
      </c>
      <c r="K1189" s="6" t="s">
        <v>74</v>
      </c>
      <c r="L1189" s="6" t="s">
        <v>2664</v>
      </c>
      <c r="M1189" s="6" t="s">
        <v>153</v>
      </c>
      <c r="N1189" s="6" t="s">
        <v>84</v>
      </c>
      <c r="O1189" s="6">
        <v>2</v>
      </c>
      <c r="P1189" s="6">
        <v>19.07</v>
      </c>
      <c r="Q1189" s="6">
        <v>10.55</v>
      </c>
      <c r="R1189" s="6">
        <v>38.15</v>
      </c>
      <c r="S1189" s="6">
        <v>0.15</v>
      </c>
      <c r="T1189" s="6">
        <v>5.72</v>
      </c>
      <c r="U1189" s="6">
        <v>32.42</v>
      </c>
      <c r="V1189" s="6">
        <v>21.09</v>
      </c>
      <c r="W1189" s="6">
        <v>11.33</v>
      </c>
      <c r="X1189" s="6" t="s">
        <v>45</v>
      </c>
    </row>
    <row r="1190" spans="1:24" x14ac:dyDescent="0.25">
      <c r="A1190" s="5" t="s">
        <v>1694</v>
      </c>
      <c r="B1190" s="18">
        <v>45635</v>
      </c>
      <c r="C1190" s="7" t="s">
        <v>354</v>
      </c>
      <c r="D1190" s="7" t="s">
        <v>163</v>
      </c>
      <c r="E1190" s="7" t="s">
        <v>250</v>
      </c>
      <c r="F1190" s="7" t="s">
        <v>251</v>
      </c>
      <c r="G1190" s="7" t="s">
        <v>51</v>
      </c>
      <c r="H1190" s="7" t="s">
        <v>252</v>
      </c>
      <c r="I1190" s="7" t="s">
        <v>27</v>
      </c>
      <c r="J1190" s="7" t="s">
        <v>189</v>
      </c>
      <c r="K1190" s="7" t="s">
        <v>184</v>
      </c>
      <c r="L1190" s="7" t="s">
        <v>2672</v>
      </c>
      <c r="M1190" s="7" t="s">
        <v>61</v>
      </c>
      <c r="N1190" s="7" t="s">
        <v>70</v>
      </c>
      <c r="O1190" s="7">
        <v>12</v>
      </c>
      <c r="P1190" s="7">
        <v>62.18</v>
      </c>
      <c r="Q1190" s="7">
        <v>39.35</v>
      </c>
      <c r="R1190" s="7">
        <v>746.21</v>
      </c>
      <c r="S1190" s="7">
        <v>0</v>
      </c>
      <c r="T1190" s="7">
        <v>0</v>
      </c>
      <c r="U1190" s="7">
        <v>746.21</v>
      </c>
      <c r="V1190" s="7">
        <v>472.22</v>
      </c>
      <c r="W1190" s="7">
        <v>274</v>
      </c>
      <c r="X1190" s="7" t="s">
        <v>32</v>
      </c>
    </row>
    <row r="1191" spans="1:24" x14ac:dyDescent="0.25">
      <c r="A1191" s="16" t="s">
        <v>1695</v>
      </c>
      <c r="B1191" s="17">
        <v>45565</v>
      </c>
      <c r="C1191" s="6" t="s">
        <v>140</v>
      </c>
      <c r="D1191" s="6" t="s">
        <v>87</v>
      </c>
      <c r="E1191" s="6" t="s">
        <v>23</v>
      </c>
      <c r="F1191" s="6" t="s">
        <v>24</v>
      </c>
      <c r="G1191" s="6" t="s">
        <v>25</v>
      </c>
      <c r="H1191" s="6" t="s">
        <v>26</v>
      </c>
      <c r="I1191" s="6" t="s">
        <v>53</v>
      </c>
      <c r="J1191" s="6" t="s">
        <v>122</v>
      </c>
      <c r="K1191" s="6" t="s">
        <v>29</v>
      </c>
      <c r="L1191" s="6" t="s">
        <v>2660</v>
      </c>
      <c r="M1191" s="6" t="s">
        <v>30</v>
      </c>
      <c r="N1191" s="6" t="s">
        <v>31</v>
      </c>
      <c r="O1191" s="6">
        <v>46</v>
      </c>
      <c r="P1191" s="6">
        <v>69.150000000000006</v>
      </c>
      <c r="Q1191" s="6">
        <v>47.31</v>
      </c>
      <c r="R1191" s="6">
        <v>3180.71</v>
      </c>
      <c r="S1191" s="6">
        <v>-0.05</v>
      </c>
      <c r="T1191" s="6">
        <v>159.04</v>
      </c>
      <c r="U1191" s="6">
        <v>3021.67</v>
      </c>
      <c r="V1191" s="6">
        <v>2176.17</v>
      </c>
      <c r="W1191" s="6">
        <v>845.51</v>
      </c>
      <c r="X1191" s="6" t="s">
        <v>45</v>
      </c>
    </row>
    <row r="1192" spans="1:24" x14ac:dyDescent="0.25">
      <c r="A1192" s="5" t="s">
        <v>1696</v>
      </c>
      <c r="B1192" s="18">
        <v>45611</v>
      </c>
      <c r="C1192" s="7" t="s">
        <v>658</v>
      </c>
      <c r="D1192" s="7" t="s">
        <v>264</v>
      </c>
      <c r="E1192" s="7" t="s">
        <v>209</v>
      </c>
      <c r="F1192" s="7" t="s">
        <v>210</v>
      </c>
      <c r="G1192" s="7" t="s">
        <v>51</v>
      </c>
      <c r="H1192" s="7" t="s">
        <v>116</v>
      </c>
      <c r="I1192" s="7" t="s">
        <v>27</v>
      </c>
      <c r="J1192" s="7" t="s">
        <v>106</v>
      </c>
      <c r="K1192" s="7" t="s">
        <v>195</v>
      </c>
      <c r="L1192" s="7" t="s">
        <v>2673</v>
      </c>
      <c r="M1192" s="7" t="s">
        <v>61</v>
      </c>
      <c r="N1192" s="7" t="s">
        <v>75</v>
      </c>
      <c r="O1192" s="7">
        <v>36</v>
      </c>
      <c r="P1192" s="7">
        <v>17.86</v>
      </c>
      <c r="Q1192" s="7">
        <v>10.73</v>
      </c>
      <c r="R1192" s="7">
        <v>642.84</v>
      </c>
      <c r="S1192" s="7">
        <v>0.05</v>
      </c>
      <c r="T1192" s="7">
        <v>32.14</v>
      </c>
      <c r="U1192" s="7">
        <v>610.70000000000005</v>
      </c>
      <c r="V1192" s="7">
        <v>386.36</v>
      </c>
      <c r="W1192" s="7">
        <v>224.34</v>
      </c>
      <c r="X1192" s="7" t="s">
        <v>32</v>
      </c>
    </row>
    <row r="1193" spans="1:24" x14ac:dyDescent="0.25">
      <c r="A1193" s="16" t="s">
        <v>1697</v>
      </c>
      <c r="B1193" s="17">
        <v>45504</v>
      </c>
      <c r="C1193" s="6" t="s">
        <v>295</v>
      </c>
      <c r="D1193" s="6" t="s">
        <v>22</v>
      </c>
      <c r="E1193" s="6" t="s">
        <v>176</v>
      </c>
      <c r="F1193" s="6" t="s">
        <v>177</v>
      </c>
      <c r="G1193" s="6" t="s">
        <v>101</v>
      </c>
      <c r="H1193" s="6" t="s">
        <v>39</v>
      </c>
      <c r="I1193" s="6" t="s">
        <v>452</v>
      </c>
      <c r="J1193" s="6" t="s">
        <v>106</v>
      </c>
      <c r="K1193" s="6" t="s">
        <v>29</v>
      </c>
      <c r="L1193" s="6" t="s">
        <v>2660</v>
      </c>
      <c r="M1193" s="6" t="s">
        <v>153</v>
      </c>
      <c r="N1193" s="6" t="s">
        <v>84</v>
      </c>
      <c r="O1193" s="6">
        <v>11</v>
      </c>
      <c r="P1193" s="6">
        <v>109.52</v>
      </c>
      <c r="Q1193" s="6">
        <v>67.48</v>
      </c>
      <c r="R1193" s="6">
        <v>1204.71</v>
      </c>
      <c r="S1193" s="6">
        <v>0</v>
      </c>
      <c r="T1193" s="6">
        <v>0</v>
      </c>
      <c r="U1193" s="6">
        <v>1204.71</v>
      </c>
      <c r="V1193" s="6">
        <v>742.32</v>
      </c>
      <c r="W1193" s="6">
        <v>462.39</v>
      </c>
      <c r="X1193" s="6" t="s">
        <v>45</v>
      </c>
    </row>
    <row r="1194" spans="1:24" x14ac:dyDescent="0.25">
      <c r="A1194" s="5" t="s">
        <v>1698</v>
      </c>
      <c r="B1194" s="18">
        <v>45496</v>
      </c>
      <c r="C1194" s="7" t="s">
        <v>1137</v>
      </c>
      <c r="D1194" s="7" t="s">
        <v>163</v>
      </c>
      <c r="E1194" s="7" t="s">
        <v>114</v>
      </c>
      <c r="F1194" s="7" t="s">
        <v>115</v>
      </c>
      <c r="G1194" s="7" t="s">
        <v>95</v>
      </c>
      <c r="H1194" s="7" t="s">
        <v>116</v>
      </c>
      <c r="I1194" s="7" t="s">
        <v>53</v>
      </c>
      <c r="J1194" s="7" t="s">
        <v>122</v>
      </c>
      <c r="K1194" s="7" t="s">
        <v>42</v>
      </c>
      <c r="L1194" s="7" t="s">
        <v>2661</v>
      </c>
      <c r="M1194" s="7" t="s">
        <v>43</v>
      </c>
      <c r="N1194" s="7" t="s">
        <v>70</v>
      </c>
      <c r="O1194" s="7">
        <v>26</v>
      </c>
      <c r="P1194" s="7">
        <v>35.81</v>
      </c>
      <c r="Q1194" s="7">
        <v>20.65</v>
      </c>
      <c r="R1194" s="7">
        <v>931.09</v>
      </c>
      <c r="S1194" s="7">
        <v>0.02</v>
      </c>
      <c r="T1194" s="7">
        <v>18.62</v>
      </c>
      <c r="U1194" s="7">
        <v>912.47</v>
      </c>
      <c r="V1194" s="7">
        <v>536.84</v>
      </c>
      <c r="W1194" s="7">
        <v>375.63</v>
      </c>
      <c r="X1194" s="7" t="s">
        <v>45</v>
      </c>
    </row>
    <row r="1195" spans="1:24" x14ac:dyDescent="0.25">
      <c r="A1195" s="16" t="s">
        <v>1699</v>
      </c>
      <c r="B1195" s="17">
        <v>45593</v>
      </c>
      <c r="C1195" s="6" t="s">
        <v>874</v>
      </c>
      <c r="D1195" s="6" t="s">
        <v>159</v>
      </c>
      <c r="E1195" s="6" t="s">
        <v>209</v>
      </c>
      <c r="F1195" s="6" t="s">
        <v>210</v>
      </c>
      <c r="G1195" s="6" t="s">
        <v>51</v>
      </c>
      <c r="H1195" s="6" t="s">
        <v>116</v>
      </c>
      <c r="I1195" s="6" t="s">
        <v>58</v>
      </c>
      <c r="J1195" s="6" t="s">
        <v>323</v>
      </c>
      <c r="K1195" s="6" t="s">
        <v>261</v>
      </c>
      <c r="L1195" s="6" t="s">
        <v>2677</v>
      </c>
      <c r="M1195" s="6" t="s">
        <v>43</v>
      </c>
      <c r="N1195" s="6" t="s">
        <v>75</v>
      </c>
      <c r="O1195" s="6">
        <v>42</v>
      </c>
      <c r="P1195" s="6">
        <v>17.12</v>
      </c>
      <c r="Q1195" s="6">
        <v>10.36</v>
      </c>
      <c r="R1195" s="6">
        <v>719.14</v>
      </c>
      <c r="S1195" s="6">
        <v>0</v>
      </c>
      <c r="T1195" s="6">
        <v>0</v>
      </c>
      <c r="U1195" s="6">
        <v>719.14</v>
      </c>
      <c r="V1195" s="6">
        <v>434.95</v>
      </c>
      <c r="W1195" s="6">
        <v>284.19</v>
      </c>
      <c r="X1195" s="6" t="s">
        <v>129</v>
      </c>
    </row>
    <row r="1196" spans="1:24" x14ac:dyDescent="0.25">
      <c r="A1196" s="5" t="s">
        <v>1700</v>
      </c>
      <c r="B1196" s="18">
        <v>45341</v>
      </c>
      <c r="C1196" s="7" t="s">
        <v>611</v>
      </c>
      <c r="D1196" s="7" t="s">
        <v>264</v>
      </c>
      <c r="E1196" s="7" t="s">
        <v>132</v>
      </c>
      <c r="F1196" s="7" t="s">
        <v>133</v>
      </c>
      <c r="G1196" s="7" t="s">
        <v>51</v>
      </c>
      <c r="H1196" s="7" t="s">
        <v>134</v>
      </c>
      <c r="I1196" s="7" t="s">
        <v>40</v>
      </c>
      <c r="J1196" s="7" t="s">
        <v>289</v>
      </c>
      <c r="K1196" s="7" t="s">
        <v>69</v>
      </c>
      <c r="L1196" s="7" t="s">
        <v>2663</v>
      </c>
      <c r="M1196" s="7" t="s">
        <v>61</v>
      </c>
      <c r="N1196" s="7" t="s">
        <v>84</v>
      </c>
      <c r="O1196" s="7">
        <v>49</v>
      </c>
      <c r="P1196" s="7">
        <v>58.94</v>
      </c>
      <c r="Q1196" s="7">
        <v>34.229999999999997</v>
      </c>
      <c r="R1196" s="7">
        <v>2887.98</v>
      </c>
      <c r="S1196" s="7">
        <v>0.1</v>
      </c>
      <c r="T1196" s="7">
        <v>288.8</v>
      </c>
      <c r="U1196" s="7">
        <v>2599.1799999999998</v>
      </c>
      <c r="V1196" s="7">
        <v>1677.13</v>
      </c>
      <c r="W1196" s="7">
        <v>922.05</v>
      </c>
      <c r="X1196" s="7" t="s">
        <v>45</v>
      </c>
    </row>
    <row r="1197" spans="1:24" x14ac:dyDescent="0.25">
      <c r="A1197" s="16" t="s">
        <v>1701</v>
      </c>
      <c r="B1197" s="17">
        <v>45434</v>
      </c>
      <c r="C1197" s="6" t="s">
        <v>284</v>
      </c>
      <c r="D1197" s="6" t="s">
        <v>57</v>
      </c>
      <c r="E1197" s="6" t="s">
        <v>216</v>
      </c>
      <c r="F1197" s="6" t="s">
        <v>217</v>
      </c>
      <c r="G1197" s="6" t="s">
        <v>38</v>
      </c>
      <c r="H1197" s="6" t="s">
        <v>134</v>
      </c>
      <c r="I1197" s="6" t="s">
        <v>40</v>
      </c>
      <c r="J1197" s="6" t="s">
        <v>41</v>
      </c>
      <c r="K1197" s="6" t="s">
        <v>253</v>
      </c>
      <c r="L1197" s="6" t="s">
        <v>2676</v>
      </c>
      <c r="M1197" s="6" t="s">
        <v>30</v>
      </c>
      <c r="N1197" s="6" t="s">
        <v>70</v>
      </c>
      <c r="O1197" s="6">
        <v>26</v>
      </c>
      <c r="P1197" s="6">
        <v>107.29</v>
      </c>
      <c r="Q1197" s="6">
        <v>65.62</v>
      </c>
      <c r="R1197" s="6">
        <v>2789.5</v>
      </c>
      <c r="S1197" s="6">
        <v>0</v>
      </c>
      <c r="T1197" s="6">
        <v>0</v>
      </c>
      <c r="U1197" s="6">
        <v>2789.5</v>
      </c>
      <c r="V1197" s="6">
        <v>1706.06</v>
      </c>
      <c r="W1197" s="6">
        <v>1083.44</v>
      </c>
      <c r="X1197" s="6" t="s">
        <v>32</v>
      </c>
    </row>
    <row r="1198" spans="1:24" x14ac:dyDescent="0.25">
      <c r="A1198" s="5" t="s">
        <v>1702</v>
      </c>
      <c r="B1198" s="18">
        <v>45319</v>
      </c>
      <c r="C1198" s="7" t="s">
        <v>269</v>
      </c>
      <c r="D1198" s="7" t="s">
        <v>105</v>
      </c>
      <c r="E1198" s="7" t="s">
        <v>222</v>
      </c>
      <c r="F1198" s="7" t="s">
        <v>223</v>
      </c>
      <c r="G1198" s="7" t="s">
        <v>101</v>
      </c>
      <c r="H1198" s="7" t="s">
        <v>68</v>
      </c>
      <c r="I1198" s="7" t="s">
        <v>40</v>
      </c>
      <c r="J1198" s="7" t="s">
        <v>289</v>
      </c>
      <c r="K1198" s="7" t="s">
        <v>265</v>
      </c>
      <c r="L1198" s="7" t="s">
        <v>2678</v>
      </c>
      <c r="M1198" s="7" t="s">
        <v>153</v>
      </c>
      <c r="N1198" s="7" t="s">
        <v>44</v>
      </c>
      <c r="O1198" s="7">
        <v>13</v>
      </c>
      <c r="P1198" s="7">
        <v>129.11000000000001</v>
      </c>
      <c r="Q1198" s="7">
        <v>84.07</v>
      </c>
      <c r="R1198" s="7">
        <v>1678.41</v>
      </c>
      <c r="S1198" s="7">
        <v>0.1</v>
      </c>
      <c r="T1198" s="7">
        <v>167.84</v>
      </c>
      <c r="U1198" s="7">
        <v>1510.57</v>
      </c>
      <c r="V1198" s="7">
        <v>1092.8800000000001</v>
      </c>
      <c r="W1198" s="7">
        <v>417.69</v>
      </c>
      <c r="X1198" s="7" t="s">
        <v>32</v>
      </c>
    </row>
    <row r="1199" spans="1:24" x14ac:dyDescent="0.25">
      <c r="A1199" s="16" t="s">
        <v>1703</v>
      </c>
      <c r="B1199" s="17">
        <v>45346</v>
      </c>
      <c r="C1199" s="6" t="s">
        <v>316</v>
      </c>
      <c r="D1199" s="6" t="s">
        <v>156</v>
      </c>
      <c r="E1199" s="6" t="s">
        <v>66</v>
      </c>
      <c r="F1199" s="6" t="s">
        <v>67</v>
      </c>
      <c r="G1199" s="6" t="s">
        <v>38</v>
      </c>
      <c r="H1199" s="6" t="s">
        <v>68</v>
      </c>
      <c r="I1199" s="6" t="s">
        <v>27</v>
      </c>
      <c r="J1199" s="6" t="s">
        <v>211</v>
      </c>
      <c r="K1199" s="6" t="s">
        <v>218</v>
      </c>
      <c r="L1199" s="6" t="s">
        <v>2674</v>
      </c>
      <c r="M1199" s="6" t="s">
        <v>61</v>
      </c>
      <c r="N1199" s="6" t="s">
        <v>44</v>
      </c>
      <c r="O1199" s="6"/>
      <c r="P1199" s="6">
        <v>165.21</v>
      </c>
      <c r="Q1199" s="6">
        <v>111.83</v>
      </c>
      <c r="R1199" s="6">
        <v>4460.8</v>
      </c>
      <c r="S1199" s="6">
        <v>0.02</v>
      </c>
      <c r="T1199" s="6">
        <v>89.22</v>
      </c>
      <c r="U1199" s="6">
        <v>4371.58</v>
      </c>
      <c r="V1199" s="6">
        <v>3019.28</v>
      </c>
      <c r="W1199" s="6">
        <v>1352.3</v>
      </c>
      <c r="X1199" s="6" t="s">
        <v>45</v>
      </c>
    </row>
    <row r="1200" spans="1:24" x14ac:dyDescent="0.25">
      <c r="A1200" s="5" t="s">
        <v>1441</v>
      </c>
      <c r="B1200" s="18">
        <v>45462</v>
      </c>
      <c r="C1200" s="7" t="s">
        <v>515</v>
      </c>
      <c r="D1200" s="7" t="s">
        <v>48</v>
      </c>
      <c r="E1200" s="7" t="s">
        <v>36</v>
      </c>
      <c r="F1200" s="7" t="s">
        <v>37</v>
      </c>
      <c r="G1200" s="7" t="s">
        <v>38</v>
      </c>
      <c r="H1200" s="7" t="s">
        <v>39</v>
      </c>
      <c r="I1200" s="7" t="s">
        <v>27</v>
      </c>
      <c r="J1200" s="7" t="s">
        <v>211</v>
      </c>
      <c r="K1200" s="7" t="s">
        <v>261</v>
      </c>
      <c r="L1200" s="7" t="s">
        <v>2677</v>
      </c>
      <c r="M1200" s="7" t="s">
        <v>153</v>
      </c>
      <c r="N1200" s="7" t="s">
        <v>31</v>
      </c>
      <c r="O1200" s="7">
        <v>3</v>
      </c>
      <c r="P1200" s="7">
        <v>176.44</v>
      </c>
      <c r="Q1200" s="7">
        <v>95.29</v>
      </c>
      <c r="R1200" s="7">
        <v>529.30999999999995</v>
      </c>
      <c r="S1200" s="7">
        <v>0.02</v>
      </c>
      <c r="T1200" s="7">
        <v>10.59</v>
      </c>
      <c r="U1200" s="7">
        <v>518.72</v>
      </c>
      <c r="V1200" s="7">
        <v>285.86</v>
      </c>
      <c r="W1200" s="7">
        <v>232.87</v>
      </c>
      <c r="X1200" s="7" t="s">
        <v>45</v>
      </c>
    </row>
    <row r="1201" spans="1:24" x14ac:dyDescent="0.25">
      <c r="A1201" s="16" t="s">
        <v>1704</v>
      </c>
      <c r="B1201" s="17">
        <v>45631</v>
      </c>
      <c r="C1201" s="6" t="s">
        <v>382</v>
      </c>
      <c r="D1201" s="6" t="s">
        <v>22</v>
      </c>
      <c r="E1201" s="6" t="s">
        <v>176</v>
      </c>
      <c r="F1201" s="6" t="s">
        <v>177</v>
      </c>
      <c r="G1201" s="6" t="s">
        <v>101</v>
      </c>
      <c r="H1201" s="6" t="s">
        <v>39</v>
      </c>
      <c r="I1201" s="6" t="s">
        <v>53</v>
      </c>
      <c r="J1201" s="6" t="s">
        <v>122</v>
      </c>
      <c r="K1201" s="6" t="s">
        <v>60</v>
      </c>
      <c r="L1201" s="6" t="s">
        <v>2662</v>
      </c>
      <c r="M1201" s="6" t="s">
        <v>153</v>
      </c>
      <c r="N1201" s="6" t="s">
        <v>70</v>
      </c>
      <c r="O1201" s="6">
        <v>20</v>
      </c>
      <c r="P1201" s="6">
        <v>105.5</v>
      </c>
      <c r="Q1201" s="6">
        <v>60.4</v>
      </c>
      <c r="R1201" s="6">
        <v>2109.96</v>
      </c>
      <c r="S1201" s="6">
        <v>0.1</v>
      </c>
      <c r="T1201" s="6">
        <v>211</v>
      </c>
      <c r="U1201" s="6">
        <v>1898.97</v>
      </c>
      <c r="V1201" s="6">
        <v>1207.96</v>
      </c>
      <c r="W1201" s="6">
        <v>691.01</v>
      </c>
      <c r="X1201" s="6" t="s">
        <v>45</v>
      </c>
    </row>
    <row r="1202" spans="1:24" x14ac:dyDescent="0.25">
      <c r="A1202" s="5" t="s">
        <v>1705</v>
      </c>
      <c r="B1202" s="18">
        <v>45293</v>
      </c>
      <c r="C1202" s="7" t="s">
        <v>1706</v>
      </c>
      <c r="D1202" s="7" t="s">
        <v>65</v>
      </c>
      <c r="E1202" s="7" t="s">
        <v>49</v>
      </c>
      <c r="F1202" s="7" t="s">
        <v>50</v>
      </c>
      <c r="G1202" s="7" t="s">
        <v>51</v>
      </c>
      <c r="H1202" s="7" t="s">
        <v>52</v>
      </c>
      <c r="I1202" s="7" t="s">
        <v>58</v>
      </c>
      <c r="J1202" s="7" t="s">
        <v>345</v>
      </c>
      <c r="K1202" s="7" t="s">
        <v>261</v>
      </c>
      <c r="L1202" s="7" t="s">
        <v>2677</v>
      </c>
      <c r="M1202" s="7" t="s">
        <v>61</v>
      </c>
      <c r="N1202" s="7" t="s">
        <v>31</v>
      </c>
      <c r="O1202" s="7">
        <v>43</v>
      </c>
      <c r="P1202" s="7">
        <v>23.56</v>
      </c>
      <c r="Q1202" s="7">
        <v>13.63</v>
      </c>
      <c r="R1202" s="7">
        <v>1013.24</v>
      </c>
      <c r="S1202" s="7">
        <v>0.02</v>
      </c>
      <c r="T1202" s="7">
        <v>20.260000000000002</v>
      </c>
      <c r="U1202" s="7">
        <v>992.97</v>
      </c>
      <c r="V1202" s="7">
        <v>586.03</v>
      </c>
      <c r="W1202" s="7">
        <v>406.95</v>
      </c>
      <c r="X1202" s="7" t="s">
        <v>32</v>
      </c>
    </row>
    <row r="1203" spans="1:24" x14ac:dyDescent="0.25">
      <c r="A1203" s="16" t="s">
        <v>1707</v>
      </c>
      <c r="B1203" s="17">
        <v>45570</v>
      </c>
      <c r="C1203" s="6" t="s">
        <v>98</v>
      </c>
      <c r="D1203" s="6" t="s">
        <v>48</v>
      </c>
      <c r="E1203" s="6" t="s">
        <v>78</v>
      </c>
      <c r="F1203" s="6" t="s">
        <v>79</v>
      </c>
      <c r="G1203" s="6" t="s">
        <v>80</v>
      </c>
      <c r="H1203" s="6" t="s">
        <v>81</v>
      </c>
      <c r="I1203" s="6" t="s">
        <v>53</v>
      </c>
      <c r="J1203" s="6" t="s">
        <v>122</v>
      </c>
      <c r="K1203" s="6" t="s">
        <v>29</v>
      </c>
      <c r="L1203" s="6" t="s">
        <v>2660</v>
      </c>
      <c r="M1203" s="6" t="s">
        <v>61</v>
      </c>
      <c r="N1203" s="6" t="s">
        <v>84</v>
      </c>
      <c r="O1203" s="6">
        <v>21</v>
      </c>
      <c r="P1203" s="6">
        <v>134.41</v>
      </c>
      <c r="Q1203" s="6">
        <v>83.64</v>
      </c>
      <c r="R1203" s="6">
        <v>2822.62</v>
      </c>
      <c r="S1203" s="6">
        <v>0.05</v>
      </c>
      <c r="T1203" s="6">
        <v>141.13</v>
      </c>
      <c r="U1203" s="6">
        <v>2681.49</v>
      </c>
      <c r="V1203" s="6">
        <v>1756.41</v>
      </c>
      <c r="W1203" s="6">
        <v>925.08</v>
      </c>
      <c r="X1203" s="6" t="s">
        <v>129</v>
      </c>
    </row>
    <row r="1204" spans="1:24" x14ac:dyDescent="0.25">
      <c r="A1204" s="5" t="s">
        <v>1708</v>
      </c>
      <c r="B1204" s="18">
        <v>45610</v>
      </c>
      <c r="C1204" s="7" t="s">
        <v>1709</v>
      </c>
      <c r="D1204" s="7" t="s">
        <v>159</v>
      </c>
      <c r="E1204" s="7" t="s">
        <v>165</v>
      </c>
      <c r="F1204" s="7" t="s">
        <v>166</v>
      </c>
      <c r="G1204" s="7" t="s">
        <v>95</v>
      </c>
      <c r="H1204" s="7" t="s">
        <v>167</v>
      </c>
      <c r="I1204" s="7" t="s">
        <v>27</v>
      </c>
      <c r="J1204" s="7" t="s">
        <v>211</v>
      </c>
      <c r="K1204" s="7" t="s">
        <v>60</v>
      </c>
      <c r="L1204" s="7" t="s">
        <v>2662</v>
      </c>
      <c r="M1204" s="7" t="s">
        <v>30</v>
      </c>
      <c r="N1204" s="7" t="s">
        <v>70</v>
      </c>
      <c r="O1204" s="7">
        <v>3</v>
      </c>
      <c r="P1204" s="7">
        <v>43.78</v>
      </c>
      <c r="Q1204" s="7">
        <v>25.49</v>
      </c>
      <c r="R1204" s="7">
        <v>131.33000000000001</v>
      </c>
      <c r="S1204" s="7">
        <v>0.15</v>
      </c>
      <c r="T1204" s="7">
        <v>19.7</v>
      </c>
      <c r="U1204" s="7">
        <v>111.63</v>
      </c>
      <c r="V1204" s="7">
        <v>76.48</v>
      </c>
      <c r="W1204" s="7">
        <v>35.15</v>
      </c>
      <c r="X1204" s="7" t="s">
        <v>45</v>
      </c>
    </row>
    <row r="1205" spans="1:24" x14ac:dyDescent="0.25">
      <c r="A1205" s="16" t="s">
        <v>1710</v>
      </c>
      <c r="B1205" s="17">
        <v>45585</v>
      </c>
      <c r="C1205" s="6" t="s">
        <v>552</v>
      </c>
      <c r="D1205" s="6" t="s">
        <v>163</v>
      </c>
      <c r="E1205" s="6" t="s">
        <v>250</v>
      </c>
      <c r="F1205" s="6" t="s">
        <v>251</v>
      </c>
      <c r="G1205" s="6" t="s">
        <v>51</v>
      </c>
      <c r="H1205" s="6" t="s">
        <v>252</v>
      </c>
      <c r="I1205" s="6" t="s">
        <v>27</v>
      </c>
      <c r="J1205" s="6" t="s">
        <v>28</v>
      </c>
      <c r="K1205" s="6" t="s">
        <v>74</v>
      </c>
      <c r="L1205" s="6" t="s">
        <v>2664</v>
      </c>
      <c r="M1205" s="6" t="s">
        <v>43</v>
      </c>
      <c r="N1205" s="6" t="s">
        <v>44</v>
      </c>
      <c r="O1205" s="6">
        <v>76</v>
      </c>
      <c r="P1205" s="6">
        <v>62.85</v>
      </c>
      <c r="Q1205" s="6">
        <v>40.409999999999997</v>
      </c>
      <c r="R1205" s="6">
        <v>4776.5</v>
      </c>
      <c r="S1205" s="6">
        <v>0.02</v>
      </c>
      <c r="T1205" s="6">
        <v>95.53</v>
      </c>
      <c r="U1205" s="6">
        <v>4680.97</v>
      </c>
      <c r="V1205" s="6">
        <v>3071.14</v>
      </c>
      <c r="W1205" s="6">
        <v>1609.84</v>
      </c>
      <c r="X1205" s="6" t="s">
        <v>45</v>
      </c>
    </row>
    <row r="1206" spans="1:24" x14ac:dyDescent="0.25">
      <c r="A1206" s="5" t="s">
        <v>1711</v>
      </c>
      <c r="B1206" s="18">
        <v>45549</v>
      </c>
      <c r="C1206" s="7" t="s">
        <v>1493</v>
      </c>
      <c r="D1206" s="7" t="s">
        <v>159</v>
      </c>
      <c r="E1206" s="7" t="s">
        <v>216</v>
      </c>
      <c r="F1206" s="7" t="s">
        <v>217</v>
      </c>
      <c r="G1206" s="7" t="s">
        <v>38</v>
      </c>
      <c r="H1206" s="7" t="s">
        <v>134</v>
      </c>
      <c r="I1206" s="7" t="s">
        <v>58</v>
      </c>
      <c r="J1206" s="7" t="s">
        <v>73</v>
      </c>
      <c r="K1206" s="7" t="s">
        <v>218</v>
      </c>
      <c r="L1206" s="7" t="s">
        <v>2674</v>
      </c>
      <c r="M1206" s="7" t="s">
        <v>153</v>
      </c>
      <c r="N1206" s="7" t="s">
        <v>31</v>
      </c>
      <c r="O1206" s="7">
        <v>44</v>
      </c>
      <c r="P1206" s="7">
        <v>109.8</v>
      </c>
      <c r="Q1206" s="7">
        <v>68.790000000000006</v>
      </c>
      <c r="R1206" s="7">
        <v>4831.3599999999997</v>
      </c>
      <c r="S1206" s="7">
        <v>0.02</v>
      </c>
      <c r="T1206" s="7">
        <v>96.63</v>
      </c>
      <c r="U1206" s="7">
        <v>4734.74</v>
      </c>
      <c r="V1206" s="7">
        <v>3026.71</v>
      </c>
      <c r="W1206" s="7">
        <v>1708.03</v>
      </c>
      <c r="X1206" s="7" t="s">
        <v>45</v>
      </c>
    </row>
    <row r="1207" spans="1:24" x14ac:dyDescent="0.25">
      <c r="A1207" s="16" t="s">
        <v>1712</v>
      </c>
      <c r="B1207" s="17">
        <v>45503</v>
      </c>
      <c r="C1207" s="6" t="s">
        <v>721</v>
      </c>
      <c r="D1207" s="6" t="s">
        <v>359</v>
      </c>
      <c r="E1207" s="6" t="s">
        <v>176</v>
      </c>
      <c r="F1207" s="6" t="s">
        <v>177</v>
      </c>
      <c r="G1207" s="6" t="s">
        <v>101</v>
      </c>
      <c r="H1207" s="6" t="s">
        <v>39</v>
      </c>
      <c r="I1207" s="6" t="s">
        <v>53</v>
      </c>
      <c r="J1207" s="6" t="s">
        <v>122</v>
      </c>
      <c r="K1207" s="6" t="s">
        <v>118</v>
      </c>
      <c r="L1207" s="6" t="s">
        <v>2668</v>
      </c>
      <c r="M1207" s="6" t="s">
        <v>43</v>
      </c>
      <c r="N1207" s="6" t="s">
        <v>84</v>
      </c>
      <c r="O1207" s="6">
        <v>23</v>
      </c>
      <c r="P1207" s="6">
        <v>99.24</v>
      </c>
      <c r="Q1207" s="6">
        <v>61.08</v>
      </c>
      <c r="R1207" s="6">
        <v>2282.5700000000002</v>
      </c>
      <c r="S1207" s="6">
        <v>0</v>
      </c>
      <c r="T1207" s="6">
        <v>0</v>
      </c>
      <c r="U1207" s="6">
        <v>2282.5700000000002</v>
      </c>
      <c r="V1207" s="6">
        <v>1404.9</v>
      </c>
      <c r="W1207" s="6">
        <v>877.67</v>
      </c>
      <c r="X1207" s="6" t="s">
        <v>129</v>
      </c>
    </row>
    <row r="1208" spans="1:24" x14ac:dyDescent="0.25">
      <c r="A1208" s="5" t="s">
        <v>1713</v>
      </c>
      <c r="B1208" s="18">
        <v>45372</v>
      </c>
      <c r="C1208" s="7" t="s">
        <v>645</v>
      </c>
      <c r="D1208" s="7" t="s">
        <v>149</v>
      </c>
      <c r="E1208" s="7" t="s">
        <v>78</v>
      </c>
      <c r="F1208" s="7" t="s">
        <v>79</v>
      </c>
      <c r="G1208" s="7" t="s">
        <v>80</v>
      </c>
      <c r="H1208" s="7" t="s">
        <v>81</v>
      </c>
      <c r="I1208" s="7" t="s">
        <v>58</v>
      </c>
      <c r="J1208" s="7" t="s">
        <v>73</v>
      </c>
      <c r="K1208" s="7" t="s">
        <v>74</v>
      </c>
      <c r="L1208" s="7" t="s">
        <v>2664</v>
      </c>
      <c r="M1208" s="7" t="s">
        <v>61</v>
      </c>
      <c r="N1208" s="7" t="s">
        <v>70</v>
      </c>
      <c r="O1208" s="7">
        <v>22</v>
      </c>
      <c r="P1208" s="7">
        <v>144.79</v>
      </c>
      <c r="Q1208" s="7">
        <v>76.64</v>
      </c>
      <c r="R1208" s="7">
        <v>3185.49</v>
      </c>
      <c r="S1208" s="7">
        <v>0.02</v>
      </c>
      <c r="T1208" s="7">
        <v>63.71</v>
      </c>
      <c r="U1208" s="7">
        <v>3409.61</v>
      </c>
      <c r="V1208" s="7">
        <v>1686.06</v>
      </c>
      <c r="W1208" s="7">
        <v>1435.72</v>
      </c>
      <c r="X1208" s="7" t="s">
        <v>45</v>
      </c>
    </row>
    <row r="1209" spans="1:24" x14ac:dyDescent="0.25">
      <c r="A1209" s="16" t="s">
        <v>1714</v>
      </c>
      <c r="B1209" s="17">
        <v>45417</v>
      </c>
      <c r="C1209" s="6" t="s">
        <v>241</v>
      </c>
      <c r="D1209" s="6" t="s">
        <v>87</v>
      </c>
      <c r="E1209" s="6" t="s">
        <v>66</v>
      </c>
      <c r="F1209" s="6" t="s">
        <v>67</v>
      </c>
      <c r="G1209" s="6" t="s">
        <v>38</v>
      </c>
      <c r="H1209" s="6" t="s">
        <v>68</v>
      </c>
      <c r="I1209" s="6" t="s">
        <v>27</v>
      </c>
      <c r="J1209" s="6" t="s">
        <v>106</v>
      </c>
      <c r="K1209" s="6" t="s">
        <v>253</v>
      </c>
      <c r="L1209" s="6" t="s">
        <v>2676</v>
      </c>
      <c r="M1209" s="6" t="s">
        <v>43</v>
      </c>
      <c r="N1209" s="6" t="s">
        <v>44</v>
      </c>
      <c r="O1209" s="6">
        <v>29</v>
      </c>
      <c r="P1209" s="6">
        <v>156.79</v>
      </c>
      <c r="Q1209" s="6">
        <v>111.5</v>
      </c>
      <c r="R1209" s="6">
        <v>4546.8599999999997</v>
      </c>
      <c r="S1209" s="6">
        <v>0.02</v>
      </c>
      <c r="T1209" s="6">
        <v>90.94</v>
      </c>
      <c r="U1209" s="6">
        <v>4455.92</v>
      </c>
      <c r="V1209" s="6">
        <v>3233.5</v>
      </c>
      <c r="W1209" s="6">
        <v>1222.42</v>
      </c>
      <c r="X1209" s="6" t="s">
        <v>45</v>
      </c>
    </row>
    <row r="1210" spans="1:24" x14ac:dyDescent="0.25">
      <c r="A1210" s="5" t="s">
        <v>1568</v>
      </c>
      <c r="B1210" s="18">
        <v>45598</v>
      </c>
      <c r="C1210" s="7" t="s">
        <v>1047</v>
      </c>
      <c r="D1210" s="7" t="s">
        <v>156</v>
      </c>
      <c r="E1210" s="7" t="s">
        <v>150</v>
      </c>
      <c r="F1210" s="7" t="s">
        <v>151</v>
      </c>
      <c r="G1210" s="7" t="s">
        <v>101</v>
      </c>
      <c r="H1210" s="7" t="s">
        <v>134</v>
      </c>
      <c r="I1210" s="7" t="s">
        <v>58</v>
      </c>
      <c r="J1210" s="7" t="s">
        <v>323</v>
      </c>
      <c r="K1210" s="7" t="s">
        <v>265</v>
      </c>
      <c r="L1210" s="7" t="s">
        <v>2678</v>
      </c>
      <c r="M1210" s="7" t="s">
        <v>43</v>
      </c>
      <c r="N1210" s="7" t="s">
        <v>70</v>
      </c>
      <c r="O1210" s="7">
        <v>42</v>
      </c>
      <c r="P1210" s="7">
        <v>79.16</v>
      </c>
      <c r="Q1210" s="7">
        <v>48.43</v>
      </c>
      <c r="R1210" s="7">
        <v>3324.66</v>
      </c>
      <c r="S1210" s="7">
        <v>0.15</v>
      </c>
      <c r="T1210" s="7">
        <v>498.7</v>
      </c>
      <c r="U1210" s="7">
        <v>2825.97</v>
      </c>
      <c r="V1210" s="7">
        <v>2034.26</v>
      </c>
      <c r="W1210" s="7">
        <v>791.7</v>
      </c>
      <c r="X1210" s="7" t="s">
        <v>45</v>
      </c>
    </row>
    <row r="1211" spans="1:24" x14ac:dyDescent="0.25">
      <c r="A1211" s="16" t="s">
        <v>1715</v>
      </c>
      <c r="B1211" s="17">
        <v>45655</v>
      </c>
      <c r="C1211" s="6" t="s">
        <v>169</v>
      </c>
      <c r="D1211" s="6" t="s">
        <v>57</v>
      </c>
      <c r="E1211" s="6" t="s">
        <v>209</v>
      </c>
      <c r="F1211" s="6" t="s">
        <v>210</v>
      </c>
      <c r="G1211" s="6" t="s">
        <v>51</v>
      </c>
      <c r="H1211" s="6" t="s">
        <v>116</v>
      </c>
      <c r="I1211" s="6" t="s">
        <v>58</v>
      </c>
      <c r="J1211" s="6" t="s">
        <v>59</v>
      </c>
      <c r="K1211" s="6" t="s">
        <v>152</v>
      </c>
      <c r="L1211" s="6" t="s">
        <v>2670</v>
      </c>
      <c r="M1211" s="6" t="s">
        <v>30</v>
      </c>
      <c r="N1211" s="6" t="s">
        <v>70</v>
      </c>
      <c r="O1211" s="6">
        <v>43</v>
      </c>
      <c r="P1211" s="6">
        <v>17.78</v>
      </c>
      <c r="Q1211" s="6">
        <v>9.27</v>
      </c>
      <c r="R1211" s="6">
        <v>764.41</v>
      </c>
      <c r="S1211" s="6">
        <v>0.15</v>
      </c>
      <c r="T1211" s="6">
        <v>114.66</v>
      </c>
      <c r="U1211" s="6">
        <v>649.75</v>
      </c>
      <c r="V1211" s="6">
        <v>398.49</v>
      </c>
      <c r="W1211" s="6">
        <v>251.26</v>
      </c>
      <c r="X1211" s="6" t="s">
        <v>45</v>
      </c>
    </row>
    <row r="1212" spans="1:24" x14ac:dyDescent="0.25">
      <c r="A1212" s="5" t="s">
        <v>1716</v>
      </c>
      <c r="B1212" s="18">
        <v>45472</v>
      </c>
      <c r="C1212" s="7" t="s">
        <v>309</v>
      </c>
      <c r="D1212" s="7" t="s">
        <v>65</v>
      </c>
      <c r="E1212" s="7" t="s">
        <v>23</v>
      </c>
      <c r="F1212" s="7" t="s">
        <v>24</v>
      </c>
      <c r="G1212" s="7" t="s">
        <v>25</v>
      </c>
      <c r="H1212" s="7" t="s">
        <v>26</v>
      </c>
      <c r="I1212" s="7" t="s">
        <v>27</v>
      </c>
      <c r="J1212" s="7" t="s">
        <v>211</v>
      </c>
      <c r="K1212" s="7" t="s">
        <v>60</v>
      </c>
      <c r="L1212" s="7" t="s">
        <v>2662</v>
      </c>
      <c r="M1212" s="7" t="s">
        <v>153</v>
      </c>
      <c r="N1212" s="7" t="s">
        <v>84</v>
      </c>
      <c r="O1212" s="7">
        <v>1</v>
      </c>
      <c r="P1212" s="7">
        <v>78.95</v>
      </c>
      <c r="Q1212" s="7">
        <v>42.46</v>
      </c>
      <c r="R1212" s="7">
        <v>78.95</v>
      </c>
      <c r="S1212" s="7">
        <v>0</v>
      </c>
      <c r="T1212" s="7">
        <v>0</v>
      </c>
      <c r="U1212" s="7">
        <v>78.95</v>
      </c>
      <c r="V1212" s="7">
        <v>42.46</v>
      </c>
      <c r="W1212" s="7">
        <v>36.49</v>
      </c>
      <c r="X1212" s="7" t="s">
        <v>32</v>
      </c>
    </row>
    <row r="1213" spans="1:24" x14ac:dyDescent="0.25">
      <c r="A1213" s="16" t="s">
        <v>1717</v>
      </c>
      <c r="B1213" s="17">
        <v>45352</v>
      </c>
      <c r="C1213" s="6" t="s">
        <v>798</v>
      </c>
      <c r="D1213" s="6" t="s">
        <v>259</v>
      </c>
      <c r="E1213" s="6" t="s">
        <v>66</v>
      </c>
      <c r="F1213" s="6" t="s">
        <v>67</v>
      </c>
      <c r="G1213" s="6" t="s">
        <v>38</v>
      </c>
      <c r="H1213" s="6" t="s">
        <v>68</v>
      </c>
      <c r="I1213" s="6" t="s">
        <v>27</v>
      </c>
      <c r="J1213" s="6" t="s">
        <v>189</v>
      </c>
      <c r="K1213" s="6" t="s">
        <v>69</v>
      </c>
      <c r="L1213" s="6" t="s">
        <v>2663</v>
      </c>
      <c r="M1213" s="6" t="s">
        <v>43</v>
      </c>
      <c r="N1213" s="6" t="s">
        <v>31</v>
      </c>
      <c r="O1213" s="6">
        <v>66</v>
      </c>
      <c r="P1213" s="6">
        <v>152.79</v>
      </c>
      <c r="Q1213" s="6">
        <v>110.22</v>
      </c>
      <c r="R1213" s="6">
        <v>10083.879999999999</v>
      </c>
      <c r="S1213" s="6">
        <v>0</v>
      </c>
      <c r="T1213" s="6">
        <v>0</v>
      </c>
      <c r="U1213" s="6">
        <v>10083.879999999999</v>
      </c>
      <c r="V1213" s="6">
        <v>7274.82</v>
      </c>
      <c r="W1213" s="6">
        <v>2809.06</v>
      </c>
      <c r="X1213" s="6" t="s">
        <v>32</v>
      </c>
    </row>
    <row r="1214" spans="1:24" x14ac:dyDescent="0.25">
      <c r="A1214" s="5" t="s">
        <v>1718</v>
      </c>
      <c r="B1214" s="18">
        <v>45598</v>
      </c>
      <c r="C1214" s="7" t="s">
        <v>454</v>
      </c>
      <c r="D1214" s="7" t="s">
        <v>156</v>
      </c>
      <c r="E1214" s="7" t="s">
        <v>176</v>
      </c>
      <c r="F1214" s="7" t="s">
        <v>177</v>
      </c>
      <c r="G1214" s="7" t="s">
        <v>101</v>
      </c>
      <c r="H1214" s="7" t="s">
        <v>39</v>
      </c>
      <c r="I1214" s="7" t="s">
        <v>53</v>
      </c>
      <c r="J1214" s="7" t="s">
        <v>143</v>
      </c>
      <c r="K1214" s="7" t="s">
        <v>152</v>
      </c>
      <c r="L1214" s="7" t="s">
        <v>2670</v>
      </c>
      <c r="M1214" s="7" t="s">
        <v>153</v>
      </c>
      <c r="N1214" s="7" t="s">
        <v>70</v>
      </c>
      <c r="O1214" s="7">
        <v>6</v>
      </c>
      <c r="P1214" s="7">
        <v>98.12</v>
      </c>
      <c r="Q1214" s="7">
        <v>66.38</v>
      </c>
      <c r="R1214" s="7">
        <v>588.70000000000005</v>
      </c>
      <c r="S1214" s="7">
        <v>0.1</v>
      </c>
      <c r="T1214" s="7">
        <v>58.87</v>
      </c>
      <c r="U1214" s="7">
        <v>529.83000000000004</v>
      </c>
      <c r="V1214" s="7">
        <v>398.28</v>
      </c>
      <c r="W1214" s="7">
        <v>131.55000000000001</v>
      </c>
      <c r="X1214" s="7" t="s">
        <v>45</v>
      </c>
    </row>
    <row r="1215" spans="1:24" x14ac:dyDescent="0.25">
      <c r="A1215" s="16" t="s">
        <v>1719</v>
      </c>
      <c r="B1215" s="17">
        <v>45595</v>
      </c>
      <c r="C1215" s="6" t="s">
        <v>98</v>
      </c>
      <c r="D1215" s="6" t="s">
        <v>48</v>
      </c>
      <c r="E1215" s="6" t="s">
        <v>150</v>
      </c>
      <c r="F1215" s="6" t="s">
        <v>151</v>
      </c>
      <c r="G1215" s="6" t="s">
        <v>101</v>
      </c>
      <c r="H1215" s="6" t="s">
        <v>134</v>
      </c>
      <c r="I1215" s="6" t="s">
        <v>58</v>
      </c>
      <c r="J1215" s="6" t="s">
        <v>73</v>
      </c>
      <c r="K1215" s="6" t="s">
        <v>178</v>
      </c>
      <c r="L1215" s="6" t="s">
        <v>256</v>
      </c>
      <c r="M1215" s="6" t="s">
        <v>30</v>
      </c>
      <c r="N1215" s="6" t="s">
        <v>75</v>
      </c>
      <c r="O1215" s="6">
        <v>61</v>
      </c>
      <c r="P1215" s="6">
        <v>91.13</v>
      </c>
      <c r="Q1215" s="6">
        <v>52.65</v>
      </c>
      <c r="R1215" s="6">
        <v>5558.96</v>
      </c>
      <c r="S1215" s="6">
        <v>0</v>
      </c>
      <c r="T1215" s="6">
        <v>0</v>
      </c>
      <c r="U1215" s="6">
        <v>5558.96</v>
      </c>
      <c r="V1215" s="6">
        <v>3211.82</v>
      </c>
      <c r="W1215" s="6">
        <v>2347.14</v>
      </c>
      <c r="X1215" s="6" t="s">
        <v>45</v>
      </c>
    </row>
    <row r="1216" spans="1:24" x14ac:dyDescent="0.25">
      <c r="A1216" s="5" t="s">
        <v>1720</v>
      </c>
      <c r="B1216" s="18">
        <v>45504</v>
      </c>
      <c r="C1216" s="7" t="s">
        <v>64</v>
      </c>
      <c r="D1216" s="7" t="s">
        <v>65</v>
      </c>
      <c r="E1216" s="7" t="s">
        <v>222</v>
      </c>
      <c r="F1216" s="7" t="s">
        <v>223</v>
      </c>
      <c r="G1216" s="7" t="s">
        <v>101</v>
      </c>
      <c r="H1216" s="7" t="s">
        <v>68</v>
      </c>
      <c r="I1216" s="7" t="s">
        <v>88</v>
      </c>
      <c r="J1216" s="7" t="s">
        <v>135</v>
      </c>
      <c r="K1216" s="7" t="s">
        <v>111</v>
      </c>
      <c r="L1216" s="7" t="s">
        <v>2667</v>
      </c>
      <c r="M1216" s="7" t="s">
        <v>30</v>
      </c>
      <c r="N1216" s="7" t="s">
        <v>75</v>
      </c>
      <c r="O1216" s="7"/>
      <c r="P1216" s="7">
        <v>118.82</v>
      </c>
      <c r="Q1216" s="7">
        <v>80.81</v>
      </c>
      <c r="R1216" s="7">
        <v>6772.82</v>
      </c>
      <c r="S1216" s="7">
        <v>0.05</v>
      </c>
      <c r="T1216" s="7">
        <v>338.64</v>
      </c>
      <c r="U1216" s="7">
        <v>6434.18</v>
      </c>
      <c r="V1216" s="7">
        <v>4606.24</v>
      </c>
      <c r="W1216" s="7">
        <v>1827.94</v>
      </c>
      <c r="X1216" s="7" t="s">
        <v>32</v>
      </c>
    </row>
    <row r="1217" spans="1:24" x14ac:dyDescent="0.25">
      <c r="A1217" s="16" t="s">
        <v>1721</v>
      </c>
      <c r="B1217" s="17">
        <v>45373</v>
      </c>
      <c r="C1217" s="6" t="s">
        <v>402</v>
      </c>
      <c r="D1217" s="6" t="s">
        <v>35</v>
      </c>
      <c r="E1217" s="6" t="s">
        <v>78</v>
      </c>
      <c r="F1217" s="6" t="s">
        <v>79</v>
      </c>
      <c r="G1217" s="6" t="s">
        <v>80</v>
      </c>
      <c r="H1217" s="6" t="s">
        <v>81</v>
      </c>
      <c r="I1217" s="6" t="s">
        <v>40</v>
      </c>
      <c r="J1217" s="6" t="s">
        <v>82</v>
      </c>
      <c r="K1217" s="6" t="s">
        <v>83</v>
      </c>
      <c r="L1217" s="6" t="s">
        <v>2665</v>
      </c>
      <c r="M1217" s="6" t="s">
        <v>61</v>
      </c>
      <c r="N1217" s="6" t="s">
        <v>84</v>
      </c>
      <c r="O1217" s="6">
        <v>26</v>
      </c>
      <c r="P1217" s="6">
        <v>137.41</v>
      </c>
      <c r="Q1217" s="6">
        <v>75.77</v>
      </c>
      <c r="R1217" s="6">
        <v>3572.65</v>
      </c>
      <c r="S1217" s="6">
        <v>0.15</v>
      </c>
      <c r="T1217" s="6">
        <v>535.9</v>
      </c>
      <c r="U1217" s="6">
        <v>3036.75</v>
      </c>
      <c r="V1217" s="6">
        <v>1970.03</v>
      </c>
      <c r="W1217" s="6">
        <v>1066.72</v>
      </c>
      <c r="X1217" s="6" t="s">
        <v>45</v>
      </c>
    </row>
    <row r="1218" spans="1:24" x14ac:dyDescent="0.25">
      <c r="A1218" s="5" t="s">
        <v>1722</v>
      </c>
      <c r="B1218" s="18">
        <v>45389</v>
      </c>
      <c r="C1218" s="7" t="s">
        <v>567</v>
      </c>
      <c r="D1218" s="7" t="s">
        <v>22</v>
      </c>
      <c r="E1218" s="7" t="s">
        <v>216</v>
      </c>
      <c r="F1218" s="7" t="s">
        <v>217</v>
      </c>
      <c r="G1218" s="7" t="s">
        <v>38</v>
      </c>
      <c r="H1218" s="7" t="s">
        <v>134</v>
      </c>
      <c r="I1218" s="7" t="s">
        <v>58</v>
      </c>
      <c r="J1218" s="7" t="s">
        <v>323</v>
      </c>
      <c r="K1218" s="7" t="s">
        <v>29</v>
      </c>
      <c r="L1218" s="7" t="s">
        <v>2660</v>
      </c>
      <c r="M1218" s="7" t="s">
        <v>43</v>
      </c>
      <c r="N1218" s="7" t="s">
        <v>84</v>
      </c>
      <c r="O1218" s="7">
        <v>74</v>
      </c>
      <c r="P1218" s="7">
        <v>104.79</v>
      </c>
      <c r="Q1218" s="7">
        <v>67.25</v>
      </c>
      <c r="R1218" s="7">
        <v>7754.19</v>
      </c>
      <c r="S1218" s="7">
        <v>0</v>
      </c>
      <c r="T1218" s="7">
        <v>0</v>
      </c>
      <c r="U1218" s="7">
        <v>7754.19</v>
      </c>
      <c r="V1218" s="7">
        <v>4976.51</v>
      </c>
      <c r="W1218" s="7">
        <v>2777.68</v>
      </c>
      <c r="X1218" s="7" t="s">
        <v>45</v>
      </c>
    </row>
    <row r="1219" spans="1:24" x14ac:dyDescent="0.25">
      <c r="A1219" s="16" t="s">
        <v>1723</v>
      </c>
      <c r="B1219" s="17">
        <v>45349</v>
      </c>
      <c r="C1219" s="6" t="s">
        <v>1724</v>
      </c>
      <c r="D1219" s="6" t="s">
        <v>121</v>
      </c>
      <c r="E1219" s="6" t="s">
        <v>93</v>
      </c>
      <c r="F1219" s="6" t="s">
        <v>94</v>
      </c>
      <c r="G1219" s="6" t="s">
        <v>95</v>
      </c>
      <c r="H1219" s="6" t="s">
        <v>96</v>
      </c>
      <c r="I1219" s="6" t="s">
        <v>27</v>
      </c>
      <c r="J1219" s="6" t="s">
        <v>28</v>
      </c>
      <c r="K1219" s="6" t="s">
        <v>170</v>
      </c>
      <c r="L1219" s="6" t="s">
        <v>2671</v>
      </c>
      <c r="M1219" s="6" t="s">
        <v>61</v>
      </c>
      <c r="N1219" s="6" t="s">
        <v>31</v>
      </c>
      <c r="O1219" s="6">
        <v>3</v>
      </c>
      <c r="P1219" s="6">
        <v>56.84</v>
      </c>
      <c r="Q1219" s="6">
        <v>29.99</v>
      </c>
      <c r="R1219" s="6">
        <v>170.52</v>
      </c>
      <c r="S1219" s="6">
        <v>0.2</v>
      </c>
      <c r="T1219" s="6">
        <v>34.1</v>
      </c>
      <c r="U1219" s="6">
        <v>136.41999999999999</v>
      </c>
      <c r="V1219" s="6">
        <v>89.96</v>
      </c>
      <c r="W1219" s="6">
        <v>46.45</v>
      </c>
      <c r="X1219" s="6" t="s">
        <v>129</v>
      </c>
    </row>
    <row r="1220" spans="1:24" x14ac:dyDescent="0.25">
      <c r="A1220" s="5" t="s">
        <v>1725</v>
      </c>
      <c r="B1220" s="18">
        <v>45531</v>
      </c>
      <c r="C1220" s="7" t="s">
        <v>1317</v>
      </c>
      <c r="D1220" s="7" t="s">
        <v>35</v>
      </c>
      <c r="E1220" s="7" t="s">
        <v>216</v>
      </c>
      <c r="F1220" s="7" t="s">
        <v>217</v>
      </c>
      <c r="G1220" s="7" t="s">
        <v>38</v>
      </c>
      <c r="H1220" s="7" t="s">
        <v>134</v>
      </c>
      <c r="I1220" s="7" t="s">
        <v>58</v>
      </c>
      <c r="J1220" s="7" t="s">
        <v>323</v>
      </c>
      <c r="K1220" s="7" t="s">
        <v>74</v>
      </c>
      <c r="L1220" s="7" t="s">
        <v>2664</v>
      </c>
      <c r="M1220" s="7" t="s">
        <v>61</v>
      </c>
      <c r="N1220" s="7" t="s">
        <v>31</v>
      </c>
      <c r="O1220" s="7">
        <v>34</v>
      </c>
      <c r="P1220" s="7">
        <v>106.23</v>
      </c>
      <c r="Q1220" s="7">
        <v>63.82</v>
      </c>
      <c r="R1220" s="7">
        <v>3611.81</v>
      </c>
      <c r="S1220" s="7">
        <v>0</v>
      </c>
      <c r="T1220" s="7">
        <v>0</v>
      </c>
      <c r="U1220" s="7">
        <v>3611.81</v>
      </c>
      <c r="V1220" s="7">
        <v>2169.83</v>
      </c>
      <c r="W1220" s="7">
        <v>1441.98</v>
      </c>
      <c r="X1220" s="7" t="s">
        <v>45</v>
      </c>
    </row>
    <row r="1221" spans="1:24" x14ac:dyDescent="0.25">
      <c r="A1221" s="16" t="s">
        <v>1726</v>
      </c>
      <c r="B1221" s="17">
        <v>45602</v>
      </c>
      <c r="C1221" s="6" t="s">
        <v>902</v>
      </c>
      <c r="D1221" s="6" t="s">
        <v>35</v>
      </c>
      <c r="E1221" s="6" t="s">
        <v>93</v>
      </c>
      <c r="F1221" s="6" t="s">
        <v>94</v>
      </c>
      <c r="G1221" s="6" t="s">
        <v>95</v>
      </c>
      <c r="H1221" s="6" t="s">
        <v>96</v>
      </c>
      <c r="I1221" s="6" t="s">
        <v>452</v>
      </c>
      <c r="J1221" s="6" t="s">
        <v>211</v>
      </c>
      <c r="K1221" s="6" t="s">
        <v>74</v>
      </c>
      <c r="L1221" s="6" t="s">
        <v>2664</v>
      </c>
      <c r="M1221" s="6" t="s">
        <v>43</v>
      </c>
      <c r="N1221" s="6" t="s">
        <v>31</v>
      </c>
      <c r="O1221" s="6">
        <v>34</v>
      </c>
      <c r="P1221" s="6">
        <v>55.13</v>
      </c>
      <c r="Q1221" s="6">
        <v>32.18</v>
      </c>
      <c r="R1221" s="6">
        <v>1874.49</v>
      </c>
      <c r="S1221" s="6">
        <v>0.02</v>
      </c>
      <c r="T1221" s="6">
        <v>37.49</v>
      </c>
      <c r="U1221" s="6">
        <v>1837</v>
      </c>
      <c r="V1221" s="6">
        <v>1094.19</v>
      </c>
      <c r="W1221" s="6">
        <v>742.81</v>
      </c>
      <c r="X1221" s="6" t="s">
        <v>32</v>
      </c>
    </row>
    <row r="1222" spans="1:24" x14ac:dyDescent="0.25">
      <c r="A1222" s="5" t="s">
        <v>1727</v>
      </c>
      <c r="B1222" s="18">
        <v>45596</v>
      </c>
      <c r="C1222" s="7" t="s">
        <v>1317</v>
      </c>
      <c r="D1222" s="7" t="s">
        <v>35</v>
      </c>
      <c r="E1222" s="7" t="s">
        <v>222</v>
      </c>
      <c r="F1222" s="7" t="s">
        <v>223</v>
      </c>
      <c r="G1222" s="7" t="s">
        <v>101</v>
      </c>
      <c r="H1222" s="7" t="s">
        <v>68</v>
      </c>
      <c r="I1222" s="7" t="s">
        <v>88</v>
      </c>
      <c r="J1222" s="7" t="s">
        <v>173</v>
      </c>
      <c r="K1222" s="7" t="s">
        <v>42</v>
      </c>
      <c r="L1222" s="7" t="s">
        <v>2661</v>
      </c>
      <c r="M1222" s="7" t="s">
        <v>61</v>
      </c>
      <c r="N1222" s="7" t="s">
        <v>31</v>
      </c>
      <c r="O1222" s="7">
        <v>67</v>
      </c>
      <c r="P1222" s="7">
        <v>122.23</v>
      </c>
      <c r="Q1222" s="7">
        <v>78.709999999999994</v>
      </c>
      <c r="R1222" s="7">
        <v>8189.61</v>
      </c>
      <c r="S1222" s="7">
        <v>0.15</v>
      </c>
      <c r="T1222" s="7">
        <v>1228.44</v>
      </c>
      <c r="U1222" s="7">
        <v>6961.17</v>
      </c>
      <c r="V1222" s="7">
        <v>5273.56</v>
      </c>
      <c r="W1222" s="7">
        <v>1687.61</v>
      </c>
      <c r="X1222" s="7" t="s">
        <v>45</v>
      </c>
    </row>
    <row r="1223" spans="1:24" x14ac:dyDescent="0.25">
      <c r="A1223" s="16" t="s">
        <v>1728</v>
      </c>
      <c r="B1223" s="17">
        <v>45425</v>
      </c>
      <c r="C1223" s="6" t="s">
        <v>711</v>
      </c>
      <c r="D1223" s="6" t="s">
        <v>57</v>
      </c>
      <c r="E1223" s="6" t="s">
        <v>165</v>
      </c>
      <c r="F1223" s="6" t="s">
        <v>166</v>
      </c>
      <c r="G1223" s="6" t="s">
        <v>95</v>
      </c>
      <c r="H1223" s="6" t="s">
        <v>167</v>
      </c>
      <c r="I1223" s="6" t="s">
        <v>27</v>
      </c>
      <c r="J1223" s="6" t="s">
        <v>106</v>
      </c>
      <c r="K1223" s="6" t="s">
        <v>144</v>
      </c>
      <c r="L1223" s="6" t="s">
        <v>2669</v>
      </c>
      <c r="M1223" s="6" t="s">
        <v>43</v>
      </c>
      <c r="N1223" s="6" t="s">
        <v>31</v>
      </c>
      <c r="O1223" s="6">
        <v>43</v>
      </c>
      <c r="P1223" s="6">
        <v>39.58</v>
      </c>
      <c r="Q1223" s="6">
        <v>25.68</v>
      </c>
      <c r="R1223" s="6">
        <v>1702.07</v>
      </c>
      <c r="S1223" s="6">
        <v>0.15</v>
      </c>
      <c r="T1223" s="6">
        <v>255.31</v>
      </c>
      <c r="U1223" s="6">
        <v>1446.76</v>
      </c>
      <c r="V1223" s="6">
        <v>1104.44</v>
      </c>
      <c r="W1223" s="6">
        <v>342.32</v>
      </c>
      <c r="X1223" s="6" t="s">
        <v>45</v>
      </c>
    </row>
    <row r="1224" spans="1:24" x14ac:dyDescent="0.25">
      <c r="A1224" s="5" t="s">
        <v>1729</v>
      </c>
      <c r="B1224" s="18">
        <v>45402</v>
      </c>
      <c r="C1224" s="7" t="s">
        <v>707</v>
      </c>
      <c r="D1224" s="7" t="s">
        <v>65</v>
      </c>
      <c r="E1224" s="7" t="s">
        <v>216</v>
      </c>
      <c r="F1224" s="7" t="s">
        <v>217</v>
      </c>
      <c r="G1224" s="7" t="s">
        <v>38</v>
      </c>
      <c r="H1224" s="7" t="s">
        <v>134</v>
      </c>
      <c r="I1224" s="7" t="s">
        <v>27</v>
      </c>
      <c r="J1224" s="7" t="s">
        <v>211</v>
      </c>
      <c r="K1224" s="7" t="s">
        <v>90</v>
      </c>
      <c r="L1224" s="7" t="s">
        <v>2666</v>
      </c>
      <c r="M1224" s="7" t="s">
        <v>30</v>
      </c>
      <c r="N1224" s="7" t="s">
        <v>70</v>
      </c>
      <c r="O1224" s="7">
        <v>59</v>
      </c>
      <c r="P1224" s="7">
        <v>109.13</v>
      </c>
      <c r="Q1224" s="7">
        <v>62.85</v>
      </c>
      <c r="R1224" s="7">
        <v>6438.95</v>
      </c>
      <c r="S1224" s="7">
        <v>0.02</v>
      </c>
      <c r="T1224" s="7">
        <v>128.78</v>
      </c>
      <c r="U1224" s="7">
        <v>6310.17</v>
      </c>
      <c r="V1224" s="7">
        <v>3708.38</v>
      </c>
      <c r="W1224" s="7">
        <v>2601.79</v>
      </c>
      <c r="X1224" s="7" t="s">
        <v>129</v>
      </c>
    </row>
    <row r="1225" spans="1:24" x14ac:dyDescent="0.25">
      <c r="A1225" s="16" t="s">
        <v>1730</v>
      </c>
      <c r="B1225" s="17">
        <v>45547</v>
      </c>
      <c r="C1225" s="6" t="s">
        <v>1431</v>
      </c>
      <c r="D1225" s="6" t="s">
        <v>264</v>
      </c>
      <c r="E1225" s="6" t="s">
        <v>132</v>
      </c>
      <c r="F1225" s="6" t="s">
        <v>133</v>
      </c>
      <c r="G1225" s="6" t="s">
        <v>51</v>
      </c>
      <c r="H1225" s="6" t="s">
        <v>134</v>
      </c>
      <c r="I1225" s="6" t="s">
        <v>53</v>
      </c>
      <c r="J1225" s="6" t="s">
        <v>232</v>
      </c>
      <c r="K1225" s="6" t="s">
        <v>248</v>
      </c>
      <c r="L1225" s="6" t="s">
        <v>2675</v>
      </c>
      <c r="M1225" s="6" t="s">
        <v>153</v>
      </c>
      <c r="N1225" s="6" t="s">
        <v>31</v>
      </c>
      <c r="O1225" s="6">
        <v>29</v>
      </c>
      <c r="P1225" s="6">
        <v>56.61</v>
      </c>
      <c r="Q1225" s="6">
        <v>33.14</v>
      </c>
      <c r="R1225" s="6">
        <v>1641.7</v>
      </c>
      <c r="S1225" s="6">
        <v>0.1</v>
      </c>
      <c r="T1225" s="6">
        <v>164.17</v>
      </c>
      <c r="U1225" s="6">
        <v>1477.53</v>
      </c>
      <c r="V1225" s="6">
        <v>961.18</v>
      </c>
      <c r="W1225" s="6">
        <v>516.36</v>
      </c>
      <c r="X1225" s="6" t="s">
        <v>45</v>
      </c>
    </row>
    <row r="1226" spans="1:24" x14ac:dyDescent="0.25">
      <c r="A1226" s="5" t="s">
        <v>1731</v>
      </c>
      <c r="B1226" s="18">
        <v>45407</v>
      </c>
      <c r="C1226" s="7" t="s">
        <v>314</v>
      </c>
      <c r="D1226" s="7" t="s">
        <v>163</v>
      </c>
      <c r="E1226" s="7" t="s">
        <v>109</v>
      </c>
      <c r="F1226" s="7" t="s">
        <v>110</v>
      </c>
      <c r="G1226" s="7" t="s">
        <v>80</v>
      </c>
      <c r="H1226" s="7" t="s">
        <v>81</v>
      </c>
      <c r="I1226" s="7" t="s">
        <v>27</v>
      </c>
      <c r="J1226" s="7" t="s">
        <v>189</v>
      </c>
      <c r="K1226" s="7" t="s">
        <v>261</v>
      </c>
      <c r="L1226" s="7" t="s">
        <v>2677</v>
      </c>
      <c r="M1226" s="7" t="s">
        <v>61</v>
      </c>
      <c r="N1226" s="7" t="s">
        <v>44</v>
      </c>
      <c r="O1226" s="7">
        <v>42</v>
      </c>
      <c r="P1226" s="7">
        <v>124.45</v>
      </c>
      <c r="Q1226" s="7">
        <v>78.5</v>
      </c>
      <c r="R1226" s="7">
        <v>5226.72</v>
      </c>
      <c r="S1226" s="7">
        <v>0.1</v>
      </c>
      <c r="T1226" s="7">
        <v>522.66999999999996</v>
      </c>
      <c r="U1226" s="7">
        <v>4704.05</v>
      </c>
      <c r="V1226" s="7">
        <v>3297.04</v>
      </c>
      <c r="W1226" s="7">
        <v>1407</v>
      </c>
      <c r="X1226" s="7" t="s">
        <v>129</v>
      </c>
    </row>
    <row r="1227" spans="1:24" x14ac:dyDescent="0.25">
      <c r="A1227" s="16" t="s">
        <v>1732</v>
      </c>
      <c r="B1227" s="17">
        <v>45537</v>
      </c>
      <c r="C1227" s="6" t="s">
        <v>938</v>
      </c>
      <c r="D1227" s="6" t="s">
        <v>156</v>
      </c>
      <c r="E1227" s="6" t="s">
        <v>36</v>
      </c>
      <c r="F1227" s="6" t="s">
        <v>37</v>
      </c>
      <c r="G1227" s="6" t="s">
        <v>38</v>
      </c>
      <c r="H1227" s="6" t="s">
        <v>39</v>
      </c>
      <c r="I1227" s="6" t="s">
        <v>40</v>
      </c>
      <c r="J1227" s="6" t="s">
        <v>41</v>
      </c>
      <c r="K1227" s="6" t="s">
        <v>178</v>
      </c>
      <c r="L1227" s="6" t="s">
        <v>256</v>
      </c>
      <c r="M1227" s="6" t="s">
        <v>30</v>
      </c>
      <c r="N1227" s="6" t="s">
        <v>70</v>
      </c>
      <c r="O1227" s="6">
        <v>45</v>
      </c>
      <c r="P1227" s="6">
        <v>165.51</v>
      </c>
      <c r="Q1227" s="6">
        <v>100.71</v>
      </c>
      <c r="R1227" s="6">
        <v>7447.84</v>
      </c>
      <c r="S1227" s="6">
        <v>0</v>
      </c>
      <c r="T1227" s="6">
        <v>0</v>
      </c>
      <c r="U1227" s="6">
        <v>7447.84</v>
      </c>
      <c r="V1227" s="6">
        <v>4531.8100000000004</v>
      </c>
      <c r="W1227" s="6">
        <v>2916.03</v>
      </c>
      <c r="X1227" s="6" t="s">
        <v>32</v>
      </c>
    </row>
    <row r="1228" spans="1:24" x14ac:dyDescent="0.25">
      <c r="A1228" s="5" t="s">
        <v>1733</v>
      </c>
      <c r="B1228" s="18">
        <v>45438</v>
      </c>
      <c r="C1228" s="7" t="s">
        <v>77</v>
      </c>
      <c r="D1228" s="7" t="s">
        <v>22</v>
      </c>
      <c r="E1228" s="7" t="s">
        <v>114</v>
      </c>
      <c r="F1228" s="7" t="s">
        <v>115</v>
      </c>
      <c r="G1228" s="7" t="s">
        <v>95</v>
      </c>
      <c r="H1228" s="7" t="s">
        <v>116</v>
      </c>
      <c r="I1228" s="7" t="s">
        <v>40</v>
      </c>
      <c r="J1228" s="7" t="s">
        <v>82</v>
      </c>
      <c r="K1228" s="7" t="s">
        <v>195</v>
      </c>
      <c r="L1228" s="7" t="s">
        <v>2673</v>
      </c>
      <c r="M1228" s="7" t="s">
        <v>61</v>
      </c>
      <c r="N1228" s="7" t="s">
        <v>44</v>
      </c>
      <c r="O1228" s="7">
        <v>30</v>
      </c>
      <c r="P1228" s="7">
        <v>32.229999999999997</v>
      </c>
      <c r="Q1228" s="7">
        <v>19.86</v>
      </c>
      <c r="R1228" s="7">
        <v>966.85</v>
      </c>
      <c r="S1228" s="7">
        <v>0.15</v>
      </c>
      <c r="T1228" s="7">
        <v>145.03</v>
      </c>
      <c r="U1228" s="7">
        <v>821.82</v>
      </c>
      <c r="V1228" s="7">
        <v>595.80999999999995</v>
      </c>
      <c r="W1228" s="7">
        <v>226.01</v>
      </c>
      <c r="X1228" s="7" t="s">
        <v>45</v>
      </c>
    </row>
    <row r="1229" spans="1:24" x14ac:dyDescent="0.25">
      <c r="A1229" s="16" t="s">
        <v>1734</v>
      </c>
      <c r="B1229" s="17">
        <v>45300</v>
      </c>
      <c r="C1229" s="6" t="s">
        <v>1362</v>
      </c>
      <c r="D1229" s="6" t="s">
        <v>57</v>
      </c>
      <c r="E1229" s="6" t="s">
        <v>222</v>
      </c>
      <c r="F1229" s="6" t="s">
        <v>223</v>
      </c>
      <c r="G1229" s="6" t="s">
        <v>101</v>
      </c>
      <c r="H1229" s="6" t="s">
        <v>68</v>
      </c>
      <c r="I1229" s="6" t="s">
        <v>27</v>
      </c>
      <c r="J1229" s="6" t="s">
        <v>28</v>
      </c>
      <c r="K1229" s="6" t="s">
        <v>29</v>
      </c>
      <c r="L1229" s="6" t="s">
        <v>2660</v>
      </c>
      <c r="M1229" s="6" t="s">
        <v>61</v>
      </c>
      <c r="N1229" s="6" t="s">
        <v>190</v>
      </c>
      <c r="O1229" s="6">
        <v>62</v>
      </c>
      <c r="P1229" s="6">
        <v>118.95</v>
      </c>
      <c r="Q1229" s="6">
        <v>78.180000000000007</v>
      </c>
      <c r="R1229" s="6">
        <v>7374.89</v>
      </c>
      <c r="S1229" s="6">
        <v>0.05</v>
      </c>
      <c r="T1229" s="6">
        <v>368.74</v>
      </c>
      <c r="U1229" s="6">
        <v>7006.15</v>
      </c>
      <c r="V1229" s="6">
        <v>4847.47</v>
      </c>
      <c r="W1229" s="6">
        <v>2158.6799999999998</v>
      </c>
      <c r="X1229" s="6" t="s">
        <v>32</v>
      </c>
    </row>
    <row r="1230" spans="1:24" x14ac:dyDescent="0.25">
      <c r="A1230" s="5" t="s">
        <v>1638</v>
      </c>
      <c r="B1230" s="18">
        <v>45374</v>
      </c>
      <c r="C1230" s="7" t="s">
        <v>1493</v>
      </c>
      <c r="D1230" s="7" t="s">
        <v>159</v>
      </c>
      <c r="E1230" s="7" t="s">
        <v>109</v>
      </c>
      <c r="F1230" s="7" t="s">
        <v>110</v>
      </c>
      <c r="G1230" s="7" t="s">
        <v>80</v>
      </c>
      <c r="H1230" s="7" t="s">
        <v>81</v>
      </c>
      <c r="I1230" s="7" t="s">
        <v>88</v>
      </c>
      <c r="J1230" s="7" t="s">
        <v>173</v>
      </c>
      <c r="K1230" s="7" t="s">
        <v>261</v>
      </c>
      <c r="L1230" s="7" t="s">
        <v>2677</v>
      </c>
      <c r="M1230" s="7" t="s">
        <v>30</v>
      </c>
      <c r="N1230" s="7" t="s">
        <v>70</v>
      </c>
      <c r="O1230" s="7">
        <v>12</v>
      </c>
      <c r="P1230" s="7">
        <v>118.77</v>
      </c>
      <c r="Q1230" s="7">
        <v>76.040000000000006</v>
      </c>
      <c r="R1230" s="7">
        <v>1425.25</v>
      </c>
      <c r="S1230" s="7">
        <v>0.15</v>
      </c>
      <c r="T1230" s="7">
        <v>213.79</v>
      </c>
      <c r="U1230" s="7">
        <v>1211.46</v>
      </c>
      <c r="V1230" s="7">
        <v>912.5</v>
      </c>
      <c r="W1230" s="7">
        <v>298.95999999999998</v>
      </c>
      <c r="X1230" s="7" t="s">
        <v>45</v>
      </c>
    </row>
    <row r="1231" spans="1:24" x14ac:dyDescent="0.25">
      <c r="A1231" s="16" t="s">
        <v>1735</v>
      </c>
      <c r="B1231" s="17">
        <v>45355</v>
      </c>
      <c r="C1231" s="6" t="s">
        <v>124</v>
      </c>
      <c r="D1231" s="6" t="s">
        <v>125</v>
      </c>
      <c r="E1231" s="6" t="s">
        <v>109</v>
      </c>
      <c r="F1231" s="6" t="s">
        <v>110</v>
      </c>
      <c r="G1231" s="6" t="s">
        <v>80</v>
      </c>
      <c r="H1231" s="6" t="s">
        <v>81</v>
      </c>
      <c r="I1231" s="6" t="s">
        <v>88</v>
      </c>
      <c r="J1231" s="6" t="s">
        <v>173</v>
      </c>
      <c r="K1231" s="6" t="s">
        <v>248</v>
      </c>
      <c r="L1231" s="6" t="s">
        <v>2675</v>
      </c>
      <c r="M1231" s="6" t="s">
        <v>43</v>
      </c>
      <c r="N1231" s="6" t="s">
        <v>75</v>
      </c>
      <c r="O1231" s="6">
        <v>60</v>
      </c>
      <c r="P1231" s="6">
        <v>120.26</v>
      </c>
      <c r="Q1231" s="6">
        <v>72.34</v>
      </c>
      <c r="R1231" s="6">
        <v>7215.74</v>
      </c>
      <c r="S1231" s="6">
        <v>0.05</v>
      </c>
      <c r="T1231" s="6">
        <v>360.79</v>
      </c>
      <c r="U1231" s="6">
        <v>6854.95</v>
      </c>
      <c r="V1231" s="6">
        <v>4340.6400000000003</v>
      </c>
      <c r="W1231" s="6">
        <v>2514.31</v>
      </c>
      <c r="X1231" s="6" t="s">
        <v>129</v>
      </c>
    </row>
    <row r="1232" spans="1:24" x14ac:dyDescent="0.25">
      <c r="A1232" s="5" t="s">
        <v>1736</v>
      </c>
      <c r="B1232" s="18">
        <v>45642</v>
      </c>
      <c r="C1232" s="7" t="s">
        <v>367</v>
      </c>
      <c r="D1232" s="7" t="s">
        <v>105</v>
      </c>
      <c r="E1232" s="7" t="s">
        <v>250</v>
      </c>
      <c r="F1232" s="7" t="s">
        <v>251</v>
      </c>
      <c r="G1232" s="7" t="s">
        <v>51</v>
      </c>
      <c r="H1232" s="7" t="s">
        <v>252</v>
      </c>
      <c r="I1232" s="7" t="s">
        <v>27</v>
      </c>
      <c r="J1232" s="7" t="s">
        <v>106</v>
      </c>
      <c r="K1232" s="7" t="s">
        <v>118</v>
      </c>
      <c r="L1232" s="7" t="s">
        <v>2668</v>
      </c>
      <c r="M1232" s="7" t="s">
        <v>153</v>
      </c>
      <c r="N1232" s="7" t="s">
        <v>44</v>
      </c>
      <c r="O1232" s="7">
        <v>77</v>
      </c>
      <c r="P1232" s="7">
        <v>62.17</v>
      </c>
      <c r="Q1232" s="7">
        <v>37.56</v>
      </c>
      <c r="R1232" s="7">
        <v>4787.13</v>
      </c>
      <c r="S1232" s="7">
        <v>0</v>
      </c>
      <c r="T1232" s="7">
        <v>0</v>
      </c>
      <c r="U1232" s="7">
        <v>4787.13</v>
      </c>
      <c r="V1232" s="7">
        <v>2891.87</v>
      </c>
      <c r="W1232" s="7">
        <v>1895.26</v>
      </c>
      <c r="X1232" s="7" t="s">
        <v>45</v>
      </c>
    </row>
    <row r="1233" spans="1:24" x14ac:dyDescent="0.25">
      <c r="A1233" s="16" t="s">
        <v>1737</v>
      </c>
      <c r="B1233" s="17">
        <v>45448</v>
      </c>
      <c r="C1233" s="6" t="s">
        <v>567</v>
      </c>
      <c r="D1233" s="6" t="s">
        <v>22</v>
      </c>
      <c r="E1233" s="6" t="s">
        <v>66</v>
      </c>
      <c r="F1233" s="6" t="s">
        <v>67</v>
      </c>
      <c r="G1233" s="6" t="s">
        <v>38</v>
      </c>
      <c r="H1233" s="6" t="s">
        <v>68</v>
      </c>
      <c r="I1233" s="6" t="s">
        <v>58</v>
      </c>
      <c r="J1233" s="6" t="s">
        <v>323</v>
      </c>
      <c r="K1233" s="6" t="s">
        <v>29</v>
      </c>
      <c r="L1233" s="6" t="s">
        <v>2660</v>
      </c>
      <c r="M1233" s="6" t="s">
        <v>61</v>
      </c>
      <c r="N1233" s="6" t="s">
        <v>44</v>
      </c>
      <c r="O1233" s="6">
        <v>59</v>
      </c>
      <c r="P1233" s="6">
        <v>158.44999999999999</v>
      </c>
      <c r="Q1233" s="6">
        <v>97.44</v>
      </c>
      <c r="R1233" s="6">
        <v>9348.64</v>
      </c>
      <c r="S1233" s="6">
        <v>0.02</v>
      </c>
      <c r="T1233" s="6">
        <v>186.97</v>
      </c>
      <c r="U1233" s="6">
        <v>9161.67</v>
      </c>
      <c r="V1233" s="6">
        <v>5748.86</v>
      </c>
      <c r="W1233" s="6">
        <v>3412.81</v>
      </c>
      <c r="X1233" s="6" t="s">
        <v>32</v>
      </c>
    </row>
    <row r="1234" spans="1:24" x14ac:dyDescent="0.25">
      <c r="A1234" s="5" t="s">
        <v>1738</v>
      </c>
      <c r="B1234" s="18">
        <v>45470</v>
      </c>
      <c r="C1234" s="7" t="s">
        <v>1013</v>
      </c>
      <c r="D1234" s="7" t="s">
        <v>48</v>
      </c>
      <c r="E1234" s="7" t="s">
        <v>66</v>
      </c>
      <c r="F1234" s="7" t="s">
        <v>67</v>
      </c>
      <c r="G1234" s="7" t="s">
        <v>38</v>
      </c>
      <c r="H1234" s="7" t="s">
        <v>68</v>
      </c>
      <c r="I1234" s="7" t="s">
        <v>40</v>
      </c>
      <c r="J1234" s="7" t="s">
        <v>41</v>
      </c>
      <c r="K1234" s="7" t="s">
        <v>261</v>
      </c>
      <c r="L1234" s="7" t="s">
        <v>2677</v>
      </c>
      <c r="M1234" s="7" t="s">
        <v>43</v>
      </c>
      <c r="N1234" s="7" t="s">
        <v>31</v>
      </c>
      <c r="O1234" s="7">
        <v>71</v>
      </c>
      <c r="P1234" s="7">
        <v>149.15</v>
      </c>
      <c r="Q1234" s="7">
        <v>100.25</v>
      </c>
      <c r="R1234" s="7">
        <v>10589.77</v>
      </c>
      <c r="S1234" s="7">
        <v>0.02</v>
      </c>
      <c r="T1234" s="7">
        <v>211.8</v>
      </c>
      <c r="U1234" s="7">
        <v>10377.98</v>
      </c>
      <c r="V1234" s="7">
        <v>7117.83</v>
      </c>
      <c r="W1234" s="7">
        <v>3260.15</v>
      </c>
      <c r="X1234" s="7" t="s">
        <v>32</v>
      </c>
    </row>
    <row r="1235" spans="1:24" x14ac:dyDescent="0.25">
      <c r="A1235" s="16" t="s">
        <v>1739</v>
      </c>
      <c r="B1235" s="17">
        <v>45562</v>
      </c>
      <c r="C1235" s="6" t="s">
        <v>572</v>
      </c>
      <c r="D1235" s="6" t="s">
        <v>57</v>
      </c>
      <c r="E1235" s="6" t="s">
        <v>150</v>
      </c>
      <c r="F1235" s="6" t="s">
        <v>151</v>
      </c>
      <c r="G1235" s="6" t="s">
        <v>101</v>
      </c>
      <c r="H1235" s="6" t="s">
        <v>134</v>
      </c>
      <c r="I1235" s="6" t="s">
        <v>40</v>
      </c>
      <c r="J1235" s="6" t="s">
        <v>82</v>
      </c>
      <c r="K1235" s="6" t="s">
        <v>170</v>
      </c>
      <c r="L1235" s="6" t="s">
        <v>2671</v>
      </c>
      <c r="M1235" s="6" t="s">
        <v>43</v>
      </c>
      <c r="N1235" s="6" t="s">
        <v>84</v>
      </c>
      <c r="O1235" s="6">
        <v>17</v>
      </c>
      <c r="P1235" s="6">
        <v>91.61</v>
      </c>
      <c r="Q1235" s="6">
        <v>53.07</v>
      </c>
      <c r="R1235" s="6">
        <v>1557.36</v>
      </c>
      <c r="S1235" s="6">
        <v>0.2</v>
      </c>
      <c r="T1235" s="6">
        <v>311.47000000000003</v>
      </c>
      <c r="U1235" s="6">
        <v>1245.8900000000001</v>
      </c>
      <c r="V1235" s="6">
        <v>902.15</v>
      </c>
      <c r="W1235" s="6">
        <v>343.74</v>
      </c>
      <c r="X1235" s="6" t="s">
        <v>45</v>
      </c>
    </row>
    <row r="1236" spans="1:24" x14ac:dyDescent="0.25">
      <c r="A1236" s="5" t="s">
        <v>1740</v>
      </c>
      <c r="B1236" s="18">
        <v>45478</v>
      </c>
      <c r="C1236" s="7" t="s">
        <v>392</v>
      </c>
      <c r="D1236" s="7" t="s">
        <v>393</v>
      </c>
      <c r="E1236" s="7" t="s">
        <v>126</v>
      </c>
      <c r="F1236" s="7" t="s">
        <v>127</v>
      </c>
      <c r="G1236" s="7" t="s">
        <v>95</v>
      </c>
      <c r="H1236" s="7" t="s">
        <v>128</v>
      </c>
      <c r="I1236" s="7" t="s">
        <v>53</v>
      </c>
      <c r="J1236" s="7" t="s">
        <v>232</v>
      </c>
      <c r="K1236" s="7" t="s">
        <v>111</v>
      </c>
      <c r="L1236" s="7" t="s">
        <v>2667</v>
      </c>
      <c r="M1236" s="7" t="s">
        <v>153</v>
      </c>
      <c r="N1236" s="7" t="s">
        <v>44</v>
      </c>
      <c r="O1236" s="7">
        <v>48</v>
      </c>
      <c r="P1236" s="7">
        <v>83.24</v>
      </c>
      <c r="Q1236" s="7">
        <v>49.08</v>
      </c>
      <c r="R1236" s="7">
        <v>3995.48</v>
      </c>
      <c r="S1236" s="7">
        <v>0.05</v>
      </c>
      <c r="T1236" s="7">
        <v>199.77</v>
      </c>
      <c r="U1236" s="7">
        <v>3795.71</v>
      </c>
      <c r="V1236" s="7">
        <v>2355.6799999999998</v>
      </c>
      <c r="W1236" s="7">
        <v>1440.03</v>
      </c>
      <c r="X1236" s="7" t="s">
        <v>45</v>
      </c>
    </row>
    <row r="1237" spans="1:24" x14ac:dyDescent="0.25">
      <c r="A1237" s="16" t="s">
        <v>1741</v>
      </c>
      <c r="B1237" s="17">
        <v>45376</v>
      </c>
      <c r="C1237" s="6" t="s">
        <v>600</v>
      </c>
      <c r="D1237" s="6" t="s">
        <v>87</v>
      </c>
      <c r="E1237" s="6" t="s">
        <v>222</v>
      </c>
      <c r="F1237" s="6" t="s">
        <v>223</v>
      </c>
      <c r="G1237" s="6" t="s">
        <v>101</v>
      </c>
      <c r="H1237" s="6" t="s">
        <v>68</v>
      </c>
      <c r="I1237" s="6" t="s">
        <v>58</v>
      </c>
      <c r="J1237" s="6" t="s">
        <v>73</v>
      </c>
      <c r="K1237" s="6" t="s">
        <v>90</v>
      </c>
      <c r="L1237" s="6" t="s">
        <v>2666</v>
      </c>
      <c r="M1237" s="6" t="s">
        <v>61</v>
      </c>
      <c r="N1237" s="6" t="s">
        <v>31</v>
      </c>
      <c r="O1237" s="6">
        <v>40</v>
      </c>
      <c r="P1237" s="6">
        <v>115.76</v>
      </c>
      <c r="Q1237" s="6">
        <v>79.78</v>
      </c>
      <c r="R1237" s="6">
        <v>4630.4799999999996</v>
      </c>
      <c r="S1237" s="6">
        <v>0.15</v>
      </c>
      <c r="T1237" s="6">
        <v>694.57</v>
      </c>
      <c r="U1237" s="6">
        <v>3935.91</v>
      </c>
      <c r="V1237" s="6">
        <v>3191.33</v>
      </c>
      <c r="W1237" s="6">
        <v>744.58</v>
      </c>
      <c r="X1237" s="6" t="s">
        <v>45</v>
      </c>
    </row>
    <row r="1238" spans="1:24" x14ac:dyDescent="0.25">
      <c r="A1238" s="5" t="s">
        <v>1742</v>
      </c>
      <c r="B1238" s="18">
        <v>45482</v>
      </c>
      <c r="C1238" s="7" t="s">
        <v>475</v>
      </c>
      <c r="D1238" s="7" t="s">
        <v>57</v>
      </c>
      <c r="E1238" s="7" t="s">
        <v>23</v>
      </c>
      <c r="F1238" s="7" t="s">
        <v>24</v>
      </c>
      <c r="G1238" s="7" t="s">
        <v>25</v>
      </c>
      <c r="H1238" s="7" t="s">
        <v>26</v>
      </c>
      <c r="I1238" s="7" t="s">
        <v>53</v>
      </c>
      <c r="J1238" s="7" t="s">
        <v>54</v>
      </c>
      <c r="K1238" s="7" t="s">
        <v>248</v>
      </c>
      <c r="L1238" s="7" t="s">
        <v>2675</v>
      </c>
      <c r="M1238" s="7" t="s">
        <v>43</v>
      </c>
      <c r="N1238" s="7" t="s">
        <v>31</v>
      </c>
      <c r="O1238" s="7">
        <v>34</v>
      </c>
      <c r="P1238" s="7">
        <v>73.61</v>
      </c>
      <c r="Q1238" s="7">
        <v>44.31</v>
      </c>
      <c r="R1238" s="7">
        <v>2502.63</v>
      </c>
      <c r="S1238" s="7">
        <v>0.15</v>
      </c>
      <c r="T1238" s="7">
        <v>375.39</v>
      </c>
      <c r="U1238" s="7">
        <v>2127.23</v>
      </c>
      <c r="V1238" s="7">
        <v>1506.42</v>
      </c>
      <c r="W1238" s="7">
        <v>620.80999999999995</v>
      </c>
      <c r="X1238" s="7" t="s">
        <v>45</v>
      </c>
    </row>
    <row r="1239" spans="1:24" x14ac:dyDescent="0.25">
      <c r="A1239" s="16" t="s">
        <v>1743</v>
      </c>
      <c r="B1239" s="17">
        <v>45455</v>
      </c>
      <c r="C1239" s="6" t="s">
        <v>1744</v>
      </c>
      <c r="D1239" s="6" t="s">
        <v>121</v>
      </c>
      <c r="E1239" s="6" t="s">
        <v>126</v>
      </c>
      <c r="F1239" s="6" t="s">
        <v>127</v>
      </c>
      <c r="G1239" s="6" t="s">
        <v>95</v>
      </c>
      <c r="H1239" s="6" t="s">
        <v>128</v>
      </c>
      <c r="I1239" s="6" t="s">
        <v>27</v>
      </c>
      <c r="J1239" s="6" t="s">
        <v>189</v>
      </c>
      <c r="K1239" s="6" t="s">
        <v>152</v>
      </c>
      <c r="L1239" s="6" t="s">
        <v>2670</v>
      </c>
      <c r="M1239" s="6" t="s">
        <v>43</v>
      </c>
      <c r="N1239" s="6" t="s">
        <v>44</v>
      </c>
      <c r="O1239" s="6">
        <v>76</v>
      </c>
      <c r="P1239" s="6">
        <v>93.3</v>
      </c>
      <c r="Q1239" s="6">
        <v>56.96</v>
      </c>
      <c r="R1239" s="6">
        <v>7090.99</v>
      </c>
      <c r="S1239" s="6">
        <v>0.05</v>
      </c>
      <c r="T1239" s="6">
        <v>354.55</v>
      </c>
      <c r="U1239" s="6">
        <v>6736.45</v>
      </c>
      <c r="V1239" s="6">
        <v>4328.87</v>
      </c>
      <c r="W1239" s="6">
        <v>2407.5700000000002</v>
      </c>
      <c r="X1239" s="6" t="s">
        <v>45</v>
      </c>
    </row>
    <row r="1240" spans="1:24" x14ac:dyDescent="0.25">
      <c r="A1240" s="5" t="s">
        <v>1745</v>
      </c>
      <c r="B1240" s="18">
        <v>45328</v>
      </c>
      <c r="C1240" s="7" t="s">
        <v>499</v>
      </c>
      <c r="D1240" s="7" t="s">
        <v>87</v>
      </c>
      <c r="E1240" s="7" t="s">
        <v>132</v>
      </c>
      <c r="F1240" s="7" t="s">
        <v>133</v>
      </c>
      <c r="G1240" s="7" t="s">
        <v>51</v>
      </c>
      <c r="H1240" s="7" t="s">
        <v>134</v>
      </c>
      <c r="I1240" s="7" t="s">
        <v>27</v>
      </c>
      <c r="J1240" s="7" t="s">
        <v>106</v>
      </c>
      <c r="K1240" s="7" t="s">
        <v>265</v>
      </c>
      <c r="L1240" s="7" t="s">
        <v>2678</v>
      </c>
      <c r="M1240" s="7" t="s">
        <v>30</v>
      </c>
      <c r="N1240" s="7" t="s">
        <v>75</v>
      </c>
      <c r="O1240" s="7">
        <v>54</v>
      </c>
      <c r="P1240" s="7">
        <v>56.54</v>
      </c>
      <c r="Q1240" s="7">
        <v>32.79</v>
      </c>
      <c r="R1240" s="7">
        <v>3053.39</v>
      </c>
      <c r="S1240" s="7">
        <v>0.15</v>
      </c>
      <c r="T1240" s="7">
        <v>458.01</v>
      </c>
      <c r="U1240" s="7">
        <v>2595.38</v>
      </c>
      <c r="V1240" s="7">
        <v>1770.44</v>
      </c>
      <c r="W1240" s="7">
        <v>824.94</v>
      </c>
      <c r="X1240" s="7" t="s">
        <v>45</v>
      </c>
    </row>
    <row r="1241" spans="1:24" x14ac:dyDescent="0.25">
      <c r="A1241" s="16" t="s">
        <v>1746</v>
      </c>
      <c r="B1241" s="17">
        <v>45357</v>
      </c>
      <c r="C1241" s="6" t="s">
        <v>1469</v>
      </c>
      <c r="D1241" s="6" t="s">
        <v>121</v>
      </c>
      <c r="E1241" s="6" t="s">
        <v>36</v>
      </c>
      <c r="F1241" s="6" t="s">
        <v>37</v>
      </c>
      <c r="G1241" s="6" t="s">
        <v>38</v>
      </c>
      <c r="H1241" s="6" t="s">
        <v>39</v>
      </c>
      <c r="I1241" s="6" t="s">
        <v>88</v>
      </c>
      <c r="J1241" s="6" t="s">
        <v>183</v>
      </c>
      <c r="K1241" s="6" t="s">
        <v>195</v>
      </c>
      <c r="L1241" s="6" t="s">
        <v>2673</v>
      </c>
      <c r="M1241" s="6" t="s">
        <v>153</v>
      </c>
      <c r="N1241" s="6" t="s">
        <v>84</v>
      </c>
      <c r="O1241" s="6">
        <v>16</v>
      </c>
      <c r="P1241" s="6">
        <v>162.41999999999999</v>
      </c>
      <c r="Q1241" s="6">
        <v>105.09</v>
      </c>
      <c r="R1241" s="6">
        <v>2598.7800000000002</v>
      </c>
      <c r="S1241" s="6">
        <v>0.2</v>
      </c>
      <c r="T1241" s="6">
        <v>519.76</v>
      </c>
      <c r="U1241" s="6">
        <v>2079.02</v>
      </c>
      <c r="V1241" s="6">
        <v>1681.47</v>
      </c>
      <c r="W1241" s="6">
        <v>397.55</v>
      </c>
      <c r="X1241" s="6" t="s">
        <v>45</v>
      </c>
    </row>
    <row r="1242" spans="1:24" x14ac:dyDescent="0.25">
      <c r="A1242" s="5" t="s">
        <v>1747</v>
      </c>
      <c r="B1242" s="18">
        <v>45380</v>
      </c>
      <c r="C1242" s="7" t="s">
        <v>1368</v>
      </c>
      <c r="D1242" s="7" t="s">
        <v>22</v>
      </c>
      <c r="E1242" s="7" t="s">
        <v>114</v>
      </c>
      <c r="F1242" s="7" t="s">
        <v>115</v>
      </c>
      <c r="G1242" s="7" t="s">
        <v>95</v>
      </c>
      <c r="H1242" s="7" t="s">
        <v>116</v>
      </c>
      <c r="I1242" s="7" t="s">
        <v>40</v>
      </c>
      <c r="J1242" s="7" t="s">
        <v>41</v>
      </c>
      <c r="K1242" s="7" t="s">
        <v>253</v>
      </c>
      <c r="L1242" s="7" t="s">
        <v>2676</v>
      </c>
      <c r="M1242" s="7" t="s">
        <v>30</v>
      </c>
      <c r="N1242" s="7" t="s">
        <v>44</v>
      </c>
      <c r="O1242" s="7">
        <v>5</v>
      </c>
      <c r="P1242" s="7">
        <v>33.29</v>
      </c>
      <c r="Q1242" s="7">
        <v>20.96</v>
      </c>
      <c r="R1242" s="7">
        <v>166.46</v>
      </c>
      <c r="S1242" s="7">
        <v>0</v>
      </c>
      <c r="T1242" s="7">
        <v>0</v>
      </c>
      <c r="U1242" s="7">
        <v>166.46</v>
      </c>
      <c r="V1242" s="7">
        <v>104.82</v>
      </c>
      <c r="W1242" s="7">
        <v>61.64</v>
      </c>
      <c r="X1242" s="7" t="s">
        <v>129</v>
      </c>
    </row>
    <row r="1243" spans="1:24" x14ac:dyDescent="0.25">
      <c r="A1243" s="16" t="s">
        <v>1748</v>
      </c>
      <c r="B1243" s="17">
        <v>45412</v>
      </c>
      <c r="C1243" s="6" t="s">
        <v>531</v>
      </c>
      <c r="D1243" s="6" t="s">
        <v>264</v>
      </c>
      <c r="E1243" s="6" t="s">
        <v>126</v>
      </c>
      <c r="F1243" s="6" t="s">
        <v>127</v>
      </c>
      <c r="G1243" s="6" t="s">
        <v>95</v>
      </c>
      <c r="H1243" s="6" t="s">
        <v>128</v>
      </c>
      <c r="I1243" s="6" t="s">
        <v>431</v>
      </c>
      <c r="J1243" s="6" t="s">
        <v>173</v>
      </c>
      <c r="K1243" s="6" t="s">
        <v>253</v>
      </c>
      <c r="L1243" s="6" t="s">
        <v>2676</v>
      </c>
      <c r="M1243" s="6" t="s">
        <v>61</v>
      </c>
      <c r="N1243" s="6" t="s">
        <v>70</v>
      </c>
      <c r="O1243" s="6">
        <v>63</v>
      </c>
      <c r="P1243" s="6">
        <v>95.11</v>
      </c>
      <c r="Q1243" s="6">
        <v>56.24</v>
      </c>
      <c r="R1243" s="6">
        <v>5992.03</v>
      </c>
      <c r="S1243" s="6">
        <v>0.1</v>
      </c>
      <c r="T1243" s="6">
        <v>599.20000000000005</v>
      </c>
      <c r="U1243" s="6">
        <v>5392.83</v>
      </c>
      <c r="V1243" s="6">
        <v>3543.38</v>
      </c>
      <c r="W1243" s="6">
        <v>1849.45</v>
      </c>
      <c r="X1243" s="6" t="s">
        <v>45</v>
      </c>
    </row>
    <row r="1244" spans="1:24" x14ac:dyDescent="0.25">
      <c r="A1244" s="5" t="s">
        <v>1749</v>
      </c>
      <c r="B1244" s="18">
        <v>45434</v>
      </c>
      <c r="C1244" s="7" t="s">
        <v>442</v>
      </c>
      <c r="D1244" s="7" t="s">
        <v>87</v>
      </c>
      <c r="E1244" s="7" t="s">
        <v>216</v>
      </c>
      <c r="F1244" s="7" t="s">
        <v>217</v>
      </c>
      <c r="G1244" s="7" t="s">
        <v>38</v>
      </c>
      <c r="H1244" s="7" t="s">
        <v>134</v>
      </c>
      <c r="I1244" s="7" t="s">
        <v>88</v>
      </c>
      <c r="J1244" s="7" t="s">
        <v>89</v>
      </c>
      <c r="K1244" s="7" t="s">
        <v>69</v>
      </c>
      <c r="L1244" s="7" t="s">
        <v>2663</v>
      </c>
      <c r="M1244" s="7" t="s">
        <v>153</v>
      </c>
      <c r="N1244" s="7" t="s">
        <v>31</v>
      </c>
      <c r="O1244" s="7">
        <v>78</v>
      </c>
      <c r="P1244" s="7">
        <v>114.38</v>
      </c>
      <c r="Q1244" s="7">
        <v>65.040000000000006</v>
      </c>
      <c r="R1244" s="7">
        <v>8921.34</v>
      </c>
      <c r="S1244" s="7">
        <v>0.2</v>
      </c>
      <c r="T1244" s="7">
        <v>1784.27</v>
      </c>
      <c r="U1244" s="7">
        <v>7137.07</v>
      </c>
      <c r="V1244" s="7">
        <v>5073.47</v>
      </c>
      <c r="W1244" s="7">
        <v>2063.6</v>
      </c>
      <c r="X1244" s="7" t="s">
        <v>45</v>
      </c>
    </row>
    <row r="1245" spans="1:24" x14ac:dyDescent="0.25">
      <c r="A1245" s="16" t="s">
        <v>1750</v>
      </c>
      <c r="B1245" s="17">
        <v>45363</v>
      </c>
      <c r="C1245" s="6" t="s">
        <v>524</v>
      </c>
      <c r="D1245" s="6" t="s">
        <v>125</v>
      </c>
      <c r="E1245" s="6" t="s">
        <v>126</v>
      </c>
      <c r="F1245" s="6" t="s">
        <v>127</v>
      </c>
      <c r="G1245" s="6" t="s">
        <v>95</v>
      </c>
      <c r="H1245" s="6" t="s">
        <v>128</v>
      </c>
      <c r="I1245" s="6" t="s">
        <v>88</v>
      </c>
      <c r="J1245" s="6" t="s">
        <v>183</v>
      </c>
      <c r="K1245" s="6" t="s">
        <v>253</v>
      </c>
      <c r="L1245" s="6" t="s">
        <v>2676</v>
      </c>
      <c r="M1245" s="6" t="s">
        <v>153</v>
      </c>
      <c r="N1245" s="6" t="s">
        <v>44</v>
      </c>
      <c r="O1245" s="6">
        <v>32</v>
      </c>
      <c r="P1245" s="6">
        <v>89.02</v>
      </c>
      <c r="Q1245" s="6">
        <v>51.23</v>
      </c>
      <c r="R1245" s="6">
        <v>2848.64</v>
      </c>
      <c r="S1245" s="6">
        <v>0.2</v>
      </c>
      <c r="T1245" s="6">
        <v>569.73</v>
      </c>
      <c r="U1245" s="6">
        <v>2278.91</v>
      </c>
      <c r="V1245" s="6">
        <v>1639.35</v>
      </c>
      <c r="W1245" s="6">
        <v>639.55999999999995</v>
      </c>
      <c r="X1245" s="6" t="s">
        <v>45</v>
      </c>
    </row>
    <row r="1246" spans="1:24" x14ac:dyDescent="0.25">
      <c r="A1246" s="5" t="s">
        <v>1751</v>
      </c>
      <c r="B1246" s="18">
        <v>45384</v>
      </c>
      <c r="C1246" s="7" t="s">
        <v>1036</v>
      </c>
      <c r="D1246" s="7" t="s">
        <v>22</v>
      </c>
      <c r="E1246" s="7" t="s">
        <v>114</v>
      </c>
      <c r="F1246" s="7" t="s">
        <v>115</v>
      </c>
      <c r="G1246" s="7" t="s">
        <v>95</v>
      </c>
      <c r="H1246" s="7" t="s">
        <v>116</v>
      </c>
      <c r="I1246" s="7" t="s">
        <v>88</v>
      </c>
      <c r="J1246" s="7" t="s">
        <v>183</v>
      </c>
      <c r="K1246" s="7" t="s">
        <v>42</v>
      </c>
      <c r="L1246" s="7" t="s">
        <v>2661</v>
      </c>
      <c r="M1246" s="7" t="s">
        <v>43</v>
      </c>
      <c r="N1246" s="7"/>
      <c r="O1246" s="7">
        <v>67</v>
      </c>
      <c r="P1246" s="7">
        <v>32.270000000000003</v>
      </c>
      <c r="Q1246" s="7">
        <v>19.61</v>
      </c>
      <c r="R1246" s="7">
        <v>2162.2800000000002</v>
      </c>
      <c r="S1246" s="7">
        <v>0.1</v>
      </c>
      <c r="T1246" s="7">
        <v>216.23</v>
      </c>
      <c r="U1246" s="7">
        <v>1946.05</v>
      </c>
      <c r="V1246" s="7">
        <v>1313.69</v>
      </c>
      <c r="W1246" s="7">
        <v>632.36</v>
      </c>
      <c r="X1246" s="7" t="s">
        <v>45</v>
      </c>
    </row>
    <row r="1247" spans="1:24" x14ac:dyDescent="0.25">
      <c r="A1247" s="16" t="s">
        <v>1752</v>
      </c>
      <c r="B1247" s="17">
        <v>45527</v>
      </c>
      <c r="C1247" s="6" t="s">
        <v>737</v>
      </c>
      <c r="D1247" s="6" t="s">
        <v>22</v>
      </c>
      <c r="E1247" s="6" t="s">
        <v>141</v>
      </c>
      <c r="F1247" s="6" t="s">
        <v>142</v>
      </c>
      <c r="G1247" s="6" t="s">
        <v>25</v>
      </c>
      <c r="H1247" s="6" t="s">
        <v>26</v>
      </c>
      <c r="I1247" s="6" t="s">
        <v>53</v>
      </c>
      <c r="J1247" s="6" t="s">
        <v>122</v>
      </c>
      <c r="K1247" s="6" t="s">
        <v>253</v>
      </c>
      <c r="L1247" s="6" t="s">
        <v>2676</v>
      </c>
      <c r="M1247" s="6" t="s">
        <v>153</v>
      </c>
      <c r="N1247" s="6" t="s">
        <v>75</v>
      </c>
      <c r="O1247" s="6">
        <v>5</v>
      </c>
      <c r="P1247" s="6">
        <v>88</v>
      </c>
      <c r="Q1247" s="6">
        <v>54.49</v>
      </c>
      <c r="R1247" s="6">
        <v>439.99</v>
      </c>
      <c r="S1247" s="6">
        <v>0</v>
      </c>
      <c r="T1247" s="6">
        <v>0</v>
      </c>
      <c r="U1247" s="6">
        <v>439.99</v>
      </c>
      <c r="V1247" s="6">
        <v>272.47000000000003</v>
      </c>
      <c r="W1247" s="6">
        <v>167.52</v>
      </c>
      <c r="X1247" s="6" t="s">
        <v>45</v>
      </c>
    </row>
    <row r="1248" spans="1:24" x14ac:dyDescent="0.25">
      <c r="A1248" s="5" t="s">
        <v>1753</v>
      </c>
      <c r="B1248" s="18">
        <v>45584</v>
      </c>
      <c r="C1248" s="7" t="s">
        <v>1137</v>
      </c>
      <c r="D1248" s="7" t="s">
        <v>163</v>
      </c>
      <c r="E1248" s="7" t="s">
        <v>222</v>
      </c>
      <c r="F1248" s="7" t="s">
        <v>223</v>
      </c>
      <c r="G1248" s="7" t="s">
        <v>101</v>
      </c>
      <c r="H1248" s="7" t="s">
        <v>68</v>
      </c>
      <c r="I1248" s="7" t="s">
        <v>40</v>
      </c>
      <c r="J1248" s="7" t="s">
        <v>41</v>
      </c>
      <c r="K1248" s="7" t="s">
        <v>144</v>
      </c>
      <c r="L1248" s="7" t="s">
        <v>2669</v>
      </c>
      <c r="M1248" s="7" t="s">
        <v>61</v>
      </c>
      <c r="N1248" s="7" t="s">
        <v>84</v>
      </c>
      <c r="O1248" s="7">
        <v>67</v>
      </c>
      <c r="P1248" s="7">
        <v>122.18</v>
      </c>
      <c r="Q1248" s="7">
        <v>76.98</v>
      </c>
      <c r="R1248" s="7">
        <v>8185.9</v>
      </c>
      <c r="S1248" s="7">
        <v>0.02</v>
      </c>
      <c r="T1248" s="7">
        <v>163.72</v>
      </c>
      <c r="U1248" s="7">
        <v>8022.18</v>
      </c>
      <c r="V1248" s="7">
        <v>5157.6400000000003</v>
      </c>
      <c r="W1248" s="7">
        <v>2864.54</v>
      </c>
      <c r="X1248" s="7" t="s">
        <v>45</v>
      </c>
    </row>
    <row r="1249" spans="1:24" x14ac:dyDescent="0.25">
      <c r="A1249" s="16" t="s">
        <v>1754</v>
      </c>
      <c r="B1249" s="17">
        <v>45311</v>
      </c>
      <c r="C1249" s="6" t="s">
        <v>739</v>
      </c>
      <c r="D1249" s="6" t="s">
        <v>48</v>
      </c>
      <c r="E1249" s="6" t="s">
        <v>109</v>
      </c>
      <c r="F1249" s="6" t="s">
        <v>110</v>
      </c>
      <c r="G1249" s="6" t="s">
        <v>80</v>
      </c>
      <c r="H1249" s="6" t="s">
        <v>81</v>
      </c>
      <c r="I1249" s="6" t="s">
        <v>88</v>
      </c>
      <c r="J1249" s="6" t="s">
        <v>135</v>
      </c>
      <c r="K1249" s="6" t="s">
        <v>60</v>
      </c>
      <c r="L1249" s="6" t="s">
        <v>2662</v>
      </c>
      <c r="M1249" s="6" t="s">
        <v>153</v>
      </c>
      <c r="N1249" s="6" t="s">
        <v>31</v>
      </c>
      <c r="O1249" s="6">
        <v>2</v>
      </c>
      <c r="P1249" s="6">
        <v>118</v>
      </c>
      <c r="Q1249" s="6">
        <v>71.92</v>
      </c>
      <c r="R1249" s="6">
        <v>236</v>
      </c>
      <c r="S1249" s="6">
        <v>0.05</v>
      </c>
      <c r="T1249" s="6">
        <v>11.8</v>
      </c>
      <c r="U1249" s="6">
        <v>224.2</v>
      </c>
      <c r="V1249" s="6">
        <v>143.85</v>
      </c>
      <c r="W1249" s="6">
        <v>80.349999999999994</v>
      </c>
      <c r="X1249" s="6" t="s">
        <v>45</v>
      </c>
    </row>
    <row r="1250" spans="1:24" x14ac:dyDescent="0.25">
      <c r="A1250" s="5" t="s">
        <v>1755</v>
      </c>
      <c r="B1250" s="18">
        <v>45621</v>
      </c>
      <c r="C1250" s="7" t="s">
        <v>1155</v>
      </c>
      <c r="D1250" s="7" t="s">
        <v>87</v>
      </c>
      <c r="E1250" s="7" t="s">
        <v>222</v>
      </c>
      <c r="F1250" s="7" t="s">
        <v>223</v>
      </c>
      <c r="G1250" s="7" t="s">
        <v>101</v>
      </c>
      <c r="H1250" s="7" t="s">
        <v>68</v>
      </c>
      <c r="I1250" s="7" t="s">
        <v>27</v>
      </c>
      <c r="J1250" s="7" t="s">
        <v>106</v>
      </c>
      <c r="K1250" s="7" t="s">
        <v>261</v>
      </c>
      <c r="L1250" s="7" t="s">
        <v>2677</v>
      </c>
      <c r="M1250" s="7" t="s">
        <v>30</v>
      </c>
      <c r="N1250" s="7" t="s">
        <v>70</v>
      </c>
      <c r="O1250" s="7">
        <v>30</v>
      </c>
      <c r="P1250" s="7">
        <v>124.22</v>
      </c>
      <c r="Q1250" s="7">
        <v>79.760000000000005</v>
      </c>
      <c r="R1250" s="7">
        <v>3726.74</v>
      </c>
      <c r="S1250" s="7">
        <v>0.1</v>
      </c>
      <c r="T1250" s="7">
        <v>372.67</v>
      </c>
      <c r="U1250" s="7">
        <v>3354.07</v>
      </c>
      <c r="V1250" s="7">
        <v>2392.85</v>
      </c>
      <c r="W1250" s="7">
        <v>961.22</v>
      </c>
      <c r="X1250" s="7" t="s">
        <v>45</v>
      </c>
    </row>
    <row r="1251" spans="1:24" x14ac:dyDescent="0.25">
      <c r="A1251" s="16" t="s">
        <v>1756</v>
      </c>
      <c r="B1251" s="17">
        <v>45418</v>
      </c>
      <c r="C1251" s="6" t="s">
        <v>1002</v>
      </c>
      <c r="D1251" s="6" t="s">
        <v>159</v>
      </c>
      <c r="E1251" s="6" t="s">
        <v>114</v>
      </c>
      <c r="F1251" s="6" t="s">
        <v>115</v>
      </c>
      <c r="G1251" s="6" t="s">
        <v>95</v>
      </c>
      <c r="H1251" s="6" t="s">
        <v>116</v>
      </c>
      <c r="I1251" s="6" t="s">
        <v>53</v>
      </c>
      <c r="J1251" s="6" t="s">
        <v>122</v>
      </c>
      <c r="K1251" s="6" t="s">
        <v>29</v>
      </c>
      <c r="L1251" s="6" t="s">
        <v>2660</v>
      </c>
      <c r="M1251" s="6" t="s">
        <v>43</v>
      </c>
      <c r="N1251" s="6" t="s">
        <v>75</v>
      </c>
      <c r="O1251" s="6">
        <v>32</v>
      </c>
      <c r="P1251" s="6">
        <v>33.85</v>
      </c>
      <c r="Q1251" s="6">
        <v>21.9</v>
      </c>
      <c r="R1251" s="6">
        <v>1083.3399999999999</v>
      </c>
      <c r="S1251" s="6">
        <v>0.1</v>
      </c>
      <c r="T1251" s="6">
        <v>108.33</v>
      </c>
      <c r="U1251" s="6">
        <v>975.01</v>
      </c>
      <c r="V1251" s="6">
        <v>700.95</v>
      </c>
      <c r="W1251" s="6">
        <v>274.06</v>
      </c>
      <c r="X1251" s="6" t="s">
        <v>45</v>
      </c>
    </row>
    <row r="1252" spans="1:24" x14ac:dyDescent="0.25">
      <c r="A1252" s="5" t="s">
        <v>1757</v>
      </c>
      <c r="B1252" s="18">
        <v>45416</v>
      </c>
      <c r="C1252" s="7" t="s">
        <v>98</v>
      </c>
      <c r="D1252" s="7" t="s">
        <v>48</v>
      </c>
      <c r="E1252" s="7" t="s">
        <v>66</v>
      </c>
      <c r="F1252" s="7" t="s">
        <v>67</v>
      </c>
      <c r="G1252" s="7" t="s">
        <v>38</v>
      </c>
      <c r="H1252" s="7" t="s">
        <v>68</v>
      </c>
      <c r="I1252" s="7" t="s">
        <v>53</v>
      </c>
      <c r="J1252" s="7" t="s">
        <v>232</v>
      </c>
      <c r="K1252" s="7" t="s">
        <v>265</v>
      </c>
      <c r="L1252" s="7" t="s">
        <v>2678</v>
      </c>
      <c r="M1252" s="7" t="s">
        <v>43</v>
      </c>
      <c r="N1252" s="7" t="s">
        <v>31</v>
      </c>
      <c r="O1252" s="7">
        <v>28</v>
      </c>
      <c r="P1252" s="7">
        <v>169.91</v>
      </c>
      <c r="Q1252" s="7">
        <v>106.43</v>
      </c>
      <c r="R1252" s="7">
        <v>4757.3500000000004</v>
      </c>
      <c r="S1252" s="7">
        <v>0.02</v>
      </c>
      <c r="T1252" s="7">
        <v>95.15</v>
      </c>
      <c r="U1252" s="7">
        <v>4662.2</v>
      </c>
      <c r="V1252" s="7">
        <v>2979.94</v>
      </c>
      <c r="W1252" s="7">
        <v>1682.26</v>
      </c>
      <c r="X1252" s="7" t="s">
        <v>129</v>
      </c>
    </row>
    <row r="1253" spans="1:24" x14ac:dyDescent="0.25">
      <c r="A1253" s="16" t="s">
        <v>1758</v>
      </c>
      <c r="B1253" s="17">
        <v>45488</v>
      </c>
      <c r="C1253" s="6" t="s">
        <v>611</v>
      </c>
      <c r="D1253" s="6" t="s">
        <v>264</v>
      </c>
      <c r="E1253" s="6" t="s">
        <v>132</v>
      </c>
      <c r="F1253" s="6" t="s">
        <v>133</v>
      </c>
      <c r="G1253" s="6" t="s">
        <v>51</v>
      </c>
      <c r="H1253" s="6" t="s">
        <v>134</v>
      </c>
      <c r="I1253" s="6" t="s">
        <v>40</v>
      </c>
      <c r="J1253" s="6"/>
      <c r="K1253" s="6" t="s">
        <v>42</v>
      </c>
      <c r="L1253" s="6" t="s">
        <v>2661</v>
      </c>
      <c r="M1253" s="6" t="s">
        <v>30</v>
      </c>
      <c r="N1253" s="6" t="s">
        <v>44</v>
      </c>
      <c r="O1253" s="6">
        <v>70</v>
      </c>
      <c r="P1253" s="6">
        <v>63.66</v>
      </c>
      <c r="Q1253" s="6">
        <v>36.08</v>
      </c>
      <c r="R1253" s="6">
        <v>4456.01</v>
      </c>
      <c r="S1253" s="6">
        <v>0.02</v>
      </c>
      <c r="T1253" s="6">
        <v>89.12</v>
      </c>
      <c r="U1253" s="6">
        <v>4366.8900000000003</v>
      </c>
      <c r="V1253" s="6">
        <v>2525.81</v>
      </c>
      <c r="W1253" s="6">
        <v>1841.08</v>
      </c>
      <c r="X1253" s="6" t="s">
        <v>45</v>
      </c>
    </row>
    <row r="1254" spans="1:24" x14ac:dyDescent="0.25">
      <c r="A1254" s="5" t="s">
        <v>1759</v>
      </c>
      <c r="B1254" s="18">
        <v>45319</v>
      </c>
      <c r="C1254" s="7" t="s">
        <v>201</v>
      </c>
      <c r="D1254" s="7" t="s">
        <v>57</v>
      </c>
      <c r="E1254" s="7" t="s">
        <v>176</v>
      </c>
      <c r="F1254" s="7" t="s">
        <v>177</v>
      </c>
      <c r="G1254" s="7" t="s">
        <v>101</v>
      </c>
      <c r="H1254" s="7" t="s">
        <v>39</v>
      </c>
      <c r="I1254" s="7" t="s">
        <v>53</v>
      </c>
      <c r="J1254" s="7" t="s">
        <v>122</v>
      </c>
      <c r="K1254" s="7" t="s">
        <v>90</v>
      </c>
      <c r="L1254" s="7" t="s">
        <v>2666</v>
      </c>
      <c r="M1254" s="7" t="s">
        <v>138</v>
      </c>
      <c r="N1254" s="7" t="s">
        <v>44</v>
      </c>
      <c r="O1254" s="7">
        <v>39</v>
      </c>
      <c r="P1254" s="7">
        <v>110.11</v>
      </c>
      <c r="Q1254" s="7">
        <v>60.77</v>
      </c>
      <c r="R1254" s="7">
        <v>4294.47</v>
      </c>
      <c r="S1254" s="7">
        <v>0.1</v>
      </c>
      <c r="T1254" s="7">
        <v>429.45</v>
      </c>
      <c r="U1254" s="7">
        <v>3865.02</v>
      </c>
      <c r="V1254" s="7">
        <v>2370.0300000000002</v>
      </c>
      <c r="W1254" s="7">
        <v>1494.99</v>
      </c>
      <c r="X1254" s="7" t="s">
        <v>45</v>
      </c>
    </row>
    <row r="1255" spans="1:24" x14ac:dyDescent="0.25">
      <c r="A1255" s="16" t="s">
        <v>1760</v>
      </c>
      <c r="B1255" s="17">
        <v>45520</v>
      </c>
      <c r="C1255" s="6" t="s">
        <v>301</v>
      </c>
      <c r="D1255" s="6" t="s">
        <v>259</v>
      </c>
      <c r="E1255" s="6" t="s">
        <v>93</v>
      </c>
      <c r="F1255" s="6" t="s">
        <v>94</v>
      </c>
      <c r="G1255" s="6" t="s">
        <v>95</v>
      </c>
      <c r="H1255" s="6" t="s">
        <v>96</v>
      </c>
      <c r="I1255" s="6" t="s">
        <v>27</v>
      </c>
      <c r="J1255" s="6" t="s">
        <v>28</v>
      </c>
      <c r="K1255" s="6" t="s">
        <v>74</v>
      </c>
      <c r="L1255" s="6" t="s">
        <v>2664</v>
      </c>
      <c r="M1255" s="6" t="s">
        <v>30</v>
      </c>
      <c r="N1255" s="6" t="s">
        <v>84</v>
      </c>
      <c r="O1255" s="6">
        <v>21</v>
      </c>
      <c r="P1255" s="6">
        <v>58.24</v>
      </c>
      <c r="Q1255" s="6">
        <v>31.94</v>
      </c>
      <c r="R1255" s="6">
        <v>1223.0899999999999</v>
      </c>
      <c r="S1255" s="6">
        <v>0</v>
      </c>
      <c r="T1255" s="6">
        <v>0</v>
      </c>
      <c r="U1255" s="6">
        <v>1223.0899999999999</v>
      </c>
      <c r="V1255" s="6">
        <v>670.65</v>
      </c>
      <c r="W1255" s="6">
        <v>552.44000000000005</v>
      </c>
      <c r="X1255" s="6" t="s">
        <v>32</v>
      </c>
    </row>
    <row r="1256" spans="1:24" x14ac:dyDescent="0.25">
      <c r="A1256" s="5" t="s">
        <v>1761</v>
      </c>
      <c r="B1256" s="18">
        <v>45326</v>
      </c>
      <c r="C1256" s="7" t="s">
        <v>904</v>
      </c>
      <c r="D1256" s="7" t="s">
        <v>35</v>
      </c>
      <c r="E1256" s="7" t="s">
        <v>250</v>
      </c>
      <c r="F1256" s="7" t="s">
        <v>251</v>
      </c>
      <c r="G1256" s="7" t="s">
        <v>51</v>
      </c>
      <c r="H1256" s="7" t="s">
        <v>252</v>
      </c>
      <c r="I1256" s="7" t="s">
        <v>53</v>
      </c>
      <c r="J1256" s="7" t="s">
        <v>232</v>
      </c>
      <c r="K1256" s="7" t="s">
        <v>60</v>
      </c>
      <c r="L1256" s="7" t="s">
        <v>2662</v>
      </c>
      <c r="M1256" s="7" t="s">
        <v>30</v>
      </c>
      <c r="N1256" s="7" t="s">
        <v>75</v>
      </c>
      <c r="O1256" s="7">
        <v>71</v>
      </c>
      <c r="P1256" s="7">
        <v>66.78</v>
      </c>
      <c r="Q1256" s="7">
        <v>39.86</v>
      </c>
      <c r="R1256" s="7">
        <v>4741.34</v>
      </c>
      <c r="S1256" s="7">
        <v>0.1</v>
      </c>
      <c r="T1256" s="7">
        <v>474.13</v>
      </c>
      <c r="U1256" s="7">
        <v>4267.2</v>
      </c>
      <c r="V1256" s="7">
        <v>2829.85</v>
      </c>
      <c r="W1256" s="7">
        <v>1437.35</v>
      </c>
      <c r="X1256" s="7" t="s">
        <v>32</v>
      </c>
    </row>
    <row r="1257" spans="1:24" x14ac:dyDescent="0.25">
      <c r="A1257" s="16" t="s">
        <v>1762</v>
      </c>
      <c r="B1257" s="17">
        <v>45623</v>
      </c>
      <c r="C1257" s="6" t="s">
        <v>1380</v>
      </c>
      <c r="D1257" s="6" t="s">
        <v>121</v>
      </c>
      <c r="E1257" s="6" t="s">
        <v>132</v>
      </c>
      <c r="F1257" s="6" t="s">
        <v>133</v>
      </c>
      <c r="G1257" s="6" t="s">
        <v>51</v>
      </c>
      <c r="H1257" s="6" t="s">
        <v>134</v>
      </c>
      <c r="I1257" s="6" t="s">
        <v>40</v>
      </c>
      <c r="J1257" s="6" t="s">
        <v>117</v>
      </c>
      <c r="K1257" s="6" t="s">
        <v>248</v>
      </c>
      <c r="L1257" s="6" t="s">
        <v>2675</v>
      </c>
      <c r="M1257" s="6" t="s">
        <v>30</v>
      </c>
      <c r="N1257" s="6" t="s">
        <v>70</v>
      </c>
      <c r="O1257" s="6">
        <v>11</v>
      </c>
      <c r="P1257" s="6">
        <v>58.61</v>
      </c>
      <c r="Q1257" s="6">
        <v>31.56</v>
      </c>
      <c r="R1257" s="6">
        <v>644.67999999999995</v>
      </c>
      <c r="S1257" s="6">
        <v>0.05</v>
      </c>
      <c r="T1257" s="6">
        <v>32.229999999999997</v>
      </c>
      <c r="U1257" s="6">
        <v>612.45000000000005</v>
      </c>
      <c r="V1257" s="6">
        <v>347.19</v>
      </c>
      <c r="W1257" s="6">
        <v>265.25</v>
      </c>
      <c r="X1257" s="6" t="s">
        <v>129</v>
      </c>
    </row>
    <row r="1258" spans="1:24" x14ac:dyDescent="0.25">
      <c r="A1258" s="5" t="s">
        <v>1051</v>
      </c>
      <c r="B1258" s="18">
        <v>45346</v>
      </c>
      <c r="C1258" s="7" t="s">
        <v>86</v>
      </c>
      <c r="D1258" s="7" t="s">
        <v>87</v>
      </c>
      <c r="E1258" s="7" t="s">
        <v>93</v>
      </c>
      <c r="F1258" s="7" t="s">
        <v>94</v>
      </c>
      <c r="G1258" s="7" t="s">
        <v>95</v>
      </c>
      <c r="H1258" s="7" t="s">
        <v>96</v>
      </c>
      <c r="I1258" s="7" t="s">
        <v>40</v>
      </c>
      <c r="J1258" s="7" t="s">
        <v>117</v>
      </c>
      <c r="K1258" s="7" t="s">
        <v>74</v>
      </c>
      <c r="L1258" s="7" t="s">
        <v>2664</v>
      </c>
      <c r="M1258" s="7" t="s">
        <v>153</v>
      </c>
      <c r="N1258" s="7" t="s">
        <v>75</v>
      </c>
      <c r="O1258" s="7">
        <v>78</v>
      </c>
      <c r="P1258" s="7">
        <v>54.61</v>
      </c>
      <c r="Q1258" s="7">
        <v>31.33</v>
      </c>
      <c r="R1258" s="7">
        <v>4259.96</v>
      </c>
      <c r="S1258" s="7">
        <v>0.02</v>
      </c>
      <c r="T1258" s="7">
        <v>85.2</v>
      </c>
      <c r="U1258" s="7">
        <v>4174.76</v>
      </c>
      <c r="V1258" s="7">
        <v>2443.71</v>
      </c>
      <c r="W1258" s="7">
        <v>1731.06</v>
      </c>
      <c r="X1258" s="7" t="s">
        <v>45</v>
      </c>
    </row>
    <row r="1259" spans="1:24" x14ac:dyDescent="0.25">
      <c r="A1259" s="16" t="s">
        <v>1763</v>
      </c>
      <c r="B1259" s="17">
        <v>45549</v>
      </c>
      <c r="C1259" s="6" t="s">
        <v>1586</v>
      </c>
      <c r="D1259" s="6" t="s">
        <v>221</v>
      </c>
      <c r="E1259" s="6" t="s">
        <v>126</v>
      </c>
      <c r="F1259" s="6" t="s">
        <v>127</v>
      </c>
      <c r="G1259" s="6" t="s">
        <v>95</v>
      </c>
      <c r="H1259" s="6" t="s">
        <v>128</v>
      </c>
      <c r="I1259" s="6" t="s">
        <v>58</v>
      </c>
      <c r="J1259" s="6" t="s">
        <v>73</v>
      </c>
      <c r="K1259" s="6" t="s">
        <v>74</v>
      </c>
      <c r="L1259" s="6" t="s">
        <v>2664</v>
      </c>
      <c r="M1259" s="6" t="s">
        <v>61</v>
      </c>
      <c r="N1259" s="6" t="s">
        <v>84</v>
      </c>
      <c r="O1259" s="6">
        <v>37</v>
      </c>
      <c r="P1259" s="6">
        <v>95.56</v>
      </c>
      <c r="Q1259" s="6">
        <v>53.79</v>
      </c>
      <c r="R1259" s="6">
        <v>3535.77</v>
      </c>
      <c r="S1259" s="6">
        <v>0.05</v>
      </c>
      <c r="T1259" s="6">
        <v>176.79</v>
      </c>
      <c r="U1259" s="6">
        <v>3358.98</v>
      </c>
      <c r="V1259" s="6">
        <v>1990.19</v>
      </c>
      <c r="W1259" s="6">
        <v>1368.78</v>
      </c>
      <c r="X1259" s="6" t="s">
        <v>129</v>
      </c>
    </row>
    <row r="1260" spans="1:24" x14ac:dyDescent="0.25">
      <c r="A1260" s="5" t="s">
        <v>1764</v>
      </c>
      <c r="B1260" s="18">
        <v>45570</v>
      </c>
      <c r="C1260" s="7" t="s">
        <v>124</v>
      </c>
      <c r="D1260" s="7" t="s">
        <v>125</v>
      </c>
      <c r="E1260" s="7" t="s">
        <v>187</v>
      </c>
      <c r="F1260" s="7" t="s">
        <v>188</v>
      </c>
      <c r="G1260" s="7" t="s">
        <v>25</v>
      </c>
      <c r="H1260" s="7" t="s">
        <v>26</v>
      </c>
      <c r="I1260" s="7" t="s">
        <v>53</v>
      </c>
      <c r="J1260" s="7" t="s">
        <v>143</v>
      </c>
      <c r="K1260" s="7" t="s">
        <v>261</v>
      </c>
      <c r="L1260" s="7" t="s">
        <v>2677</v>
      </c>
      <c r="M1260" s="7" t="s">
        <v>30</v>
      </c>
      <c r="N1260" s="7" t="s">
        <v>70</v>
      </c>
      <c r="O1260" s="7">
        <v>61</v>
      </c>
      <c r="P1260" s="7">
        <v>50.86</v>
      </c>
      <c r="Q1260" s="7">
        <v>30.08</v>
      </c>
      <c r="R1260" s="7">
        <v>3102.72</v>
      </c>
      <c r="S1260" s="7">
        <v>0.02</v>
      </c>
      <c r="T1260" s="7">
        <v>62.05</v>
      </c>
      <c r="U1260" s="7">
        <v>3040.66</v>
      </c>
      <c r="V1260" s="7">
        <v>1834.73</v>
      </c>
      <c r="W1260" s="7">
        <v>1205.93</v>
      </c>
      <c r="X1260" s="7" t="s">
        <v>45</v>
      </c>
    </row>
    <row r="1261" spans="1:24" x14ac:dyDescent="0.25">
      <c r="A1261" s="16" t="s">
        <v>1765</v>
      </c>
      <c r="B1261" s="17">
        <v>45584</v>
      </c>
      <c r="C1261" s="6" t="s">
        <v>1476</v>
      </c>
      <c r="D1261" s="6" t="s">
        <v>149</v>
      </c>
      <c r="E1261" s="6" t="s">
        <v>150</v>
      </c>
      <c r="F1261" s="6" t="s">
        <v>151</v>
      </c>
      <c r="G1261" s="6" t="s">
        <v>101</v>
      </c>
      <c r="H1261" s="6" t="s">
        <v>134</v>
      </c>
      <c r="I1261" s="6" t="s">
        <v>53</v>
      </c>
      <c r="J1261" s="6" t="s">
        <v>122</v>
      </c>
      <c r="K1261" s="6" t="s">
        <v>253</v>
      </c>
      <c r="L1261" s="6" t="s">
        <v>2676</v>
      </c>
      <c r="M1261" s="6" t="s">
        <v>61</v>
      </c>
      <c r="N1261" s="6" t="s">
        <v>70</v>
      </c>
      <c r="O1261" s="6">
        <v>29</v>
      </c>
      <c r="P1261" s="6">
        <v>89.05</v>
      </c>
      <c r="Q1261" s="6">
        <v>50.47</v>
      </c>
      <c r="R1261" s="6">
        <v>2582.46</v>
      </c>
      <c r="S1261" s="6">
        <v>0</v>
      </c>
      <c r="T1261" s="6">
        <v>0</v>
      </c>
      <c r="U1261" s="6">
        <v>2582.46</v>
      </c>
      <c r="V1261" s="6">
        <v>1463.76</v>
      </c>
      <c r="W1261" s="6">
        <v>1118.7</v>
      </c>
      <c r="X1261" s="6" t="s">
        <v>45</v>
      </c>
    </row>
    <row r="1262" spans="1:24" x14ac:dyDescent="0.25">
      <c r="A1262" s="5" t="s">
        <v>1766</v>
      </c>
      <c r="B1262" s="18">
        <v>45513</v>
      </c>
      <c r="C1262" s="7" t="s">
        <v>287</v>
      </c>
      <c r="D1262" s="7" t="s">
        <v>65</v>
      </c>
      <c r="E1262" s="7" t="s">
        <v>209</v>
      </c>
      <c r="F1262" s="7" t="s">
        <v>210</v>
      </c>
      <c r="G1262" s="7" t="s">
        <v>51</v>
      </c>
      <c r="H1262" s="7" t="s">
        <v>116</v>
      </c>
      <c r="I1262" s="7" t="s">
        <v>27</v>
      </c>
      <c r="J1262" s="7" t="s">
        <v>211</v>
      </c>
      <c r="K1262" s="7" t="s">
        <v>265</v>
      </c>
      <c r="L1262" s="7" t="s">
        <v>2678</v>
      </c>
      <c r="M1262" s="7" t="s">
        <v>43</v>
      </c>
      <c r="N1262" s="7" t="s">
        <v>70</v>
      </c>
      <c r="O1262" s="7">
        <v>50</v>
      </c>
      <c r="P1262" s="7">
        <v>18.09</v>
      </c>
      <c r="Q1262" s="7">
        <v>9.3699999999999992</v>
      </c>
      <c r="R1262" s="7">
        <v>904.65</v>
      </c>
      <c r="S1262" s="7">
        <v>0.1</v>
      </c>
      <c r="T1262" s="7">
        <v>90.47</v>
      </c>
      <c r="U1262" s="7">
        <v>814.19</v>
      </c>
      <c r="V1262" s="7">
        <v>468.26</v>
      </c>
      <c r="W1262" s="7">
        <v>345.92</v>
      </c>
      <c r="X1262" s="7" t="s">
        <v>129</v>
      </c>
    </row>
    <row r="1263" spans="1:24" x14ac:dyDescent="0.25">
      <c r="A1263" s="16" t="s">
        <v>1767</v>
      </c>
      <c r="B1263" s="17">
        <v>45296</v>
      </c>
      <c r="C1263" s="6" t="s">
        <v>975</v>
      </c>
      <c r="D1263" s="6" t="s">
        <v>105</v>
      </c>
      <c r="E1263" s="6" t="s">
        <v>99</v>
      </c>
      <c r="F1263" s="6" t="s">
        <v>100</v>
      </c>
      <c r="G1263" s="6" t="s">
        <v>101</v>
      </c>
      <c r="H1263" s="6" t="s">
        <v>102</v>
      </c>
      <c r="I1263" s="6" t="s">
        <v>88</v>
      </c>
      <c r="J1263" s="6" t="s">
        <v>183</v>
      </c>
      <c r="K1263" s="6" t="s">
        <v>83</v>
      </c>
      <c r="L1263" s="6" t="s">
        <v>2665</v>
      </c>
      <c r="M1263" s="6" t="s">
        <v>61</v>
      </c>
      <c r="N1263" s="6" t="s">
        <v>31</v>
      </c>
      <c r="O1263" s="6">
        <v>64</v>
      </c>
      <c r="P1263" s="6">
        <v>69.44</v>
      </c>
      <c r="Q1263" s="6">
        <v>39</v>
      </c>
      <c r="R1263" s="6">
        <v>4444.01</v>
      </c>
      <c r="S1263" s="6">
        <v>0.2</v>
      </c>
      <c r="T1263" s="6">
        <v>888.8</v>
      </c>
      <c r="U1263" s="6">
        <v>3555.2</v>
      </c>
      <c r="V1263" s="6">
        <v>2495.79</v>
      </c>
      <c r="W1263" s="6">
        <v>1059.4100000000001</v>
      </c>
      <c r="X1263" s="6" t="s">
        <v>45</v>
      </c>
    </row>
    <row r="1264" spans="1:24" x14ac:dyDescent="0.25">
      <c r="A1264" s="5" t="s">
        <v>1768</v>
      </c>
      <c r="B1264" s="18">
        <v>45302</v>
      </c>
      <c r="C1264" s="7" t="s">
        <v>169</v>
      </c>
      <c r="D1264" s="7" t="s">
        <v>57</v>
      </c>
      <c r="E1264" s="7" t="s">
        <v>176</v>
      </c>
      <c r="F1264" s="7" t="s">
        <v>177</v>
      </c>
      <c r="G1264" s="7" t="s">
        <v>101</v>
      </c>
      <c r="H1264" s="7" t="s">
        <v>39</v>
      </c>
      <c r="I1264" s="7" t="s">
        <v>58</v>
      </c>
      <c r="J1264" s="7" t="s">
        <v>59</v>
      </c>
      <c r="K1264" s="7" t="s">
        <v>118</v>
      </c>
      <c r="L1264" s="7" t="s">
        <v>2668</v>
      </c>
      <c r="M1264" s="7" t="s">
        <v>61</v>
      </c>
      <c r="N1264" s="7" t="s">
        <v>84</v>
      </c>
      <c r="O1264" s="7">
        <v>78</v>
      </c>
      <c r="P1264" s="7">
        <v>98.39</v>
      </c>
      <c r="Q1264" s="7">
        <v>64.59</v>
      </c>
      <c r="R1264" s="7">
        <v>7674.48</v>
      </c>
      <c r="S1264" s="7">
        <v>0</v>
      </c>
      <c r="T1264" s="7">
        <v>0</v>
      </c>
      <c r="U1264" s="7">
        <v>7674.48</v>
      </c>
      <c r="V1264" s="7">
        <v>5038.1000000000004</v>
      </c>
      <c r="W1264" s="7">
        <v>2636.38</v>
      </c>
      <c r="X1264" s="7" t="s">
        <v>32</v>
      </c>
    </row>
    <row r="1265" spans="1:24" x14ac:dyDescent="0.25">
      <c r="A1265" s="16" t="s">
        <v>1769</v>
      </c>
      <c r="B1265" s="17">
        <v>45552</v>
      </c>
      <c r="C1265" s="6" t="s">
        <v>626</v>
      </c>
      <c r="D1265" s="6" t="s">
        <v>163</v>
      </c>
      <c r="E1265" s="6" t="s">
        <v>109</v>
      </c>
      <c r="F1265" s="6" t="s">
        <v>110</v>
      </c>
      <c r="G1265" s="6" t="s">
        <v>80</v>
      </c>
      <c r="H1265" s="6" t="s">
        <v>81</v>
      </c>
      <c r="I1265" s="6" t="s">
        <v>88</v>
      </c>
      <c r="J1265" s="6" t="s">
        <v>135</v>
      </c>
      <c r="K1265" s="6" t="s">
        <v>152</v>
      </c>
      <c r="L1265" s="6" t="s">
        <v>2670</v>
      </c>
      <c r="M1265" s="6" t="s">
        <v>43</v>
      </c>
      <c r="N1265" s="6" t="s">
        <v>75</v>
      </c>
      <c r="O1265" s="6">
        <v>13</v>
      </c>
      <c r="P1265" s="6">
        <v>119.37</v>
      </c>
      <c r="Q1265" s="6">
        <v>79.33</v>
      </c>
      <c r="R1265" s="6">
        <v>1551.75</v>
      </c>
      <c r="S1265" s="6">
        <v>0.05</v>
      </c>
      <c r="T1265" s="6">
        <v>77.59</v>
      </c>
      <c r="U1265" s="6">
        <v>1474.16</v>
      </c>
      <c r="V1265" s="6">
        <v>1031.26</v>
      </c>
      <c r="W1265" s="6">
        <v>442.9</v>
      </c>
      <c r="X1265" s="6" t="s">
        <v>45</v>
      </c>
    </row>
    <row r="1266" spans="1:24" x14ac:dyDescent="0.25">
      <c r="A1266" s="5" t="s">
        <v>1770</v>
      </c>
      <c r="B1266" s="18">
        <v>45372</v>
      </c>
      <c r="C1266" s="7" t="s">
        <v>735</v>
      </c>
      <c r="D1266" s="7" t="s">
        <v>22</v>
      </c>
      <c r="E1266" s="7" t="s">
        <v>216</v>
      </c>
      <c r="F1266" s="7" t="s">
        <v>217</v>
      </c>
      <c r="G1266" s="7" t="s">
        <v>38</v>
      </c>
      <c r="H1266" s="7" t="s">
        <v>134</v>
      </c>
      <c r="I1266" s="7" t="s">
        <v>58</v>
      </c>
      <c r="J1266" s="7" t="s">
        <v>323</v>
      </c>
      <c r="K1266" s="7" t="s">
        <v>218</v>
      </c>
      <c r="L1266" s="7" t="s">
        <v>2674</v>
      </c>
      <c r="M1266" s="7" t="s">
        <v>61</v>
      </c>
      <c r="N1266" s="7" t="s">
        <v>84</v>
      </c>
      <c r="O1266" s="7">
        <v>69</v>
      </c>
      <c r="P1266" s="7">
        <v>108.41</v>
      </c>
      <c r="Q1266" s="7">
        <v>64.98</v>
      </c>
      <c r="R1266" s="7">
        <v>7480.25</v>
      </c>
      <c r="S1266" s="7">
        <v>0.1</v>
      </c>
      <c r="T1266" s="7">
        <v>748.03</v>
      </c>
      <c r="U1266" s="7">
        <v>6732.23</v>
      </c>
      <c r="V1266" s="7">
        <v>4483.3599999999997</v>
      </c>
      <c r="W1266" s="7">
        <v>2248.87</v>
      </c>
      <c r="X1266" s="7" t="s">
        <v>45</v>
      </c>
    </row>
    <row r="1267" spans="1:24" x14ac:dyDescent="0.25">
      <c r="A1267" s="16" t="s">
        <v>1771</v>
      </c>
      <c r="B1267" s="17">
        <v>45452</v>
      </c>
      <c r="C1267" s="6" t="s">
        <v>878</v>
      </c>
      <c r="D1267" s="6" t="s">
        <v>65</v>
      </c>
      <c r="E1267" s="6" t="s">
        <v>250</v>
      </c>
      <c r="F1267" s="6" t="s">
        <v>251</v>
      </c>
      <c r="G1267" s="6" t="s">
        <v>51</v>
      </c>
      <c r="H1267" s="6" t="s">
        <v>252</v>
      </c>
      <c r="I1267" s="6" t="s">
        <v>53</v>
      </c>
      <c r="J1267" s="6" t="s">
        <v>143</v>
      </c>
      <c r="K1267" s="6" t="s">
        <v>74</v>
      </c>
      <c r="L1267" s="6" t="s">
        <v>2664</v>
      </c>
      <c r="M1267" s="6" t="s">
        <v>547</v>
      </c>
      <c r="N1267" s="6" t="s">
        <v>31</v>
      </c>
      <c r="O1267" s="6">
        <v>16</v>
      </c>
      <c r="P1267" s="6">
        <v>63.3</v>
      </c>
      <c r="Q1267" s="6">
        <v>40</v>
      </c>
      <c r="R1267" s="6">
        <v>1012.88</v>
      </c>
      <c r="S1267" s="6">
        <v>0.1</v>
      </c>
      <c r="T1267" s="6">
        <v>101.29</v>
      </c>
      <c r="U1267" s="6">
        <v>911.59</v>
      </c>
      <c r="V1267" s="6">
        <v>639.99</v>
      </c>
      <c r="W1267" s="6">
        <v>271.60000000000002</v>
      </c>
      <c r="X1267" s="6" t="s">
        <v>45</v>
      </c>
    </row>
    <row r="1268" spans="1:24" x14ac:dyDescent="0.25">
      <c r="A1268" s="5" t="s">
        <v>1772</v>
      </c>
      <c r="B1268" s="18">
        <v>45529</v>
      </c>
      <c r="C1268" s="7" t="s">
        <v>356</v>
      </c>
      <c r="D1268" s="7" t="s">
        <v>48</v>
      </c>
      <c r="E1268" s="7" t="s">
        <v>126</v>
      </c>
      <c r="F1268" s="7" t="s">
        <v>127</v>
      </c>
      <c r="G1268" s="7" t="s">
        <v>95</v>
      </c>
      <c r="H1268" s="7" t="s">
        <v>128</v>
      </c>
      <c r="I1268" s="7" t="s">
        <v>53</v>
      </c>
      <c r="J1268" s="7" t="s">
        <v>122</v>
      </c>
      <c r="K1268" s="7" t="s">
        <v>178</v>
      </c>
      <c r="L1268" s="7" t="s">
        <v>256</v>
      </c>
      <c r="M1268" s="7" t="s">
        <v>61</v>
      </c>
      <c r="N1268" s="7" t="s">
        <v>44</v>
      </c>
      <c r="O1268" s="7">
        <v>47</v>
      </c>
      <c r="P1268" s="7">
        <v>84.27</v>
      </c>
      <c r="Q1268" s="7">
        <v>53.05</v>
      </c>
      <c r="R1268" s="7">
        <v>3960.5</v>
      </c>
      <c r="S1268" s="7">
        <v>0.05</v>
      </c>
      <c r="T1268" s="7">
        <v>198.03</v>
      </c>
      <c r="U1268" s="7">
        <v>3762.48</v>
      </c>
      <c r="V1268" s="7">
        <v>2493.37</v>
      </c>
      <c r="W1268" s="7">
        <v>1269.0999999999999</v>
      </c>
      <c r="X1268" s="7" t="s">
        <v>45</v>
      </c>
    </row>
    <row r="1269" spans="1:24" x14ac:dyDescent="0.25">
      <c r="A1269" s="16" t="s">
        <v>1773</v>
      </c>
      <c r="B1269" s="17">
        <v>45418</v>
      </c>
      <c r="C1269" s="6" t="s">
        <v>832</v>
      </c>
      <c r="D1269" s="6" t="s">
        <v>159</v>
      </c>
      <c r="E1269" s="6" t="s">
        <v>150</v>
      </c>
      <c r="F1269" s="6" t="s">
        <v>151</v>
      </c>
      <c r="G1269" s="6" t="s">
        <v>101</v>
      </c>
      <c r="H1269" s="6" t="s">
        <v>134</v>
      </c>
      <c r="I1269" s="6" t="s">
        <v>27</v>
      </c>
      <c r="J1269" s="6" t="s">
        <v>106</v>
      </c>
      <c r="K1269" s="6" t="s">
        <v>184</v>
      </c>
      <c r="L1269" s="6" t="s">
        <v>2672</v>
      </c>
      <c r="M1269" s="6" t="s">
        <v>43</v>
      </c>
      <c r="N1269" s="6" t="s">
        <v>75</v>
      </c>
      <c r="O1269" s="6">
        <v>77</v>
      </c>
      <c r="P1269" s="6">
        <v>89.63</v>
      </c>
      <c r="Q1269" s="6">
        <v>54.99</v>
      </c>
      <c r="R1269" s="6">
        <v>6901.16</v>
      </c>
      <c r="S1269" s="6">
        <v>0.1</v>
      </c>
      <c r="T1269" s="6">
        <v>690.12</v>
      </c>
      <c r="U1269" s="6">
        <v>6211.05</v>
      </c>
      <c r="V1269" s="6">
        <v>4234.53</v>
      </c>
      <c r="W1269" s="6">
        <v>1976.51</v>
      </c>
      <c r="X1269" s="6" t="s">
        <v>45</v>
      </c>
    </row>
    <row r="1270" spans="1:24" x14ac:dyDescent="0.25">
      <c r="A1270" s="5" t="s">
        <v>1774</v>
      </c>
      <c r="B1270" s="18">
        <v>45648</v>
      </c>
      <c r="C1270" s="7" t="s">
        <v>468</v>
      </c>
      <c r="D1270" s="7" t="s">
        <v>65</v>
      </c>
      <c r="E1270" s="7" t="s">
        <v>114</v>
      </c>
      <c r="F1270" s="7" t="s">
        <v>115</v>
      </c>
      <c r="G1270" s="7" t="s">
        <v>95</v>
      </c>
      <c r="H1270" s="7" t="s">
        <v>116</v>
      </c>
      <c r="I1270" s="7" t="s">
        <v>53</v>
      </c>
      <c r="J1270" s="7" t="s">
        <v>122</v>
      </c>
      <c r="K1270" s="7" t="s">
        <v>253</v>
      </c>
      <c r="L1270" s="7" t="s">
        <v>2676</v>
      </c>
      <c r="M1270" s="7" t="s">
        <v>61</v>
      </c>
      <c r="N1270" s="7" t="s">
        <v>70</v>
      </c>
      <c r="O1270" s="7">
        <v>17</v>
      </c>
      <c r="P1270" s="7">
        <v>35.619999999999997</v>
      </c>
      <c r="Q1270" s="7">
        <v>20.260000000000002</v>
      </c>
      <c r="R1270" s="7">
        <v>605.54999999999995</v>
      </c>
      <c r="S1270" s="7">
        <v>0.1</v>
      </c>
      <c r="T1270" s="7">
        <v>60.55</v>
      </c>
      <c r="U1270" s="7">
        <v>544.99</v>
      </c>
      <c r="V1270" s="7">
        <v>344.47</v>
      </c>
      <c r="W1270" s="7">
        <v>200.52</v>
      </c>
      <c r="X1270" s="7" t="s">
        <v>45</v>
      </c>
    </row>
    <row r="1271" spans="1:24" x14ac:dyDescent="0.25">
      <c r="A1271" s="16" t="s">
        <v>1775</v>
      </c>
      <c r="B1271" s="17">
        <v>45383</v>
      </c>
      <c r="C1271" s="6" t="s">
        <v>1709</v>
      </c>
      <c r="D1271" s="6" t="s">
        <v>159</v>
      </c>
      <c r="E1271" s="6" t="s">
        <v>78</v>
      </c>
      <c r="F1271" s="6" t="s">
        <v>79</v>
      </c>
      <c r="G1271" s="6" t="s">
        <v>80</v>
      </c>
      <c r="H1271" s="6" t="s">
        <v>81</v>
      </c>
      <c r="I1271" s="6" t="s">
        <v>27</v>
      </c>
      <c r="J1271" s="6" t="s">
        <v>189</v>
      </c>
      <c r="K1271" s="6" t="s">
        <v>261</v>
      </c>
      <c r="L1271" s="6" t="s">
        <v>2677</v>
      </c>
      <c r="M1271" s="6" t="s">
        <v>30</v>
      </c>
      <c r="N1271" s="6" t="s">
        <v>75</v>
      </c>
      <c r="O1271" s="6">
        <v>59</v>
      </c>
      <c r="P1271" s="6">
        <v>146.86000000000001</v>
      </c>
      <c r="Q1271" s="6">
        <v>81.47</v>
      </c>
      <c r="R1271" s="6">
        <v>8664.94</v>
      </c>
      <c r="S1271" s="6">
        <v>0.05</v>
      </c>
      <c r="T1271" s="6">
        <v>433.25</v>
      </c>
      <c r="U1271" s="6">
        <v>8231.7000000000007</v>
      </c>
      <c r="V1271" s="6">
        <v>4806.45</v>
      </c>
      <c r="W1271" s="6">
        <v>3425.25</v>
      </c>
      <c r="X1271" s="6" t="s">
        <v>45</v>
      </c>
    </row>
    <row r="1272" spans="1:24" x14ac:dyDescent="0.25">
      <c r="A1272" s="5" t="s">
        <v>1776</v>
      </c>
      <c r="B1272" s="18">
        <v>45578</v>
      </c>
      <c r="C1272" s="7" t="s">
        <v>414</v>
      </c>
      <c r="D1272" s="7" t="s">
        <v>22</v>
      </c>
      <c r="E1272" s="7" t="s">
        <v>176</v>
      </c>
      <c r="F1272" s="7" t="s">
        <v>177</v>
      </c>
      <c r="G1272" s="7" t="s">
        <v>101</v>
      </c>
      <c r="H1272" s="7" t="s">
        <v>39</v>
      </c>
      <c r="I1272" s="7" t="s">
        <v>88</v>
      </c>
      <c r="J1272" s="7" t="s">
        <v>183</v>
      </c>
      <c r="K1272" s="7" t="s">
        <v>265</v>
      </c>
      <c r="L1272" s="7" t="s">
        <v>2678</v>
      </c>
      <c r="M1272" s="7" t="s">
        <v>61</v>
      </c>
      <c r="N1272" s="7" t="s">
        <v>84</v>
      </c>
      <c r="O1272" s="7">
        <v>24</v>
      </c>
      <c r="P1272" s="7">
        <v>100.5</v>
      </c>
      <c r="Q1272" s="7">
        <v>67.03</v>
      </c>
      <c r="R1272" s="7">
        <v>2412.0300000000002</v>
      </c>
      <c r="S1272" s="7">
        <v>0.2</v>
      </c>
      <c r="T1272" s="7">
        <v>482.41</v>
      </c>
      <c r="U1272" s="7">
        <v>1929.62</v>
      </c>
      <c r="V1272" s="7">
        <v>1608.67</v>
      </c>
      <c r="W1272" s="7">
        <v>320.95999999999998</v>
      </c>
      <c r="X1272" s="7" t="s">
        <v>45</v>
      </c>
    </row>
    <row r="1273" spans="1:24" x14ac:dyDescent="0.25">
      <c r="A1273" s="16" t="s">
        <v>1777</v>
      </c>
      <c r="B1273" s="17">
        <v>45381</v>
      </c>
      <c r="C1273" s="6" t="s">
        <v>674</v>
      </c>
      <c r="D1273" s="6" t="s">
        <v>264</v>
      </c>
      <c r="E1273" s="6" t="s">
        <v>165</v>
      </c>
      <c r="F1273" s="6" t="s">
        <v>166</v>
      </c>
      <c r="G1273" s="6" t="s">
        <v>95</v>
      </c>
      <c r="H1273" s="6" t="s">
        <v>167</v>
      </c>
      <c r="I1273" s="6" t="s">
        <v>58</v>
      </c>
      <c r="J1273" s="6" t="s">
        <v>323</v>
      </c>
      <c r="K1273" s="6" t="s">
        <v>90</v>
      </c>
      <c r="L1273" s="6" t="s">
        <v>2666</v>
      </c>
      <c r="M1273" s="6" t="s">
        <v>43</v>
      </c>
      <c r="N1273" s="6" t="s">
        <v>84</v>
      </c>
      <c r="O1273" s="6">
        <v>20</v>
      </c>
      <c r="P1273" s="6">
        <v>45.19</v>
      </c>
      <c r="Q1273" s="6">
        <v>25.6</v>
      </c>
      <c r="R1273" s="6">
        <v>903.81</v>
      </c>
      <c r="S1273" s="6">
        <v>0.02</v>
      </c>
      <c r="T1273" s="6">
        <v>18.079999999999998</v>
      </c>
      <c r="U1273" s="6">
        <v>885.74</v>
      </c>
      <c r="V1273" s="6">
        <v>512.03</v>
      </c>
      <c r="W1273" s="6">
        <v>373.71</v>
      </c>
      <c r="X1273" s="6" t="s">
        <v>32</v>
      </c>
    </row>
    <row r="1274" spans="1:24" x14ac:dyDescent="0.25">
      <c r="A1274" s="5" t="s">
        <v>1778</v>
      </c>
      <c r="B1274" s="18">
        <v>45419</v>
      </c>
      <c r="C1274" s="7" t="s">
        <v>373</v>
      </c>
      <c r="D1274" s="7" t="s">
        <v>264</v>
      </c>
      <c r="E1274" s="7" t="s">
        <v>126</v>
      </c>
      <c r="F1274" s="7" t="s">
        <v>127</v>
      </c>
      <c r="G1274" s="7" t="s">
        <v>95</v>
      </c>
      <c r="H1274" s="7" t="s">
        <v>128</v>
      </c>
      <c r="I1274" s="7" t="s">
        <v>88</v>
      </c>
      <c r="J1274" s="7" t="s">
        <v>173</v>
      </c>
      <c r="K1274" s="7" t="s">
        <v>118</v>
      </c>
      <c r="L1274" s="7" t="s">
        <v>2668</v>
      </c>
      <c r="M1274" s="7" t="s">
        <v>43</v>
      </c>
      <c r="N1274" s="7" t="s">
        <v>31</v>
      </c>
      <c r="O1274" s="7">
        <v>21</v>
      </c>
      <c r="P1274" s="7">
        <v>96.5</v>
      </c>
      <c r="Q1274" s="7">
        <v>55.87</v>
      </c>
      <c r="R1274" s="7">
        <v>2026.53</v>
      </c>
      <c r="S1274" s="7">
        <v>0.2</v>
      </c>
      <c r="T1274" s="7">
        <v>405.31</v>
      </c>
      <c r="U1274" s="7">
        <v>1621.22</v>
      </c>
      <c r="V1274" s="7">
        <v>1173.28</v>
      </c>
      <c r="W1274" s="7">
        <v>447.95</v>
      </c>
      <c r="X1274" s="7" t="s">
        <v>45</v>
      </c>
    </row>
    <row r="1275" spans="1:24" x14ac:dyDescent="0.25">
      <c r="A1275" s="16" t="s">
        <v>1779</v>
      </c>
      <c r="B1275" s="17">
        <v>45535</v>
      </c>
      <c r="C1275" s="6" t="s">
        <v>1253</v>
      </c>
      <c r="D1275" s="6" t="s">
        <v>259</v>
      </c>
      <c r="E1275" s="6" t="s">
        <v>141</v>
      </c>
      <c r="F1275" s="6" t="s">
        <v>142</v>
      </c>
      <c r="G1275" s="6" t="s">
        <v>25</v>
      </c>
      <c r="H1275" s="6" t="s">
        <v>26</v>
      </c>
      <c r="I1275" s="6" t="s">
        <v>88</v>
      </c>
      <c r="J1275" s="6" t="s">
        <v>173</v>
      </c>
      <c r="K1275" s="6" t="s">
        <v>83</v>
      </c>
      <c r="L1275" s="6" t="s">
        <v>2665</v>
      </c>
      <c r="M1275" s="6" t="s">
        <v>153</v>
      </c>
      <c r="N1275" s="6" t="s">
        <v>84</v>
      </c>
      <c r="O1275" s="6">
        <v>35</v>
      </c>
      <c r="P1275" s="6">
        <v>92.7</v>
      </c>
      <c r="Q1275" s="6">
        <v>61.99</v>
      </c>
      <c r="R1275" s="6">
        <v>3244.6</v>
      </c>
      <c r="S1275" s="6">
        <v>0.05</v>
      </c>
      <c r="T1275" s="6">
        <v>162.22999999999999</v>
      </c>
      <c r="U1275" s="6">
        <v>3082.37</v>
      </c>
      <c r="V1275" s="6">
        <v>2169.5100000000002</v>
      </c>
      <c r="W1275" s="6">
        <v>912.86</v>
      </c>
      <c r="X1275" s="6" t="s">
        <v>45</v>
      </c>
    </row>
    <row r="1276" spans="1:24" x14ac:dyDescent="0.25">
      <c r="A1276" s="5" t="s">
        <v>1780</v>
      </c>
      <c r="B1276" s="18">
        <v>45512</v>
      </c>
      <c r="C1276" s="7" t="s">
        <v>213</v>
      </c>
      <c r="D1276" s="7" t="s">
        <v>87</v>
      </c>
      <c r="E1276" s="7" t="s">
        <v>78</v>
      </c>
      <c r="F1276" s="7" t="s">
        <v>79</v>
      </c>
      <c r="G1276" s="7" t="s">
        <v>80</v>
      </c>
      <c r="H1276" s="7" t="s">
        <v>81</v>
      </c>
      <c r="I1276" s="7" t="s">
        <v>27</v>
      </c>
      <c r="J1276" s="7" t="s">
        <v>189</v>
      </c>
      <c r="K1276" s="7" t="s">
        <v>74</v>
      </c>
      <c r="L1276" s="7" t="s">
        <v>2664</v>
      </c>
      <c r="M1276" s="7" t="s">
        <v>61</v>
      </c>
      <c r="N1276" s="7" t="s">
        <v>31</v>
      </c>
      <c r="O1276" s="7">
        <v>63</v>
      </c>
      <c r="P1276" s="7">
        <v>143.94999999999999</v>
      </c>
      <c r="Q1276" s="7">
        <v>86</v>
      </c>
      <c r="R1276" s="7">
        <v>9069.0300000000007</v>
      </c>
      <c r="S1276" s="7">
        <v>0.02</v>
      </c>
      <c r="T1276" s="7">
        <v>181.38</v>
      </c>
      <c r="U1276" s="7">
        <v>8887.65</v>
      </c>
      <c r="V1276" s="7">
        <v>5418.09</v>
      </c>
      <c r="W1276" s="7">
        <v>3469.56</v>
      </c>
      <c r="X1276" s="7" t="s">
        <v>45</v>
      </c>
    </row>
    <row r="1277" spans="1:24" x14ac:dyDescent="0.25">
      <c r="A1277" s="16" t="s">
        <v>1781</v>
      </c>
      <c r="B1277" s="17">
        <v>45653</v>
      </c>
      <c r="C1277" s="6" t="s">
        <v>900</v>
      </c>
      <c r="D1277" s="6" t="s">
        <v>22</v>
      </c>
      <c r="E1277" s="6" t="s">
        <v>36</v>
      </c>
      <c r="F1277" s="6" t="s">
        <v>37</v>
      </c>
      <c r="G1277" s="6" t="s">
        <v>38</v>
      </c>
      <c r="H1277" s="6" t="s">
        <v>39</v>
      </c>
      <c r="I1277" s="6" t="s">
        <v>40</v>
      </c>
      <c r="J1277" s="6" t="s">
        <v>117</v>
      </c>
      <c r="K1277" s="6" t="s">
        <v>90</v>
      </c>
      <c r="L1277" s="6" t="s">
        <v>2666</v>
      </c>
      <c r="M1277" s="6" t="s">
        <v>43</v>
      </c>
      <c r="N1277" s="6" t="s">
        <v>44</v>
      </c>
      <c r="O1277" s="6">
        <v>7</v>
      </c>
      <c r="P1277" s="6">
        <v>169.42</v>
      </c>
      <c r="Q1277" s="6">
        <v>92.59</v>
      </c>
      <c r="R1277" s="6">
        <v>1185.96</v>
      </c>
      <c r="S1277" s="6">
        <v>0.1</v>
      </c>
      <c r="T1277" s="6">
        <v>118.6</v>
      </c>
      <c r="U1277" s="6">
        <v>1067.3699999999999</v>
      </c>
      <c r="V1277" s="6">
        <v>648.15</v>
      </c>
      <c r="W1277" s="6">
        <v>419.21</v>
      </c>
      <c r="X1277" s="6" t="s">
        <v>32</v>
      </c>
    </row>
    <row r="1278" spans="1:24" x14ac:dyDescent="0.25">
      <c r="A1278" s="5" t="s">
        <v>1782</v>
      </c>
      <c r="B1278" s="18">
        <v>45600</v>
      </c>
      <c r="C1278" s="7" t="s">
        <v>1783</v>
      </c>
      <c r="D1278" s="7" t="s">
        <v>163</v>
      </c>
      <c r="E1278" s="7" t="s">
        <v>222</v>
      </c>
      <c r="F1278" s="7" t="s">
        <v>223</v>
      </c>
      <c r="G1278" s="7" t="s">
        <v>101</v>
      </c>
      <c r="H1278" s="7" t="s">
        <v>68</v>
      </c>
      <c r="I1278" s="7" t="s">
        <v>58</v>
      </c>
      <c r="J1278" s="7" t="s">
        <v>73</v>
      </c>
      <c r="K1278" s="7" t="s">
        <v>248</v>
      </c>
      <c r="L1278" s="7" t="s">
        <v>2675</v>
      </c>
      <c r="M1278" s="7" t="s">
        <v>43</v>
      </c>
      <c r="N1278" s="7" t="s">
        <v>70</v>
      </c>
      <c r="O1278" s="7">
        <v>71</v>
      </c>
      <c r="P1278" s="7">
        <v>121.29</v>
      </c>
      <c r="Q1278" s="7">
        <v>80.98</v>
      </c>
      <c r="R1278" s="7">
        <v>8611.36</v>
      </c>
      <c r="S1278" s="7">
        <v>0.2</v>
      </c>
      <c r="T1278" s="7">
        <v>1722.27</v>
      </c>
      <c r="U1278" s="7">
        <v>6889.09</v>
      </c>
      <c r="V1278" s="7">
        <v>5749.29</v>
      </c>
      <c r="W1278" s="7">
        <v>1139.8</v>
      </c>
      <c r="X1278" s="7" t="s">
        <v>129</v>
      </c>
    </row>
    <row r="1279" spans="1:24" x14ac:dyDescent="0.25">
      <c r="A1279" s="16" t="s">
        <v>1784</v>
      </c>
      <c r="B1279" s="17">
        <v>45406</v>
      </c>
      <c r="C1279" s="6" t="s">
        <v>303</v>
      </c>
      <c r="D1279" s="6" t="s">
        <v>22</v>
      </c>
      <c r="E1279" s="6" t="s">
        <v>99</v>
      </c>
      <c r="F1279" s="6" t="s">
        <v>100</v>
      </c>
      <c r="G1279" s="6" t="s">
        <v>101</v>
      </c>
      <c r="H1279" s="6" t="s">
        <v>102</v>
      </c>
      <c r="I1279" s="6" t="s">
        <v>53</v>
      </c>
      <c r="J1279" s="6" t="s">
        <v>143</v>
      </c>
      <c r="K1279" s="6" t="s">
        <v>265</v>
      </c>
      <c r="L1279" s="6" t="s">
        <v>2678</v>
      </c>
      <c r="M1279" s="6" t="s">
        <v>153</v>
      </c>
      <c r="N1279" s="6" t="s">
        <v>31</v>
      </c>
      <c r="O1279" s="6">
        <v>50</v>
      </c>
      <c r="P1279" s="6">
        <v>72.88</v>
      </c>
      <c r="Q1279" s="6">
        <v>41.13</v>
      </c>
      <c r="R1279" s="6">
        <v>3643.78</v>
      </c>
      <c r="S1279" s="6">
        <v>0.1</v>
      </c>
      <c r="T1279" s="6">
        <v>364.38</v>
      </c>
      <c r="U1279" s="6">
        <v>3279.4</v>
      </c>
      <c r="V1279" s="6">
        <v>2056.36</v>
      </c>
      <c r="W1279" s="6">
        <v>1223.04</v>
      </c>
      <c r="X1279" s="6" t="s">
        <v>45</v>
      </c>
    </row>
    <row r="1280" spans="1:24" x14ac:dyDescent="0.25">
      <c r="A1280" s="5" t="s">
        <v>1785</v>
      </c>
      <c r="B1280" s="18">
        <v>45655</v>
      </c>
      <c r="C1280" s="7" t="s">
        <v>811</v>
      </c>
      <c r="D1280" s="7" t="s">
        <v>359</v>
      </c>
      <c r="E1280" s="7" t="s">
        <v>49</v>
      </c>
      <c r="F1280" s="7" t="s">
        <v>50</v>
      </c>
      <c r="G1280" s="7" t="s">
        <v>51</v>
      </c>
      <c r="H1280" s="7" t="s">
        <v>52</v>
      </c>
      <c r="I1280" s="7" t="s">
        <v>27</v>
      </c>
      <c r="J1280" s="7" t="s">
        <v>106</v>
      </c>
      <c r="K1280" s="7" t="s">
        <v>218</v>
      </c>
      <c r="L1280" s="7" t="s">
        <v>2674</v>
      </c>
      <c r="M1280" s="7" t="s">
        <v>43</v>
      </c>
      <c r="N1280" s="7" t="s">
        <v>75</v>
      </c>
      <c r="O1280" s="7">
        <v>26</v>
      </c>
      <c r="P1280" s="7">
        <v>23.23</v>
      </c>
      <c r="Q1280" s="7">
        <v>12.66</v>
      </c>
      <c r="R1280" s="7">
        <v>604.09</v>
      </c>
      <c r="S1280" s="7">
        <v>0</v>
      </c>
      <c r="T1280" s="7">
        <v>0</v>
      </c>
      <c r="U1280" s="7">
        <v>604.09</v>
      </c>
      <c r="V1280" s="7">
        <v>329.04</v>
      </c>
      <c r="W1280" s="7">
        <v>275.05</v>
      </c>
      <c r="X1280" s="7" t="s">
        <v>45</v>
      </c>
    </row>
    <row r="1281" spans="1:24" x14ac:dyDescent="0.25">
      <c r="A1281" s="16" t="s">
        <v>1786</v>
      </c>
      <c r="B1281" s="17">
        <v>45359</v>
      </c>
      <c r="C1281" s="6" t="s">
        <v>495</v>
      </c>
      <c r="D1281" s="6" t="s">
        <v>125</v>
      </c>
      <c r="E1281" s="6" t="s">
        <v>114</v>
      </c>
      <c r="F1281" s="6" t="s">
        <v>115</v>
      </c>
      <c r="G1281" s="6" t="s">
        <v>95</v>
      </c>
      <c r="H1281" s="6" t="s">
        <v>116</v>
      </c>
      <c r="I1281" s="6" t="s">
        <v>53</v>
      </c>
      <c r="J1281" s="6" t="s">
        <v>232</v>
      </c>
      <c r="K1281" s="6" t="s">
        <v>42</v>
      </c>
      <c r="L1281" s="6" t="s">
        <v>2661</v>
      </c>
      <c r="M1281" s="6" t="s">
        <v>153</v>
      </c>
      <c r="N1281" s="6" t="s">
        <v>31</v>
      </c>
      <c r="O1281" s="6">
        <v>31</v>
      </c>
      <c r="P1281" s="6">
        <v>35.97</v>
      </c>
      <c r="Q1281" s="6">
        <v>19.59</v>
      </c>
      <c r="R1281" s="6">
        <v>1115.01</v>
      </c>
      <c r="S1281" s="6">
        <v>0.15</v>
      </c>
      <c r="T1281" s="6">
        <v>167.25</v>
      </c>
      <c r="U1281" s="6">
        <v>947.76</v>
      </c>
      <c r="V1281" s="6">
        <v>607.37</v>
      </c>
      <c r="W1281" s="6">
        <v>340.39</v>
      </c>
      <c r="X1281" s="6" t="s">
        <v>45</v>
      </c>
    </row>
    <row r="1282" spans="1:24" x14ac:dyDescent="0.25">
      <c r="A1282" s="5" t="s">
        <v>1787</v>
      </c>
      <c r="B1282" s="18">
        <v>45367</v>
      </c>
      <c r="C1282" s="7" t="s">
        <v>941</v>
      </c>
      <c r="D1282" s="7" t="s">
        <v>149</v>
      </c>
      <c r="E1282" s="7" t="s">
        <v>114</v>
      </c>
      <c r="F1282" s="7" t="s">
        <v>115</v>
      </c>
      <c r="G1282" s="7" t="s">
        <v>95</v>
      </c>
      <c r="H1282" s="7" t="s">
        <v>116</v>
      </c>
      <c r="I1282" s="7" t="s">
        <v>88</v>
      </c>
      <c r="J1282" s="7" t="s">
        <v>89</v>
      </c>
      <c r="K1282" s="7" t="s">
        <v>170</v>
      </c>
      <c r="L1282" s="7" t="s">
        <v>2671</v>
      </c>
      <c r="M1282" s="7" t="s">
        <v>153</v>
      </c>
      <c r="N1282" s="7" t="s">
        <v>70</v>
      </c>
      <c r="O1282" s="7">
        <v>39</v>
      </c>
      <c r="P1282" s="7">
        <v>33.35</v>
      </c>
      <c r="Q1282" s="7">
        <v>20.94</v>
      </c>
      <c r="R1282" s="7">
        <v>1300.6400000000001</v>
      </c>
      <c r="S1282" s="7">
        <v>0.02</v>
      </c>
      <c r="T1282" s="7">
        <v>26.01</v>
      </c>
      <c r="U1282" s="7">
        <v>1274.6300000000001</v>
      </c>
      <c r="V1282" s="7">
        <v>816.78</v>
      </c>
      <c r="W1282" s="7">
        <v>457.85</v>
      </c>
      <c r="X1282" s="7" t="s">
        <v>32</v>
      </c>
    </row>
    <row r="1283" spans="1:24" x14ac:dyDescent="0.25">
      <c r="A1283" s="16" t="s">
        <v>1788</v>
      </c>
      <c r="B1283" s="17">
        <v>45554</v>
      </c>
      <c r="C1283" s="6" t="s">
        <v>565</v>
      </c>
      <c r="D1283" s="6" t="s">
        <v>121</v>
      </c>
      <c r="E1283" s="6" t="s">
        <v>141</v>
      </c>
      <c r="F1283" s="6" t="s">
        <v>142</v>
      </c>
      <c r="G1283" s="6" t="s">
        <v>25</v>
      </c>
      <c r="H1283" s="6" t="s">
        <v>26</v>
      </c>
      <c r="I1283" s="6" t="s">
        <v>88</v>
      </c>
      <c r="J1283" s="6" t="s">
        <v>183</v>
      </c>
      <c r="K1283" s="6" t="s">
        <v>118</v>
      </c>
      <c r="L1283" s="6" t="s">
        <v>2668</v>
      </c>
      <c r="M1283" s="6" t="s">
        <v>30</v>
      </c>
      <c r="N1283" s="6" t="s">
        <v>75</v>
      </c>
      <c r="O1283" s="6">
        <v>3</v>
      </c>
      <c r="P1283" s="6">
        <v>98.54</v>
      </c>
      <c r="Q1283" s="6">
        <v>58.99</v>
      </c>
      <c r="R1283" s="6">
        <v>295.61</v>
      </c>
      <c r="S1283" s="6">
        <v>0.15</v>
      </c>
      <c r="T1283" s="6">
        <v>44.34</v>
      </c>
      <c r="U1283" s="6">
        <v>251.27</v>
      </c>
      <c r="V1283" s="6">
        <v>176.97</v>
      </c>
      <c r="W1283" s="6">
        <v>74.3</v>
      </c>
      <c r="X1283" s="6" t="s">
        <v>45</v>
      </c>
    </row>
    <row r="1284" spans="1:24" x14ac:dyDescent="0.25">
      <c r="A1284" s="5" t="s">
        <v>1789</v>
      </c>
      <c r="B1284" s="18">
        <v>45420</v>
      </c>
      <c r="C1284" s="7" t="s">
        <v>404</v>
      </c>
      <c r="D1284" s="7" t="s">
        <v>87</v>
      </c>
      <c r="E1284" s="7" t="s">
        <v>49</v>
      </c>
      <c r="F1284" s="7" t="s">
        <v>50</v>
      </c>
      <c r="G1284" s="7" t="s">
        <v>51</v>
      </c>
      <c r="H1284" s="7" t="s">
        <v>52</v>
      </c>
      <c r="I1284" s="7" t="s">
        <v>88</v>
      </c>
      <c r="J1284" s="7" t="s">
        <v>89</v>
      </c>
      <c r="K1284" s="7" t="s">
        <v>261</v>
      </c>
      <c r="L1284" s="7" t="s">
        <v>2677</v>
      </c>
      <c r="M1284" s="7" t="s">
        <v>30</v>
      </c>
      <c r="N1284" s="7" t="s">
        <v>31</v>
      </c>
      <c r="O1284" s="7">
        <v>62</v>
      </c>
      <c r="P1284" s="7">
        <v>25.69</v>
      </c>
      <c r="Q1284" s="7">
        <v>12.42</v>
      </c>
      <c r="R1284" s="7">
        <v>1592.85</v>
      </c>
      <c r="S1284" s="7">
        <v>0</v>
      </c>
      <c r="T1284" s="7">
        <v>0</v>
      </c>
      <c r="U1284" s="7">
        <v>1592.85</v>
      </c>
      <c r="V1284" s="7">
        <v>769.96</v>
      </c>
      <c r="W1284" s="7">
        <v>822.89</v>
      </c>
      <c r="X1284" s="7" t="s">
        <v>45</v>
      </c>
    </row>
    <row r="1285" spans="1:24" x14ac:dyDescent="0.25">
      <c r="A1285" s="16" t="s">
        <v>1790</v>
      </c>
      <c r="B1285" s="17">
        <v>45366</v>
      </c>
      <c r="C1285" s="6" t="s">
        <v>220</v>
      </c>
      <c r="D1285" s="6" t="s">
        <v>221</v>
      </c>
      <c r="E1285" s="6" t="s">
        <v>150</v>
      </c>
      <c r="F1285" s="6" t="s">
        <v>151</v>
      </c>
      <c r="G1285" s="6" t="s">
        <v>101</v>
      </c>
      <c r="H1285" s="6" t="s">
        <v>134</v>
      </c>
      <c r="I1285" s="6" t="s">
        <v>27</v>
      </c>
      <c r="J1285" s="6" t="s">
        <v>189</v>
      </c>
      <c r="K1285" s="6" t="s">
        <v>170</v>
      </c>
      <c r="L1285" s="6" t="s">
        <v>2671</v>
      </c>
      <c r="M1285" s="6" t="s">
        <v>61</v>
      </c>
      <c r="N1285" s="6" t="s">
        <v>44</v>
      </c>
      <c r="O1285" s="6">
        <v>72</v>
      </c>
      <c r="P1285" s="6">
        <v>90.38</v>
      </c>
      <c r="Q1285" s="6">
        <v>52.36</v>
      </c>
      <c r="R1285" s="6">
        <v>6507.12</v>
      </c>
      <c r="S1285" s="6">
        <v>0.05</v>
      </c>
      <c r="T1285" s="6">
        <v>325.36</v>
      </c>
      <c r="U1285" s="6">
        <v>6181.77</v>
      </c>
      <c r="V1285" s="6">
        <v>3769.8</v>
      </c>
      <c r="W1285" s="6">
        <v>2411.9699999999998</v>
      </c>
      <c r="X1285" s="6" t="s">
        <v>45</v>
      </c>
    </row>
    <row r="1286" spans="1:24" x14ac:dyDescent="0.25">
      <c r="A1286" s="5" t="s">
        <v>1791</v>
      </c>
      <c r="B1286" s="18">
        <v>45313</v>
      </c>
      <c r="C1286" s="7" t="s">
        <v>1253</v>
      </c>
      <c r="D1286" s="7" t="s">
        <v>259</v>
      </c>
      <c r="E1286" s="7" t="s">
        <v>36</v>
      </c>
      <c r="F1286" s="7" t="s">
        <v>37</v>
      </c>
      <c r="G1286" s="7" t="s">
        <v>38</v>
      </c>
      <c r="H1286" s="7" t="s">
        <v>39</v>
      </c>
      <c r="I1286" s="7" t="s">
        <v>40</v>
      </c>
      <c r="J1286" s="7" t="s">
        <v>82</v>
      </c>
      <c r="K1286" s="7" t="s">
        <v>83</v>
      </c>
      <c r="L1286" s="7" t="s">
        <v>2665</v>
      </c>
      <c r="M1286" s="7" t="s">
        <v>61</v>
      </c>
      <c r="N1286" s="7" t="s">
        <v>31</v>
      </c>
      <c r="O1286" s="7">
        <v>47</v>
      </c>
      <c r="P1286" s="7">
        <v>175.59</v>
      </c>
      <c r="Q1286" s="7">
        <v>106.86</v>
      </c>
      <c r="R1286" s="7">
        <v>8252.51</v>
      </c>
      <c r="S1286" s="7">
        <v>0.2</v>
      </c>
      <c r="T1286" s="7">
        <v>1650.5</v>
      </c>
      <c r="U1286" s="7">
        <v>6602.01</v>
      </c>
      <c r="V1286" s="7">
        <v>5022.38</v>
      </c>
      <c r="W1286" s="7">
        <v>1579.63</v>
      </c>
      <c r="X1286" s="7" t="s">
        <v>45</v>
      </c>
    </row>
    <row r="1287" spans="1:24" x14ac:dyDescent="0.25">
      <c r="A1287" s="16" t="s">
        <v>1792</v>
      </c>
      <c r="B1287" s="17">
        <v>45338</v>
      </c>
      <c r="C1287" s="6" t="s">
        <v>1380</v>
      </c>
      <c r="D1287" s="6" t="s">
        <v>121</v>
      </c>
      <c r="E1287" s="6" t="s">
        <v>93</v>
      </c>
      <c r="F1287" s="6" t="s">
        <v>94</v>
      </c>
      <c r="G1287" s="6" t="s">
        <v>95</v>
      </c>
      <c r="H1287" s="6" t="s">
        <v>96</v>
      </c>
      <c r="I1287" s="6" t="s">
        <v>58</v>
      </c>
      <c r="J1287" s="6" t="s">
        <v>345</v>
      </c>
      <c r="K1287" s="6" t="s">
        <v>248</v>
      </c>
      <c r="L1287" s="6" t="s">
        <v>2675</v>
      </c>
      <c r="M1287" s="6" t="s">
        <v>30</v>
      </c>
      <c r="N1287" s="6" t="s">
        <v>75</v>
      </c>
      <c r="O1287" s="6">
        <v>40</v>
      </c>
      <c r="P1287" s="6">
        <v>52.36</v>
      </c>
      <c r="Q1287" s="6">
        <v>30</v>
      </c>
      <c r="R1287" s="6">
        <v>2094.5700000000002</v>
      </c>
      <c r="S1287" s="6">
        <v>0.02</v>
      </c>
      <c r="T1287" s="6">
        <v>41.89</v>
      </c>
      <c r="U1287" s="6">
        <v>2052.6799999999998</v>
      </c>
      <c r="V1287" s="6">
        <v>1199.98</v>
      </c>
      <c r="W1287" s="6">
        <v>852.7</v>
      </c>
      <c r="X1287" s="6" t="s">
        <v>45</v>
      </c>
    </row>
    <row r="1288" spans="1:24" x14ac:dyDescent="0.25">
      <c r="A1288" s="5" t="s">
        <v>1793</v>
      </c>
      <c r="B1288" s="18">
        <v>45524</v>
      </c>
      <c r="C1288" s="7" t="s">
        <v>509</v>
      </c>
      <c r="D1288" s="7" t="s">
        <v>264</v>
      </c>
      <c r="E1288" s="7" t="s">
        <v>49</v>
      </c>
      <c r="F1288" s="7" t="s">
        <v>50</v>
      </c>
      <c r="G1288" s="7" t="s">
        <v>51</v>
      </c>
      <c r="H1288" s="7" t="s">
        <v>52</v>
      </c>
      <c r="I1288" s="7" t="s">
        <v>53</v>
      </c>
      <c r="J1288" s="7" t="s">
        <v>143</v>
      </c>
      <c r="K1288" s="7" t="s">
        <v>178</v>
      </c>
      <c r="L1288" s="7" t="s">
        <v>256</v>
      </c>
      <c r="M1288" s="7" t="s">
        <v>30</v>
      </c>
      <c r="N1288" s="7" t="s">
        <v>75</v>
      </c>
      <c r="O1288" s="7">
        <v>62</v>
      </c>
      <c r="P1288" s="7">
        <v>25.44</v>
      </c>
      <c r="Q1288" s="7">
        <v>13.42</v>
      </c>
      <c r="R1288" s="7">
        <v>1577.2</v>
      </c>
      <c r="S1288" s="7">
        <v>0.2</v>
      </c>
      <c r="T1288" s="7">
        <v>315.44</v>
      </c>
      <c r="U1288" s="7">
        <v>1261.76</v>
      </c>
      <c r="V1288" s="7">
        <v>831.75</v>
      </c>
      <c r="W1288" s="7">
        <v>430.02</v>
      </c>
      <c r="X1288" s="7" t="s">
        <v>45</v>
      </c>
    </row>
    <row r="1289" spans="1:24" x14ac:dyDescent="0.25">
      <c r="A1289" s="16" t="s">
        <v>1794</v>
      </c>
      <c r="B1289" s="17">
        <v>45429</v>
      </c>
      <c r="C1289" s="6" t="s">
        <v>120</v>
      </c>
      <c r="D1289" s="6" t="s">
        <v>121</v>
      </c>
      <c r="E1289" s="6" t="s">
        <v>141</v>
      </c>
      <c r="F1289" s="6" t="s">
        <v>142</v>
      </c>
      <c r="G1289" s="6" t="s">
        <v>25</v>
      </c>
      <c r="H1289" s="6" t="s">
        <v>26</v>
      </c>
      <c r="I1289" s="6" t="s">
        <v>40</v>
      </c>
      <c r="J1289" s="6" t="s">
        <v>41</v>
      </c>
      <c r="K1289" s="6" t="s">
        <v>69</v>
      </c>
      <c r="L1289" s="6" t="s">
        <v>2663</v>
      </c>
      <c r="M1289" s="6" t="s">
        <v>30</v>
      </c>
      <c r="N1289" s="6" t="s">
        <v>84</v>
      </c>
      <c r="O1289" s="6">
        <v>5</v>
      </c>
      <c r="P1289" s="6">
        <v>88.69</v>
      </c>
      <c r="Q1289" s="6">
        <v>56.94</v>
      </c>
      <c r="R1289" s="6">
        <v>443.47</v>
      </c>
      <c r="S1289" s="6">
        <v>0</v>
      </c>
      <c r="T1289" s="6">
        <v>0</v>
      </c>
      <c r="U1289" s="6">
        <v>443.47</v>
      </c>
      <c r="V1289" s="6">
        <v>284.69</v>
      </c>
      <c r="W1289" s="6">
        <v>158.78</v>
      </c>
      <c r="X1289" s="6" t="s">
        <v>45</v>
      </c>
    </row>
    <row r="1290" spans="1:24" x14ac:dyDescent="0.25">
      <c r="A1290" s="5" t="s">
        <v>1795</v>
      </c>
      <c r="B1290" s="18">
        <v>45325</v>
      </c>
      <c r="C1290" s="7" t="s">
        <v>666</v>
      </c>
      <c r="D1290" s="7" t="s">
        <v>156</v>
      </c>
      <c r="E1290" s="7" t="s">
        <v>109</v>
      </c>
      <c r="F1290" s="7" t="s">
        <v>110</v>
      </c>
      <c r="G1290" s="7" t="s">
        <v>80</v>
      </c>
      <c r="H1290" s="7" t="s">
        <v>81</v>
      </c>
      <c r="I1290" s="7" t="s">
        <v>53</v>
      </c>
      <c r="J1290" s="7" t="s">
        <v>143</v>
      </c>
      <c r="K1290" s="7" t="s">
        <v>261</v>
      </c>
      <c r="L1290" s="7" t="s">
        <v>2677</v>
      </c>
      <c r="M1290" s="7" t="s">
        <v>43</v>
      </c>
      <c r="N1290" s="7" t="s">
        <v>75</v>
      </c>
      <c r="O1290" s="7">
        <v>25</v>
      </c>
      <c r="P1290" s="7">
        <v>133.19</v>
      </c>
      <c r="Q1290" s="7">
        <v>76.63</v>
      </c>
      <c r="R1290" s="7">
        <v>3329.73</v>
      </c>
      <c r="S1290" s="7">
        <v>0.15</v>
      </c>
      <c r="T1290" s="7">
        <v>499.46</v>
      </c>
      <c r="U1290" s="7">
        <v>2830.27</v>
      </c>
      <c r="V1290" s="7">
        <v>1915.75</v>
      </c>
      <c r="W1290" s="7">
        <v>914.51</v>
      </c>
      <c r="X1290" s="7" t="s">
        <v>45</v>
      </c>
    </row>
    <row r="1291" spans="1:24" x14ac:dyDescent="0.25">
      <c r="A1291" s="16" t="s">
        <v>1796</v>
      </c>
      <c r="B1291" s="17">
        <v>45517</v>
      </c>
      <c r="C1291" s="6" t="s">
        <v>1488</v>
      </c>
      <c r="D1291" s="6" t="s">
        <v>149</v>
      </c>
      <c r="E1291" s="6" t="s">
        <v>209</v>
      </c>
      <c r="F1291" s="6" t="s">
        <v>210</v>
      </c>
      <c r="G1291" s="6" t="s">
        <v>51</v>
      </c>
      <c r="H1291" s="6" t="s">
        <v>116</v>
      </c>
      <c r="I1291" s="6" t="s">
        <v>58</v>
      </c>
      <c r="J1291" s="6" t="s">
        <v>323</v>
      </c>
      <c r="K1291" s="6" t="s">
        <v>118</v>
      </c>
      <c r="L1291" s="6" t="s">
        <v>2668</v>
      </c>
      <c r="M1291" s="6" t="s">
        <v>61</v>
      </c>
      <c r="N1291" s="6" t="s">
        <v>31</v>
      </c>
      <c r="O1291" s="6">
        <v>46</v>
      </c>
      <c r="P1291" s="6">
        <v>17.88</v>
      </c>
      <c r="Q1291" s="6">
        <v>10.46</v>
      </c>
      <c r="R1291" s="6">
        <v>822.63</v>
      </c>
      <c r="S1291" s="6">
        <v>0.02</v>
      </c>
      <c r="T1291" s="6">
        <v>16.45</v>
      </c>
      <c r="U1291" s="6">
        <v>806.17</v>
      </c>
      <c r="V1291" s="6">
        <v>480.98</v>
      </c>
      <c r="W1291" s="6">
        <v>325.2</v>
      </c>
      <c r="X1291" s="6" t="s">
        <v>129</v>
      </c>
    </row>
    <row r="1292" spans="1:24" x14ac:dyDescent="0.25">
      <c r="A1292" s="5" t="s">
        <v>1797</v>
      </c>
      <c r="B1292" s="18">
        <v>45328</v>
      </c>
      <c r="C1292" s="7" t="s">
        <v>717</v>
      </c>
      <c r="D1292" s="7" t="s">
        <v>35</v>
      </c>
      <c r="E1292" s="7" t="s">
        <v>23</v>
      </c>
      <c r="F1292" s="7" t="s">
        <v>24</v>
      </c>
      <c r="G1292" s="7" t="s">
        <v>25</v>
      </c>
      <c r="H1292" s="7" t="s">
        <v>26</v>
      </c>
      <c r="I1292" s="7" t="s">
        <v>58</v>
      </c>
      <c r="J1292" s="7" t="s">
        <v>73</v>
      </c>
      <c r="K1292" s="7" t="s">
        <v>42</v>
      </c>
      <c r="L1292" s="7" t="s">
        <v>2661</v>
      </c>
      <c r="M1292" s="7" t="s">
        <v>61</v>
      </c>
      <c r="N1292" s="7" t="s">
        <v>31</v>
      </c>
      <c r="O1292" s="7">
        <v>30</v>
      </c>
      <c r="P1292" s="7">
        <v>71.849999999999994</v>
      </c>
      <c r="Q1292" s="7">
        <v>45.61</v>
      </c>
      <c r="R1292" s="7">
        <v>2155.5500000000002</v>
      </c>
      <c r="S1292" s="7">
        <v>0.05</v>
      </c>
      <c r="T1292" s="7">
        <v>107.78</v>
      </c>
      <c r="U1292" s="7">
        <v>2047.77</v>
      </c>
      <c r="V1292" s="7">
        <v>1368.2</v>
      </c>
      <c r="W1292" s="7">
        <v>679.57</v>
      </c>
      <c r="X1292" s="7" t="s">
        <v>45</v>
      </c>
    </row>
    <row r="1293" spans="1:24" x14ac:dyDescent="0.25">
      <c r="A1293" s="16" t="s">
        <v>1798</v>
      </c>
      <c r="B1293" s="17">
        <v>45501</v>
      </c>
      <c r="C1293" s="6" t="s">
        <v>77</v>
      </c>
      <c r="D1293" s="6" t="s">
        <v>22</v>
      </c>
      <c r="E1293" s="6" t="s">
        <v>66</v>
      </c>
      <c r="F1293" s="6" t="s">
        <v>67</v>
      </c>
      <c r="G1293" s="6" t="s">
        <v>38</v>
      </c>
      <c r="H1293" s="6" t="s">
        <v>68</v>
      </c>
      <c r="I1293" s="6" t="s">
        <v>88</v>
      </c>
      <c r="J1293" s="6" t="s">
        <v>135</v>
      </c>
      <c r="K1293" s="6" t="s">
        <v>253</v>
      </c>
      <c r="L1293" s="6" t="s">
        <v>2676</v>
      </c>
      <c r="M1293" s="6" t="s">
        <v>43</v>
      </c>
      <c r="N1293" s="6" t="s">
        <v>84</v>
      </c>
      <c r="O1293" s="6">
        <v>47</v>
      </c>
      <c r="P1293" s="6">
        <v>171.31</v>
      </c>
      <c r="Q1293" s="6">
        <v>106.81</v>
      </c>
      <c r="R1293" s="6">
        <v>8051.48</v>
      </c>
      <c r="S1293" s="6">
        <v>0</v>
      </c>
      <c r="T1293" s="6">
        <v>0</v>
      </c>
      <c r="U1293" s="6">
        <v>8051.48</v>
      </c>
      <c r="V1293" s="6">
        <v>5019.84</v>
      </c>
      <c r="W1293" s="6">
        <v>3031.65</v>
      </c>
      <c r="X1293" s="6" t="s">
        <v>129</v>
      </c>
    </row>
    <row r="1294" spans="1:24" x14ac:dyDescent="0.25">
      <c r="A1294" s="5" t="s">
        <v>1799</v>
      </c>
      <c r="B1294" s="18">
        <v>45384</v>
      </c>
      <c r="C1294" s="7" t="s">
        <v>1302</v>
      </c>
      <c r="D1294" s="7" t="s">
        <v>149</v>
      </c>
      <c r="E1294" s="7" t="s">
        <v>150</v>
      </c>
      <c r="F1294" s="7" t="s">
        <v>151</v>
      </c>
      <c r="G1294" s="7" t="s">
        <v>101</v>
      </c>
      <c r="H1294" s="7" t="s">
        <v>134</v>
      </c>
      <c r="I1294" s="7" t="s">
        <v>27</v>
      </c>
      <c r="J1294" s="7" t="s">
        <v>106</v>
      </c>
      <c r="K1294" s="7" t="s">
        <v>218</v>
      </c>
      <c r="L1294" s="7" t="s">
        <v>2674</v>
      </c>
      <c r="M1294" s="7" t="s">
        <v>30</v>
      </c>
      <c r="N1294" s="7" t="s">
        <v>70</v>
      </c>
      <c r="O1294" s="7">
        <v>4</v>
      </c>
      <c r="P1294" s="7">
        <v>79.510000000000005</v>
      </c>
      <c r="Q1294" s="7">
        <v>50.6</v>
      </c>
      <c r="R1294" s="7">
        <v>318.06</v>
      </c>
      <c r="S1294" s="7">
        <v>0.2</v>
      </c>
      <c r="T1294" s="7">
        <v>63.61</v>
      </c>
      <c r="U1294" s="7">
        <v>254.45</v>
      </c>
      <c r="V1294" s="7">
        <v>202.38</v>
      </c>
      <c r="W1294" s="7">
        <v>52.07</v>
      </c>
      <c r="X1294" s="7" t="s">
        <v>45</v>
      </c>
    </row>
    <row r="1295" spans="1:24" x14ac:dyDescent="0.25">
      <c r="A1295" s="16" t="s">
        <v>1800</v>
      </c>
      <c r="B1295" s="17">
        <v>45505</v>
      </c>
      <c r="C1295" s="6" t="s">
        <v>237</v>
      </c>
      <c r="D1295" s="6" t="s">
        <v>105</v>
      </c>
      <c r="E1295" s="6" t="s">
        <v>49</v>
      </c>
      <c r="F1295" s="6" t="s">
        <v>50</v>
      </c>
      <c r="G1295" s="6" t="s">
        <v>51</v>
      </c>
      <c r="H1295" s="6" t="s">
        <v>52</v>
      </c>
      <c r="I1295" s="6" t="s">
        <v>40</v>
      </c>
      <c r="J1295" s="6" t="s">
        <v>82</v>
      </c>
      <c r="K1295" s="6" t="s">
        <v>111</v>
      </c>
      <c r="L1295" s="6" t="s">
        <v>2667</v>
      </c>
      <c r="M1295" s="6" t="s">
        <v>153</v>
      </c>
      <c r="N1295" s="6" t="s">
        <v>75</v>
      </c>
      <c r="O1295" s="6">
        <v>1</v>
      </c>
      <c r="P1295" s="6">
        <v>23.02</v>
      </c>
      <c r="Q1295" s="6">
        <v>12.31</v>
      </c>
      <c r="R1295" s="6">
        <v>23.02</v>
      </c>
      <c r="S1295" s="6">
        <v>0.1</v>
      </c>
      <c r="T1295" s="6">
        <v>2.2999999999999998</v>
      </c>
      <c r="U1295" s="6">
        <v>20.72</v>
      </c>
      <c r="V1295" s="6">
        <v>12.31</v>
      </c>
      <c r="W1295" s="6">
        <v>8.41</v>
      </c>
      <c r="X1295" s="6" t="s">
        <v>45</v>
      </c>
    </row>
    <row r="1296" spans="1:24" x14ac:dyDescent="0.25">
      <c r="A1296" s="5" t="s">
        <v>1801</v>
      </c>
      <c r="B1296" s="18">
        <v>45465</v>
      </c>
      <c r="C1296" s="7" t="s">
        <v>247</v>
      </c>
      <c r="D1296" s="7" t="s">
        <v>65</v>
      </c>
      <c r="E1296" s="7" t="s">
        <v>93</v>
      </c>
      <c r="F1296" s="7" t="s">
        <v>94</v>
      </c>
      <c r="G1296" s="7" t="s">
        <v>95</v>
      </c>
      <c r="H1296" s="7" t="s">
        <v>96</v>
      </c>
      <c r="I1296" s="7" t="s">
        <v>40</v>
      </c>
      <c r="J1296" s="7" t="s">
        <v>82</v>
      </c>
      <c r="K1296" s="7" t="s">
        <v>118</v>
      </c>
      <c r="L1296" s="7" t="s">
        <v>2668</v>
      </c>
      <c r="M1296" s="7" t="s">
        <v>61</v>
      </c>
      <c r="N1296" s="7" t="s">
        <v>44</v>
      </c>
      <c r="O1296" s="7">
        <v>15</v>
      </c>
      <c r="P1296" s="7">
        <v>58.24</v>
      </c>
      <c r="Q1296" s="7">
        <v>33.159999999999997</v>
      </c>
      <c r="R1296" s="7">
        <v>873.61</v>
      </c>
      <c r="S1296" s="7">
        <v>0.2</v>
      </c>
      <c r="T1296" s="7">
        <v>174.72</v>
      </c>
      <c r="U1296" s="7">
        <v>698.89</v>
      </c>
      <c r="V1296" s="7">
        <v>497.45</v>
      </c>
      <c r="W1296" s="7">
        <v>201.44</v>
      </c>
      <c r="X1296" s="7" t="s">
        <v>45</v>
      </c>
    </row>
    <row r="1297" spans="1:24" x14ac:dyDescent="0.25">
      <c r="A1297" s="16" t="s">
        <v>1802</v>
      </c>
      <c r="B1297" s="17">
        <v>45448</v>
      </c>
      <c r="C1297" s="6" t="s">
        <v>864</v>
      </c>
      <c r="D1297" s="6" t="s">
        <v>22</v>
      </c>
      <c r="E1297" s="6" t="s">
        <v>250</v>
      </c>
      <c r="F1297" s="6" t="s">
        <v>251</v>
      </c>
      <c r="G1297" s="6" t="s">
        <v>51</v>
      </c>
      <c r="H1297" s="6" t="s">
        <v>252</v>
      </c>
      <c r="I1297" s="6" t="s">
        <v>58</v>
      </c>
      <c r="J1297" s="6" t="s">
        <v>323</v>
      </c>
      <c r="K1297" s="6"/>
      <c r="L1297" s="6"/>
      <c r="M1297" s="6" t="s">
        <v>43</v>
      </c>
      <c r="N1297" s="6" t="s">
        <v>31</v>
      </c>
      <c r="O1297" s="6">
        <v>2</v>
      </c>
      <c r="P1297" s="6">
        <v>65.33</v>
      </c>
      <c r="Q1297" s="6">
        <v>36.71</v>
      </c>
      <c r="R1297" s="6">
        <v>130.65</v>
      </c>
      <c r="S1297" s="6">
        <v>0</v>
      </c>
      <c r="T1297" s="6">
        <v>0</v>
      </c>
      <c r="U1297" s="6">
        <v>130.65</v>
      </c>
      <c r="V1297" s="6">
        <v>73.42</v>
      </c>
      <c r="W1297" s="6">
        <v>57.23</v>
      </c>
      <c r="X1297" s="6" t="s">
        <v>45</v>
      </c>
    </row>
    <row r="1298" spans="1:24" x14ac:dyDescent="0.25">
      <c r="A1298" s="5" t="s">
        <v>1803</v>
      </c>
      <c r="B1298" s="18">
        <v>45425</v>
      </c>
      <c r="C1298" s="7" t="s">
        <v>172</v>
      </c>
      <c r="D1298" s="7" t="s">
        <v>22</v>
      </c>
      <c r="E1298" s="7" t="s">
        <v>126</v>
      </c>
      <c r="F1298" s="7" t="s">
        <v>127</v>
      </c>
      <c r="G1298" s="7" t="s">
        <v>95</v>
      </c>
      <c r="H1298" s="7" t="s">
        <v>128</v>
      </c>
      <c r="I1298" s="7" t="s">
        <v>88</v>
      </c>
      <c r="J1298" s="7" t="s">
        <v>1213</v>
      </c>
      <c r="K1298" s="7" t="s">
        <v>248</v>
      </c>
      <c r="L1298" s="7" t="s">
        <v>2675</v>
      </c>
      <c r="M1298" s="7" t="s">
        <v>153</v>
      </c>
      <c r="N1298" s="7" t="s">
        <v>84</v>
      </c>
      <c r="O1298" s="7">
        <v>49</v>
      </c>
      <c r="P1298" s="7">
        <v>91.92</v>
      </c>
      <c r="Q1298" s="7">
        <v>56.15</v>
      </c>
      <c r="R1298" s="7">
        <v>4504.13</v>
      </c>
      <c r="S1298" s="7">
        <v>0.05</v>
      </c>
      <c r="T1298" s="7">
        <v>225.21</v>
      </c>
      <c r="U1298" s="7">
        <v>4278.92</v>
      </c>
      <c r="V1298" s="7">
        <v>2751.35</v>
      </c>
      <c r="W1298" s="7">
        <v>1527.57</v>
      </c>
      <c r="X1298" s="7" t="s">
        <v>45</v>
      </c>
    </row>
    <row r="1299" spans="1:24" x14ac:dyDescent="0.25">
      <c r="A1299" s="16" t="s">
        <v>1804</v>
      </c>
      <c r="B1299" s="17">
        <v>45459</v>
      </c>
      <c r="C1299" s="6" t="s">
        <v>1805</v>
      </c>
      <c r="D1299" s="6" t="s">
        <v>65</v>
      </c>
      <c r="E1299" s="6" t="s">
        <v>93</v>
      </c>
      <c r="F1299" s="6" t="s">
        <v>94</v>
      </c>
      <c r="G1299" s="6" t="s">
        <v>95</v>
      </c>
      <c r="H1299" s="6" t="s">
        <v>96</v>
      </c>
      <c r="I1299" s="6" t="s">
        <v>58</v>
      </c>
      <c r="J1299" s="6" t="s">
        <v>59</v>
      </c>
      <c r="K1299" s="6" t="s">
        <v>111</v>
      </c>
      <c r="L1299" s="6" t="s">
        <v>2667</v>
      </c>
      <c r="M1299" s="6" t="s">
        <v>61</v>
      </c>
      <c r="N1299" s="6" t="s">
        <v>75</v>
      </c>
      <c r="O1299" s="6">
        <v>16</v>
      </c>
      <c r="P1299" s="6">
        <v>56.73</v>
      </c>
      <c r="Q1299" s="6">
        <v>33.04</v>
      </c>
      <c r="R1299" s="6">
        <v>907.74</v>
      </c>
      <c r="S1299" s="6">
        <v>0</v>
      </c>
      <c r="T1299" s="6">
        <v>0</v>
      </c>
      <c r="U1299" s="6">
        <v>907.74</v>
      </c>
      <c r="V1299" s="6">
        <v>528.59</v>
      </c>
      <c r="W1299" s="6">
        <v>379.15</v>
      </c>
      <c r="X1299" s="6" t="s">
        <v>45</v>
      </c>
    </row>
    <row r="1300" spans="1:24" x14ac:dyDescent="0.25">
      <c r="A1300" s="5" t="s">
        <v>1806</v>
      </c>
      <c r="B1300" s="18">
        <v>45426</v>
      </c>
      <c r="C1300" s="7" t="s">
        <v>707</v>
      </c>
      <c r="D1300" s="7" t="s">
        <v>65</v>
      </c>
      <c r="E1300" s="7" t="s">
        <v>66</v>
      </c>
      <c r="F1300" s="7" t="s">
        <v>67</v>
      </c>
      <c r="G1300" s="7" t="s">
        <v>38</v>
      </c>
      <c r="H1300" s="7" t="s">
        <v>68</v>
      </c>
      <c r="I1300" s="7" t="s">
        <v>40</v>
      </c>
      <c r="J1300" s="7" t="s">
        <v>82</v>
      </c>
      <c r="K1300" s="7" t="s">
        <v>111</v>
      </c>
      <c r="L1300" s="7" t="s">
        <v>2667</v>
      </c>
      <c r="M1300" s="7" t="s">
        <v>153</v>
      </c>
      <c r="N1300" s="7" t="s">
        <v>75</v>
      </c>
      <c r="O1300" s="7">
        <v>4</v>
      </c>
      <c r="P1300" s="7">
        <v>153.71</v>
      </c>
      <c r="Q1300" s="7">
        <v>101.7</v>
      </c>
      <c r="R1300" s="7">
        <v>614.85</v>
      </c>
      <c r="S1300" s="7">
        <v>0</v>
      </c>
      <c r="T1300" s="7">
        <v>0</v>
      </c>
      <c r="U1300" s="7">
        <v>614.85</v>
      </c>
      <c r="V1300" s="7">
        <v>406.8</v>
      </c>
      <c r="W1300" s="7">
        <v>208.04</v>
      </c>
      <c r="X1300" s="7" t="s">
        <v>45</v>
      </c>
    </row>
    <row r="1301" spans="1:24" x14ac:dyDescent="0.25">
      <c r="A1301" s="16" t="s">
        <v>1807</v>
      </c>
      <c r="B1301" s="17">
        <v>45492</v>
      </c>
      <c r="C1301" s="6" t="s">
        <v>137</v>
      </c>
      <c r="D1301" s="6" t="s">
        <v>22</v>
      </c>
      <c r="E1301" s="6" t="s">
        <v>114</v>
      </c>
      <c r="F1301" s="6" t="s">
        <v>115</v>
      </c>
      <c r="G1301" s="6" t="s">
        <v>95</v>
      </c>
      <c r="H1301" s="6" t="s">
        <v>116</v>
      </c>
      <c r="I1301" s="6" t="s">
        <v>88</v>
      </c>
      <c r="J1301" s="6" t="s">
        <v>135</v>
      </c>
      <c r="K1301" s="6" t="s">
        <v>170</v>
      </c>
      <c r="L1301" s="6" t="s">
        <v>2671</v>
      </c>
      <c r="M1301" s="6" t="s">
        <v>30</v>
      </c>
      <c r="N1301" s="6" t="s">
        <v>84</v>
      </c>
      <c r="O1301" s="6">
        <v>39</v>
      </c>
      <c r="P1301" s="6">
        <v>32.44</v>
      </c>
      <c r="Q1301" s="6">
        <v>19.87</v>
      </c>
      <c r="R1301" s="6">
        <v>1265.23</v>
      </c>
      <c r="S1301" s="6">
        <v>0.2</v>
      </c>
      <c r="T1301" s="6">
        <v>253.05</v>
      </c>
      <c r="U1301" s="6">
        <v>1012.18</v>
      </c>
      <c r="V1301" s="6">
        <v>775.08</v>
      </c>
      <c r="W1301" s="6">
        <v>237.11</v>
      </c>
      <c r="X1301" s="6" t="s">
        <v>45</v>
      </c>
    </row>
    <row r="1302" spans="1:24" x14ac:dyDescent="0.25">
      <c r="A1302" s="5" t="s">
        <v>1808</v>
      </c>
      <c r="B1302" s="18">
        <v>45332</v>
      </c>
      <c r="C1302" s="7" t="s">
        <v>255</v>
      </c>
      <c r="D1302" s="7" t="s">
        <v>256</v>
      </c>
      <c r="E1302" s="7" t="s">
        <v>216</v>
      </c>
      <c r="F1302" s="7" t="s">
        <v>217</v>
      </c>
      <c r="G1302" s="7" t="s">
        <v>38</v>
      </c>
      <c r="H1302" s="7" t="s">
        <v>134</v>
      </c>
      <c r="I1302" s="7" t="s">
        <v>88</v>
      </c>
      <c r="J1302" s="7" t="s">
        <v>173</v>
      </c>
      <c r="K1302" s="7" t="s">
        <v>178</v>
      </c>
      <c r="L1302" s="7" t="s">
        <v>256</v>
      </c>
      <c r="M1302" s="7" t="s">
        <v>43</v>
      </c>
      <c r="N1302" s="7" t="s">
        <v>75</v>
      </c>
      <c r="O1302" s="7">
        <v>78</v>
      </c>
      <c r="P1302" s="7">
        <v>117.77</v>
      </c>
      <c r="Q1302" s="7">
        <v>63.43</v>
      </c>
      <c r="R1302" s="7">
        <v>9186.35</v>
      </c>
      <c r="S1302" s="7">
        <v>0.02</v>
      </c>
      <c r="T1302" s="7">
        <v>183.73</v>
      </c>
      <c r="U1302" s="7">
        <v>9002.6299999999992</v>
      </c>
      <c r="V1302" s="7">
        <v>4947.8599999999997</v>
      </c>
      <c r="W1302" s="7">
        <v>4054.77</v>
      </c>
      <c r="X1302" s="7" t="s">
        <v>45</v>
      </c>
    </row>
    <row r="1303" spans="1:24" x14ac:dyDescent="0.25">
      <c r="A1303" s="16" t="s">
        <v>1809</v>
      </c>
      <c r="B1303" s="17">
        <v>45399</v>
      </c>
      <c r="C1303" s="6" t="s">
        <v>318</v>
      </c>
      <c r="D1303" s="6" t="s">
        <v>121</v>
      </c>
      <c r="E1303" s="6" t="s">
        <v>250</v>
      </c>
      <c r="F1303" s="6" t="s">
        <v>251</v>
      </c>
      <c r="G1303" s="6" t="s">
        <v>51</v>
      </c>
      <c r="H1303" s="6" t="s">
        <v>252</v>
      </c>
      <c r="I1303" s="6" t="s">
        <v>58</v>
      </c>
      <c r="J1303" s="6" t="s">
        <v>59</v>
      </c>
      <c r="K1303" s="6" t="s">
        <v>170</v>
      </c>
      <c r="L1303" s="6" t="s">
        <v>2671</v>
      </c>
      <c r="M1303" s="6" t="s">
        <v>61</v>
      </c>
      <c r="N1303" s="6" t="s">
        <v>70</v>
      </c>
      <c r="O1303" s="6">
        <v>59</v>
      </c>
      <c r="P1303" s="6">
        <v>61.13</v>
      </c>
      <c r="Q1303" s="6">
        <v>39.979999999999997</v>
      </c>
      <c r="R1303" s="6">
        <v>3606.56</v>
      </c>
      <c r="S1303" s="6">
        <v>0.15</v>
      </c>
      <c r="T1303" s="6">
        <v>540.98</v>
      </c>
      <c r="U1303" s="6">
        <v>3065.58</v>
      </c>
      <c r="V1303" s="6">
        <v>2358.9699999999998</v>
      </c>
      <c r="W1303" s="6">
        <v>706.61</v>
      </c>
      <c r="X1303" s="6" t="s">
        <v>32</v>
      </c>
    </row>
    <row r="1304" spans="1:24" x14ac:dyDescent="0.25">
      <c r="A1304" s="5" t="s">
        <v>1810</v>
      </c>
      <c r="B1304" s="18">
        <v>45298</v>
      </c>
      <c r="C1304" s="7" t="s">
        <v>371</v>
      </c>
      <c r="D1304" s="7" t="s">
        <v>159</v>
      </c>
      <c r="E1304" s="7" t="s">
        <v>222</v>
      </c>
      <c r="F1304" s="7" t="s">
        <v>223</v>
      </c>
      <c r="G1304" s="7" t="s">
        <v>101</v>
      </c>
      <c r="H1304" s="7" t="s">
        <v>68</v>
      </c>
      <c r="I1304" s="7" t="s">
        <v>53</v>
      </c>
      <c r="J1304" s="7" t="s">
        <v>232</v>
      </c>
      <c r="K1304" s="7" t="s">
        <v>144</v>
      </c>
      <c r="L1304" s="7" t="s">
        <v>2669</v>
      </c>
      <c r="M1304" s="7" t="s">
        <v>61</v>
      </c>
      <c r="N1304" s="7" t="s">
        <v>31</v>
      </c>
      <c r="O1304" s="7">
        <v>21</v>
      </c>
      <c r="P1304" s="7">
        <v>116.43</v>
      </c>
      <c r="Q1304" s="7">
        <v>82.85</v>
      </c>
      <c r="R1304" s="7">
        <v>2444.9899999999998</v>
      </c>
      <c r="S1304" s="7">
        <v>0.15</v>
      </c>
      <c r="T1304" s="7">
        <v>366.75</v>
      </c>
      <c r="U1304" s="7">
        <v>2078.2399999999998</v>
      </c>
      <c r="V1304" s="7">
        <v>1739.79</v>
      </c>
      <c r="W1304" s="7">
        <v>338.45</v>
      </c>
      <c r="X1304" s="7" t="s">
        <v>45</v>
      </c>
    </row>
    <row r="1305" spans="1:24" x14ac:dyDescent="0.25">
      <c r="A1305" s="16" t="s">
        <v>1811</v>
      </c>
      <c r="B1305" s="17">
        <v>45318</v>
      </c>
      <c r="C1305" s="6" t="s">
        <v>276</v>
      </c>
      <c r="D1305" s="6" t="s">
        <v>221</v>
      </c>
      <c r="E1305" s="6" t="s">
        <v>23</v>
      </c>
      <c r="F1305" s="6" t="s">
        <v>24</v>
      </c>
      <c r="G1305" s="6" t="s">
        <v>25</v>
      </c>
      <c r="H1305" s="6" t="s">
        <v>26</v>
      </c>
      <c r="I1305" s="6" t="s">
        <v>88</v>
      </c>
      <c r="J1305" s="6" t="s">
        <v>183</v>
      </c>
      <c r="K1305" s="6" t="s">
        <v>111</v>
      </c>
      <c r="L1305" s="6" t="s">
        <v>2667</v>
      </c>
      <c r="M1305" s="6" t="s">
        <v>153</v>
      </c>
      <c r="N1305" s="6" t="s">
        <v>70</v>
      </c>
      <c r="O1305" s="6">
        <v>28</v>
      </c>
      <c r="P1305" s="6">
        <v>72</v>
      </c>
      <c r="Q1305" s="6">
        <v>43.93</v>
      </c>
      <c r="R1305" s="6">
        <v>2015.89</v>
      </c>
      <c r="S1305" s="6">
        <v>0</v>
      </c>
      <c r="T1305" s="6">
        <v>0</v>
      </c>
      <c r="U1305" s="6">
        <v>2015.89</v>
      </c>
      <c r="V1305" s="6">
        <v>1229.92</v>
      </c>
      <c r="W1305" s="6">
        <v>785.97</v>
      </c>
      <c r="X1305" s="6" t="s">
        <v>550</v>
      </c>
    </row>
    <row r="1306" spans="1:24" x14ac:dyDescent="0.25">
      <c r="A1306" s="5" t="s">
        <v>1812</v>
      </c>
      <c r="B1306" s="18">
        <v>45308</v>
      </c>
      <c r="C1306" s="7" t="s">
        <v>526</v>
      </c>
      <c r="D1306" s="7" t="s">
        <v>159</v>
      </c>
      <c r="E1306" s="7" t="s">
        <v>93</v>
      </c>
      <c r="F1306" s="7" t="s">
        <v>94</v>
      </c>
      <c r="G1306" s="7" t="s">
        <v>95</v>
      </c>
      <c r="H1306" s="7" t="s">
        <v>96</v>
      </c>
      <c r="I1306" s="7" t="s">
        <v>53</v>
      </c>
      <c r="J1306" s="7" t="s">
        <v>143</v>
      </c>
      <c r="K1306" s="7" t="s">
        <v>111</v>
      </c>
      <c r="L1306" s="7" t="s">
        <v>2667</v>
      </c>
      <c r="M1306" s="7" t="s">
        <v>30</v>
      </c>
      <c r="N1306" s="7" t="s">
        <v>70</v>
      </c>
      <c r="O1306" s="7">
        <v>8</v>
      </c>
      <c r="P1306" s="7">
        <v>52.7</v>
      </c>
      <c r="Q1306" s="7">
        <v>34.090000000000003</v>
      </c>
      <c r="R1306" s="7">
        <v>421.57</v>
      </c>
      <c r="S1306" s="7">
        <v>0.05</v>
      </c>
      <c r="T1306" s="7">
        <v>21.08</v>
      </c>
      <c r="U1306" s="7">
        <v>400.49</v>
      </c>
      <c r="V1306" s="7">
        <v>272.73</v>
      </c>
      <c r="W1306" s="7">
        <v>127.76</v>
      </c>
      <c r="X1306" s="7" t="s">
        <v>45</v>
      </c>
    </row>
    <row r="1307" spans="1:24" x14ac:dyDescent="0.25">
      <c r="A1307" s="16" t="s">
        <v>1813</v>
      </c>
      <c r="B1307" s="17">
        <v>45630</v>
      </c>
      <c r="C1307" s="6" t="s">
        <v>47</v>
      </c>
      <c r="D1307" s="6" t="s">
        <v>48</v>
      </c>
      <c r="E1307" s="6" t="s">
        <v>109</v>
      </c>
      <c r="F1307" s="6" t="s">
        <v>110</v>
      </c>
      <c r="G1307" s="6" t="s">
        <v>80</v>
      </c>
      <c r="H1307" s="6" t="s">
        <v>81</v>
      </c>
      <c r="I1307" s="6" t="s">
        <v>53</v>
      </c>
      <c r="J1307" s="6" t="s">
        <v>122</v>
      </c>
      <c r="K1307" s="6" t="s">
        <v>253</v>
      </c>
      <c r="L1307" s="6" t="s">
        <v>2676</v>
      </c>
      <c r="M1307" s="6" t="s">
        <v>30</v>
      </c>
      <c r="N1307" s="6" t="s">
        <v>75</v>
      </c>
      <c r="O1307" s="6">
        <v>34</v>
      </c>
      <c r="P1307" s="6">
        <v>117.3</v>
      </c>
      <c r="Q1307" s="6">
        <v>75.31</v>
      </c>
      <c r="R1307" s="6">
        <v>3988.09</v>
      </c>
      <c r="S1307" s="6">
        <v>0</v>
      </c>
      <c r="T1307" s="6">
        <v>0</v>
      </c>
      <c r="U1307" s="6">
        <v>3988.09</v>
      </c>
      <c r="V1307" s="6">
        <v>2560.5300000000002</v>
      </c>
      <c r="W1307" s="6">
        <v>1427.56</v>
      </c>
      <c r="X1307" s="6" t="s">
        <v>45</v>
      </c>
    </row>
    <row r="1308" spans="1:24" x14ac:dyDescent="0.25">
      <c r="A1308" s="5" t="s">
        <v>1814</v>
      </c>
      <c r="B1308" s="18">
        <v>45350</v>
      </c>
      <c r="C1308" s="7" t="s">
        <v>410</v>
      </c>
      <c r="D1308" s="7" t="s">
        <v>149</v>
      </c>
      <c r="E1308" s="7" t="s">
        <v>132</v>
      </c>
      <c r="F1308" s="7" t="s">
        <v>133</v>
      </c>
      <c r="G1308" s="7" t="s">
        <v>51</v>
      </c>
      <c r="H1308" s="7" t="s">
        <v>134</v>
      </c>
      <c r="I1308" s="7" t="s">
        <v>27</v>
      </c>
      <c r="J1308" s="7" t="s">
        <v>106</v>
      </c>
      <c r="K1308" s="7" t="s">
        <v>152</v>
      </c>
      <c r="L1308" s="7" t="s">
        <v>2670</v>
      </c>
      <c r="M1308" s="7" t="s">
        <v>61</v>
      </c>
      <c r="N1308" s="7" t="s">
        <v>84</v>
      </c>
      <c r="O1308" s="7">
        <v>14</v>
      </c>
      <c r="P1308" s="7">
        <v>56.42</v>
      </c>
      <c r="Q1308" s="7">
        <v>33.44</v>
      </c>
      <c r="R1308" s="7">
        <v>789.93</v>
      </c>
      <c r="S1308" s="7">
        <v>0.1</v>
      </c>
      <c r="T1308" s="7">
        <v>78.989999999999995</v>
      </c>
      <c r="U1308" s="7">
        <v>710.94</v>
      </c>
      <c r="V1308" s="7">
        <v>468.18</v>
      </c>
      <c r="W1308" s="7">
        <v>242.76</v>
      </c>
      <c r="X1308" s="7" t="s">
        <v>32</v>
      </c>
    </row>
    <row r="1309" spans="1:24" x14ac:dyDescent="0.25">
      <c r="A1309" s="16" t="s">
        <v>1815</v>
      </c>
      <c r="B1309" s="17">
        <v>45296</v>
      </c>
      <c r="C1309" s="6" t="s">
        <v>1171</v>
      </c>
      <c r="D1309" s="6" t="s">
        <v>35</v>
      </c>
      <c r="E1309" s="6" t="s">
        <v>141</v>
      </c>
      <c r="F1309" s="6" t="s">
        <v>142</v>
      </c>
      <c r="G1309" s="6" t="s">
        <v>25</v>
      </c>
      <c r="H1309" s="6" t="s">
        <v>26</v>
      </c>
      <c r="I1309" s="6" t="s">
        <v>27</v>
      </c>
      <c r="J1309" s="6" t="s">
        <v>106</v>
      </c>
      <c r="K1309" s="6" t="s">
        <v>74</v>
      </c>
      <c r="L1309" s="6" t="s">
        <v>2664</v>
      </c>
      <c r="M1309" s="6" t="s">
        <v>61</v>
      </c>
      <c r="N1309" s="6" t="s">
        <v>84</v>
      </c>
      <c r="O1309" s="6">
        <v>46</v>
      </c>
      <c r="P1309" s="6">
        <v>95.66</v>
      </c>
      <c r="Q1309" s="6">
        <v>54.12</v>
      </c>
      <c r="R1309" s="6">
        <v>4400.4399999999996</v>
      </c>
      <c r="S1309" s="6">
        <v>0.05</v>
      </c>
      <c r="T1309" s="6">
        <v>220.02</v>
      </c>
      <c r="U1309" s="6">
        <v>4180.42</v>
      </c>
      <c r="V1309" s="6">
        <v>2489.4499999999998</v>
      </c>
      <c r="W1309" s="6">
        <v>1690.97</v>
      </c>
      <c r="X1309" s="6" t="s">
        <v>45</v>
      </c>
    </row>
    <row r="1310" spans="1:24" x14ac:dyDescent="0.25">
      <c r="A1310" s="5" t="s">
        <v>1816</v>
      </c>
      <c r="B1310" s="18">
        <v>45553</v>
      </c>
      <c r="C1310" s="7" t="s">
        <v>466</v>
      </c>
      <c r="D1310" s="7" t="s">
        <v>221</v>
      </c>
      <c r="E1310" s="7" t="s">
        <v>99</v>
      </c>
      <c r="F1310" s="7" t="s">
        <v>100</v>
      </c>
      <c r="G1310" s="7" t="s">
        <v>101</v>
      </c>
      <c r="H1310" s="7" t="s">
        <v>102</v>
      </c>
      <c r="I1310" s="7" t="s">
        <v>53</v>
      </c>
      <c r="J1310" s="7" t="s">
        <v>122</v>
      </c>
      <c r="K1310" s="7" t="s">
        <v>170</v>
      </c>
      <c r="L1310" s="7" t="s">
        <v>2671</v>
      </c>
      <c r="M1310" s="7" t="s">
        <v>61</v>
      </c>
      <c r="N1310" s="7" t="s">
        <v>70</v>
      </c>
      <c r="O1310" s="7">
        <v>30</v>
      </c>
      <c r="P1310" s="7">
        <v>65.150000000000006</v>
      </c>
      <c r="Q1310" s="7">
        <v>41.12</v>
      </c>
      <c r="R1310" s="7">
        <v>1954.4</v>
      </c>
      <c r="S1310" s="7">
        <v>0.15</v>
      </c>
      <c r="T1310" s="7">
        <v>293.16000000000003</v>
      </c>
      <c r="U1310" s="7">
        <v>1661.24</v>
      </c>
      <c r="V1310" s="7">
        <v>1233.6199999999999</v>
      </c>
      <c r="W1310" s="7">
        <v>427.61</v>
      </c>
      <c r="X1310" s="7" t="s">
        <v>32</v>
      </c>
    </row>
    <row r="1311" spans="1:24" x14ac:dyDescent="0.25">
      <c r="A1311" s="16" t="s">
        <v>1817</v>
      </c>
      <c r="B1311" s="17">
        <v>45544</v>
      </c>
      <c r="C1311" s="6" t="s">
        <v>859</v>
      </c>
      <c r="D1311" s="6" t="s">
        <v>221</v>
      </c>
      <c r="E1311" s="6" t="s">
        <v>78</v>
      </c>
      <c r="F1311" s="6" t="s">
        <v>79</v>
      </c>
      <c r="G1311" s="6" t="s">
        <v>80</v>
      </c>
      <c r="H1311" s="6" t="s">
        <v>81</v>
      </c>
      <c r="I1311" s="6" t="s">
        <v>27</v>
      </c>
      <c r="J1311" s="6" t="s">
        <v>106</v>
      </c>
      <c r="K1311" s="6" t="s">
        <v>69</v>
      </c>
      <c r="L1311" s="6" t="s">
        <v>2663</v>
      </c>
      <c r="M1311" s="6" t="s">
        <v>30</v>
      </c>
      <c r="N1311" s="6" t="s">
        <v>70</v>
      </c>
      <c r="O1311" s="6">
        <v>78</v>
      </c>
      <c r="P1311" s="6">
        <v>141.21</v>
      </c>
      <c r="Q1311" s="6">
        <v>79.45</v>
      </c>
      <c r="R1311" s="6">
        <v>11014</v>
      </c>
      <c r="S1311" s="6">
        <v>0.02</v>
      </c>
      <c r="T1311" s="6">
        <v>220.28</v>
      </c>
      <c r="U1311" s="6">
        <v>10793.72</v>
      </c>
      <c r="V1311" s="6">
        <v>6196.98</v>
      </c>
      <c r="W1311" s="6">
        <v>4596.74</v>
      </c>
      <c r="X1311" s="6" t="s">
        <v>45</v>
      </c>
    </row>
    <row r="1312" spans="1:24" x14ac:dyDescent="0.25">
      <c r="A1312" s="5" t="s">
        <v>1818</v>
      </c>
      <c r="B1312" s="18">
        <v>45621</v>
      </c>
      <c r="C1312" s="7" t="s">
        <v>1265</v>
      </c>
      <c r="D1312" s="7" t="s">
        <v>48</v>
      </c>
      <c r="E1312" s="7" t="s">
        <v>176</v>
      </c>
      <c r="F1312" s="7" t="s">
        <v>177</v>
      </c>
      <c r="G1312" s="7" t="s">
        <v>101</v>
      </c>
      <c r="H1312" s="7" t="s">
        <v>39</v>
      </c>
      <c r="I1312" s="7" t="s">
        <v>40</v>
      </c>
      <c r="J1312" s="7" t="s">
        <v>117</v>
      </c>
      <c r="K1312" s="7" t="s">
        <v>111</v>
      </c>
      <c r="L1312" s="7" t="s">
        <v>2667</v>
      </c>
      <c r="M1312" s="7" t="s">
        <v>43</v>
      </c>
      <c r="N1312" s="7" t="s">
        <v>70</v>
      </c>
      <c r="O1312" s="7">
        <v>3</v>
      </c>
      <c r="P1312" s="7">
        <v>111.49</v>
      </c>
      <c r="Q1312" s="7">
        <v>67.38</v>
      </c>
      <c r="R1312" s="7">
        <v>334.46</v>
      </c>
      <c r="S1312" s="7">
        <v>0.1</v>
      </c>
      <c r="T1312" s="7">
        <v>33.450000000000003</v>
      </c>
      <c r="U1312" s="7">
        <v>301.02</v>
      </c>
      <c r="V1312" s="7">
        <v>202.13</v>
      </c>
      <c r="W1312" s="7">
        <v>98.88</v>
      </c>
      <c r="X1312" s="7" t="s">
        <v>32</v>
      </c>
    </row>
    <row r="1313" spans="1:24" x14ac:dyDescent="0.25">
      <c r="A1313" s="16" t="s">
        <v>1819</v>
      </c>
      <c r="B1313" s="17">
        <v>45536</v>
      </c>
      <c r="C1313" s="6" t="s">
        <v>180</v>
      </c>
      <c r="D1313" s="6" t="s">
        <v>163</v>
      </c>
      <c r="E1313" s="6" t="s">
        <v>114</v>
      </c>
      <c r="F1313" s="6" t="s">
        <v>115</v>
      </c>
      <c r="G1313" s="6" t="s">
        <v>95</v>
      </c>
      <c r="H1313" s="6" t="s">
        <v>116</v>
      </c>
      <c r="I1313" s="6" t="s">
        <v>40</v>
      </c>
      <c r="J1313" s="6" t="s">
        <v>82</v>
      </c>
      <c r="K1313" s="6" t="s">
        <v>29</v>
      </c>
      <c r="L1313" s="6" t="s">
        <v>2660</v>
      </c>
      <c r="M1313" s="6" t="s">
        <v>30</v>
      </c>
      <c r="N1313" s="6" t="s">
        <v>75</v>
      </c>
      <c r="O1313" s="6">
        <v>70</v>
      </c>
      <c r="P1313" s="6">
        <v>35.56</v>
      </c>
      <c r="Q1313" s="6">
        <v>21.55</v>
      </c>
      <c r="R1313" s="6">
        <v>2489.4</v>
      </c>
      <c r="S1313" s="6">
        <v>0</v>
      </c>
      <c r="T1313" s="6">
        <v>0</v>
      </c>
      <c r="U1313" s="6">
        <v>2489.4</v>
      </c>
      <c r="V1313" s="6">
        <v>1508.82</v>
      </c>
      <c r="W1313" s="6">
        <v>980.59</v>
      </c>
      <c r="X1313" s="6" t="s">
        <v>45</v>
      </c>
    </row>
    <row r="1314" spans="1:24" x14ac:dyDescent="0.25">
      <c r="A1314" s="5" t="s">
        <v>1820</v>
      </c>
      <c r="B1314" s="18">
        <v>45546</v>
      </c>
      <c r="C1314" s="7" t="s">
        <v>64</v>
      </c>
      <c r="D1314" s="7" t="s">
        <v>65</v>
      </c>
      <c r="E1314" s="7" t="s">
        <v>176</v>
      </c>
      <c r="F1314" s="7" t="s">
        <v>177</v>
      </c>
      <c r="G1314" s="7" t="s">
        <v>101</v>
      </c>
      <c r="H1314" s="7" t="s">
        <v>39</v>
      </c>
      <c r="I1314" s="7" t="s">
        <v>27</v>
      </c>
      <c r="J1314" s="7" t="s">
        <v>189</v>
      </c>
      <c r="K1314" s="7" t="s">
        <v>170</v>
      </c>
      <c r="L1314" s="7" t="s">
        <v>2671</v>
      </c>
      <c r="M1314" s="7" t="s">
        <v>30</v>
      </c>
      <c r="N1314" s="7" t="s">
        <v>84</v>
      </c>
      <c r="O1314" s="7">
        <v>25</v>
      </c>
      <c r="P1314" s="7">
        <v>98.2</v>
      </c>
      <c r="Q1314" s="7">
        <v>62.5</v>
      </c>
      <c r="R1314" s="7">
        <v>2455.0500000000002</v>
      </c>
      <c r="S1314" s="7">
        <v>0.2</v>
      </c>
      <c r="T1314" s="7">
        <v>491.01</v>
      </c>
      <c r="U1314" s="7">
        <v>1964.04</v>
      </c>
      <c r="V1314" s="7">
        <v>1562.41</v>
      </c>
      <c r="W1314" s="7">
        <v>401.63</v>
      </c>
      <c r="X1314" s="7" t="s">
        <v>129</v>
      </c>
    </row>
    <row r="1315" spans="1:24" x14ac:dyDescent="0.25">
      <c r="A1315" s="16" t="s">
        <v>1821</v>
      </c>
      <c r="B1315" s="17">
        <v>45313</v>
      </c>
      <c r="C1315" s="6" t="s">
        <v>519</v>
      </c>
      <c r="D1315" s="6" t="s">
        <v>121</v>
      </c>
      <c r="E1315" s="6" t="s">
        <v>250</v>
      </c>
      <c r="F1315" s="6" t="s">
        <v>251</v>
      </c>
      <c r="G1315" s="6" t="s">
        <v>51</v>
      </c>
      <c r="H1315" s="6" t="s">
        <v>252</v>
      </c>
      <c r="I1315" s="6" t="s">
        <v>53</v>
      </c>
      <c r="J1315" s="6" t="s">
        <v>143</v>
      </c>
      <c r="K1315" s="6" t="s">
        <v>60</v>
      </c>
      <c r="L1315" s="6" t="s">
        <v>2662</v>
      </c>
      <c r="M1315" s="6" t="s">
        <v>153</v>
      </c>
      <c r="N1315" s="6" t="s">
        <v>84</v>
      </c>
      <c r="O1315" s="6">
        <v>29</v>
      </c>
      <c r="P1315" s="6">
        <v>67.36</v>
      </c>
      <c r="Q1315" s="6">
        <v>38.380000000000003</v>
      </c>
      <c r="R1315" s="6">
        <v>1953.48</v>
      </c>
      <c r="S1315" s="6">
        <v>0.02</v>
      </c>
      <c r="T1315" s="6">
        <v>39.07</v>
      </c>
      <c r="U1315" s="6">
        <v>1914.41</v>
      </c>
      <c r="V1315" s="6">
        <v>1112.94</v>
      </c>
      <c r="W1315" s="6">
        <v>801.47</v>
      </c>
      <c r="X1315" s="6" t="s">
        <v>45</v>
      </c>
    </row>
    <row r="1316" spans="1:24" x14ac:dyDescent="0.25">
      <c r="A1316" s="5" t="s">
        <v>1822</v>
      </c>
      <c r="B1316" s="18">
        <v>45582</v>
      </c>
      <c r="C1316" s="7" t="s">
        <v>1744</v>
      </c>
      <c r="D1316" s="7" t="s">
        <v>121</v>
      </c>
      <c r="E1316" s="7" t="s">
        <v>209</v>
      </c>
      <c r="F1316" s="7" t="s">
        <v>210</v>
      </c>
      <c r="G1316" s="7" t="s">
        <v>51</v>
      </c>
      <c r="H1316" s="7" t="s">
        <v>116</v>
      </c>
      <c r="I1316" s="7" t="s">
        <v>88</v>
      </c>
      <c r="J1316" s="7" t="s">
        <v>135</v>
      </c>
      <c r="K1316" s="7" t="s">
        <v>42</v>
      </c>
      <c r="L1316" s="7" t="s">
        <v>2661</v>
      </c>
      <c r="M1316" s="7" t="s">
        <v>61</v>
      </c>
      <c r="N1316" s="7" t="s">
        <v>31</v>
      </c>
      <c r="O1316" s="7">
        <v>23</v>
      </c>
      <c r="P1316" s="7">
        <v>19.3</v>
      </c>
      <c r="Q1316" s="7">
        <v>10.130000000000001</v>
      </c>
      <c r="R1316" s="7">
        <v>443.84</v>
      </c>
      <c r="S1316" s="7">
        <v>0.05</v>
      </c>
      <c r="T1316" s="7">
        <v>22.19</v>
      </c>
      <c r="U1316" s="7">
        <v>421.65</v>
      </c>
      <c r="V1316" s="7">
        <v>233</v>
      </c>
      <c r="W1316" s="7">
        <v>188.64</v>
      </c>
      <c r="X1316" s="7" t="s">
        <v>32</v>
      </c>
    </row>
    <row r="1317" spans="1:24" x14ac:dyDescent="0.25">
      <c r="A1317" s="16" t="s">
        <v>1823</v>
      </c>
      <c r="B1317" s="17">
        <v>45415</v>
      </c>
      <c r="C1317" s="6" t="s">
        <v>693</v>
      </c>
      <c r="D1317" s="6" t="s">
        <v>57</v>
      </c>
      <c r="E1317" s="6" t="s">
        <v>66</v>
      </c>
      <c r="F1317" s="6" t="s">
        <v>67</v>
      </c>
      <c r="G1317" s="6" t="s">
        <v>38</v>
      </c>
      <c r="H1317" s="6" t="s">
        <v>68</v>
      </c>
      <c r="I1317" s="6" t="s">
        <v>53</v>
      </c>
      <c r="J1317" s="6" t="s">
        <v>122</v>
      </c>
      <c r="K1317" s="6" t="s">
        <v>111</v>
      </c>
      <c r="L1317" s="6" t="s">
        <v>2667</v>
      </c>
      <c r="M1317" s="6" t="s">
        <v>61</v>
      </c>
      <c r="N1317" s="6" t="s">
        <v>75</v>
      </c>
      <c r="O1317" s="6">
        <v>11</v>
      </c>
      <c r="P1317" s="6">
        <v>165.35</v>
      </c>
      <c r="Q1317" s="6">
        <v>110.17</v>
      </c>
      <c r="R1317" s="6">
        <v>1818.87</v>
      </c>
      <c r="S1317" s="6">
        <v>0.15</v>
      </c>
      <c r="T1317" s="6">
        <v>272.83</v>
      </c>
      <c r="U1317" s="6">
        <v>1546.04</v>
      </c>
      <c r="V1317" s="6">
        <v>1211.9000000000001</v>
      </c>
      <c r="W1317" s="6">
        <v>334.14</v>
      </c>
      <c r="X1317" s="6" t="s">
        <v>45</v>
      </c>
    </row>
    <row r="1318" spans="1:24" x14ac:dyDescent="0.25">
      <c r="A1318" s="5" t="s">
        <v>1824</v>
      </c>
      <c r="B1318" s="18">
        <v>45601</v>
      </c>
      <c r="C1318" s="7" t="s">
        <v>280</v>
      </c>
      <c r="D1318" s="7" t="s">
        <v>35</v>
      </c>
      <c r="E1318" s="7" t="s">
        <v>109</v>
      </c>
      <c r="F1318" s="7" t="s">
        <v>110</v>
      </c>
      <c r="G1318" s="7" t="s">
        <v>80</v>
      </c>
      <c r="H1318" s="7" t="s">
        <v>81</v>
      </c>
      <c r="I1318" s="7" t="s">
        <v>40</v>
      </c>
      <c r="J1318" s="7" t="s">
        <v>117</v>
      </c>
      <c r="K1318" s="7" t="s">
        <v>29</v>
      </c>
      <c r="L1318" s="7" t="s">
        <v>2660</v>
      </c>
      <c r="M1318" s="7" t="s">
        <v>153</v>
      </c>
      <c r="N1318" s="7" t="s">
        <v>31</v>
      </c>
      <c r="O1318" s="7">
        <v>20</v>
      </c>
      <c r="P1318" s="7">
        <v>122.97</v>
      </c>
      <c r="Q1318" s="7">
        <v>75.37</v>
      </c>
      <c r="R1318" s="7">
        <v>2459.4</v>
      </c>
      <c r="S1318" s="7">
        <v>0.2</v>
      </c>
      <c r="T1318" s="7">
        <v>491.88</v>
      </c>
      <c r="U1318" s="7">
        <v>1967.52</v>
      </c>
      <c r="V1318" s="7">
        <v>1507.43</v>
      </c>
      <c r="W1318" s="7">
        <v>460.09</v>
      </c>
      <c r="X1318" s="7" t="s">
        <v>45</v>
      </c>
    </row>
    <row r="1319" spans="1:24" x14ac:dyDescent="0.25">
      <c r="A1319" s="16" t="s">
        <v>1825</v>
      </c>
      <c r="B1319" s="17">
        <v>45628</v>
      </c>
      <c r="C1319" s="6" t="s">
        <v>339</v>
      </c>
      <c r="D1319" s="6" t="s">
        <v>221</v>
      </c>
      <c r="E1319" s="6" t="s">
        <v>132</v>
      </c>
      <c r="F1319" s="6" t="s">
        <v>133</v>
      </c>
      <c r="G1319" s="6" t="s">
        <v>51</v>
      </c>
      <c r="H1319" s="6" t="s">
        <v>134</v>
      </c>
      <c r="I1319" s="6" t="s">
        <v>53</v>
      </c>
      <c r="J1319" s="6" t="s">
        <v>122</v>
      </c>
      <c r="K1319" s="6" t="s">
        <v>265</v>
      </c>
      <c r="L1319" s="6" t="s">
        <v>2678</v>
      </c>
      <c r="M1319" s="6" t="s">
        <v>153</v>
      </c>
      <c r="N1319" s="6" t="s">
        <v>44</v>
      </c>
      <c r="O1319" s="6">
        <v>16</v>
      </c>
      <c r="P1319" s="6">
        <v>56.24</v>
      </c>
      <c r="Q1319" s="6">
        <v>33.119999999999997</v>
      </c>
      <c r="R1319" s="6">
        <v>899.79</v>
      </c>
      <c r="S1319" s="6">
        <v>0.2</v>
      </c>
      <c r="T1319" s="6">
        <v>179.96</v>
      </c>
      <c r="U1319" s="6">
        <v>719.83</v>
      </c>
      <c r="V1319" s="6">
        <v>529.97</v>
      </c>
      <c r="W1319" s="6">
        <v>189.86</v>
      </c>
      <c r="X1319" s="6" t="s">
        <v>45</v>
      </c>
    </row>
    <row r="1320" spans="1:24" x14ac:dyDescent="0.25">
      <c r="A1320" s="5" t="s">
        <v>1826</v>
      </c>
      <c r="B1320" s="18">
        <v>45471</v>
      </c>
      <c r="C1320" s="7" t="s">
        <v>572</v>
      </c>
      <c r="D1320" s="7" t="s">
        <v>57</v>
      </c>
      <c r="E1320" s="7" t="s">
        <v>250</v>
      </c>
      <c r="F1320" s="7" t="s">
        <v>251</v>
      </c>
      <c r="G1320" s="7" t="s">
        <v>51</v>
      </c>
      <c r="H1320" s="7" t="s">
        <v>252</v>
      </c>
      <c r="I1320" s="7" t="s">
        <v>88</v>
      </c>
      <c r="J1320" s="7" t="s">
        <v>135</v>
      </c>
      <c r="K1320" s="7" t="s">
        <v>170</v>
      </c>
      <c r="L1320" s="7" t="s">
        <v>2671</v>
      </c>
      <c r="M1320" s="7" t="s">
        <v>61</v>
      </c>
      <c r="N1320" s="7" t="s">
        <v>31</v>
      </c>
      <c r="O1320" s="7">
        <v>40</v>
      </c>
      <c r="P1320" s="7">
        <v>67.819999999999993</v>
      </c>
      <c r="Q1320" s="7">
        <v>35.409999999999997</v>
      </c>
      <c r="R1320" s="7">
        <v>2712.85</v>
      </c>
      <c r="S1320" s="7">
        <v>0.02</v>
      </c>
      <c r="T1320" s="7">
        <v>54.26</v>
      </c>
      <c r="U1320" s="7">
        <v>2658.59</v>
      </c>
      <c r="V1320" s="7">
        <v>1416.41</v>
      </c>
      <c r="W1320" s="7">
        <v>1242.18</v>
      </c>
      <c r="X1320" s="7" t="s">
        <v>45</v>
      </c>
    </row>
    <row r="1321" spans="1:24" x14ac:dyDescent="0.25">
      <c r="A1321" s="16" t="s">
        <v>1827</v>
      </c>
      <c r="B1321" s="17">
        <v>45644</v>
      </c>
      <c r="C1321" s="6" t="s">
        <v>739</v>
      </c>
      <c r="D1321" s="6" t="s">
        <v>48</v>
      </c>
      <c r="E1321" s="6" t="s">
        <v>23</v>
      </c>
      <c r="F1321" s="6" t="s">
        <v>24</v>
      </c>
      <c r="G1321" s="6" t="s">
        <v>25</v>
      </c>
      <c r="H1321" s="6" t="s">
        <v>26</v>
      </c>
      <c r="I1321" s="6" t="s">
        <v>40</v>
      </c>
      <c r="J1321" s="6" t="s">
        <v>117</v>
      </c>
      <c r="K1321" s="6" t="s">
        <v>83</v>
      </c>
      <c r="L1321" s="6" t="s">
        <v>2665</v>
      </c>
      <c r="M1321" s="6" t="s">
        <v>61</v>
      </c>
      <c r="N1321" s="6" t="s">
        <v>70</v>
      </c>
      <c r="O1321" s="6">
        <v>9</v>
      </c>
      <c r="P1321" s="6">
        <v>69.06</v>
      </c>
      <c r="Q1321" s="6">
        <v>47.18</v>
      </c>
      <c r="R1321" s="6">
        <v>621.53</v>
      </c>
      <c r="S1321" s="6">
        <v>0.05</v>
      </c>
      <c r="T1321" s="6">
        <v>31.08</v>
      </c>
      <c r="U1321" s="6">
        <v>584.21</v>
      </c>
      <c r="V1321" s="6">
        <v>424.63</v>
      </c>
      <c r="W1321" s="6">
        <v>165.83</v>
      </c>
      <c r="X1321" s="6" t="s">
        <v>32</v>
      </c>
    </row>
    <row r="1322" spans="1:24" x14ac:dyDescent="0.25">
      <c r="A1322" s="5" t="s">
        <v>1828</v>
      </c>
      <c r="B1322" s="18">
        <v>45504</v>
      </c>
      <c r="C1322" s="7" t="s">
        <v>231</v>
      </c>
      <c r="D1322" s="7" t="s">
        <v>87</v>
      </c>
      <c r="E1322" s="7" t="s">
        <v>23</v>
      </c>
      <c r="F1322" s="7" t="s">
        <v>24</v>
      </c>
      <c r="G1322" s="7" t="s">
        <v>25</v>
      </c>
      <c r="H1322" s="7" t="s">
        <v>26</v>
      </c>
      <c r="I1322" s="7" t="s">
        <v>40</v>
      </c>
      <c r="J1322" s="7" t="s">
        <v>289</v>
      </c>
      <c r="K1322" s="7" t="s">
        <v>248</v>
      </c>
      <c r="L1322" s="7" t="s">
        <v>2675</v>
      </c>
      <c r="M1322" s="7" t="s">
        <v>61</v>
      </c>
      <c r="N1322" s="7" t="s">
        <v>31</v>
      </c>
      <c r="O1322" s="7">
        <v>62</v>
      </c>
      <c r="P1322" s="7">
        <v>73.09</v>
      </c>
      <c r="Q1322" s="7">
        <v>41.28</v>
      </c>
      <c r="R1322" s="7">
        <v>4531.75</v>
      </c>
      <c r="S1322" s="7">
        <v>0.1</v>
      </c>
      <c r="T1322" s="7">
        <v>453.18</v>
      </c>
      <c r="U1322" s="7">
        <v>4078.58</v>
      </c>
      <c r="V1322" s="7">
        <v>2559.29</v>
      </c>
      <c r="W1322" s="7">
        <v>1519.29</v>
      </c>
      <c r="X1322" s="7" t="s">
        <v>45</v>
      </c>
    </row>
    <row r="1323" spans="1:24" x14ac:dyDescent="0.25">
      <c r="A1323" s="16" t="s">
        <v>1829</v>
      </c>
      <c r="B1323" s="17">
        <v>45633</v>
      </c>
      <c r="C1323" s="6" t="s">
        <v>664</v>
      </c>
      <c r="D1323" s="6" t="s">
        <v>125</v>
      </c>
      <c r="E1323" s="6" t="s">
        <v>66</v>
      </c>
      <c r="F1323" s="6" t="s">
        <v>67</v>
      </c>
      <c r="G1323" s="6" t="s">
        <v>38</v>
      </c>
      <c r="H1323" s="6" t="s">
        <v>68</v>
      </c>
      <c r="I1323" s="6" t="s">
        <v>58</v>
      </c>
      <c r="J1323" s="6" t="s">
        <v>345</v>
      </c>
      <c r="K1323" s="6" t="s">
        <v>42</v>
      </c>
      <c r="L1323" s="6" t="s">
        <v>2661</v>
      </c>
      <c r="M1323" s="6" t="s">
        <v>61</v>
      </c>
      <c r="N1323" s="6" t="s">
        <v>75</v>
      </c>
      <c r="O1323" s="6">
        <v>34</v>
      </c>
      <c r="P1323" s="6">
        <v>156.79</v>
      </c>
      <c r="Q1323" s="6">
        <v>104.83</v>
      </c>
      <c r="R1323" s="6">
        <v>5330.96</v>
      </c>
      <c r="S1323" s="6">
        <v>0.2</v>
      </c>
      <c r="T1323" s="6">
        <v>1066.19</v>
      </c>
      <c r="U1323" s="6">
        <v>4264.7700000000004</v>
      </c>
      <c r="V1323" s="6">
        <v>3564.21</v>
      </c>
      <c r="W1323" s="6">
        <v>700.55</v>
      </c>
      <c r="X1323" s="6" t="s">
        <v>45</v>
      </c>
    </row>
    <row r="1324" spans="1:24" x14ac:dyDescent="0.25">
      <c r="A1324" s="5" t="s">
        <v>1830</v>
      </c>
      <c r="B1324" s="18">
        <v>45340</v>
      </c>
      <c r="C1324" s="7" t="s">
        <v>1831</v>
      </c>
      <c r="D1324" s="7" t="s">
        <v>256</v>
      </c>
      <c r="E1324" s="7" t="s">
        <v>165</v>
      </c>
      <c r="F1324" s="7" t="s">
        <v>166</v>
      </c>
      <c r="G1324" s="7" t="s">
        <v>95</v>
      </c>
      <c r="H1324" s="7" t="s">
        <v>167</v>
      </c>
      <c r="I1324" s="7" t="s">
        <v>288</v>
      </c>
      <c r="J1324" s="7" t="s">
        <v>41</v>
      </c>
      <c r="K1324" s="7" t="s">
        <v>152</v>
      </c>
      <c r="L1324" s="7" t="s">
        <v>2670</v>
      </c>
      <c r="M1324" s="7" t="s">
        <v>153</v>
      </c>
      <c r="N1324" s="7" t="s">
        <v>84</v>
      </c>
      <c r="O1324" s="7">
        <v>76</v>
      </c>
      <c r="P1324" s="7">
        <v>43.27</v>
      </c>
      <c r="Q1324" s="7">
        <v>23.56</v>
      </c>
      <c r="R1324" s="7">
        <v>3288.16</v>
      </c>
      <c r="S1324" s="7">
        <v>0.1</v>
      </c>
      <c r="T1324" s="7">
        <v>328.82</v>
      </c>
      <c r="U1324" s="7">
        <v>2959.34</v>
      </c>
      <c r="V1324" s="7">
        <v>1790.73</v>
      </c>
      <c r="W1324" s="7">
        <v>1168.6099999999999</v>
      </c>
      <c r="X1324" s="7" t="s">
        <v>45</v>
      </c>
    </row>
    <row r="1325" spans="1:24" x14ac:dyDescent="0.25">
      <c r="A1325" s="16" t="s">
        <v>1832</v>
      </c>
      <c r="B1325" s="17">
        <v>45373</v>
      </c>
      <c r="C1325" s="6" t="s">
        <v>517</v>
      </c>
      <c r="D1325" s="6" t="s">
        <v>163</v>
      </c>
      <c r="E1325" s="6" t="s">
        <v>23</v>
      </c>
      <c r="F1325" s="6" t="s">
        <v>24</v>
      </c>
      <c r="G1325" s="6" t="s">
        <v>25</v>
      </c>
      <c r="H1325" s="6" t="s">
        <v>26</v>
      </c>
      <c r="I1325" s="6" t="s">
        <v>53</v>
      </c>
      <c r="J1325" s="6" t="s">
        <v>122</v>
      </c>
      <c r="K1325" s="6" t="s">
        <v>42</v>
      </c>
      <c r="L1325" s="6" t="s">
        <v>2661</v>
      </c>
      <c r="M1325" s="6" t="s">
        <v>61</v>
      </c>
      <c r="N1325" s="6" t="s">
        <v>44</v>
      </c>
      <c r="O1325" s="6">
        <v>78</v>
      </c>
      <c r="P1325" s="6">
        <v>75.42</v>
      </c>
      <c r="Q1325" s="6">
        <v>42</v>
      </c>
      <c r="R1325" s="6">
        <v>5883.05</v>
      </c>
      <c r="S1325" s="6">
        <v>0.15</v>
      </c>
      <c r="T1325" s="6">
        <v>882.46</v>
      </c>
      <c r="U1325" s="6">
        <v>5000.59</v>
      </c>
      <c r="V1325" s="6">
        <v>3275.61</v>
      </c>
      <c r="W1325" s="6">
        <v>1724.98</v>
      </c>
      <c r="X1325" s="6" t="s">
        <v>129</v>
      </c>
    </row>
    <row r="1326" spans="1:24" x14ac:dyDescent="0.25">
      <c r="A1326" s="5" t="s">
        <v>1833</v>
      </c>
      <c r="B1326" s="18">
        <v>45481</v>
      </c>
      <c r="C1326" s="7" t="s">
        <v>679</v>
      </c>
      <c r="D1326" s="7" t="s">
        <v>105</v>
      </c>
      <c r="E1326" s="7" t="s">
        <v>78</v>
      </c>
      <c r="F1326" s="7" t="s">
        <v>79</v>
      </c>
      <c r="G1326" s="7" t="s">
        <v>80</v>
      </c>
      <c r="H1326" s="7" t="s">
        <v>81</v>
      </c>
      <c r="I1326" s="7" t="s">
        <v>58</v>
      </c>
      <c r="J1326" s="7" t="s">
        <v>73</v>
      </c>
      <c r="K1326" s="7" t="s">
        <v>253</v>
      </c>
      <c r="L1326" s="7" t="s">
        <v>2676</v>
      </c>
      <c r="M1326" s="7" t="s">
        <v>153</v>
      </c>
      <c r="N1326" s="7" t="s">
        <v>70</v>
      </c>
      <c r="O1326" s="7">
        <v>47</v>
      </c>
      <c r="P1326" s="7">
        <v>140.66</v>
      </c>
      <c r="Q1326" s="7">
        <v>78.61</v>
      </c>
      <c r="R1326" s="7">
        <v>6611.23</v>
      </c>
      <c r="S1326" s="7">
        <v>0.02</v>
      </c>
      <c r="T1326" s="7">
        <v>132.22</v>
      </c>
      <c r="U1326" s="7">
        <v>6479</v>
      </c>
      <c r="V1326" s="7">
        <v>3694.84</v>
      </c>
      <c r="W1326" s="7">
        <v>2784.16</v>
      </c>
      <c r="X1326" s="7" t="s">
        <v>129</v>
      </c>
    </row>
    <row r="1327" spans="1:24" x14ac:dyDescent="0.25">
      <c r="A1327" s="16" t="s">
        <v>1834</v>
      </c>
      <c r="B1327" s="17">
        <v>45511</v>
      </c>
      <c r="C1327" s="6" t="s">
        <v>499</v>
      </c>
      <c r="D1327" s="6" t="s">
        <v>87</v>
      </c>
      <c r="E1327" s="6" t="s">
        <v>93</v>
      </c>
      <c r="F1327" s="6" t="s">
        <v>94</v>
      </c>
      <c r="G1327" s="6" t="s">
        <v>95</v>
      </c>
      <c r="H1327" s="6" t="s">
        <v>96</v>
      </c>
      <c r="I1327" s="6" t="s">
        <v>27</v>
      </c>
      <c r="J1327" s="6" t="s">
        <v>28</v>
      </c>
      <c r="K1327" s="6" t="s">
        <v>218</v>
      </c>
      <c r="L1327" s="6" t="s">
        <v>2674</v>
      </c>
      <c r="M1327" s="6" t="s">
        <v>43</v>
      </c>
      <c r="N1327" s="6" t="s">
        <v>70</v>
      </c>
      <c r="O1327" s="6">
        <v>6</v>
      </c>
      <c r="P1327" s="6">
        <v>55.5</v>
      </c>
      <c r="Q1327" s="6">
        <v>30.62</v>
      </c>
      <c r="R1327" s="6">
        <v>333.01</v>
      </c>
      <c r="S1327" s="6">
        <v>0.15</v>
      </c>
      <c r="T1327" s="6">
        <v>49.95</v>
      </c>
      <c r="U1327" s="6">
        <v>283.06</v>
      </c>
      <c r="V1327" s="6">
        <v>183.75</v>
      </c>
      <c r="W1327" s="6">
        <v>99.31</v>
      </c>
      <c r="X1327" s="6" t="s">
        <v>32</v>
      </c>
    </row>
    <row r="1328" spans="1:24" x14ac:dyDescent="0.25">
      <c r="A1328" s="5" t="s">
        <v>1835</v>
      </c>
      <c r="B1328" s="18">
        <v>45404</v>
      </c>
      <c r="C1328" s="7" t="s">
        <v>382</v>
      </c>
      <c r="D1328" s="7" t="s">
        <v>22</v>
      </c>
      <c r="E1328" s="7" t="s">
        <v>114</v>
      </c>
      <c r="F1328" s="7" t="s">
        <v>115</v>
      </c>
      <c r="G1328" s="7" t="s">
        <v>95</v>
      </c>
      <c r="H1328" s="7" t="s">
        <v>116</v>
      </c>
      <c r="I1328" s="7" t="s">
        <v>88</v>
      </c>
      <c r="J1328" s="7" t="s">
        <v>173</v>
      </c>
      <c r="K1328" s="7" t="s">
        <v>42</v>
      </c>
      <c r="L1328" s="7" t="s">
        <v>2661</v>
      </c>
      <c r="M1328" s="7" t="s">
        <v>609</v>
      </c>
      <c r="N1328" s="7" t="s">
        <v>75</v>
      </c>
      <c r="O1328" s="7">
        <v>15</v>
      </c>
      <c r="P1328" s="7">
        <v>37.08</v>
      </c>
      <c r="Q1328" s="7">
        <v>21.89</v>
      </c>
      <c r="R1328" s="7">
        <v>556.17999999999995</v>
      </c>
      <c r="S1328" s="7">
        <v>0</v>
      </c>
      <c r="T1328" s="7">
        <v>0</v>
      </c>
      <c r="U1328" s="7">
        <v>556.17999999999995</v>
      </c>
      <c r="V1328" s="7">
        <v>328.41</v>
      </c>
      <c r="W1328" s="7">
        <v>227.77</v>
      </c>
      <c r="X1328" s="7" t="s">
        <v>45</v>
      </c>
    </row>
    <row r="1329" spans="1:24" x14ac:dyDescent="0.25">
      <c r="A1329" s="16" t="s">
        <v>1836</v>
      </c>
      <c r="B1329" s="17">
        <v>45564</v>
      </c>
      <c r="C1329" s="6" t="s">
        <v>186</v>
      </c>
      <c r="D1329" s="6" t="s">
        <v>156</v>
      </c>
      <c r="E1329" s="6" t="s">
        <v>109</v>
      </c>
      <c r="F1329" s="6" t="s">
        <v>110</v>
      </c>
      <c r="G1329" s="6" t="s">
        <v>80</v>
      </c>
      <c r="H1329" s="6" t="s">
        <v>81</v>
      </c>
      <c r="I1329" s="6" t="s">
        <v>88</v>
      </c>
      <c r="J1329" s="6" t="s">
        <v>135</v>
      </c>
      <c r="K1329" s="6" t="s">
        <v>118</v>
      </c>
      <c r="L1329" s="6" t="s">
        <v>2668</v>
      </c>
      <c r="M1329" s="6" t="s">
        <v>153</v>
      </c>
      <c r="N1329" s="6" t="s">
        <v>70</v>
      </c>
      <c r="O1329" s="6">
        <v>7</v>
      </c>
      <c r="P1329" s="6">
        <v>125.15</v>
      </c>
      <c r="Q1329" s="6">
        <v>78.430000000000007</v>
      </c>
      <c r="R1329" s="6">
        <v>876.04</v>
      </c>
      <c r="S1329" s="6">
        <v>0.2</v>
      </c>
      <c r="T1329" s="6">
        <v>175.21</v>
      </c>
      <c r="U1329" s="6">
        <v>700.83</v>
      </c>
      <c r="V1329" s="6">
        <v>549.02</v>
      </c>
      <c r="W1329" s="6">
        <v>151.81</v>
      </c>
      <c r="X1329" s="6" t="s">
        <v>32</v>
      </c>
    </row>
    <row r="1330" spans="1:24" x14ac:dyDescent="0.25">
      <c r="A1330" s="5" t="s">
        <v>1837</v>
      </c>
      <c r="B1330" s="18">
        <v>45462</v>
      </c>
      <c r="C1330" s="7" t="s">
        <v>201</v>
      </c>
      <c r="D1330" s="7" t="s">
        <v>57</v>
      </c>
      <c r="E1330" s="7" t="s">
        <v>250</v>
      </c>
      <c r="F1330" s="7" t="s">
        <v>251</v>
      </c>
      <c r="G1330" s="7" t="s">
        <v>51</v>
      </c>
      <c r="H1330" s="7" t="s">
        <v>252</v>
      </c>
      <c r="I1330" s="7" t="s">
        <v>53</v>
      </c>
      <c r="J1330" s="7" t="s">
        <v>54</v>
      </c>
      <c r="K1330" s="7" t="s">
        <v>261</v>
      </c>
      <c r="L1330" s="7" t="s">
        <v>2677</v>
      </c>
      <c r="M1330" s="7" t="s">
        <v>43</v>
      </c>
      <c r="N1330" s="7" t="s">
        <v>75</v>
      </c>
      <c r="O1330" s="7">
        <v>26</v>
      </c>
      <c r="P1330" s="7">
        <v>64.3</v>
      </c>
      <c r="Q1330" s="7">
        <v>37.74</v>
      </c>
      <c r="R1330" s="7">
        <v>1671.81</v>
      </c>
      <c r="S1330" s="7">
        <v>0.2</v>
      </c>
      <c r="T1330" s="7">
        <v>334.36</v>
      </c>
      <c r="U1330" s="7">
        <v>1337.45</v>
      </c>
      <c r="V1330" s="7">
        <v>981.31</v>
      </c>
      <c r="W1330" s="7">
        <v>356.13</v>
      </c>
      <c r="X1330" s="7" t="s">
        <v>45</v>
      </c>
    </row>
    <row r="1331" spans="1:24" x14ac:dyDescent="0.25">
      <c r="A1331" s="16" t="s">
        <v>1838</v>
      </c>
      <c r="B1331" s="17">
        <v>45353</v>
      </c>
      <c r="C1331" s="6" t="s">
        <v>1706</v>
      </c>
      <c r="D1331" s="6" t="s">
        <v>65</v>
      </c>
      <c r="E1331" s="6" t="s">
        <v>165</v>
      </c>
      <c r="F1331" s="6" t="s">
        <v>166</v>
      </c>
      <c r="G1331" s="6" t="s">
        <v>95</v>
      </c>
      <c r="H1331" s="6" t="s">
        <v>167</v>
      </c>
      <c r="I1331" s="6" t="s">
        <v>40</v>
      </c>
      <c r="J1331" s="6" t="s">
        <v>289</v>
      </c>
      <c r="K1331" s="6" t="s">
        <v>83</v>
      </c>
      <c r="L1331" s="6" t="s">
        <v>2665</v>
      </c>
      <c r="M1331" s="6" t="s">
        <v>61</v>
      </c>
      <c r="N1331" s="6"/>
      <c r="O1331" s="6">
        <v>80</v>
      </c>
      <c r="P1331" s="6">
        <v>41.43</v>
      </c>
      <c r="Q1331" s="6">
        <v>24.72</v>
      </c>
      <c r="R1331" s="6">
        <v>3314.72</v>
      </c>
      <c r="S1331" s="6">
        <v>0</v>
      </c>
      <c r="T1331" s="6">
        <v>0</v>
      </c>
      <c r="U1331" s="6">
        <v>3314.72</v>
      </c>
      <c r="V1331" s="6">
        <v>1977.26</v>
      </c>
      <c r="W1331" s="6">
        <v>1337.46</v>
      </c>
      <c r="X1331" s="6" t="s">
        <v>32</v>
      </c>
    </row>
    <row r="1332" spans="1:24" x14ac:dyDescent="0.25">
      <c r="A1332" s="5" t="s">
        <v>1833</v>
      </c>
      <c r="B1332" s="18">
        <v>45481</v>
      </c>
      <c r="C1332" s="7" t="s">
        <v>679</v>
      </c>
      <c r="D1332" s="7" t="s">
        <v>105</v>
      </c>
      <c r="E1332" s="7" t="s">
        <v>78</v>
      </c>
      <c r="F1332" s="7" t="s">
        <v>79</v>
      </c>
      <c r="G1332" s="7" t="s">
        <v>80</v>
      </c>
      <c r="H1332" s="7" t="s">
        <v>81</v>
      </c>
      <c r="I1332" s="7" t="s">
        <v>58</v>
      </c>
      <c r="J1332" s="7" t="s">
        <v>73</v>
      </c>
      <c r="K1332" s="7" t="s">
        <v>253</v>
      </c>
      <c r="L1332" s="7" t="s">
        <v>2676</v>
      </c>
      <c r="M1332" s="7" t="s">
        <v>153</v>
      </c>
      <c r="N1332" s="7" t="s">
        <v>70</v>
      </c>
      <c r="O1332" s="7">
        <v>47</v>
      </c>
      <c r="P1332" s="7">
        <v>140.66</v>
      </c>
      <c r="Q1332" s="7">
        <v>78.61</v>
      </c>
      <c r="R1332" s="7">
        <v>6611.23</v>
      </c>
      <c r="S1332" s="7">
        <v>0.02</v>
      </c>
      <c r="T1332" s="7">
        <v>132.22</v>
      </c>
      <c r="U1332" s="7">
        <v>6479</v>
      </c>
      <c r="V1332" s="7">
        <v>3694.84</v>
      </c>
      <c r="W1332" s="7">
        <v>2784.16</v>
      </c>
      <c r="X1332" s="7" t="s">
        <v>129</v>
      </c>
    </row>
    <row r="1333" spans="1:24" x14ac:dyDescent="0.25">
      <c r="A1333" s="16" t="s">
        <v>1839</v>
      </c>
      <c r="B1333" s="17">
        <v>45516</v>
      </c>
      <c r="C1333" s="6" t="s">
        <v>1033</v>
      </c>
      <c r="D1333" s="6" t="s">
        <v>105</v>
      </c>
      <c r="E1333" s="6" t="s">
        <v>23</v>
      </c>
      <c r="F1333" s="6" t="s">
        <v>24</v>
      </c>
      <c r="G1333" s="6" t="s">
        <v>25</v>
      </c>
      <c r="H1333" s="6" t="s">
        <v>26</v>
      </c>
      <c r="I1333" s="6" t="s">
        <v>58</v>
      </c>
      <c r="J1333" s="6" t="s">
        <v>323</v>
      </c>
      <c r="K1333" s="6" t="s">
        <v>60</v>
      </c>
      <c r="L1333" s="6" t="s">
        <v>2662</v>
      </c>
      <c r="M1333" s="6" t="s">
        <v>43</v>
      </c>
      <c r="N1333" s="6" t="s">
        <v>31</v>
      </c>
      <c r="O1333" s="6">
        <v>2</v>
      </c>
      <c r="P1333" s="6">
        <v>80.400000000000006</v>
      </c>
      <c r="Q1333" s="6">
        <v>43.62</v>
      </c>
      <c r="R1333" s="6">
        <v>160.81</v>
      </c>
      <c r="S1333" s="6">
        <v>0.02</v>
      </c>
      <c r="T1333" s="6">
        <v>3.22</v>
      </c>
      <c r="U1333" s="6">
        <v>157.59</v>
      </c>
      <c r="V1333" s="6">
        <v>87.24</v>
      </c>
      <c r="W1333" s="6">
        <v>70.349999999999994</v>
      </c>
      <c r="X1333" s="6" t="s">
        <v>45</v>
      </c>
    </row>
    <row r="1334" spans="1:24" x14ac:dyDescent="0.25">
      <c r="A1334" s="5" t="s">
        <v>1840</v>
      </c>
      <c r="B1334" s="18">
        <v>45455</v>
      </c>
      <c r="C1334" s="7" t="s">
        <v>350</v>
      </c>
      <c r="D1334" s="7" t="s">
        <v>22</v>
      </c>
      <c r="E1334" s="7" t="s">
        <v>222</v>
      </c>
      <c r="F1334" s="7" t="s">
        <v>223</v>
      </c>
      <c r="G1334" s="7" t="s">
        <v>101</v>
      </c>
      <c r="H1334" s="7" t="s">
        <v>68</v>
      </c>
      <c r="I1334" s="7" t="s">
        <v>88</v>
      </c>
      <c r="J1334" s="7" t="s">
        <v>183</v>
      </c>
      <c r="K1334" s="7" t="s">
        <v>83</v>
      </c>
      <c r="L1334" s="7" t="s">
        <v>2665</v>
      </c>
      <c r="M1334" s="7" t="s">
        <v>30</v>
      </c>
      <c r="N1334" s="7" t="s">
        <v>70</v>
      </c>
      <c r="O1334" s="7">
        <v>22</v>
      </c>
      <c r="P1334" s="7">
        <v>112.55</v>
      </c>
      <c r="Q1334" s="7">
        <v>76.73</v>
      </c>
      <c r="R1334" s="7">
        <v>2476.13</v>
      </c>
      <c r="S1334" s="7">
        <v>0.2</v>
      </c>
      <c r="T1334" s="7">
        <v>495.23</v>
      </c>
      <c r="U1334" s="7">
        <v>1980.9</v>
      </c>
      <c r="V1334" s="7">
        <v>1687.96</v>
      </c>
      <c r="W1334" s="7">
        <v>292.94</v>
      </c>
      <c r="X1334" s="7" t="s">
        <v>45</v>
      </c>
    </row>
    <row r="1335" spans="1:24" x14ac:dyDescent="0.25">
      <c r="A1335" s="16" t="s">
        <v>1841</v>
      </c>
      <c r="B1335" s="17">
        <v>45459</v>
      </c>
      <c r="C1335" s="6" t="s">
        <v>414</v>
      </c>
      <c r="D1335" s="6" t="s">
        <v>22</v>
      </c>
      <c r="E1335" s="6" t="s">
        <v>222</v>
      </c>
      <c r="F1335" s="6" t="s">
        <v>223</v>
      </c>
      <c r="G1335" s="6" t="s">
        <v>101</v>
      </c>
      <c r="H1335" s="6" t="s">
        <v>68</v>
      </c>
      <c r="I1335" s="6" t="s">
        <v>88</v>
      </c>
      <c r="J1335" s="6" t="s">
        <v>173</v>
      </c>
      <c r="K1335" s="6" t="s">
        <v>261</v>
      </c>
      <c r="L1335" s="6" t="s">
        <v>2677</v>
      </c>
      <c r="M1335" s="6" t="s">
        <v>30</v>
      </c>
      <c r="N1335" s="6" t="s">
        <v>44</v>
      </c>
      <c r="O1335" s="6">
        <v>21</v>
      </c>
      <c r="P1335" s="6">
        <v>116.28</v>
      </c>
      <c r="Q1335" s="6">
        <v>81.61</v>
      </c>
      <c r="R1335" s="6">
        <v>2441.91</v>
      </c>
      <c r="S1335" s="6">
        <v>0.15</v>
      </c>
      <c r="T1335" s="6">
        <v>366.29</v>
      </c>
      <c r="U1335" s="6">
        <v>2075.62</v>
      </c>
      <c r="V1335" s="6">
        <v>1713.74</v>
      </c>
      <c r="W1335" s="6">
        <v>361.88</v>
      </c>
      <c r="X1335" s="6" t="s">
        <v>129</v>
      </c>
    </row>
    <row r="1336" spans="1:24" x14ac:dyDescent="0.25">
      <c r="A1336" s="5" t="s">
        <v>1842</v>
      </c>
      <c r="B1336" s="18">
        <v>45494</v>
      </c>
      <c r="C1336" s="7" t="s">
        <v>1028</v>
      </c>
      <c r="D1336" s="7" t="s">
        <v>57</v>
      </c>
      <c r="E1336" s="7" t="s">
        <v>141</v>
      </c>
      <c r="F1336" s="7" t="s">
        <v>142</v>
      </c>
      <c r="G1336" s="7" t="s">
        <v>25</v>
      </c>
      <c r="H1336" s="7" t="s">
        <v>26</v>
      </c>
      <c r="I1336" s="7" t="s">
        <v>88</v>
      </c>
      <c r="J1336" s="7" t="s">
        <v>183</v>
      </c>
      <c r="K1336" s="7" t="s">
        <v>218</v>
      </c>
      <c r="L1336" s="7" t="s">
        <v>2674</v>
      </c>
      <c r="M1336" s="7" t="s">
        <v>30</v>
      </c>
      <c r="N1336" s="7" t="s">
        <v>84</v>
      </c>
      <c r="O1336" s="7">
        <v>17</v>
      </c>
      <c r="P1336" s="7">
        <v>88.75</v>
      </c>
      <c r="Q1336" s="7">
        <v>55.18</v>
      </c>
      <c r="R1336" s="7">
        <v>1508.67</v>
      </c>
      <c r="S1336" s="7">
        <v>0.2</v>
      </c>
      <c r="T1336" s="7">
        <v>301.73</v>
      </c>
      <c r="U1336" s="7">
        <v>1206.93</v>
      </c>
      <c r="V1336" s="7">
        <v>938.04</v>
      </c>
      <c r="W1336" s="7">
        <v>268.89</v>
      </c>
      <c r="X1336" s="7" t="s">
        <v>45</v>
      </c>
    </row>
    <row r="1337" spans="1:24" x14ac:dyDescent="0.25">
      <c r="A1337" s="16" t="s">
        <v>1843</v>
      </c>
      <c r="B1337" s="17">
        <v>45559</v>
      </c>
      <c r="C1337" s="6" t="s">
        <v>146</v>
      </c>
      <c r="D1337" s="6" t="s">
        <v>105</v>
      </c>
      <c r="E1337" s="6" t="s">
        <v>150</v>
      </c>
      <c r="F1337" s="6" t="s">
        <v>151</v>
      </c>
      <c r="G1337" s="6" t="s">
        <v>101</v>
      </c>
      <c r="H1337" s="6" t="s">
        <v>134</v>
      </c>
      <c r="I1337" s="6" t="s">
        <v>88</v>
      </c>
      <c r="J1337" s="6" t="s">
        <v>183</v>
      </c>
      <c r="K1337" s="6" t="s">
        <v>74</v>
      </c>
      <c r="L1337" s="6" t="s">
        <v>2664</v>
      </c>
      <c r="M1337" s="6" t="s">
        <v>153</v>
      </c>
      <c r="N1337" s="6" t="s">
        <v>31</v>
      </c>
      <c r="O1337" s="6">
        <v>27</v>
      </c>
      <c r="P1337" s="6">
        <v>91.27</v>
      </c>
      <c r="Q1337" s="6">
        <v>50.1</v>
      </c>
      <c r="R1337" s="6">
        <v>2464.33</v>
      </c>
      <c r="S1337" s="6">
        <v>0.15</v>
      </c>
      <c r="T1337" s="6">
        <v>369.65</v>
      </c>
      <c r="U1337" s="6">
        <v>2094.6799999999998</v>
      </c>
      <c r="V1337" s="6">
        <v>1352.65</v>
      </c>
      <c r="W1337" s="6">
        <v>742.03</v>
      </c>
      <c r="X1337" s="6" t="s">
        <v>45</v>
      </c>
    </row>
    <row r="1338" spans="1:24" x14ac:dyDescent="0.25">
      <c r="A1338" s="5" t="s">
        <v>1844</v>
      </c>
      <c r="B1338" s="18">
        <v>45483</v>
      </c>
      <c r="C1338" s="7" t="s">
        <v>1744</v>
      </c>
      <c r="D1338" s="7" t="s">
        <v>121</v>
      </c>
      <c r="E1338" s="7" t="s">
        <v>165</v>
      </c>
      <c r="F1338" s="7" t="s">
        <v>166</v>
      </c>
      <c r="G1338" s="7" t="s">
        <v>95</v>
      </c>
      <c r="H1338" s="7" t="s">
        <v>167</v>
      </c>
      <c r="I1338" s="7" t="s">
        <v>88</v>
      </c>
      <c r="J1338" s="7" t="s">
        <v>89</v>
      </c>
      <c r="K1338" s="7" t="s">
        <v>144</v>
      </c>
      <c r="L1338" s="7" t="s">
        <v>2669</v>
      </c>
      <c r="M1338" s="7" t="s">
        <v>61</v>
      </c>
      <c r="N1338" s="7" t="s">
        <v>75</v>
      </c>
      <c r="O1338" s="7">
        <v>21</v>
      </c>
      <c r="P1338" s="7">
        <v>38.65</v>
      </c>
      <c r="Q1338" s="7">
        <v>24.2</v>
      </c>
      <c r="R1338" s="7">
        <v>811.63</v>
      </c>
      <c r="S1338" s="7">
        <v>0</v>
      </c>
      <c r="T1338" s="7">
        <v>0</v>
      </c>
      <c r="U1338" s="7">
        <v>811.63</v>
      </c>
      <c r="V1338" s="7">
        <v>508.18</v>
      </c>
      <c r="W1338" s="7">
        <v>303.45</v>
      </c>
      <c r="X1338" s="7" t="s">
        <v>32</v>
      </c>
    </row>
    <row r="1339" spans="1:24" x14ac:dyDescent="0.25">
      <c r="A1339" s="16" t="s">
        <v>1845</v>
      </c>
      <c r="B1339" s="17">
        <v>45332</v>
      </c>
      <c r="C1339" s="6" t="s">
        <v>917</v>
      </c>
      <c r="D1339" s="6" t="s">
        <v>57</v>
      </c>
      <c r="E1339" s="6" t="s">
        <v>109</v>
      </c>
      <c r="F1339" s="6" t="s">
        <v>110</v>
      </c>
      <c r="G1339" s="6" t="s">
        <v>80</v>
      </c>
      <c r="H1339" s="6" t="s">
        <v>81</v>
      </c>
      <c r="I1339" s="6" t="s">
        <v>27</v>
      </c>
      <c r="J1339" s="6" t="s">
        <v>189</v>
      </c>
      <c r="K1339" s="6" t="s">
        <v>265</v>
      </c>
      <c r="L1339" s="6" t="s">
        <v>2678</v>
      </c>
      <c r="M1339" s="6" t="s">
        <v>153</v>
      </c>
      <c r="N1339" s="6" t="s">
        <v>44</v>
      </c>
      <c r="O1339" s="6">
        <v>23</v>
      </c>
      <c r="P1339" s="6">
        <v>128.24</v>
      </c>
      <c r="Q1339" s="6">
        <v>76.97</v>
      </c>
      <c r="R1339" s="6">
        <v>2949.48</v>
      </c>
      <c r="S1339" s="6">
        <v>0.05</v>
      </c>
      <c r="T1339" s="6">
        <v>147.47</v>
      </c>
      <c r="U1339" s="6">
        <v>2802.01</v>
      </c>
      <c r="V1339" s="6">
        <v>1770.4</v>
      </c>
      <c r="W1339" s="6">
        <v>1031.6099999999999</v>
      </c>
      <c r="X1339" s="6" t="s">
        <v>45</v>
      </c>
    </row>
    <row r="1340" spans="1:24" x14ac:dyDescent="0.25">
      <c r="A1340" s="5" t="s">
        <v>1846</v>
      </c>
      <c r="B1340" s="18">
        <v>45579</v>
      </c>
      <c r="C1340" s="7" t="s">
        <v>213</v>
      </c>
      <c r="D1340" s="7" t="s">
        <v>87</v>
      </c>
      <c r="E1340" s="7" t="s">
        <v>216</v>
      </c>
      <c r="F1340" s="7" t="s">
        <v>217</v>
      </c>
      <c r="G1340" s="7" t="s">
        <v>38</v>
      </c>
      <c r="H1340" s="7" t="s">
        <v>134</v>
      </c>
      <c r="I1340" s="7" t="s">
        <v>88</v>
      </c>
      <c r="J1340" s="7" t="s">
        <v>173</v>
      </c>
      <c r="K1340" s="7" t="s">
        <v>90</v>
      </c>
      <c r="L1340" s="7" t="s">
        <v>2666</v>
      </c>
      <c r="M1340" s="7" t="s">
        <v>153</v>
      </c>
      <c r="N1340" s="7" t="s">
        <v>84</v>
      </c>
      <c r="O1340" s="7">
        <v>33</v>
      </c>
      <c r="P1340" s="7">
        <v>102.95</v>
      </c>
      <c r="Q1340" s="7">
        <v>65.94</v>
      </c>
      <c r="R1340" s="7">
        <v>3397.2</v>
      </c>
      <c r="S1340" s="7">
        <v>0</v>
      </c>
      <c r="T1340" s="7">
        <v>0</v>
      </c>
      <c r="U1340" s="7">
        <v>3397.2</v>
      </c>
      <c r="V1340" s="7">
        <v>2176.15</v>
      </c>
      <c r="W1340" s="7">
        <v>1221.05</v>
      </c>
      <c r="X1340" s="7" t="s">
        <v>32</v>
      </c>
    </row>
    <row r="1341" spans="1:24" x14ac:dyDescent="0.25">
      <c r="A1341" s="16" t="s">
        <v>1847</v>
      </c>
      <c r="B1341" s="17">
        <v>45448</v>
      </c>
      <c r="C1341" s="6" t="s">
        <v>468</v>
      </c>
      <c r="D1341" s="6" t="s">
        <v>65</v>
      </c>
      <c r="E1341" s="6" t="s">
        <v>222</v>
      </c>
      <c r="F1341" s="6" t="s">
        <v>223</v>
      </c>
      <c r="G1341" s="6" t="s">
        <v>101</v>
      </c>
      <c r="H1341" s="6" t="s">
        <v>68</v>
      </c>
      <c r="I1341" s="6" t="s">
        <v>58</v>
      </c>
      <c r="J1341" s="6" t="s">
        <v>59</v>
      </c>
      <c r="K1341" s="6" t="s">
        <v>144</v>
      </c>
      <c r="L1341" s="6" t="s">
        <v>2669</v>
      </c>
      <c r="M1341" s="6" t="s">
        <v>30</v>
      </c>
      <c r="N1341" s="6" t="s">
        <v>84</v>
      </c>
      <c r="O1341" s="6">
        <v>58</v>
      </c>
      <c r="P1341" s="6">
        <v>119.5</v>
      </c>
      <c r="Q1341" s="6">
        <v>72.98</v>
      </c>
      <c r="R1341" s="6">
        <v>6931.24</v>
      </c>
      <c r="S1341" s="6">
        <v>0.15</v>
      </c>
      <c r="T1341" s="6">
        <v>1039.69</v>
      </c>
      <c r="U1341" s="6">
        <v>5891.55</v>
      </c>
      <c r="V1341" s="6">
        <v>4232.8999999999996</v>
      </c>
      <c r="W1341" s="6">
        <v>1658.66</v>
      </c>
      <c r="X1341" s="6" t="s">
        <v>45</v>
      </c>
    </row>
    <row r="1342" spans="1:24" x14ac:dyDescent="0.25">
      <c r="A1342" s="5" t="s">
        <v>1848</v>
      </c>
      <c r="B1342" s="18">
        <v>45326</v>
      </c>
      <c r="C1342" s="7" t="s">
        <v>387</v>
      </c>
      <c r="D1342" s="7" t="s">
        <v>22</v>
      </c>
      <c r="E1342" s="7" t="s">
        <v>209</v>
      </c>
      <c r="F1342" s="7" t="s">
        <v>210</v>
      </c>
      <c r="G1342" s="7" t="s">
        <v>51</v>
      </c>
      <c r="H1342" s="7" t="s">
        <v>116</v>
      </c>
      <c r="I1342" s="7" t="s">
        <v>40</v>
      </c>
      <c r="J1342" s="7" t="s">
        <v>117</v>
      </c>
      <c r="K1342" s="7" t="s">
        <v>118</v>
      </c>
      <c r="L1342" s="7" t="s">
        <v>2668</v>
      </c>
      <c r="M1342" s="7" t="s">
        <v>153</v>
      </c>
      <c r="N1342" s="7" t="s">
        <v>84</v>
      </c>
      <c r="O1342" s="7">
        <v>78</v>
      </c>
      <c r="P1342" s="7">
        <v>17.8</v>
      </c>
      <c r="Q1342" s="7">
        <v>10.53</v>
      </c>
      <c r="R1342" s="7">
        <v>1388.27</v>
      </c>
      <c r="S1342" s="7">
        <v>0.1</v>
      </c>
      <c r="T1342" s="7">
        <v>138.83000000000001</v>
      </c>
      <c r="U1342" s="7">
        <v>1249.44</v>
      </c>
      <c r="V1342" s="7">
        <v>821.3</v>
      </c>
      <c r="W1342" s="7">
        <v>428.14</v>
      </c>
      <c r="X1342" s="7" t="s">
        <v>129</v>
      </c>
    </row>
    <row r="1343" spans="1:24" x14ac:dyDescent="0.25">
      <c r="A1343" s="16" t="s">
        <v>1849</v>
      </c>
      <c r="B1343" s="17">
        <v>45579</v>
      </c>
      <c r="C1343" s="6" t="s">
        <v>1394</v>
      </c>
      <c r="D1343" s="6" t="s">
        <v>156</v>
      </c>
      <c r="E1343" s="6" t="s">
        <v>216</v>
      </c>
      <c r="F1343" s="6" t="s">
        <v>217</v>
      </c>
      <c r="G1343" s="6" t="s">
        <v>38</v>
      </c>
      <c r="H1343" s="6" t="s">
        <v>134</v>
      </c>
      <c r="I1343" s="6" t="s">
        <v>53</v>
      </c>
      <c r="J1343" s="6" t="s">
        <v>143</v>
      </c>
      <c r="K1343" s="6" t="s">
        <v>83</v>
      </c>
      <c r="L1343" s="6" t="s">
        <v>2665</v>
      </c>
      <c r="M1343" s="6" t="s">
        <v>30</v>
      </c>
      <c r="N1343" s="6" t="s">
        <v>31</v>
      </c>
      <c r="O1343" s="6">
        <v>42</v>
      </c>
      <c r="P1343" s="6">
        <v>116.87</v>
      </c>
      <c r="Q1343" s="6">
        <v>65.349999999999994</v>
      </c>
      <c r="R1343" s="6">
        <v>4908.3599999999997</v>
      </c>
      <c r="S1343" s="6">
        <v>0.05</v>
      </c>
      <c r="T1343" s="6">
        <v>245.42</v>
      </c>
      <c r="U1343" s="6">
        <v>4662.9399999999996</v>
      </c>
      <c r="V1343" s="6">
        <v>2744.61</v>
      </c>
      <c r="W1343" s="6">
        <v>1918.33</v>
      </c>
      <c r="X1343" s="6" t="s">
        <v>45</v>
      </c>
    </row>
    <row r="1344" spans="1:24" x14ac:dyDescent="0.25">
      <c r="A1344" s="5" t="s">
        <v>1850</v>
      </c>
      <c r="B1344" s="18">
        <v>45380</v>
      </c>
      <c r="C1344" s="7" t="s">
        <v>497</v>
      </c>
      <c r="D1344" s="7" t="s">
        <v>35</v>
      </c>
      <c r="E1344" s="7" t="s">
        <v>209</v>
      </c>
      <c r="F1344" s="7" t="s">
        <v>210</v>
      </c>
      <c r="G1344" s="7" t="s">
        <v>51</v>
      </c>
      <c r="H1344" s="7" t="s">
        <v>116</v>
      </c>
      <c r="I1344" s="7" t="s">
        <v>88</v>
      </c>
      <c r="J1344" s="7" t="s">
        <v>89</v>
      </c>
      <c r="K1344" s="7" t="s">
        <v>144</v>
      </c>
      <c r="L1344" s="7" t="s">
        <v>2669</v>
      </c>
      <c r="M1344" s="7" t="s">
        <v>61</v>
      </c>
      <c r="N1344" s="7" t="s">
        <v>75</v>
      </c>
      <c r="O1344" s="7">
        <v>39</v>
      </c>
      <c r="P1344" s="7">
        <v>19.02</v>
      </c>
      <c r="Q1344" s="7">
        <v>9.9</v>
      </c>
      <c r="R1344" s="7">
        <v>741.76</v>
      </c>
      <c r="S1344" s="7"/>
      <c r="T1344" s="7">
        <v>37.090000000000003</v>
      </c>
      <c r="U1344" s="7">
        <v>704.67</v>
      </c>
      <c r="V1344" s="7">
        <v>386.2</v>
      </c>
      <c r="W1344" s="7">
        <v>318.47000000000003</v>
      </c>
      <c r="X1344" s="7" t="s">
        <v>45</v>
      </c>
    </row>
    <row r="1345" spans="1:24" x14ac:dyDescent="0.25">
      <c r="A1345" s="16" t="s">
        <v>1851</v>
      </c>
      <c r="B1345" s="17">
        <v>45325</v>
      </c>
      <c r="C1345" s="6" t="s">
        <v>263</v>
      </c>
      <c r="D1345" s="6" t="s">
        <v>264</v>
      </c>
      <c r="E1345" s="6" t="s">
        <v>36</v>
      </c>
      <c r="F1345" s="6" t="s">
        <v>37</v>
      </c>
      <c r="G1345" s="6" t="s">
        <v>38</v>
      </c>
      <c r="H1345" s="6" t="s">
        <v>39</v>
      </c>
      <c r="I1345" s="6" t="s">
        <v>27</v>
      </c>
      <c r="J1345" s="6" t="s">
        <v>189</v>
      </c>
      <c r="K1345" s="6" t="s">
        <v>118</v>
      </c>
      <c r="L1345" s="6" t="s">
        <v>2668</v>
      </c>
      <c r="M1345" s="6" t="s">
        <v>153</v>
      </c>
      <c r="N1345" s="6" t="s">
        <v>70</v>
      </c>
      <c r="O1345" s="6">
        <v>11</v>
      </c>
      <c r="P1345" s="6"/>
      <c r="Q1345" s="6">
        <v>103.1</v>
      </c>
      <c r="R1345" s="6">
        <v>1819.85</v>
      </c>
      <c r="S1345" s="6">
        <v>0</v>
      </c>
      <c r="T1345" s="6">
        <v>0</v>
      </c>
      <c r="U1345" s="6">
        <v>1819.85</v>
      </c>
      <c r="V1345" s="6">
        <v>1134.0899999999999</v>
      </c>
      <c r="W1345" s="6">
        <v>685.76</v>
      </c>
      <c r="X1345" s="6" t="s">
        <v>45</v>
      </c>
    </row>
    <row r="1346" spans="1:24" x14ac:dyDescent="0.25">
      <c r="A1346" s="5" t="s">
        <v>1852</v>
      </c>
      <c r="B1346" s="18">
        <v>45295</v>
      </c>
      <c r="C1346" s="7" t="s">
        <v>255</v>
      </c>
      <c r="D1346" s="7" t="s">
        <v>256</v>
      </c>
      <c r="E1346" s="7" t="s">
        <v>216</v>
      </c>
      <c r="F1346" s="7" t="s">
        <v>217</v>
      </c>
      <c r="G1346" s="7" t="s">
        <v>38</v>
      </c>
      <c r="H1346" s="7" t="s">
        <v>134</v>
      </c>
      <c r="I1346" s="7" t="s">
        <v>53</v>
      </c>
      <c r="J1346" s="7" t="s">
        <v>54</v>
      </c>
      <c r="K1346" s="7" t="s">
        <v>90</v>
      </c>
      <c r="L1346" s="7" t="s">
        <v>2666</v>
      </c>
      <c r="M1346" s="7" t="s">
        <v>43</v>
      </c>
      <c r="N1346" s="7"/>
      <c r="O1346" s="7">
        <v>22</v>
      </c>
      <c r="P1346" s="7">
        <v>112.53</v>
      </c>
      <c r="Q1346" s="7">
        <v>67.319999999999993</v>
      </c>
      <c r="R1346" s="7">
        <v>2475.7199999999998</v>
      </c>
      <c r="S1346" s="7">
        <v>0.1</v>
      </c>
      <c r="T1346" s="7">
        <v>247.57</v>
      </c>
      <c r="U1346" s="7">
        <v>2600.9699999999998</v>
      </c>
      <c r="V1346" s="7">
        <v>1481.15</v>
      </c>
      <c r="W1346" s="7">
        <v>747</v>
      </c>
      <c r="X1346" s="7" t="s">
        <v>32</v>
      </c>
    </row>
    <row r="1347" spans="1:24" x14ac:dyDescent="0.25">
      <c r="A1347" s="16" t="s">
        <v>1853</v>
      </c>
      <c r="B1347" s="17">
        <v>45361</v>
      </c>
      <c r="C1347" s="6" t="s">
        <v>325</v>
      </c>
      <c r="D1347" s="6" t="s">
        <v>35</v>
      </c>
      <c r="E1347" s="6" t="s">
        <v>187</v>
      </c>
      <c r="F1347" s="6" t="s">
        <v>188</v>
      </c>
      <c r="G1347" s="6" t="s">
        <v>25</v>
      </c>
      <c r="H1347" s="6" t="s">
        <v>26</v>
      </c>
      <c r="I1347" s="6" t="s">
        <v>40</v>
      </c>
      <c r="J1347" s="6" t="s">
        <v>82</v>
      </c>
      <c r="K1347" s="6" t="s">
        <v>152</v>
      </c>
      <c r="L1347" s="6" t="s">
        <v>2670</v>
      </c>
      <c r="M1347" s="6" t="s">
        <v>30</v>
      </c>
      <c r="N1347" s="6" t="s">
        <v>44</v>
      </c>
      <c r="O1347" s="6">
        <v>70</v>
      </c>
      <c r="P1347" s="6">
        <v>44.98</v>
      </c>
      <c r="Q1347" s="6">
        <v>27.03</v>
      </c>
      <c r="R1347" s="6">
        <v>3148.51</v>
      </c>
      <c r="S1347" s="6">
        <v>0.02</v>
      </c>
      <c r="T1347" s="6">
        <v>62.97</v>
      </c>
      <c r="U1347" s="6">
        <v>3085.54</v>
      </c>
      <c r="V1347" s="6">
        <v>1892</v>
      </c>
      <c r="W1347" s="6">
        <v>1193.53</v>
      </c>
      <c r="X1347" s="6" t="s">
        <v>45</v>
      </c>
    </row>
    <row r="1348" spans="1:24" x14ac:dyDescent="0.25">
      <c r="A1348" s="5" t="s">
        <v>1854</v>
      </c>
      <c r="B1348" s="18">
        <v>45431</v>
      </c>
      <c r="C1348" s="7" t="s">
        <v>1334</v>
      </c>
      <c r="D1348" s="7" t="s">
        <v>35</v>
      </c>
      <c r="E1348" s="7" t="s">
        <v>222</v>
      </c>
      <c r="F1348" s="7" t="s">
        <v>223</v>
      </c>
      <c r="G1348" s="7" t="s">
        <v>101</v>
      </c>
      <c r="H1348" s="7" t="s">
        <v>68</v>
      </c>
      <c r="I1348" s="7" t="s">
        <v>58</v>
      </c>
      <c r="J1348" s="7" t="s">
        <v>59</v>
      </c>
      <c r="K1348" s="7" t="s">
        <v>170</v>
      </c>
      <c r="L1348" s="7" t="s">
        <v>2671</v>
      </c>
      <c r="M1348" s="7" t="s">
        <v>43</v>
      </c>
      <c r="N1348" s="7" t="s">
        <v>31</v>
      </c>
      <c r="O1348" s="7">
        <v>19</v>
      </c>
      <c r="P1348" s="7">
        <v>128.80000000000001</v>
      </c>
      <c r="Q1348" s="7">
        <v>76.349999999999994</v>
      </c>
      <c r="R1348" s="7">
        <v>2447.11</v>
      </c>
      <c r="S1348" s="7">
        <v>0.02</v>
      </c>
      <c r="T1348" s="7">
        <v>48.94</v>
      </c>
      <c r="U1348" s="7">
        <v>2398.16</v>
      </c>
      <c r="V1348" s="7">
        <v>1450.69</v>
      </c>
      <c r="W1348" s="7">
        <v>947.48</v>
      </c>
      <c r="X1348" s="7" t="s">
        <v>45</v>
      </c>
    </row>
    <row r="1349" spans="1:24" x14ac:dyDescent="0.25">
      <c r="A1349" s="16" t="s">
        <v>1855</v>
      </c>
      <c r="B1349" s="17">
        <v>45633</v>
      </c>
      <c r="C1349" s="6" t="s">
        <v>414</v>
      </c>
      <c r="D1349" s="6" t="s">
        <v>22</v>
      </c>
      <c r="E1349" s="6" t="s">
        <v>126</v>
      </c>
      <c r="F1349" s="6" t="s">
        <v>127</v>
      </c>
      <c r="G1349" s="6" t="s">
        <v>95</v>
      </c>
      <c r="H1349" s="6" t="s">
        <v>128</v>
      </c>
      <c r="I1349" s="6" t="s">
        <v>88</v>
      </c>
      <c r="J1349" s="6" t="s">
        <v>173</v>
      </c>
      <c r="K1349" s="6" t="s">
        <v>170</v>
      </c>
      <c r="L1349" s="6" t="s">
        <v>2671</v>
      </c>
      <c r="M1349" s="6" t="s">
        <v>61</v>
      </c>
      <c r="N1349" s="6" t="s">
        <v>84</v>
      </c>
      <c r="O1349" s="6">
        <v>61</v>
      </c>
      <c r="P1349" s="6">
        <v>84.4</v>
      </c>
      <c r="Q1349" s="6">
        <v>52.55</v>
      </c>
      <c r="R1349" s="6">
        <v>5148.29</v>
      </c>
      <c r="S1349" s="6">
        <v>0.1</v>
      </c>
      <c r="T1349" s="6">
        <v>514.83000000000004</v>
      </c>
      <c r="U1349" s="6">
        <v>4633.46</v>
      </c>
      <c r="V1349" s="6">
        <v>3205.61</v>
      </c>
      <c r="W1349" s="6">
        <v>1427.85</v>
      </c>
      <c r="X1349" s="6" t="s">
        <v>45</v>
      </c>
    </row>
    <row r="1350" spans="1:24" x14ac:dyDescent="0.25">
      <c r="A1350" s="5" t="s">
        <v>1856</v>
      </c>
      <c r="B1350" s="18">
        <v>45478</v>
      </c>
      <c r="C1350" s="7" t="s">
        <v>1025</v>
      </c>
      <c r="D1350" s="7" t="s">
        <v>149</v>
      </c>
      <c r="E1350" s="7" t="s">
        <v>99</v>
      </c>
      <c r="F1350" s="7" t="s">
        <v>100</v>
      </c>
      <c r="G1350" s="7" t="s">
        <v>101</v>
      </c>
      <c r="H1350" s="7" t="s">
        <v>102</v>
      </c>
      <c r="I1350" s="7" t="s">
        <v>53</v>
      </c>
      <c r="J1350" s="7" t="s">
        <v>143</v>
      </c>
      <c r="K1350" s="7" t="s">
        <v>152</v>
      </c>
      <c r="L1350" s="7" t="s">
        <v>2670</v>
      </c>
      <c r="M1350" s="7" t="s">
        <v>61</v>
      </c>
      <c r="N1350" s="7" t="s">
        <v>31</v>
      </c>
      <c r="O1350" s="7">
        <v>0</v>
      </c>
      <c r="P1350" s="7">
        <v>64.98</v>
      </c>
      <c r="Q1350" s="7">
        <v>42.88</v>
      </c>
      <c r="R1350" s="7">
        <v>2404.33</v>
      </c>
      <c r="S1350" s="7">
        <v>0.1</v>
      </c>
      <c r="T1350" s="7">
        <v>240.43</v>
      </c>
      <c r="U1350" s="7">
        <v>2163.9</v>
      </c>
      <c r="V1350" s="7">
        <v>1586.49</v>
      </c>
      <c r="W1350" s="7">
        <v>577.41</v>
      </c>
      <c r="X1350" s="7" t="s">
        <v>45</v>
      </c>
    </row>
    <row r="1351" spans="1:24" x14ac:dyDescent="0.25">
      <c r="A1351" s="16" t="s">
        <v>1857</v>
      </c>
      <c r="B1351" s="17">
        <v>45478</v>
      </c>
      <c r="C1351" s="6" t="s">
        <v>1858</v>
      </c>
      <c r="D1351" s="6" t="s">
        <v>87</v>
      </c>
      <c r="E1351" s="6" t="s">
        <v>93</v>
      </c>
      <c r="F1351" s="6" t="s">
        <v>94</v>
      </c>
      <c r="G1351" s="6" t="s">
        <v>95</v>
      </c>
      <c r="H1351" s="6" t="s">
        <v>96</v>
      </c>
      <c r="I1351" s="6" t="s">
        <v>40</v>
      </c>
      <c r="J1351" s="6" t="s">
        <v>289</v>
      </c>
      <c r="K1351" s="6" t="s">
        <v>83</v>
      </c>
      <c r="L1351" s="6" t="s">
        <v>2665</v>
      </c>
      <c r="M1351" s="6" t="s">
        <v>153</v>
      </c>
      <c r="N1351" s="6" t="s">
        <v>31</v>
      </c>
      <c r="O1351" s="6">
        <v>51</v>
      </c>
      <c r="P1351" s="6">
        <v>56.18</v>
      </c>
      <c r="Q1351" s="6">
        <v>32.200000000000003</v>
      </c>
      <c r="R1351" s="6">
        <v>2865.14</v>
      </c>
      <c r="S1351" s="6">
        <v>0.02</v>
      </c>
      <c r="T1351" s="6">
        <v>57.3</v>
      </c>
      <c r="U1351" s="6">
        <v>2807.84</v>
      </c>
      <c r="V1351" s="6">
        <v>1642.44</v>
      </c>
      <c r="W1351" s="6">
        <v>1165.4000000000001</v>
      </c>
      <c r="X1351" s="6" t="s">
        <v>45</v>
      </c>
    </row>
    <row r="1352" spans="1:24" x14ac:dyDescent="0.25">
      <c r="A1352" s="5" t="s">
        <v>1859</v>
      </c>
      <c r="B1352" s="18">
        <v>45515</v>
      </c>
      <c r="C1352" s="7" t="s">
        <v>197</v>
      </c>
      <c r="D1352" s="7" t="s">
        <v>159</v>
      </c>
      <c r="E1352" s="7" t="s">
        <v>187</v>
      </c>
      <c r="F1352" s="7" t="s">
        <v>188</v>
      </c>
      <c r="G1352" s="7" t="s">
        <v>25</v>
      </c>
      <c r="H1352" s="7" t="s">
        <v>26</v>
      </c>
      <c r="I1352" s="7" t="s">
        <v>40</v>
      </c>
      <c r="J1352" s="7" t="s">
        <v>289</v>
      </c>
      <c r="K1352" s="7" t="s">
        <v>60</v>
      </c>
      <c r="L1352" s="7" t="s">
        <v>2662</v>
      </c>
      <c r="M1352" s="7" t="s">
        <v>30</v>
      </c>
      <c r="N1352" s="7" t="s">
        <v>70</v>
      </c>
      <c r="O1352" s="7">
        <v>22</v>
      </c>
      <c r="P1352" s="7">
        <v>48.15</v>
      </c>
      <c r="Q1352" s="7">
        <v>28.9</v>
      </c>
      <c r="R1352" s="7">
        <v>1059.22</v>
      </c>
      <c r="S1352" s="7">
        <v>0.05</v>
      </c>
      <c r="T1352" s="7">
        <v>52.96</v>
      </c>
      <c r="U1352" s="7">
        <v>1006.26</v>
      </c>
      <c r="V1352" s="7">
        <v>635.87</v>
      </c>
      <c r="W1352" s="7">
        <v>370.39</v>
      </c>
      <c r="X1352" s="7" t="s">
        <v>45</v>
      </c>
    </row>
    <row r="1353" spans="1:24" x14ac:dyDescent="0.25">
      <c r="A1353" s="16" t="s">
        <v>1860</v>
      </c>
      <c r="B1353" s="17">
        <v>45608</v>
      </c>
      <c r="C1353" s="6" t="s">
        <v>1620</v>
      </c>
      <c r="D1353" s="6" t="s">
        <v>359</v>
      </c>
      <c r="E1353" s="6" t="s">
        <v>109</v>
      </c>
      <c r="F1353" s="6" t="s">
        <v>110</v>
      </c>
      <c r="G1353" s="6" t="s">
        <v>80</v>
      </c>
      <c r="H1353" s="6" t="s">
        <v>81</v>
      </c>
      <c r="I1353" s="6" t="s">
        <v>58</v>
      </c>
      <c r="J1353" s="6" t="s">
        <v>73</v>
      </c>
      <c r="K1353" s="6" t="s">
        <v>144</v>
      </c>
      <c r="L1353" s="6" t="s">
        <v>2669</v>
      </c>
      <c r="M1353" s="6" t="s">
        <v>43</v>
      </c>
      <c r="N1353" s="6" t="s">
        <v>44</v>
      </c>
      <c r="O1353" s="6">
        <v>6</v>
      </c>
      <c r="P1353" s="6">
        <v>124.05</v>
      </c>
      <c r="Q1353" s="6">
        <v>75.7</v>
      </c>
      <c r="R1353" s="6">
        <v>744.28</v>
      </c>
      <c r="S1353" s="6">
        <v>0.05</v>
      </c>
      <c r="T1353" s="6">
        <v>37.21</v>
      </c>
      <c r="U1353" s="6">
        <v>707.06</v>
      </c>
      <c r="V1353" s="6">
        <v>454.2</v>
      </c>
      <c r="W1353" s="6">
        <v>252.86</v>
      </c>
      <c r="X1353" s="6" t="s">
        <v>129</v>
      </c>
    </row>
    <row r="1354" spans="1:24" x14ac:dyDescent="0.25">
      <c r="A1354" s="5" t="s">
        <v>1026</v>
      </c>
      <c r="B1354" s="18">
        <v>45648</v>
      </c>
      <c r="C1354" s="7" t="s">
        <v>361</v>
      </c>
      <c r="D1354" s="7" t="s">
        <v>35</v>
      </c>
      <c r="E1354" s="7" t="s">
        <v>66</v>
      </c>
      <c r="F1354" s="7" t="s">
        <v>67</v>
      </c>
      <c r="G1354" s="7" t="s">
        <v>38</v>
      </c>
      <c r="H1354" s="7" t="s">
        <v>68</v>
      </c>
      <c r="I1354" s="7" t="s">
        <v>53</v>
      </c>
      <c r="J1354" s="7" t="s">
        <v>232</v>
      </c>
      <c r="K1354" s="7" t="s">
        <v>178</v>
      </c>
      <c r="L1354" s="7" t="s">
        <v>256</v>
      </c>
      <c r="M1354" s="7" t="s">
        <v>61</v>
      </c>
      <c r="N1354" s="7" t="s">
        <v>190</v>
      </c>
      <c r="O1354" s="7">
        <v>78</v>
      </c>
      <c r="P1354" s="7">
        <v>152.91999999999999</v>
      </c>
      <c r="Q1354" s="7">
        <v>111.71</v>
      </c>
      <c r="R1354" s="7">
        <v>11928.08</v>
      </c>
      <c r="S1354" s="7">
        <v>0.2</v>
      </c>
      <c r="T1354" s="7">
        <v>2385.62</v>
      </c>
      <c r="U1354" s="7">
        <v>9542.4599999999991</v>
      </c>
      <c r="V1354" s="7">
        <v>8713.23</v>
      </c>
      <c r="W1354" s="7">
        <v>829.24</v>
      </c>
      <c r="X1354" s="7" t="s">
        <v>45</v>
      </c>
    </row>
    <row r="1355" spans="1:24" x14ac:dyDescent="0.25">
      <c r="A1355" s="16" t="s">
        <v>1861</v>
      </c>
      <c r="B1355" s="17">
        <v>45642</v>
      </c>
      <c r="C1355" s="6" t="s">
        <v>674</v>
      </c>
      <c r="D1355" s="6" t="s">
        <v>264</v>
      </c>
      <c r="E1355" s="6" t="s">
        <v>109</v>
      </c>
      <c r="F1355" s="6" t="s">
        <v>110</v>
      </c>
      <c r="G1355" s="6" t="s">
        <v>80</v>
      </c>
      <c r="H1355" s="6" t="s">
        <v>81</v>
      </c>
      <c r="I1355" s="6" t="s">
        <v>58</v>
      </c>
      <c r="J1355" s="6" t="s">
        <v>59</v>
      </c>
      <c r="K1355" s="6" t="s">
        <v>248</v>
      </c>
      <c r="L1355" s="6" t="s">
        <v>2675</v>
      </c>
      <c r="M1355" s="6" t="s">
        <v>30</v>
      </c>
      <c r="N1355" s="6" t="s">
        <v>70</v>
      </c>
      <c r="O1355" s="6">
        <v>16</v>
      </c>
      <c r="P1355" s="6">
        <v>134.99</v>
      </c>
      <c r="Q1355" s="6">
        <v>68.650000000000006</v>
      </c>
      <c r="R1355" s="6">
        <v>2159.81</v>
      </c>
      <c r="S1355" s="6">
        <v>0.15</v>
      </c>
      <c r="T1355" s="6">
        <v>323.97000000000003</v>
      </c>
      <c r="U1355" s="6">
        <v>1835.84</v>
      </c>
      <c r="V1355" s="6">
        <v>1098.4100000000001</v>
      </c>
      <c r="W1355" s="6">
        <v>737.43</v>
      </c>
      <c r="X1355" s="6" t="s">
        <v>45</v>
      </c>
    </row>
    <row r="1356" spans="1:24" x14ac:dyDescent="0.25">
      <c r="A1356" s="5" t="s">
        <v>1458</v>
      </c>
      <c r="B1356" s="18">
        <v>45359</v>
      </c>
      <c r="C1356" s="7" t="s">
        <v>258</v>
      </c>
      <c r="D1356" s="7" t="s">
        <v>259</v>
      </c>
      <c r="E1356" s="7" t="s">
        <v>141</v>
      </c>
      <c r="F1356" s="7" t="s">
        <v>142</v>
      </c>
      <c r="G1356" s="7" t="s">
        <v>25</v>
      </c>
      <c r="H1356" s="7" t="s">
        <v>26</v>
      </c>
      <c r="I1356" s="7" t="s">
        <v>40</v>
      </c>
      <c r="J1356" s="7" t="s">
        <v>82</v>
      </c>
      <c r="K1356" s="7" t="s">
        <v>111</v>
      </c>
      <c r="L1356" s="7" t="s">
        <v>2667</v>
      </c>
      <c r="M1356" s="7" t="s">
        <v>153</v>
      </c>
      <c r="N1356" s="7" t="s">
        <v>31</v>
      </c>
      <c r="O1356" s="7">
        <v>38</v>
      </c>
      <c r="P1356" s="7">
        <v>96.69</v>
      </c>
      <c r="Q1356" s="7">
        <v>57.17</v>
      </c>
      <c r="R1356" s="7">
        <v>3674.1</v>
      </c>
      <c r="S1356" s="7">
        <v>0.2</v>
      </c>
      <c r="T1356" s="7">
        <v>734.82</v>
      </c>
      <c r="U1356" s="7">
        <v>2939.28</v>
      </c>
      <c r="V1356" s="7">
        <v>2172.63</v>
      </c>
      <c r="W1356" s="7">
        <v>766.66</v>
      </c>
      <c r="X1356" s="7" t="s">
        <v>45</v>
      </c>
    </row>
    <row r="1357" spans="1:24" x14ac:dyDescent="0.25">
      <c r="A1357" s="16" t="s">
        <v>1862</v>
      </c>
      <c r="B1357" s="17">
        <v>45630</v>
      </c>
      <c r="C1357" s="6" t="s">
        <v>399</v>
      </c>
      <c r="D1357" s="6" t="s">
        <v>48</v>
      </c>
      <c r="E1357" s="6" t="s">
        <v>132</v>
      </c>
      <c r="F1357" s="6" t="s">
        <v>133</v>
      </c>
      <c r="G1357" s="6" t="s">
        <v>51</v>
      </c>
      <c r="H1357" s="6" t="s">
        <v>134</v>
      </c>
      <c r="I1357" s="6" t="s">
        <v>27</v>
      </c>
      <c r="J1357" s="6" t="s">
        <v>189</v>
      </c>
      <c r="K1357" s="6" t="s">
        <v>29</v>
      </c>
      <c r="L1357" s="6" t="s">
        <v>2660</v>
      </c>
      <c r="M1357" s="6" t="s">
        <v>153</v>
      </c>
      <c r="N1357" s="6" t="s">
        <v>70</v>
      </c>
      <c r="O1357" s="6">
        <v>34</v>
      </c>
      <c r="P1357" s="6">
        <v>59.75</v>
      </c>
      <c r="Q1357" s="6">
        <v>35.18</v>
      </c>
      <c r="R1357" s="6">
        <v>2031.49</v>
      </c>
      <c r="S1357" s="6">
        <v>0.02</v>
      </c>
      <c r="T1357" s="6">
        <v>40.630000000000003</v>
      </c>
      <c r="U1357" s="6">
        <v>1990.86</v>
      </c>
      <c r="V1357" s="6">
        <v>1196.02</v>
      </c>
      <c r="W1357" s="6">
        <v>794.83</v>
      </c>
      <c r="X1357" s="6" t="s">
        <v>45</v>
      </c>
    </row>
    <row r="1358" spans="1:24" x14ac:dyDescent="0.25">
      <c r="A1358" s="5" t="s">
        <v>1863</v>
      </c>
      <c r="B1358" s="18">
        <v>45306</v>
      </c>
      <c r="C1358" s="7" t="s">
        <v>688</v>
      </c>
      <c r="D1358" s="7" t="s">
        <v>156</v>
      </c>
      <c r="E1358" s="7" t="s">
        <v>141</v>
      </c>
      <c r="F1358" s="7" t="s">
        <v>142</v>
      </c>
      <c r="G1358" s="7" t="s">
        <v>25</v>
      </c>
      <c r="H1358" s="7" t="s">
        <v>26</v>
      </c>
      <c r="I1358" s="7" t="s">
        <v>58</v>
      </c>
      <c r="J1358" s="7" t="s">
        <v>323</v>
      </c>
      <c r="K1358" s="7" t="s">
        <v>111</v>
      </c>
      <c r="L1358" s="7" t="s">
        <v>2667</v>
      </c>
      <c r="M1358" s="7" t="s">
        <v>30</v>
      </c>
      <c r="N1358" s="7"/>
      <c r="O1358" s="7">
        <v>44</v>
      </c>
      <c r="P1358" s="7">
        <v>94.9</v>
      </c>
      <c r="Q1358" s="7">
        <v>59.88</v>
      </c>
      <c r="R1358" s="7">
        <v>4175.68</v>
      </c>
      <c r="S1358" s="7">
        <v>0.2</v>
      </c>
      <c r="T1358" s="7">
        <v>835.14</v>
      </c>
      <c r="U1358" s="7">
        <v>3340.55</v>
      </c>
      <c r="V1358" s="7">
        <v>2634.59</v>
      </c>
      <c r="W1358" s="7">
        <v>705.96</v>
      </c>
      <c r="X1358" s="7" t="s">
        <v>45</v>
      </c>
    </row>
    <row r="1359" spans="1:24" x14ac:dyDescent="0.25">
      <c r="A1359" s="16" t="s">
        <v>1864</v>
      </c>
      <c r="B1359" s="17">
        <v>45559</v>
      </c>
      <c r="C1359" s="6" t="s">
        <v>721</v>
      </c>
      <c r="D1359" s="6" t="s">
        <v>359</v>
      </c>
      <c r="E1359" s="6" t="s">
        <v>78</v>
      </c>
      <c r="F1359" s="6" t="s">
        <v>79</v>
      </c>
      <c r="G1359" s="6" t="s">
        <v>80</v>
      </c>
      <c r="H1359" s="6" t="s">
        <v>81</v>
      </c>
      <c r="I1359" s="6" t="s">
        <v>40</v>
      </c>
      <c r="J1359" s="6" t="s">
        <v>82</v>
      </c>
      <c r="K1359" s="6" t="s">
        <v>29</v>
      </c>
      <c r="L1359" s="6" t="s">
        <v>2660</v>
      </c>
      <c r="M1359" s="6" t="s">
        <v>30</v>
      </c>
      <c r="N1359" s="6" t="s">
        <v>70</v>
      </c>
      <c r="O1359" s="6">
        <v>51</v>
      </c>
      <c r="P1359" s="6">
        <v>142.72</v>
      </c>
      <c r="Q1359" s="6">
        <v>79.819999999999993</v>
      </c>
      <c r="R1359" s="6">
        <v>7278.56</v>
      </c>
      <c r="S1359" s="6">
        <v>0.02</v>
      </c>
      <c r="T1359" s="6">
        <v>145.57</v>
      </c>
      <c r="U1359" s="6">
        <v>7132.99</v>
      </c>
      <c r="V1359" s="6">
        <v>4070.96</v>
      </c>
      <c r="W1359" s="6">
        <v>3062.03</v>
      </c>
      <c r="X1359" s="6" t="s">
        <v>45</v>
      </c>
    </row>
    <row r="1360" spans="1:24" x14ac:dyDescent="0.25">
      <c r="A1360" s="5" t="s">
        <v>1865</v>
      </c>
      <c r="B1360" s="18">
        <v>45299</v>
      </c>
      <c r="C1360" s="7" t="s">
        <v>537</v>
      </c>
      <c r="D1360" s="7" t="s">
        <v>359</v>
      </c>
      <c r="E1360" s="7" t="s">
        <v>93</v>
      </c>
      <c r="F1360" s="7" t="s">
        <v>94</v>
      </c>
      <c r="G1360" s="7" t="s">
        <v>95</v>
      </c>
      <c r="H1360" s="7" t="s">
        <v>96</v>
      </c>
      <c r="I1360" s="7" t="s">
        <v>53</v>
      </c>
      <c r="J1360" s="7" t="s">
        <v>54</v>
      </c>
      <c r="K1360" s="7" t="s">
        <v>60</v>
      </c>
      <c r="L1360" s="7" t="s">
        <v>2662</v>
      </c>
      <c r="M1360" s="7" t="s">
        <v>61</v>
      </c>
      <c r="N1360" s="7" t="s">
        <v>75</v>
      </c>
      <c r="O1360" s="7">
        <v>56</v>
      </c>
      <c r="P1360" s="7">
        <v>53.46</v>
      </c>
      <c r="Q1360" s="7">
        <v>33.090000000000003</v>
      </c>
      <c r="R1360" s="7">
        <v>2993.91</v>
      </c>
      <c r="S1360" s="7">
        <v>0.2</v>
      </c>
      <c r="T1360" s="7">
        <v>598.78</v>
      </c>
      <c r="U1360" s="7">
        <v>2395.12</v>
      </c>
      <c r="V1360" s="7">
        <v>1852.96</v>
      </c>
      <c r="W1360" s="7">
        <v>542.16</v>
      </c>
      <c r="X1360" s="7" t="s">
        <v>45</v>
      </c>
    </row>
    <row r="1361" spans="1:24" x14ac:dyDescent="0.25">
      <c r="A1361" s="16" t="s">
        <v>1866</v>
      </c>
      <c r="B1361" s="17">
        <v>45334</v>
      </c>
      <c r="C1361" s="6" t="s">
        <v>1706</v>
      </c>
      <c r="D1361" s="6" t="s">
        <v>65</v>
      </c>
      <c r="E1361" s="6" t="s">
        <v>209</v>
      </c>
      <c r="F1361" s="6" t="s">
        <v>210</v>
      </c>
      <c r="G1361" s="6" t="s">
        <v>51</v>
      </c>
      <c r="H1361" s="6" t="s">
        <v>116</v>
      </c>
      <c r="I1361" s="6" t="s">
        <v>27</v>
      </c>
      <c r="J1361" s="6" t="s">
        <v>189</v>
      </c>
      <c r="K1361" s="6" t="s">
        <v>42</v>
      </c>
      <c r="L1361" s="6" t="s">
        <v>2661</v>
      </c>
      <c r="M1361" s="6" t="s">
        <v>43</v>
      </c>
      <c r="N1361" s="6" t="s">
        <v>70</v>
      </c>
      <c r="O1361" s="6">
        <v>42</v>
      </c>
      <c r="P1361" s="6">
        <v>19.12</v>
      </c>
      <c r="Q1361" s="6">
        <v>10.4</v>
      </c>
      <c r="R1361" s="6">
        <v>803.22</v>
      </c>
      <c r="S1361" s="6">
        <v>0.02</v>
      </c>
      <c r="T1361" s="6">
        <v>16.059999999999999</v>
      </c>
      <c r="U1361" s="6">
        <v>787.16</v>
      </c>
      <c r="V1361" s="6">
        <v>436.8</v>
      </c>
      <c r="W1361" s="6">
        <v>350.36</v>
      </c>
      <c r="X1361" s="6" t="s">
        <v>129</v>
      </c>
    </row>
    <row r="1362" spans="1:24" x14ac:dyDescent="0.25">
      <c r="A1362" s="5" t="s">
        <v>1680</v>
      </c>
      <c r="B1362" s="18">
        <v>45492</v>
      </c>
      <c r="C1362" s="7" t="s">
        <v>1426</v>
      </c>
      <c r="D1362" s="7" t="s">
        <v>22</v>
      </c>
      <c r="E1362" s="7" t="s">
        <v>176</v>
      </c>
      <c r="F1362" s="7" t="s">
        <v>177</v>
      </c>
      <c r="G1362" s="7" t="s">
        <v>101</v>
      </c>
      <c r="H1362" s="7" t="s">
        <v>39</v>
      </c>
      <c r="I1362" s="7" t="s">
        <v>58</v>
      </c>
      <c r="J1362" s="7" t="s">
        <v>73</v>
      </c>
      <c r="K1362" s="7" t="s">
        <v>218</v>
      </c>
      <c r="L1362" s="7" t="s">
        <v>2674</v>
      </c>
      <c r="M1362" s="7" t="s">
        <v>61</v>
      </c>
      <c r="N1362" s="7" t="s">
        <v>44</v>
      </c>
      <c r="O1362" s="7">
        <v>10</v>
      </c>
      <c r="P1362" s="7">
        <v>98.81</v>
      </c>
      <c r="Q1362" s="7">
        <v>65.28</v>
      </c>
      <c r="R1362" s="7">
        <v>988.13</v>
      </c>
      <c r="S1362" s="7">
        <v>0.15</v>
      </c>
      <c r="T1362" s="7">
        <v>148.22</v>
      </c>
      <c r="U1362" s="7">
        <v>839.91</v>
      </c>
      <c r="V1362" s="7">
        <v>652.78</v>
      </c>
      <c r="W1362" s="7">
        <v>187.13</v>
      </c>
      <c r="X1362" s="7" t="s">
        <v>45</v>
      </c>
    </row>
    <row r="1363" spans="1:24" x14ac:dyDescent="0.25">
      <c r="A1363" s="16" t="s">
        <v>1867</v>
      </c>
      <c r="B1363" s="17">
        <v>45580</v>
      </c>
      <c r="C1363" s="6" t="s">
        <v>1362</v>
      </c>
      <c r="D1363" s="6" t="s">
        <v>57</v>
      </c>
      <c r="E1363" s="6" t="s">
        <v>126</v>
      </c>
      <c r="F1363" s="6" t="s">
        <v>127</v>
      </c>
      <c r="G1363" s="6" t="s">
        <v>95</v>
      </c>
      <c r="H1363" s="6" t="s">
        <v>128</v>
      </c>
      <c r="I1363" s="6" t="s">
        <v>58</v>
      </c>
      <c r="J1363" s="6" t="s">
        <v>73</v>
      </c>
      <c r="K1363" s="6" t="s">
        <v>83</v>
      </c>
      <c r="L1363" s="6" t="s">
        <v>2665</v>
      </c>
      <c r="M1363" s="6" t="s">
        <v>61</v>
      </c>
      <c r="N1363" s="6" t="s">
        <v>70</v>
      </c>
      <c r="O1363" s="6">
        <v>14</v>
      </c>
      <c r="P1363" s="6">
        <v>83.25</v>
      </c>
      <c r="Q1363" s="6">
        <v>52.05</v>
      </c>
      <c r="R1363" s="6">
        <v>1165.44</v>
      </c>
      <c r="S1363" s="6">
        <v>0.2</v>
      </c>
      <c r="T1363" s="6">
        <v>233.09</v>
      </c>
      <c r="U1363" s="6">
        <v>932.35</v>
      </c>
      <c r="V1363" s="6">
        <v>728.7</v>
      </c>
      <c r="W1363" s="6">
        <v>203.65</v>
      </c>
      <c r="X1363" s="6" t="s">
        <v>45</v>
      </c>
    </row>
    <row r="1364" spans="1:24" x14ac:dyDescent="0.25">
      <c r="A1364" s="5" t="s">
        <v>1868</v>
      </c>
      <c r="B1364" s="18">
        <v>45402</v>
      </c>
      <c r="C1364" s="7" t="s">
        <v>375</v>
      </c>
      <c r="D1364" s="7" t="s">
        <v>221</v>
      </c>
      <c r="E1364" s="7" t="s">
        <v>165</v>
      </c>
      <c r="F1364" s="7" t="s">
        <v>166</v>
      </c>
      <c r="G1364" s="7" t="s">
        <v>95</v>
      </c>
      <c r="H1364" s="7" t="s">
        <v>167</v>
      </c>
      <c r="I1364" s="7" t="s">
        <v>27</v>
      </c>
      <c r="J1364" s="7" t="s">
        <v>28</v>
      </c>
      <c r="K1364" s="7" t="s">
        <v>170</v>
      </c>
      <c r="L1364" s="7" t="s">
        <v>2671</v>
      </c>
      <c r="M1364" s="7" t="s">
        <v>153</v>
      </c>
      <c r="N1364" s="7" t="s">
        <v>75</v>
      </c>
      <c r="O1364" s="7">
        <v>47</v>
      </c>
      <c r="P1364" s="7">
        <v>39.729999999999997</v>
      </c>
      <c r="Q1364" s="7">
        <v>23.05</v>
      </c>
      <c r="R1364" s="7">
        <v>1867.32</v>
      </c>
      <c r="S1364" s="7">
        <v>0</v>
      </c>
      <c r="T1364" s="7">
        <v>0</v>
      </c>
      <c r="U1364" s="7">
        <v>1867.32</v>
      </c>
      <c r="V1364" s="7">
        <v>1083.3699999999999</v>
      </c>
      <c r="W1364" s="7">
        <v>783.95</v>
      </c>
      <c r="X1364" s="7" t="s">
        <v>45</v>
      </c>
    </row>
    <row r="1365" spans="1:24" x14ac:dyDescent="0.25">
      <c r="A1365" s="16" t="s">
        <v>1869</v>
      </c>
      <c r="B1365" s="17">
        <v>45427</v>
      </c>
      <c r="C1365" s="6" t="s">
        <v>337</v>
      </c>
      <c r="D1365" s="6" t="s">
        <v>87</v>
      </c>
      <c r="E1365" s="6" t="s">
        <v>222</v>
      </c>
      <c r="F1365" s="6" t="s">
        <v>223</v>
      </c>
      <c r="G1365" s="6" t="s">
        <v>101</v>
      </c>
      <c r="H1365" s="6" t="s">
        <v>68</v>
      </c>
      <c r="I1365" s="6" t="s">
        <v>53</v>
      </c>
      <c r="J1365" s="6" t="s">
        <v>143</v>
      </c>
      <c r="K1365" s="6" t="s">
        <v>29</v>
      </c>
      <c r="L1365" s="6" t="s">
        <v>2660</v>
      </c>
      <c r="M1365" s="6" t="s">
        <v>153</v>
      </c>
      <c r="N1365" s="6" t="s">
        <v>44</v>
      </c>
      <c r="O1365" s="6">
        <v>69</v>
      </c>
      <c r="P1365" s="6">
        <v>116.65</v>
      </c>
      <c r="Q1365" s="6">
        <v>-10</v>
      </c>
      <c r="R1365" s="6">
        <v>8048.69</v>
      </c>
      <c r="S1365" s="6">
        <v>0</v>
      </c>
      <c r="T1365" s="6">
        <v>0</v>
      </c>
      <c r="U1365" s="6">
        <v>8048.69</v>
      </c>
      <c r="V1365" s="6">
        <v>5594.26</v>
      </c>
      <c r="W1365" s="6">
        <v>2454.4299999999998</v>
      </c>
      <c r="X1365" s="6" t="s">
        <v>45</v>
      </c>
    </row>
    <row r="1366" spans="1:24" x14ac:dyDescent="0.25">
      <c r="A1366" s="5" t="s">
        <v>1870</v>
      </c>
      <c r="B1366" s="18">
        <v>45407</v>
      </c>
      <c r="C1366" s="7" t="s">
        <v>278</v>
      </c>
      <c r="D1366" s="7" t="s">
        <v>48</v>
      </c>
      <c r="E1366" s="7" t="s">
        <v>187</v>
      </c>
      <c r="F1366" s="7" t="s">
        <v>188</v>
      </c>
      <c r="G1366" s="7" t="s">
        <v>25</v>
      </c>
      <c r="H1366" s="7" t="s">
        <v>26</v>
      </c>
      <c r="I1366" s="7" t="s">
        <v>40</v>
      </c>
      <c r="J1366" s="7" t="s">
        <v>41</v>
      </c>
      <c r="K1366" s="7" t="s">
        <v>261</v>
      </c>
      <c r="L1366" s="7" t="s">
        <v>2677</v>
      </c>
      <c r="M1366" s="7" t="s">
        <v>153</v>
      </c>
      <c r="N1366" s="7" t="s">
        <v>44</v>
      </c>
      <c r="O1366" s="7">
        <v>3</v>
      </c>
      <c r="P1366" s="7">
        <v>46.47</v>
      </c>
      <c r="Q1366" s="7">
        <v>29.01</v>
      </c>
      <c r="R1366" s="7">
        <v>139.41999999999999</v>
      </c>
      <c r="S1366" s="7">
        <v>0.1</v>
      </c>
      <c r="T1366" s="7">
        <v>13.94</v>
      </c>
      <c r="U1366" s="7">
        <v>125.47</v>
      </c>
      <c r="V1366" s="7">
        <v>87.04</v>
      </c>
      <c r="W1366" s="7">
        <v>38.44</v>
      </c>
      <c r="X1366" s="7" t="s">
        <v>45</v>
      </c>
    </row>
    <row r="1367" spans="1:24" x14ac:dyDescent="0.25">
      <c r="A1367" s="16" t="s">
        <v>1871</v>
      </c>
      <c r="B1367" s="17">
        <v>45544</v>
      </c>
      <c r="C1367" s="6" t="s">
        <v>1142</v>
      </c>
      <c r="D1367" s="6" t="s">
        <v>149</v>
      </c>
      <c r="E1367" s="6" t="s">
        <v>99</v>
      </c>
      <c r="F1367" s="6" t="s">
        <v>100</v>
      </c>
      <c r="G1367" s="6" t="s">
        <v>101</v>
      </c>
      <c r="H1367" s="6" t="s">
        <v>102</v>
      </c>
      <c r="I1367" s="6" t="s">
        <v>53</v>
      </c>
      <c r="J1367" s="6" t="s">
        <v>122</v>
      </c>
      <c r="K1367" s="6" t="s">
        <v>218</v>
      </c>
      <c r="L1367" s="6" t="s">
        <v>2674</v>
      </c>
      <c r="M1367" s="6" t="s">
        <v>61</v>
      </c>
      <c r="N1367" s="6" t="s">
        <v>70</v>
      </c>
      <c r="O1367" s="6">
        <v>24</v>
      </c>
      <c r="P1367" s="6">
        <v>73.930000000000007</v>
      </c>
      <c r="Q1367" s="6">
        <v>40.97</v>
      </c>
      <c r="R1367" s="6">
        <v>1774.4</v>
      </c>
      <c r="S1367" s="6">
        <v>0.15</v>
      </c>
      <c r="T1367" s="6">
        <v>266.16000000000003</v>
      </c>
      <c r="U1367" s="6">
        <v>1508.24</v>
      </c>
      <c r="V1367" s="6">
        <v>983.24</v>
      </c>
      <c r="W1367" s="6">
        <v>525.01</v>
      </c>
      <c r="X1367" s="6" t="s">
        <v>45</v>
      </c>
    </row>
    <row r="1368" spans="1:24" x14ac:dyDescent="0.25">
      <c r="A1368" s="5" t="s">
        <v>1872</v>
      </c>
      <c r="B1368" s="18">
        <v>45532</v>
      </c>
      <c r="C1368" s="7" t="s">
        <v>436</v>
      </c>
      <c r="D1368" s="7" t="s">
        <v>57</v>
      </c>
      <c r="E1368" s="7" t="s">
        <v>141</v>
      </c>
      <c r="F1368" s="7" t="s">
        <v>142</v>
      </c>
      <c r="G1368" s="7" t="s">
        <v>25</v>
      </c>
      <c r="H1368" s="7" t="s">
        <v>26</v>
      </c>
      <c r="I1368" s="7" t="s">
        <v>53</v>
      </c>
      <c r="J1368" s="7" t="s">
        <v>54</v>
      </c>
      <c r="K1368" s="7" t="s">
        <v>144</v>
      </c>
      <c r="L1368" s="7" t="s">
        <v>2669</v>
      </c>
      <c r="M1368" s="7" t="s">
        <v>153</v>
      </c>
      <c r="N1368" s="7" t="s">
        <v>70</v>
      </c>
      <c r="O1368" s="7"/>
      <c r="P1368" s="7">
        <v>89.14</v>
      </c>
      <c r="Q1368" s="7">
        <v>56.92</v>
      </c>
      <c r="R1368" s="7">
        <v>3387.33</v>
      </c>
      <c r="S1368" s="7">
        <v>0.15</v>
      </c>
      <c r="T1368" s="7">
        <v>508.1</v>
      </c>
      <c r="U1368" s="7">
        <v>2879.23</v>
      </c>
      <c r="V1368" s="7">
        <v>2163.04</v>
      </c>
      <c r="W1368" s="7">
        <v>716.19</v>
      </c>
      <c r="X1368" s="7" t="s">
        <v>45</v>
      </c>
    </row>
    <row r="1369" spans="1:24" x14ac:dyDescent="0.25">
      <c r="A1369" s="16" t="s">
        <v>1873</v>
      </c>
      <c r="B1369" s="17">
        <v>45438</v>
      </c>
      <c r="C1369" s="6" t="s">
        <v>384</v>
      </c>
      <c r="D1369" s="6" t="s">
        <v>57</v>
      </c>
      <c r="E1369" s="6" t="s">
        <v>99</v>
      </c>
      <c r="F1369" s="6" t="s">
        <v>100</v>
      </c>
      <c r="G1369" s="6" t="s">
        <v>101</v>
      </c>
      <c r="H1369" s="6" t="s">
        <v>102</v>
      </c>
      <c r="I1369" s="6" t="s">
        <v>88</v>
      </c>
      <c r="J1369" s="6" t="s">
        <v>183</v>
      </c>
      <c r="K1369" s="6" t="s">
        <v>265</v>
      </c>
      <c r="L1369" s="6" t="s">
        <v>2678</v>
      </c>
      <c r="M1369" s="6" t="s">
        <v>30</v>
      </c>
      <c r="N1369" s="6" t="s">
        <v>31</v>
      </c>
      <c r="O1369" s="6">
        <v>44</v>
      </c>
      <c r="P1369" s="6">
        <v>71.05</v>
      </c>
      <c r="Q1369" s="6">
        <v>37.79</v>
      </c>
      <c r="R1369" s="6">
        <v>3126.16</v>
      </c>
      <c r="S1369" s="6">
        <v>0.05</v>
      </c>
      <c r="T1369" s="6">
        <v>156.31</v>
      </c>
      <c r="U1369" s="6">
        <v>2969.85</v>
      </c>
      <c r="V1369" s="6">
        <v>1662.6</v>
      </c>
      <c r="W1369" s="6">
        <v>1307.24</v>
      </c>
      <c r="X1369" s="6" t="s">
        <v>32</v>
      </c>
    </row>
    <row r="1370" spans="1:24" x14ac:dyDescent="0.25">
      <c r="A1370" s="5" t="s">
        <v>1874</v>
      </c>
      <c r="B1370" s="18">
        <v>45380</v>
      </c>
      <c r="C1370" s="7" t="s">
        <v>915</v>
      </c>
      <c r="D1370" s="7" t="s">
        <v>105</v>
      </c>
      <c r="E1370" s="7" t="s">
        <v>66</v>
      </c>
      <c r="F1370" s="7" t="s">
        <v>67</v>
      </c>
      <c r="G1370" s="7" t="s">
        <v>38</v>
      </c>
      <c r="H1370" s="7" t="s">
        <v>68</v>
      </c>
      <c r="I1370" s="7" t="s">
        <v>58</v>
      </c>
      <c r="J1370" s="7" t="s">
        <v>59</v>
      </c>
      <c r="K1370" s="7" t="s">
        <v>83</v>
      </c>
      <c r="L1370" s="7" t="s">
        <v>2665</v>
      </c>
      <c r="M1370" s="7" t="s">
        <v>43</v>
      </c>
      <c r="N1370" s="7" t="s">
        <v>31</v>
      </c>
      <c r="O1370" s="7">
        <v>2</v>
      </c>
      <c r="P1370" s="7">
        <v>148.18</v>
      </c>
      <c r="Q1370" s="7">
        <v>110.69</v>
      </c>
      <c r="R1370" s="7">
        <v>296.37</v>
      </c>
      <c r="S1370" s="7">
        <v>0.1</v>
      </c>
      <c r="T1370" s="7">
        <v>29.64</v>
      </c>
      <c r="U1370" s="7">
        <v>266.73</v>
      </c>
      <c r="V1370" s="7">
        <v>221.37</v>
      </c>
      <c r="W1370" s="7">
        <v>45.36</v>
      </c>
      <c r="X1370" s="7" t="s">
        <v>45</v>
      </c>
    </row>
    <row r="1371" spans="1:24" x14ac:dyDescent="0.25">
      <c r="A1371" s="16" t="s">
        <v>1875</v>
      </c>
      <c r="B1371" s="17">
        <v>45602</v>
      </c>
      <c r="C1371" s="6" t="s">
        <v>1122</v>
      </c>
      <c r="D1371" s="6" t="s">
        <v>159</v>
      </c>
      <c r="E1371" s="6" t="s">
        <v>176</v>
      </c>
      <c r="F1371" s="6" t="s">
        <v>177</v>
      </c>
      <c r="G1371" s="6" t="s">
        <v>101</v>
      </c>
      <c r="H1371" s="6" t="s">
        <v>39</v>
      </c>
      <c r="I1371" s="6" t="s">
        <v>58</v>
      </c>
      <c r="J1371" s="6" t="s">
        <v>59</v>
      </c>
      <c r="K1371" s="6" t="s">
        <v>90</v>
      </c>
      <c r="L1371" s="6" t="s">
        <v>2666</v>
      </c>
      <c r="M1371" s="6" t="s">
        <v>43</v>
      </c>
      <c r="N1371" s="6" t="s">
        <v>75</v>
      </c>
      <c r="O1371" s="6">
        <v>69</v>
      </c>
      <c r="P1371" s="6">
        <v>105.93</v>
      </c>
      <c r="Q1371" s="6">
        <v>65.349999999999994</v>
      </c>
      <c r="R1371" s="6">
        <v>7308.85</v>
      </c>
      <c r="S1371" s="6">
        <v>0.15</v>
      </c>
      <c r="T1371" s="6">
        <v>1096.33</v>
      </c>
      <c r="U1371" s="6">
        <v>6212.53</v>
      </c>
      <c r="V1371" s="6">
        <v>4509.1099999999997</v>
      </c>
      <c r="W1371" s="6">
        <v>1703.42</v>
      </c>
      <c r="X1371" s="6" t="s">
        <v>45</v>
      </c>
    </row>
    <row r="1372" spans="1:24" x14ac:dyDescent="0.25">
      <c r="A1372" s="5" t="s">
        <v>1876</v>
      </c>
      <c r="B1372" s="18">
        <v>45382</v>
      </c>
      <c r="C1372" s="7" t="s">
        <v>293</v>
      </c>
      <c r="D1372" s="7" t="s">
        <v>65</v>
      </c>
      <c r="E1372" s="7" t="s">
        <v>36</v>
      </c>
      <c r="F1372" s="7" t="s">
        <v>37</v>
      </c>
      <c r="G1372" s="7" t="s">
        <v>38</v>
      </c>
      <c r="H1372" s="7" t="s">
        <v>39</v>
      </c>
      <c r="I1372" s="7" t="s">
        <v>58</v>
      </c>
      <c r="J1372" s="7" t="s">
        <v>345</v>
      </c>
      <c r="K1372" s="7" t="s">
        <v>144</v>
      </c>
      <c r="L1372" s="7" t="s">
        <v>2669</v>
      </c>
      <c r="M1372" s="7" t="s">
        <v>61</v>
      </c>
      <c r="N1372" s="7" t="s">
        <v>44</v>
      </c>
      <c r="O1372" s="7">
        <v>59</v>
      </c>
      <c r="P1372" s="7">
        <v>167.05</v>
      </c>
      <c r="Q1372" s="7">
        <v>101.13</v>
      </c>
      <c r="R1372" s="7">
        <v>9855.86</v>
      </c>
      <c r="S1372" s="7">
        <v>0.1</v>
      </c>
      <c r="T1372" s="7">
        <v>985.59</v>
      </c>
      <c r="U1372" s="7">
        <v>8870.27</v>
      </c>
      <c r="V1372" s="7">
        <v>5966.78</v>
      </c>
      <c r="W1372" s="7">
        <v>2903.5</v>
      </c>
      <c r="X1372" s="7" t="s">
        <v>45</v>
      </c>
    </row>
    <row r="1373" spans="1:24" x14ac:dyDescent="0.25">
      <c r="A1373" s="16" t="s">
        <v>1877</v>
      </c>
      <c r="B1373" s="17">
        <v>45567</v>
      </c>
      <c r="C1373" s="6" t="s">
        <v>715</v>
      </c>
      <c r="D1373" s="6" t="s">
        <v>264</v>
      </c>
      <c r="E1373" s="6" t="s">
        <v>93</v>
      </c>
      <c r="F1373" s="6" t="s">
        <v>94</v>
      </c>
      <c r="G1373" s="6" t="s">
        <v>95</v>
      </c>
      <c r="H1373" s="6" t="s">
        <v>96</v>
      </c>
      <c r="I1373" s="6" t="s">
        <v>58</v>
      </c>
      <c r="J1373" s="6" t="s">
        <v>323</v>
      </c>
      <c r="K1373" s="6" t="s">
        <v>74</v>
      </c>
      <c r="L1373" s="6" t="s">
        <v>2664</v>
      </c>
      <c r="M1373" s="6" t="s">
        <v>30</v>
      </c>
      <c r="N1373" s="6" t="s">
        <v>44</v>
      </c>
      <c r="O1373" s="6">
        <v>75</v>
      </c>
      <c r="P1373" s="6">
        <v>55.01</v>
      </c>
      <c r="Q1373" s="6">
        <v>32.92</v>
      </c>
      <c r="R1373" s="6">
        <v>4125.3999999999996</v>
      </c>
      <c r="S1373" s="6">
        <v>0.02</v>
      </c>
      <c r="T1373" s="6">
        <v>82.51</v>
      </c>
      <c r="U1373" s="6">
        <v>4042.89</v>
      </c>
      <c r="V1373" s="6">
        <v>2468.9699999999998</v>
      </c>
      <c r="W1373" s="6">
        <v>1573.92</v>
      </c>
      <c r="X1373" s="6" t="s">
        <v>45</v>
      </c>
    </row>
    <row r="1374" spans="1:24" x14ac:dyDescent="0.25">
      <c r="A1374" s="5" t="s">
        <v>1878</v>
      </c>
      <c r="B1374" s="18">
        <v>45620</v>
      </c>
      <c r="C1374" s="7" t="s">
        <v>1879</v>
      </c>
      <c r="D1374" s="7" t="s">
        <v>57</v>
      </c>
      <c r="E1374" s="7" t="s">
        <v>23</v>
      </c>
      <c r="F1374" s="7" t="s">
        <v>24</v>
      </c>
      <c r="G1374" s="7" t="s">
        <v>25</v>
      </c>
      <c r="H1374" s="7" t="s">
        <v>26</v>
      </c>
      <c r="I1374" s="7" t="s">
        <v>40</v>
      </c>
      <c r="J1374" s="7" t="s">
        <v>41</v>
      </c>
      <c r="K1374" s="7" t="s">
        <v>253</v>
      </c>
      <c r="L1374" s="7" t="s">
        <v>2676</v>
      </c>
      <c r="M1374" s="7" t="s">
        <v>43</v>
      </c>
      <c r="N1374" s="7" t="s">
        <v>70</v>
      </c>
      <c r="O1374" s="7">
        <v>41</v>
      </c>
      <c r="P1374" s="7">
        <v>71.97</v>
      </c>
      <c r="Q1374" s="7">
        <v>44.99</v>
      </c>
      <c r="R1374" s="7">
        <v>2950.69</v>
      </c>
      <c r="S1374" s="7">
        <v>0.2</v>
      </c>
      <c r="T1374" s="7">
        <v>590.14</v>
      </c>
      <c r="U1374" s="7">
        <v>2360.5500000000002</v>
      </c>
      <c r="V1374" s="7">
        <v>1844.59</v>
      </c>
      <c r="W1374" s="7">
        <v>515.97</v>
      </c>
      <c r="X1374" s="7" t="s">
        <v>45</v>
      </c>
    </row>
    <row r="1375" spans="1:24" x14ac:dyDescent="0.25">
      <c r="A1375" s="16" t="s">
        <v>1880</v>
      </c>
      <c r="B1375" s="17">
        <v>45518</v>
      </c>
      <c r="C1375" s="6" t="s">
        <v>1881</v>
      </c>
      <c r="D1375" s="6" t="s">
        <v>87</v>
      </c>
      <c r="E1375" s="6" t="s">
        <v>126</v>
      </c>
      <c r="F1375" s="6" t="s">
        <v>127</v>
      </c>
      <c r="G1375" s="6" t="s">
        <v>95</v>
      </c>
      <c r="H1375" s="6" t="s">
        <v>128</v>
      </c>
      <c r="I1375" s="6" t="s">
        <v>88</v>
      </c>
      <c r="J1375" s="6" t="s">
        <v>173</v>
      </c>
      <c r="K1375" s="6" t="s">
        <v>253</v>
      </c>
      <c r="L1375" s="6" t="s">
        <v>2676</v>
      </c>
      <c r="M1375" s="6" t="s">
        <v>43</v>
      </c>
      <c r="N1375" s="6" t="s">
        <v>70</v>
      </c>
      <c r="O1375" s="6">
        <v>71</v>
      </c>
      <c r="P1375" s="6">
        <v>86.53</v>
      </c>
      <c r="Q1375" s="6">
        <v>54.38</v>
      </c>
      <c r="R1375" s="6">
        <v>6143.38</v>
      </c>
      <c r="S1375" s="6">
        <v>0</v>
      </c>
      <c r="T1375" s="6">
        <v>0</v>
      </c>
      <c r="U1375" s="6">
        <v>6143.38</v>
      </c>
      <c r="V1375" s="6">
        <v>3860.85</v>
      </c>
      <c r="W1375" s="6">
        <v>2282.5300000000002</v>
      </c>
      <c r="X1375" s="6" t="s">
        <v>45</v>
      </c>
    </row>
    <row r="1376" spans="1:24" x14ac:dyDescent="0.25">
      <c r="A1376" s="5" t="s">
        <v>1882</v>
      </c>
      <c r="B1376" s="18">
        <v>45382</v>
      </c>
      <c r="C1376" s="7" t="s">
        <v>623</v>
      </c>
      <c r="D1376" s="7" t="s">
        <v>156</v>
      </c>
      <c r="E1376" s="7" t="s">
        <v>150</v>
      </c>
      <c r="F1376" s="7" t="s">
        <v>151</v>
      </c>
      <c r="G1376" s="7" t="s">
        <v>101</v>
      </c>
      <c r="H1376" s="7" t="s">
        <v>134</v>
      </c>
      <c r="I1376" s="7" t="s">
        <v>27</v>
      </c>
      <c r="J1376" s="7" t="s">
        <v>189</v>
      </c>
      <c r="K1376" s="7" t="s">
        <v>178</v>
      </c>
      <c r="L1376" s="7" t="s">
        <v>256</v>
      </c>
      <c r="M1376" s="7" t="s">
        <v>61</v>
      </c>
      <c r="N1376" s="7" t="s">
        <v>70</v>
      </c>
      <c r="O1376" s="7">
        <v>38</v>
      </c>
      <c r="P1376" s="7">
        <v>83.31</v>
      </c>
      <c r="Q1376" s="7">
        <v>50.14</v>
      </c>
      <c r="R1376" s="7">
        <v>3165.86</v>
      </c>
      <c r="S1376" s="7">
        <v>0</v>
      </c>
      <c r="T1376" s="7">
        <v>0</v>
      </c>
      <c r="U1376" s="7">
        <v>3165.86</v>
      </c>
      <c r="V1376" s="7">
        <v>1905.28</v>
      </c>
      <c r="W1376" s="7">
        <v>1260.58</v>
      </c>
      <c r="X1376" s="7" t="s">
        <v>129</v>
      </c>
    </row>
    <row r="1377" spans="1:24" x14ac:dyDescent="0.25">
      <c r="A1377" s="16" t="s">
        <v>1883</v>
      </c>
      <c r="B1377" s="17">
        <v>45339</v>
      </c>
      <c r="C1377" s="6" t="s">
        <v>267</v>
      </c>
      <c r="D1377" s="6" t="s">
        <v>65</v>
      </c>
      <c r="E1377" s="6" t="s">
        <v>216</v>
      </c>
      <c r="F1377" s="6" t="s">
        <v>217</v>
      </c>
      <c r="G1377" s="6" t="s">
        <v>38</v>
      </c>
      <c r="H1377" s="6" t="s">
        <v>134</v>
      </c>
      <c r="I1377" s="6" t="s">
        <v>40</v>
      </c>
      <c r="J1377" s="6" t="s">
        <v>82</v>
      </c>
      <c r="K1377" s="6" t="s">
        <v>178</v>
      </c>
      <c r="L1377" s="6" t="s">
        <v>256</v>
      </c>
      <c r="M1377" s="6" t="s">
        <v>43</v>
      </c>
      <c r="N1377" s="6" t="s">
        <v>75</v>
      </c>
      <c r="O1377" s="6">
        <v>78</v>
      </c>
      <c r="P1377" s="6">
        <v>103.42</v>
      </c>
      <c r="Q1377" s="6">
        <v>63.75</v>
      </c>
      <c r="R1377" s="6">
        <v>8066.58</v>
      </c>
      <c r="S1377" s="6">
        <v>0</v>
      </c>
      <c r="T1377" s="6">
        <v>0</v>
      </c>
      <c r="U1377" s="6">
        <v>8066.58</v>
      </c>
      <c r="V1377" s="6">
        <v>4972.16</v>
      </c>
      <c r="W1377" s="6">
        <v>3094.42</v>
      </c>
      <c r="X1377" s="6" t="s">
        <v>129</v>
      </c>
    </row>
    <row r="1378" spans="1:24" x14ac:dyDescent="0.25">
      <c r="A1378" s="5" t="s">
        <v>1884</v>
      </c>
      <c r="B1378" s="18">
        <v>45393</v>
      </c>
      <c r="C1378" s="7" t="s">
        <v>531</v>
      </c>
      <c r="D1378" s="7" t="s">
        <v>264</v>
      </c>
      <c r="E1378" s="7" t="s">
        <v>114</v>
      </c>
      <c r="F1378" s="7" t="s">
        <v>115</v>
      </c>
      <c r="G1378" s="7" t="s">
        <v>95</v>
      </c>
      <c r="H1378" s="7" t="s">
        <v>116</v>
      </c>
      <c r="I1378" s="7" t="s">
        <v>27</v>
      </c>
      <c r="J1378" s="7" t="s">
        <v>28</v>
      </c>
      <c r="K1378" s="7" t="s">
        <v>261</v>
      </c>
      <c r="L1378" s="7" t="s">
        <v>2677</v>
      </c>
      <c r="M1378" s="7" t="s">
        <v>61</v>
      </c>
      <c r="N1378" s="7" t="s">
        <v>84</v>
      </c>
      <c r="O1378" s="7">
        <v>37</v>
      </c>
      <c r="P1378" s="7">
        <v>37.61</v>
      </c>
      <c r="Q1378" s="7">
        <v>20.77</v>
      </c>
      <c r="R1378" s="7">
        <v>1391.52</v>
      </c>
      <c r="S1378" s="7">
        <v>0.02</v>
      </c>
      <c r="T1378" s="7">
        <v>27.83</v>
      </c>
      <c r="U1378" s="7">
        <v>1363.69</v>
      </c>
      <c r="V1378" s="7">
        <v>768.61</v>
      </c>
      <c r="W1378" s="7">
        <v>595.08000000000004</v>
      </c>
      <c r="X1378" s="7" t="s">
        <v>32</v>
      </c>
    </row>
    <row r="1379" spans="1:24" x14ac:dyDescent="0.25">
      <c r="A1379" s="16" t="s">
        <v>1885</v>
      </c>
      <c r="B1379" s="17">
        <v>45533</v>
      </c>
      <c r="C1379" s="6" t="s">
        <v>480</v>
      </c>
      <c r="D1379" s="6" t="s">
        <v>22</v>
      </c>
      <c r="E1379" s="6" t="s">
        <v>187</v>
      </c>
      <c r="F1379" s="6" t="s">
        <v>188</v>
      </c>
      <c r="G1379" s="6" t="s">
        <v>25</v>
      </c>
      <c r="H1379" s="6" t="s">
        <v>26</v>
      </c>
      <c r="I1379" s="6" t="s">
        <v>27</v>
      </c>
      <c r="J1379" s="6" t="s">
        <v>211</v>
      </c>
      <c r="K1379" s="6" t="s">
        <v>90</v>
      </c>
      <c r="L1379" s="6" t="s">
        <v>2666</v>
      </c>
      <c r="M1379" s="6" t="s">
        <v>61</v>
      </c>
      <c r="N1379" s="6" t="s">
        <v>84</v>
      </c>
      <c r="O1379" s="6">
        <v>53</v>
      </c>
      <c r="P1379" s="6">
        <v>50.85</v>
      </c>
      <c r="Q1379" s="6">
        <v>30.31</v>
      </c>
      <c r="R1379" s="6">
        <v>2694.91</v>
      </c>
      <c r="S1379" s="6">
        <v>0.05</v>
      </c>
      <c r="T1379" s="6">
        <v>134.75</v>
      </c>
      <c r="U1379" s="6">
        <v>2560.17</v>
      </c>
      <c r="V1379" s="6">
        <v>1606.44</v>
      </c>
      <c r="W1379" s="6">
        <v>953.72</v>
      </c>
      <c r="X1379" s="6" t="s">
        <v>32</v>
      </c>
    </row>
    <row r="1380" spans="1:24" x14ac:dyDescent="0.25">
      <c r="A1380" s="5" t="s">
        <v>1886</v>
      </c>
      <c r="B1380" s="18">
        <v>45439</v>
      </c>
      <c r="C1380" s="7" t="s">
        <v>1887</v>
      </c>
      <c r="D1380" s="7" t="s">
        <v>159</v>
      </c>
      <c r="E1380" s="7" t="s">
        <v>176</v>
      </c>
      <c r="F1380" s="7" t="s">
        <v>177</v>
      </c>
      <c r="G1380" s="7" t="s">
        <v>101</v>
      </c>
      <c r="H1380" s="7" t="s">
        <v>39</v>
      </c>
      <c r="I1380" s="7" t="s">
        <v>27</v>
      </c>
      <c r="J1380" s="7" t="s">
        <v>28</v>
      </c>
      <c r="K1380" s="7" t="s">
        <v>42</v>
      </c>
      <c r="L1380" s="7" t="s">
        <v>2661</v>
      </c>
      <c r="M1380" s="7" t="s">
        <v>30</v>
      </c>
      <c r="N1380" s="7" t="s">
        <v>75</v>
      </c>
      <c r="O1380" s="7">
        <v>34</v>
      </c>
      <c r="P1380" s="7">
        <v>98.95</v>
      </c>
      <c r="Q1380" s="7">
        <v>58.26</v>
      </c>
      <c r="R1380" s="7">
        <v>3364.17</v>
      </c>
      <c r="S1380" s="7">
        <v>0</v>
      </c>
      <c r="T1380" s="7">
        <v>0</v>
      </c>
      <c r="U1380" s="7">
        <v>3364.17</v>
      </c>
      <c r="V1380" s="7">
        <v>1980.91</v>
      </c>
      <c r="W1380" s="7">
        <v>1383.26</v>
      </c>
      <c r="X1380" s="7" t="s">
        <v>32</v>
      </c>
    </row>
    <row r="1381" spans="1:24" x14ac:dyDescent="0.25">
      <c r="A1381" s="16" t="s">
        <v>1888</v>
      </c>
      <c r="B1381" s="17">
        <v>45481</v>
      </c>
      <c r="C1381" s="6" t="s">
        <v>545</v>
      </c>
      <c r="D1381" s="6" t="s">
        <v>105</v>
      </c>
      <c r="E1381" s="6" t="s">
        <v>209</v>
      </c>
      <c r="F1381" s="6" t="s">
        <v>210</v>
      </c>
      <c r="G1381" s="6" t="s">
        <v>51</v>
      </c>
      <c r="H1381" s="6" t="s">
        <v>116</v>
      </c>
      <c r="I1381" s="6" t="s">
        <v>53</v>
      </c>
      <c r="J1381" s="6" t="s">
        <v>122</v>
      </c>
      <c r="K1381" s="6" t="s">
        <v>111</v>
      </c>
      <c r="L1381" s="6" t="s">
        <v>2667</v>
      </c>
      <c r="M1381" s="6" t="s">
        <v>61</v>
      </c>
      <c r="N1381" s="6" t="s">
        <v>31</v>
      </c>
      <c r="O1381" s="6">
        <v>6</v>
      </c>
      <c r="P1381" s="6">
        <v>17.309999999999999</v>
      </c>
      <c r="Q1381" s="6">
        <v>9.81</v>
      </c>
      <c r="R1381" s="6">
        <v>103.84</v>
      </c>
      <c r="S1381" s="6">
        <v>0.2</v>
      </c>
      <c r="T1381" s="6">
        <v>20.77</v>
      </c>
      <c r="U1381" s="6">
        <v>83.07</v>
      </c>
      <c r="V1381" s="6">
        <v>58.85</v>
      </c>
      <c r="W1381" s="6">
        <v>24.23</v>
      </c>
      <c r="X1381" s="6" t="s">
        <v>45</v>
      </c>
    </row>
    <row r="1382" spans="1:24" x14ac:dyDescent="0.25">
      <c r="A1382" s="5" t="s">
        <v>1889</v>
      </c>
      <c r="B1382" s="18">
        <v>45347</v>
      </c>
      <c r="C1382" s="7" t="s">
        <v>1858</v>
      </c>
      <c r="D1382" s="7" t="s">
        <v>87</v>
      </c>
      <c r="E1382" s="7" t="s">
        <v>165</v>
      </c>
      <c r="F1382" s="7" t="s">
        <v>166</v>
      </c>
      <c r="G1382" s="7" t="s">
        <v>95</v>
      </c>
      <c r="H1382" s="7" t="s">
        <v>167</v>
      </c>
      <c r="I1382" s="7" t="s">
        <v>40</v>
      </c>
      <c r="J1382" s="7" t="s">
        <v>117</v>
      </c>
      <c r="K1382" s="7" t="s">
        <v>29</v>
      </c>
      <c r="L1382" s="7" t="s">
        <v>2660</v>
      </c>
      <c r="M1382" s="7" t="s">
        <v>61</v>
      </c>
      <c r="N1382" s="7" t="s">
        <v>44</v>
      </c>
      <c r="O1382" s="7">
        <v>32</v>
      </c>
      <c r="P1382" s="7">
        <v>39.020000000000003</v>
      </c>
      <c r="Q1382" s="7">
        <v>26.46</v>
      </c>
      <c r="R1382" s="7">
        <v>1248.5999999999999</v>
      </c>
      <c r="S1382" s="7">
        <v>0.2</v>
      </c>
      <c r="T1382" s="7">
        <v>249.72</v>
      </c>
      <c r="U1382" s="7">
        <v>998.88</v>
      </c>
      <c r="V1382" s="7">
        <v>846.68</v>
      </c>
      <c r="W1382" s="7">
        <v>152.19999999999999</v>
      </c>
      <c r="X1382" s="7" t="s">
        <v>45</v>
      </c>
    </row>
    <row r="1383" spans="1:24" x14ac:dyDescent="0.25">
      <c r="A1383" s="16" t="s">
        <v>1890</v>
      </c>
      <c r="B1383" s="17">
        <v>45368</v>
      </c>
      <c r="C1383" s="6" t="s">
        <v>213</v>
      </c>
      <c r="D1383" s="6" t="s">
        <v>87</v>
      </c>
      <c r="E1383" s="6" t="s">
        <v>99</v>
      </c>
      <c r="F1383" s="6" t="s">
        <v>100</v>
      </c>
      <c r="G1383" s="6" t="s">
        <v>101</v>
      </c>
      <c r="H1383" s="6" t="s">
        <v>102</v>
      </c>
      <c r="I1383" s="6" t="s">
        <v>27</v>
      </c>
      <c r="J1383" s="6" t="s">
        <v>28</v>
      </c>
      <c r="K1383" s="6" t="s">
        <v>195</v>
      </c>
      <c r="L1383" s="6" t="s">
        <v>2673</v>
      </c>
      <c r="M1383" s="6" t="s">
        <v>43</v>
      </c>
      <c r="N1383" s="6" t="s">
        <v>44</v>
      </c>
      <c r="O1383" s="6">
        <v>73</v>
      </c>
      <c r="P1383" s="6">
        <v>74.569999999999993</v>
      </c>
      <c r="Q1383" s="6">
        <v>39.29</v>
      </c>
      <c r="R1383" s="6">
        <v>5443.8</v>
      </c>
      <c r="S1383" s="6">
        <v>0.05</v>
      </c>
      <c r="T1383" s="6">
        <v>272.19</v>
      </c>
      <c r="U1383" s="6">
        <v>5171.6099999999997</v>
      </c>
      <c r="V1383" s="6">
        <v>2868.28</v>
      </c>
      <c r="W1383" s="6">
        <v>2303.33</v>
      </c>
      <c r="X1383" s="6" t="s">
        <v>45</v>
      </c>
    </row>
    <row r="1384" spans="1:24" x14ac:dyDescent="0.25">
      <c r="A1384" s="5" t="s">
        <v>1891</v>
      </c>
      <c r="B1384" s="18">
        <v>45476</v>
      </c>
      <c r="C1384" s="7" t="s">
        <v>904</v>
      </c>
      <c r="D1384" s="7" t="s">
        <v>35</v>
      </c>
      <c r="E1384" s="7" t="s">
        <v>114</v>
      </c>
      <c r="F1384" s="7" t="s">
        <v>115</v>
      </c>
      <c r="G1384" s="7" t="s">
        <v>95</v>
      </c>
      <c r="H1384" s="7" t="s">
        <v>116</v>
      </c>
      <c r="I1384" s="7" t="s">
        <v>40</v>
      </c>
      <c r="J1384" s="7" t="s">
        <v>41</v>
      </c>
      <c r="K1384" s="7" t="s">
        <v>265</v>
      </c>
      <c r="L1384" s="7" t="s">
        <v>2678</v>
      </c>
      <c r="M1384" s="7" t="s">
        <v>43</v>
      </c>
      <c r="N1384" s="7" t="s">
        <v>31</v>
      </c>
      <c r="O1384" s="7">
        <v>50</v>
      </c>
      <c r="P1384" s="7">
        <v>33.590000000000003</v>
      </c>
      <c r="Q1384" s="7">
        <v>21.26</v>
      </c>
      <c r="R1384" s="7">
        <v>1679.72</v>
      </c>
      <c r="S1384" s="7">
        <v>0.1</v>
      </c>
      <c r="T1384" s="7">
        <v>167.97</v>
      </c>
      <c r="U1384" s="7">
        <v>1511.75</v>
      </c>
      <c r="V1384" s="7">
        <v>1062.8900000000001</v>
      </c>
      <c r="W1384" s="7">
        <v>448.86</v>
      </c>
      <c r="X1384" s="7" t="s">
        <v>45</v>
      </c>
    </row>
    <row r="1385" spans="1:24" x14ac:dyDescent="0.25">
      <c r="A1385" s="16" t="s">
        <v>1892</v>
      </c>
      <c r="B1385" s="17">
        <v>45626</v>
      </c>
      <c r="C1385" s="6"/>
      <c r="D1385" s="6"/>
      <c r="E1385" s="6" t="s">
        <v>99</v>
      </c>
      <c r="F1385" s="6" t="s">
        <v>100</v>
      </c>
      <c r="G1385" s="6" t="s">
        <v>101</v>
      </c>
      <c r="H1385" s="6" t="s">
        <v>102</v>
      </c>
      <c r="I1385" s="6" t="s">
        <v>88</v>
      </c>
      <c r="J1385" s="6" t="s">
        <v>135</v>
      </c>
      <c r="K1385" s="6"/>
      <c r="L1385" s="6"/>
      <c r="M1385" s="6" t="s">
        <v>153</v>
      </c>
      <c r="N1385" s="6" t="s">
        <v>31</v>
      </c>
      <c r="O1385" s="6">
        <v>49</v>
      </c>
      <c r="P1385" s="6">
        <v>65.510000000000005</v>
      </c>
      <c r="Q1385" s="6">
        <v>39.32</v>
      </c>
      <c r="R1385" s="6">
        <v>3210.17</v>
      </c>
      <c r="S1385" s="6">
        <v>0.05</v>
      </c>
      <c r="T1385" s="6">
        <v>160.51</v>
      </c>
      <c r="U1385" s="6">
        <v>3049.66</v>
      </c>
      <c r="V1385" s="6">
        <v>1926.45</v>
      </c>
      <c r="W1385" s="6">
        <v>1123.22</v>
      </c>
      <c r="X1385" s="6" t="s">
        <v>45</v>
      </c>
    </row>
    <row r="1386" spans="1:24" x14ac:dyDescent="0.25">
      <c r="A1386" s="5" t="s">
        <v>1893</v>
      </c>
      <c r="B1386" s="18">
        <v>45298</v>
      </c>
      <c r="C1386" s="7" t="s">
        <v>721</v>
      </c>
      <c r="D1386" s="7" t="s">
        <v>359</v>
      </c>
      <c r="E1386" s="7" t="s">
        <v>222</v>
      </c>
      <c r="F1386" s="7" t="s">
        <v>223</v>
      </c>
      <c r="G1386" s="7" t="s">
        <v>101</v>
      </c>
      <c r="H1386" s="7" t="s">
        <v>68</v>
      </c>
      <c r="I1386" s="7" t="s">
        <v>58</v>
      </c>
      <c r="J1386" s="7" t="s">
        <v>59</v>
      </c>
      <c r="K1386" s="7" t="s">
        <v>42</v>
      </c>
      <c r="L1386" s="7" t="s">
        <v>2661</v>
      </c>
      <c r="M1386" s="7" t="s">
        <v>61</v>
      </c>
      <c r="N1386" s="7" t="s">
        <v>84</v>
      </c>
      <c r="O1386" s="7">
        <v>68</v>
      </c>
      <c r="P1386" s="7">
        <v>113.34</v>
      </c>
      <c r="Q1386" s="7">
        <v>79.08</v>
      </c>
      <c r="R1386" s="7">
        <v>7707.42</v>
      </c>
      <c r="S1386" s="7">
        <v>0.2</v>
      </c>
      <c r="T1386" s="7">
        <v>1541.48</v>
      </c>
      <c r="U1386" s="7">
        <v>6165.93</v>
      </c>
      <c r="V1386" s="7">
        <v>5377.18</v>
      </c>
      <c r="W1386" s="7">
        <v>788.75</v>
      </c>
      <c r="X1386" s="7" t="s">
        <v>32</v>
      </c>
    </row>
    <row r="1387" spans="1:24" x14ac:dyDescent="0.25">
      <c r="A1387" s="16" t="s">
        <v>1894</v>
      </c>
      <c r="B1387" s="17">
        <v>45445</v>
      </c>
      <c r="C1387" s="6" t="s">
        <v>1706</v>
      </c>
      <c r="D1387" s="6" t="s">
        <v>65</v>
      </c>
      <c r="E1387" s="6" t="s">
        <v>78</v>
      </c>
      <c r="F1387" s="6" t="s">
        <v>79</v>
      </c>
      <c r="G1387" s="6" t="s">
        <v>80</v>
      </c>
      <c r="H1387" s="6" t="s">
        <v>81</v>
      </c>
      <c r="I1387" s="6" t="s">
        <v>27</v>
      </c>
      <c r="J1387" s="6" t="s">
        <v>106</v>
      </c>
      <c r="K1387" s="6" t="s">
        <v>144</v>
      </c>
      <c r="L1387" s="6" t="s">
        <v>2669</v>
      </c>
      <c r="M1387" s="6" t="s">
        <v>153</v>
      </c>
      <c r="N1387" s="6" t="s">
        <v>44</v>
      </c>
      <c r="O1387" s="6">
        <v>21</v>
      </c>
      <c r="P1387" s="6">
        <v>143.55000000000001</v>
      </c>
      <c r="Q1387" s="6">
        <v>77.58</v>
      </c>
      <c r="R1387" s="6">
        <v>3014.65</v>
      </c>
      <c r="S1387" s="6">
        <v>0.2</v>
      </c>
      <c r="T1387" s="6">
        <v>602.92999999999995</v>
      </c>
      <c r="U1387" s="6">
        <v>2411.7199999999998</v>
      </c>
      <c r="V1387" s="6">
        <v>1629.13</v>
      </c>
      <c r="W1387" s="6">
        <v>782.59</v>
      </c>
      <c r="X1387" s="6" t="s">
        <v>45</v>
      </c>
    </row>
    <row r="1388" spans="1:24" x14ac:dyDescent="0.25">
      <c r="A1388" s="5" t="s">
        <v>1895</v>
      </c>
      <c r="B1388" s="18">
        <v>45566</v>
      </c>
      <c r="C1388" s="7" t="s">
        <v>961</v>
      </c>
      <c r="D1388" s="7" t="s">
        <v>87</v>
      </c>
      <c r="E1388" s="7" t="s">
        <v>49</v>
      </c>
      <c r="F1388" s="7" t="s">
        <v>50</v>
      </c>
      <c r="G1388" s="7" t="s">
        <v>51</v>
      </c>
      <c r="H1388" s="7" t="s">
        <v>52</v>
      </c>
      <c r="I1388" s="7" t="s">
        <v>520</v>
      </c>
      <c r="J1388" s="7" t="s">
        <v>122</v>
      </c>
      <c r="K1388" s="7" t="s">
        <v>29</v>
      </c>
      <c r="L1388" s="7" t="s">
        <v>2660</v>
      </c>
      <c r="M1388" s="7" t="s">
        <v>30</v>
      </c>
      <c r="N1388" s="7" t="s">
        <v>70</v>
      </c>
      <c r="O1388" s="7">
        <v>21</v>
      </c>
      <c r="P1388" s="7">
        <v>25.15</v>
      </c>
      <c r="Q1388" s="7">
        <v>13</v>
      </c>
      <c r="R1388" s="7">
        <v>528.25</v>
      </c>
      <c r="S1388" s="7">
        <v>0.2</v>
      </c>
      <c r="T1388" s="7">
        <v>105.65</v>
      </c>
      <c r="U1388" s="7">
        <v>422.6</v>
      </c>
      <c r="V1388" s="7">
        <v>272.89999999999998</v>
      </c>
      <c r="W1388" s="7">
        <v>149.69999999999999</v>
      </c>
      <c r="X1388" s="7" t="s">
        <v>32</v>
      </c>
    </row>
    <row r="1389" spans="1:24" x14ac:dyDescent="0.25">
      <c r="A1389" s="16" t="s">
        <v>1896</v>
      </c>
      <c r="B1389" s="17">
        <v>45458</v>
      </c>
      <c r="C1389" s="6" t="s">
        <v>636</v>
      </c>
      <c r="D1389" s="6" t="s">
        <v>87</v>
      </c>
      <c r="E1389" s="6" t="s">
        <v>99</v>
      </c>
      <c r="F1389" s="6" t="s">
        <v>100</v>
      </c>
      <c r="G1389" s="6" t="s">
        <v>101</v>
      </c>
      <c r="H1389" s="6" t="s">
        <v>102</v>
      </c>
      <c r="I1389" s="6" t="s">
        <v>88</v>
      </c>
      <c r="J1389" s="6" t="s">
        <v>173</v>
      </c>
      <c r="K1389" s="6" t="s">
        <v>42</v>
      </c>
      <c r="L1389" s="6" t="s">
        <v>2661</v>
      </c>
      <c r="M1389" s="6" t="s">
        <v>61</v>
      </c>
      <c r="N1389" s="6" t="s">
        <v>31</v>
      </c>
      <c r="O1389" s="6">
        <v>24</v>
      </c>
      <c r="P1389" s="6">
        <v>67.83</v>
      </c>
      <c r="Q1389" s="6">
        <v>43.11</v>
      </c>
      <c r="R1389" s="6">
        <v>1627.98</v>
      </c>
      <c r="S1389" s="6">
        <v>0.02</v>
      </c>
      <c r="T1389" s="6">
        <v>32.56</v>
      </c>
      <c r="U1389" s="6">
        <v>1595.42</v>
      </c>
      <c r="V1389" s="6">
        <v>1034.76</v>
      </c>
      <c r="W1389" s="6">
        <v>560.66</v>
      </c>
      <c r="X1389" s="6" t="s">
        <v>45</v>
      </c>
    </row>
    <row r="1390" spans="1:24" x14ac:dyDescent="0.25">
      <c r="A1390" s="5" t="s">
        <v>1897</v>
      </c>
      <c r="B1390" s="18">
        <v>45373</v>
      </c>
      <c r="C1390" s="7" t="s">
        <v>428</v>
      </c>
      <c r="D1390" s="7" t="s">
        <v>57</v>
      </c>
      <c r="E1390" s="7" t="s">
        <v>66</v>
      </c>
      <c r="F1390" s="7" t="s">
        <v>67</v>
      </c>
      <c r="G1390" s="7" t="s">
        <v>38</v>
      </c>
      <c r="H1390" s="7" t="s">
        <v>68</v>
      </c>
      <c r="I1390" s="7" t="s">
        <v>40</v>
      </c>
      <c r="J1390" s="7" t="s">
        <v>82</v>
      </c>
      <c r="K1390" s="7" t="s">
        <v>184</v>
      </c>
      <c r="L1390" s="7" t="s">
        <v>2672</v>
      </c>
      <c r="M1390" s="7" t="s">
        <v>153</v>
      </c>
      <c r="N1390" s="7" t="s">
        <v>75</v>
      </c>
      <c r="O1390" s="7">
        <v>72</v>
      </c>
      <c r="P1390" s="7">
        <v>170.05</v>
      </c>
      <c r="Q1390" s="7">
        <v>102.66</v>
      </c>
      <c r="R1390" s="7">
        <v>12243.56</v>
      </c>
      <c r="S1390" s="7">
        <v>0.15</v>
      </c>
      <c r="T1390" s="7">
        <v>1836.53</v>
      </c>
      <c r="U1390" s="7">
        <v>10407.030000000001</v>
      </c>
      <c r="V1390" s="7">
        <v>7391.49</v>
      </c>
      <c r="W1390" s="7">
        <v>3015.54</v>
      </c>
      <c r="X1390" s="7" t="s">
        <v>45</v>
      </c>
    </row>
    <row r="1391" spans="1:24" x14ac:dyDescent="0.25">
      <c r="A1391" s="16" t="s">
        <v>1898</v>
      </c>
      <c r="B1391" s="17">
        <v>45514</v>
      </c>
      <c r="C1391" s="6" t="s">
        <v>282</v>
      </c>
      <c r="D1391" s="6" t="s">
        <v>125</v>
      </c>
      <c r="E1391" s="6" t="s">
        <v>209</v>
      </c>
      <c r="F1391" s="6" t="s">
        <v>210</v>
      </c>
      <c r="G1391" s="6" t="s">
        <v>51</v>
      </c>
      <c r="H1391" s="6" t="s">
        <v>116</v>
      </c>
      <c r="I1391" s="6" t="s">
        <v>88</v>
      </c>
      <c r="J1391" s="6" t="s">
        <v>183</v>
      </c>
      <c r="K1391" s="6" t="s">
        <v>248</v>
      </c>
      <c r="L1391" s="6" t="s">
        <v>2675</v>
      </c>
      <c r="M1391" s="6" t="s">
        <v>61</v>
      </c>
      <c r="N1391" s="6" t="s">
        <v>75</v>
      </c>
      <c r="O1391" s="6">
        <v>75</v>
      </c>
      <c r="P1391" s="6">
        <v>16.579999999999998</v>
      </c>
      <c r="Q1391" s="6">
        <v>9.89</v>
      </c>
      <c r="R1391" s="6">
        <v>1243.8</v>
      </c>
      <c r="S1391" s="6">
        <v>0.15</v>
      </c>
      <c r="T1391" s="6">
        <v>186.57</v>
      </c>
      <c r="U1391" s="6">
        <v>1057.23</v>
      </c>
      <c r="V1391" s="6">
        <v>742.03</v>
      </c>
      <c r="W1391" s="6">
        <v>315.2</v>
      </c>
      <c r="X1391" s="6" t="s">
        <v>45</v>
      </c>
    </row>
    <row r="1392" spans="1:24" x14ac:dyDescent="0.25">
      <c r="A1392" s="5" t="s">
        <v>1899</v>
      </c>
      <c r="B1392" s="18">
        <v>45395</v>
      </c>
      <c r="C1392" s="7" t="s">
        <v>1805</v>
      </c>
      <c r="D1392" s="7" t="s">
        <v>65</v>
      </c>
      <c r="E1392" s="7" t="s">
        <v>66</v>
      </c>
      <c r="F1392" s="7" t="s">
        <v>67</v>
      </c>
      <c r="G1392" s="7" t="s">
        <v>38</v>
      </c>
      <c r="H1392" s="7" t="s">
        <v>68</v>
      </c>
      <c r="I1392" s="7" t="s">
        <v>27</v>
      </c>
      <c r="J1392" s="7" t="s">
        <v>211</v>
      </c>
      <c r="K1392" s="7" t="s">
        <v>69</v>
      </c>
      <c r="L1392" s="7" t="s">
        <v>2663</v>
      </c>
      <c r="M1392" s="7" t="s">
        <v>61</v>
      </c>
      <c r="N1392" s="7" t="s">
        <v>44</v>
      </c>
      <c r="O1392" s="7">
        <v>12</v>
      </c>
      <c r="P1392" s="7">
        <v>158.16999999999999</v>
      </c>
      <c r="Q1392" s="7">
        <v>96.17</v>
      </c>
      <c r="R1392" s="7">
        <v>1898.1</v>
      </c>
      <c r="S1392" s="7">
        <v>0.15</v>
      </c>
      <c r="T1392" s="7">
        <v>284.70999999999998</v>
      </c>
      <c r="U1392" s="7">
        <v>1613.38</v>
      </c>
      <c r="V1392" s="7">
        <v>1153.98</v>
      </c>
      <c r="W1392" s="7">
        <v>459.4</v>
      </c>
      <c r="X1392" s="7" t="s">
        <v>45</v>
      </c>
    </row>
    <row r="1393" spans="1:24" x14ac:dyDescent="0.25">
      <c r="A1393" s="16" t="s">
        <v>1900</v>
      </c>
      <c r="B1393" s="17">
        <v>45392</v>
      </c>
      <c r="C1393" s="6" t="s">
        <v>485</v>
      </c>
      <c r="D1393" s="6" t="s">
        <v>22</v>
      </c>
      <c r="E1393" s="6" t="s">
        <v>23</v>
      </c>
      <c r="F1393" s="6" t="s">
        <v>24</v>
      </c>
      <c r="G1393" s="6" t="s">
        <v>25</v>
      </c>
      <c r="H1393" s="6" t="s">
        <v>26</v>
      </c>
      <c r="I1393" s="6" t="s">
        <v>53</v>
      </c>
      <c r="J1393" s="6" t="s">
        <v>122</v>
      </c>
      <c r="K1393" s="6" t="s">
        <v>218</v>
      </c>
      <c r="L1393" s="6" t="s">
        <v>2674</v>
      </c>
      <c r="M1393" s="6" t="s">
        <v>153</v>
      </c>
      <c r="N1393" s="6" t="s">
        <v>31</v>
      </c>
      <c r="O1393" s="6">
        <v>27</v>
      </c>
      <c r="P1393" s="6">
        <v>69.81</v>
      </c>
      <c r="Q1393" s="6">
        <v>44.58</v>
      </c>
      <c r="R1393" s="6">
        <v>1884.82</v>
      </c>
      <c r="S1393" s="6">
        <v>0.2</v>
      </c>
      <c r="T1393" s="6">
        <v>376.96</v>
      </c>
      <c r="U1393" s="6">
        <v>1507.86</v>
      </c>
      <c r="V1393" s="6">
        <v>1203.6199999999999</v>
      </c>
      <c r="W1393" s="6">
        <v>304.24</v>
      </c>
      <c r="X1393" s="6" t="s">
        <v>129</v>
      </c>
    </row>
    <row r="1394" spans="1:24" x14ac:dyDescent="0.25">
      <c r="A1394" s="5" t="s">
        <v>1901</v>
      </c>
      <c r="B1394" s="18">
        <v>45451</v>
      </c>
      <c r="C1394" s="7" t="s">
        <v>1047</v>
      </c>
      <c r="D1394" s="7" t="s">
        <v>156</v>
      </c>
      <c r="E1394" s="7" t="s">
        <v>66</v>
      </c>
      <c r="F1394" s="7" t="s">
        <v>67</v>
      </c>
      <c r="G1394" s="7" t="s">
        <v>38</v>
      </c>
      <c r="H1394" s="7" t="s">
        <v>68</v>
      </c>
      <c r="I1394" s="7" t="s">
        <v>40</v>
      </c>
      <c r="J1394" s="7" t="s">
        <v>117</v>
      </c>
      <c r="K1394" s="7" t="s">
        <v>178</v>
      </c>
      <c r="L1394" s="7" t="s">
        <v>256</v>
      </c>
      <c r="M1394" s="7" t="s">
        <v>61</v>
      </c>
      <c r="N1394" s="7" t="s">
        <v>70</v>
      </c>
      <c r="O1394" s="7">
        <v>74</v>
      </c>
      <c r="P1394" s="7">
        <v>155.34</v>
      </c>
      <c r="Q1394" s="7">
        <v>97.51</v>
      </c>
      <c r="R1394" s="7">
        <v>11495.23</v>
      </c>
      <c r="S1394" s="7">
        <v>0.2</v>
      </c>
      <c r="T1394" s="7">
        <v>2299.0500000000002</v>
      </c>
      <c r="U1394" s="7">
        <v>9196.18</v>
      </c>
      <c r="V1394" s="7">
        <v>7215.83</v>
      </c>
      <c r="W1394" s="7">
        <v>1980.35</v>
      </c>
      <c r="X1394" s="7" t="s">
        <v>32</v>
      </c>
    </row>
    <row r="1395" spans="1:24" x14ac:dyDescent="0.25">
      <c r="A1395" s="16" t="s">
        <v>1902</v>
      </c>
      <c r="B1395" s="17">
        <v>45373</v>
      </c>
      <c r="C1395" s="6" t="s">
        <v>186</v>
      </c>
      <c r="D1395" s="6" t="s">
        <v>156</v>
      </c>
      <c r="E1395" s="6" t="s">
        <v>78</v>
      </c>
      <c r="F1395" s="6" t="s">
        <v>79</v>
      </c>
      <c r="G1395" s="6" t="s">
        <v>80</v>
      </c>
      <c r="H1395" s="6" t="s">
        <v>81</v>
      </c>
      <c r="I1395" s="6" t="s">
        <v>58</v>
      </c>
      <c r="J1395" s="6" t="s">
        <v>59</v>
      </c>
      <c r="K1395" s="6" t="s">
        <v>184</v>
      </c>
      <c r="L1395" s="6" t="s">
        <v>2672</v>
      </c>
      <c r="M1395" s="6" t="s">
        <v>30</v>
      </c>
      <c r="N1395" s="6" t="s">
        <v>84</v>
      </c>
      <c r="O1395" s="6">
        <v>73</v>
      </c>
      <c r="P1395" s="6">
        <v>141.18</v>
      </c>
      <c r="Q1395" s="6">
        <v>82.26</v>
      </c>
      <c r="R1395" s="6">
        <v>10305.85</v>
      </c>
      <c r="S1395" s="6">
        <v>0.2</v>
      </c>
      <c r="T1395" s="6">
        <v>2061.17</v>
      </c>
      <c r="U1395" s="6">
        <v>8244.68</v>
      </c>
      <c r="V1395" s="6">
        <v>6005.32</v>
      </c>
      <c r="W1395" s="6">
        <v>2239.36</v>
      </c>
      <c r="X1395" s="6" t="s">
        <v>45</v>
      </c>
    </row>
    <row r="1396" spans="1:24" x14ac:dyDescent="0.25">
      <c r="A1396" s="5" t="s">
        <v>1903</v>
      </c>
      <c r="B1396" s="18">
        <v>45387</v>
      </c>
      <c r="C1396" s="7" t="s">
        <v>282</v>
      </c>
      <c r="D1396" s="7" t="s">
        <v>125</v>
      </c>
      <c r="E1396" s="7" t="s">
        <v>132</v>
      </c>
      <c r="F1396" s="7" t="s">
        <v>133</v>
      </c>
      <c r="G1396" s="7" t="s">
        <v>51</v>
      </c>
      <c r="H1396" s="7" t="s">
        <v>134</v>
      </c>
      <c r="I1396" s="7" t="s">
        <v>53</v>
      </c>
      <c r="J1396" s="7" t="s">
        <v>143</v>
      </c>
      <c r="K1396" s="7" t="s">
        <v>218</v>
      </c>
      <c r="L1396" s="7" t="s">
        <v>2674</v>
      </c>
      <c r="M1396" s="7" t="s">
        <v>61</v>
      </c>
      <c r="N1396" s="7" t="s">
        <v>75</v>
      </c>
      <c r="O1396" s="7">
        <v>26</v>
      </c>
      <c r="P1396" s="7">
        <v>59.2</v>
      </c>
      <c r="Q1396" s="7">
        <v>33.9</v>
      </c>
      <c r="R1396" s="7">
        <v>1539.07</v>
      </c>
      <c r="S1396" s="7">
        <v>0</v>
      </c>
      <c r="T1396" s="7">
        <v>0</v>
      </c>
      <c r="U1396" s="7">
        <v>1539.07</v>
      </c>
      <c r="V1396" s="7">
        <v>881.36</v>
      </c>
      <c r="W1396" s="7">
        <v>657.71</v>
      </c>
      <c r="X1396" s="7" t="s">
        <v>45</v>
      </c>
    </row>
    <row r="1397" spans="1:24" x14ac:dyDescent="0.25">
      <c r="A1397" s="16" t="s">
        <v>1904</v>
      </c>
      <c r="B1397" s="17">
        <v>45293</v>
      </c>
      <c r="C1397" s="6" t="s">
        <v>509</v>
      </c>
      <c r="D1397" s="6" t="s">
        <v>264</v>
      </c>
      <c r="E1397" s="6" t="s">
        <v>216</v>
      </c>
      <c r="F1397" s="6" t="s">
        <v>217</v>
      </c>
      <c r="G1397" s="6" t="s">
        <v>38</v>
      </c>
      <c r="H1397" s="6" t="s">
        <v>134</v>
      </c>
      <c r="I1397" s="6" t="s">
        <v>88</v>
      </c>
      <c r="J1397" s="6" t="s">
        <v>135</v>
      </c>
      <c r="K1397" s="6" t="s">
        <v>118</v>
      </c>
      <c r="L1397" s="6" t="s">
        <v>2668</v>
      </c>
      <c r="M1397" s="6" t="s">
        <v>153</v>
      </c>
      <c r="N1397" s="6" t="s">
        <v>75</v>
      </c>
      <c r="O1397" s="6">
        <v>15</v>
      </c>
      <c r="P1397" s="6">
        <v>102.67</v>
      </c>
      <c r="Q1397" s="6">
        <v>63.9</v>
      </c>
      <c r="R1397" s="6">
        <v>1540.05</v>
      </c>
      <c r="S1397" s="6">
        <v>0.05</v>
      </c>
      <c r="T1397" s="6">
        <v>77</v>
      </c>
      <c r="U1397" s="6">
        <v>1463.05</v>
      </c>
      <c r="V1397" s="6">
        <v>958.55</v>
      </c>
      <c r="W1397" s="6">
        <v>504.5</v>
      </c>
      <c r="X1397" s="6" t="s">
        <v>45</v>
      </c>
    </row>
    <row r="1398" spans="1:24" x14ac:dyDescent="0.25">
      <c r="A1398" s="5" t="s">
        <v>1905</v>
      </c>
      <c r="B1398" s="18">
        <v>45319</v>
      </c>
      <c r="C1398" s="7" t="s">
        <v>426</v>
      </c>
      <c r="D1398" s="7" t="s">
        <v>57</v>
      </c>
      <c r="E1398" s="7" t="s">
        <v>114</v>
      </c>
      <c r="F1398" s="7" t="s">
        <v>115</v>
      </c>
      <c r="G1398" s="7" t="s">
        <v>95</v>
      </c>
      <c r="H1398" s="7" t="s">
        <v>116</v>
      </c>
      <c r="I1398" s="7" t="s">
        <v>58</v>
      </c>
      <c r="J1398" s="7" t="s">
        <v>59</v>
      </c>
      <c r="K1398" s="7" t="s">
        <v>118</v>
      </c>
      <c r="L1398" s="7" t="s">
        <v>2668</v>
      </c>
      <c r="M1398" s="7" t="s">
        <v>30</v>
      </c>
      <c r="N1398" s="7"/>
      <c r="O1398" s="7">
        <v>58</v>
      </c>
      <c r="P1398" s="7">
        <v>34.19</v>
      </c>
      <c r="Q1398" s="7">
        <v>21.17</v>
      </c>
      <c r="R1398" s="7">
        <v>1982.8</v>
      </c>
      <c r="S1398" s="7">
        <v>0.1</v>
      </c>
      <c r="T1398" s="7">
        <v>198.28</v>
      </c>
      <c r="U1398" s="7">
        <v>1784.52</v>
      </c>
      <c r="V1398" s="7">
        <v>1227.8699999999999</v>
      </c>
      <c r="W1398" s="7">
        <v>556.64</v>
      </c>
      <c r="X1398" s="7" t="s">
        <v>45</v>
      </c>
    </row>
    <row r="1399" spans="1:24" x14ac:dyDescent="0.25">
      <c r="A1399" s="16" t="s">
        <v>1906</v>
      </c>
      <c r="B1399" s="17">
        <v>45579</v>
      </c>
      <c r="C1399" s="6" t="s">
        <v>651</v>
      </c>
      <c r="D1399" s="6" t="s">
        <v>105</v>
      </c>
      <c r="E1399" s="6" t="s">
        <v>93</v>
      </c>
      <c r="F1399" s="6" t="s">
        <v>94</v>
      </c>
      <c r="G1399" s="6" t="s">
        <v>95</v>
      </c>
      <c r="H1399" s="6" t="s">
        <v>96</v>
      </c>
      <c r="I1399" s="6" t="s">
        <v>88</v>
      </c>
      <c r="J1399" s="6" t="s">
        <v>135</v>
      </c>
      <c r="K1399" s="6" t="s">
        <v>111</v>
      </c>
      <c r="L1399" s="6" t="s">
        <v>2667</v>
      </c>
      <c r="M1399" s="6" t="s">
        <v>30</v>
      </c>
      <c r="N1399" s="6" t="s">
        <v>31</v>
      </c>
      <c r="O1399" s="6">
        <v>65</v>
      </c>
      <c r="P1399" s="6">
        <v>51.78</v>
      </c>
      <c r="Q1399" s="6">
        <v>29.59</v>
      </c>
      <c r="R1399" s="6">
        <v>3365.66</v>
      </c>
      <c r="S1399" s="6">
        <v>0.2</v>
      </c>
      <c r="T1399" s="6">
        <v>673.13</v>
      </c>
      <c r="U1399" s="6">
        <v>2692.53</v>
      </c>
      <c r="V1399" s="6">
        <v>1923.18</v>
      </c>
      <c r="W1399" s="6">
        <v>769.35</v>
      </c>
      <c r="X1399" s="6" t="s">
        <v>129</v>
      </c>
    </row>
    <row r="1400" spans="1:24" x14ac:dyDescent="0.25">
      <c r="A1400" s="5" t="s">
        <v>1907</v>
      </c>
      <c r="B1400" s="18">
        <v>45385</v>
      </c>
      <c r="C1400" s="7" t="s">
        <v>975</v>
      </c>
      <c r="D1400" s="7" t="s">
        <v>105</v>
      </c>
      <c r="E1400" s="7" t="s">
        <v>176</v>
      </c>
      <c r="F1400" s="7" t="s">
        <v>177</v>
      </c>
      <c r="G1400" s="7" t="s">
        <v>101</v>
      </c>
      <c r="H1400" s="7" t="s">
        <v>39</v>
      </c>
      <c r="I1400" s="7" t="s">
        <v>88</v>
      </c>
      <c r="J1400" s="7" t="s">
        <v>183</v>
      </c>
      <c r="K1400" s="7" t="s">
        <v>144</v>
      </c>
      <c r="L1400" s="7" t="s">
        <v>2669</v>
      </c>
      <c r="M1400" s="7" t="s">
        <v>30</v>
      </c>
      <c r="N1400" s="7" t="s">
        <v>84</v>
      </c>
      <c r="O1400" s="7">
        <v>13</v>
      </c>
      <c r="P1400" s="7">
        <v>110.94</v>
      </c>
      <c r="Q1400" s="7">
        <v>60.4</v>
      </c>
      <c r="R1400" s="7">
        <v>1442.27</v>
      </c>
      <c r="S1400" s="7">
        <v>0.05</v>
      </c>
      <c r="T1400" s="7">
        <v>72.11</v>
      </c>
      <c r="U1400" s="7">
        <v>1370.15</v>
      </c>
      <c r="V1400" s="7">
        <v>785.19</v>
      </c>
      <c r="W1400" s="7">
        <v>584.96</v>
      </c>
      <c r="X1400" s="7" t="s">
        <v>45</v>
      </c>
    </row>
    <row r="1401" spans="1:24" x14ac:dyDescent="0.25">
      <c r="A1401" s="16" t="s">
        <v>1908</v>
      </c>
      <c r="B1401" s="17">
        <v>45578</v>
      </c>
      <c r="C1401" s="6" t="s">
        <v>636</v>
      </c>
      <c r="D1401" s="6" t="s">
        <v>87</v>
      </c>
      <c r="E1401" s="6" t="s">
        <v>250</v>
      </c>
      <c r="F1401" s="6" t="s">
        <v>251</v>
      </c>
      <c r="G1401" s="6" t="s">
        <v>51</v>
      </c>
      <c r="H1401" s="6" t="s">
        <v>252</v>
      </c>
      <c r="I1401" s="6" t="s">
        <v>27</v>
      </c>
      <c r="J1401" s="6" t="s">
        <v>106</v>
      </c>
      <c r="K1401" s="6" t="s">
        <v>195</v>
      </c>
      <c r="L1401" s="6" t="s">
        <v>2673</v>
      </c>
      <c r="M1401" s="6" t="s">
        <v>61</v>
      </c>
      <c r="N1401" s="6" t="s">
        <v>75</v>
      </c>
      <c r="O1401" s="6">
        <v>53</v>
      </c>
      <c r="P1401" s="6">
        <v>59.86</v>
      </c>
      <c r="Q1401" s="6">
        <v>39.92</v>
      </c>
      <c r="R1401" s="6">
        <v>3172.44</v>
      </c>
      <c r="S1401" s="6">
        <v>0.15</v>
      </c>
      <c r="T1401" s="6">
        <v>475.87</v>
      </c>
      <c r="U1401" s="6">
        <v>2696.58</v>
      </c>
      <c r="V1401" s="6">
        <v>2115.65</v>
      </c>
      <c r="W1401" s="6">
        <v>580.91999999999996</v>
      </c>
      <c r="X1401" s="6" t="s">
        <v>45</v>
      </c>
    </row>
    <row r="1402" spans="1:24" x14ac:dyDescent="0.25">
      <c r="A1402" s="5" t="s">
        <v>1909</v>
      </c>
      <c r="B1402" s="18">
        <v>45622</v>
      </c>
      <c r="C1402" s="7" t="s">
        <v>1476</v>
      </c>
      <c r="D1402" s="7" t="s">
        <v>149</v>
      </c>
      <c r="E1402" s="7" t="s">
        <v>176</v>
      </c>
      <c r="F1402" s="7" t="s">
        <v>177</v>
      </c>
      <c r="G1402" s="7" t="s">
        <v>101</v>
      </c>
      <c r="H1402" s="7" t="s">
        <v>39</v>
      </c>
      <c r="I1402" s="7" t="s">
        <v>27</v>
      </c>
      <c r="J1402" s="7" t="s">
        <v>28</v>
      </c>
      <c r="K1402" s="7" t="s">
        <v>178</v>
      </c>
      <c r="L1402" s="7" t="s">
        <v>256</v>
      </c>
      <c r="M1402" s="7" t="s">
        <v>153</v>
      </c>
      <c r="N1402" s="7" t="s">
        <v>84</v>
      </c>
      <c r="O1402" s="7">
        <v>9</v>
      </c>
      <c r="P1402" s="7">
        <v>106.5</v>
      </c>
      <c r="Q1402" s="7">
        <v>64.14</v>
      </c>
      <c r="R1402" s="7">
        <v>958.53</v>
      </c>
      <c r="S1402" s="7">
        <v>0.1</v>
      </c>
      <c r="T1402" s="7">
        <v>95.85</v>
      </c>
      <c r="U1402" s="7">
        <v>862.67</v>
      </c>
      <c r="V1402" s="7">
        <v>577.28</v>
      </c>
      <c r="W1402" s="7">
        <v>285.39999999999998</v>
      </c>
      <c r="X1402" s="7" t="s">
        <v>45</v>
      </c>
    </row>
    <row r="1403" spans="1:24" x14ac:dyDescent="0.25">
      <c r="A1403" s="16" t="s">
        <v>1910</v>
      </c>
      <c r="B1403" s="17">
        <v>45546</v>
      </c>
      <c r="C1403" s="6" t="s">
        <v>757</v>
      </c>
      <c r="D1403" s="6" t="s">
        <v>163</v>
      </c>
      <c r="E1403" s="6" t="s">
        <v>187</v>
      </c>
      <c r="F1403" s="6" t="s">
        <v>188</v>
      </c>
      <c r="G1403" s="6" t="s">
        <v>25</v>
      </c>
      <c r="H1403" s="6" t="s">
        <v>26</v>
      </c>
      <c r="I1403" s="6" t="s">
        <v>27</v>
      </c>
      <c r="J1403" s="6" t="s">
        <v>28</v>
      </c>
      <c r="K1403" s="6" t="s">
        <v>170</v>
      </c>
      <c r="L1403" s="6" t="s">
        <v>2671</v>
      </c>
      <c r="M1403" s="6" t="s">
        <v>153</v>
      </c>
      <c r="N1403" s="6" t="s">
        <v>31</v>
      </c>
      <c r="O1403" s="6">
        <v>20</v>
      </c>
      <c r="P1403" s="6">
        <v>51.65</v>
      </c>
      <c r="Q1403" s="6">
        <v>28.24</v>
      </c>
      <c r="R1403" s="6">
        <v>1033.0899999999999</v>
      </c>
      <c r="S1403" s="6">
        <v>0.02</v>
      </c>
      <c r="T1403" s="6">
        <v>20.66</v>
      </c>
      <c r="U1403" s="6">
        <v>1012.43</v>
      </c>
      <c r="V1403" s="6">
        <v>564.86</v>
      </c>
      <c r="W1403" s="6">
        <v>447.57</v>
      </c>
      <c r="X1403" s="6" t="s">
        <v>129</v>
      </c>
    </row>
    <row r="1404" spans="1:24" x14ac:dyDescent="0.25">
      <c r="A1404" s="5" t="s">
        <v>1911</v>
      </c>
      <c r="B1404" s="18">
        <v>45427</v>
      </c>
      <c r="C1404" s="7" t="s">
        <v>21</v>
      </c>
      <c r="D1404" s="7" t="s">
        <v>22</v>
      </c>
      <c r="E1404" s="7" t="s">
        <v>150</v>
      </c>
      <c r="F1404" s="7" t="s">
        <v>151</v>
      </c>
      <c r="G1404" s="7" t="s">
        <v>101</v>
      </c>
      <c r="H1404" s="7" t="s">
        <v>134</v>
      </c>
      <c r="I1404" s="7" t="s">
        <v>53</v>
      </c>
      <c r="J1404" s="7" t="s">
        <v>122</v>
      </c>
      <c r="K1404" s="7" t="s">
        <v>253</v>
      </c>
      <c r="L1404" s="7" t="s">
        <v>2676</v>
      </c>
      <c r="M1404" s="7" t="s">
        <v>61</v>
      </c>
      <c r="N1404" s="7" t="s">
        <v>44</v>
      </c>
      <c r="O1404" s="7">
        <v>70</v>
      </c>
      <c r="P1404" s="7">
        <v>82.03</v>
      </c>
      <c r="Q1404" s="7">
        <v>54.78</v>
      </c>
      <c r="R1404" s="7">
        <v>5742.1</v>
      </c>
      <c r="S1404" s="7">
        <v>0.1</v>
      </c>
      <c r="T1404" s="7">
        <v>574.21</v>
      </c>
      <c r="U1404" s="7">
        <v>5167.8900000000003</v>
      </c>
      <c r="V1404" s="7">
        <v>3834.67</v>
      </c>
      <c r="W1404" s="7">
        <v>1333.22</v>
      </c>
      <c r="X1404" s="7" t="s">
        <v>45</v>
      </c>
    </row>
    <row r="1405" spans="1:24" x14ac:dyDescent="0.25">
      <c r="A1405" s="16" t="s">
        <v>1912</v>
      </c>
      <c r="B1405" s="17">
        <v>45476</v>
      </c>
      <c r="C1405" s="6" t="s">
        <v>497</v>
      </c>
      <c r="D1405" s="6" t="s">
        <v>35</v>
      </c>
      <c r="E1405" s="6" t="s">
        <v>150</v>
      </c>
      <c r="F1405" s="6" t="s">
        <v>151</v>
      </c>
      <c r="G1405" s="6" t="s">
        <v>101</v>
      </c>
      <c r="H1405" s="6" t="s">
        <v>134</v>
      </c>
      <c r="I1405" s="6" t="s">
        <v>88</v>
      </c>
      <c r="J1405" s="6" t="s">
        <v>173</v>
      </c>
      <c r="K1405" s="6" t="s">
        <v>111</v>
      </c>
      <c r="L1405" s="6" t="s">
        <v>2667</v>
      </c>
      <c r="M1405" s="6" t="s">
        <v>153</v>
      </c>
      <c r="N1405" s="6" t="s">
        <v>70</v>
      </c>
      <c r="O1405" s="6">
        <v>46</v>
      </c>
      <c r="P1405" s="6">
        <v>80.86</v>
      </c>
      <c r="Q1405" s="6">
        <v>49.74</v>
      </c>
      <c r="R1405" s="6">
        <v>3719.34</v>
      </c>
      <c r="S1405" s="6">
        <v>0.05</v>
      </c>
      <c r="T1405" s="6">
        <v>185.97</v>
      </c>
      <c r="U1405" s="6">
        <v>3533.38</v>
      </c>
      <c r="V1405" s="6">
        <v>2287.9499999999998</v>
      </c>
      <c r="W1405" s="6">
        <v>1245.43</v>
      </c>
      <c r="X1405" s="6" t="s">
        <v>45</v>
      </c>
    </row>
    <row r="1406" spans="1:24" x14ac:dyDescent="0.25">
      <c r="A1406" s="5" t="s">
        <v>1913</v>
      </c>
      <c r="B1406" s="18">
        <v>45390</v>
      </c>
      <c r="C1406" s="7" t="s">
        <v>529</v>
      </c>
      <c r="D1406" s="7" t="s">
        <v>256</v>
      </c>
      <c r="E1406" s="7" t="s">
        <v>109</v>
      </c>
      <c r="F1406" s="7" t="s">
        <v>110</v>
      </c>
      <c r="G1406" s="7" t="s">
        <v>80</v>
      </c>
      <c r="H1406" s="7" t="s">
        <v>81</v>
      </c>
      <c r="I1406" s="7" t="s">
        <v>27</v>
      </c>
      <c r="J1406" s="7" t="s">
        <v>106</v>
      </c>
      <c r="K1406" s="7" t="s">
        <v>152</v>
      </c>
      <c r="L1406" s="7" t="s">
        <v>2670</v>
      </c>
      <c r="M1406" s="7" t="s">
        <v>61</v>
      </c>
      <c r="N1406" s="7" t="s">
        <v>70</v>
      </c>
      <c r="O1406" s="7">
        <v>19</v>
      </c>
      <c r="P1406" s="7">
        <v>134.97</v>
      </c>
      <c r="Q1406" s="7">
        <v>79.13</v>
      </c>
      <c r="R1406" s="7">
        <v>2564.37</v>
      </c>
      <c r="S1406" s="7">
        <v>0.1</v>
      </c>
      <c r="T1406" s="7">
        <v>256.44</v>
      </c>
      <c r="U1406" s="7">
        <v>2307.9299999999998</v>
      </c>
      <c r="V1406" s="7">
        <v>1503.43</v>
      </c>
      <c r="W1406" s="7">
        <v>804.5</v>
      </c>
      <c r="X1406" s="7" t="s">
        <v>45</v>
      </c>
    </row>
    <row r="1407" spans="1:24" x14ac:dyDescent="0.25">
      <c r="A1407" s="16" t="s">
        <v>1914</v>
      </c>
      <c r="B1407" s="17">
        <v>45342</v>
      </c>
      <c r="C1407" s="6" t="s">
        <v>201</v>
      </c>
      <c r="D1407" s="6" t="s">
        <v>57</v>
      </c>
      <c r="E1407" s="6" t="s">
        <v>250</v>
      </c>
      <c r="F1407" s="6" t="s">
        <v>251</v>
      </c>
      <c r="G1407" s="6" t="s">
        <v>51</v>
      </c>
      <c r="H1407" s="6" t="s">
        <v>252</v>
      </c>
      <c r="I1407" s="6" t="s">
        <v>53</v>
      </c>
      <c r="J1407" s="6" t="s">
        <v>143</v>
      </c>
      <c r="K1407" s="6" t="s">
        <v>144</v>
      </c>
      <c r="L1407" s="6" t="s">
        <v>2669</v>
      </c>
      <c r="M1407" s="6" t="s">
        <v>153</v>
      </c>
      <c r="N1407" s="6" t="s">
        <v>84</v>
      </c>
      <c r="O1407" s="6">
        <v>17</v>
      </c>
      <c r="P1407" s="6">
        <v>65.16</v>
      </c>
      <c r="Q1407" s="6">
        <v>35.94</v>
      </c>
      <c r="R1407" s="6">
        <v>1107.6400000000001</v>
      </c>
      <c r="S1407" s="6">
        <v>0.2</v>
      </c>
      <c r="T1407" s="6">
        <v>221.53</v>
      </c>
      <c r="U1407" s="6">
        <v>886.11</v>
      </c>
      <c r="V1407" s="6">
        <v>611</v>
      </c>
      <c r="W1407" s="6">
        <v>275.11</v>
      </c>
      <c r="X1407" s="6" t="s">
        <v>45</v>
      </c>
    </row>
    <row r="1408" spans="1:24" x14ac:dyDescent="0.25">
      <c r="A1408" s="5" t="s">
        <v>1915</v>
      </c>
      <c r="B1408" s="18">
        <v>45643</v>
      </c>
      <c r="C1408" s="7" t="s">
        <v>1426</v>
      </c>
      <c r="D1408" s="7" t="s">
        <v>22</v>
      </c>
      <c r="E1408" s="7" t="s">
        <v>93</v>
      </c>
      <c r="F1408" s="7" t="s">
        <v>94</v>
      </c>
      <c r="G1408" s="7" t="s">
        <v>95</v>
      </c>
      <c r="H1408" s="7" t="s">
        <v>96</v>
      </c>
      <c r="I1408" s="7" t="s">
        <v>58</v>
      </c>
      <c r="J1408" s="7" t="s">
        <v>323</v>
      </c>
      <c r="K1408" s="7" t="s">
        <v>69</v>
      </c>
      <c r="L1408" s="7" t="s">
        <v>2663</v>
      </c>
      <c r="M1408" s="7" t="s">
        <v>43</v>
      </c>
      <c r="N1408" s="7" t="s">
        <v>31</v>
      </c>
      <c r="O1408" s="7">
        <v>76</v>
      </c>
      <c r="P1408" s="7">
        <v>57.71</v>
      </c>
      <c r="Q1408" s="7">
        <v>33.340000000000003</v>
      </c>
      <c r="R1408" s="7">
        <v>4385.8900000000003</v>
      </c>
      <c r="S1408" s="7">
        <v>0.05</v>
      </c>
      <c r="T1408" s="7">
        <v>219.29</v>
      </c>
      <c r="U1408" s="7">
        <v>4166.59</v>
      </c>
      <c r="V1408" s="7">
        <v>2534.06</v>
      </c>
      <c r="W1408" s="7">
        <v>1632.53</v>
      </c>
      <c r="X1408" s="7" t="s">
        <v>45</v>
      </c>
    </row>
    <row r="1409" spans="1:24" x14ac:dyDescent="0.25">
      <c r="A1409" s="16" t="s">
        <v>1916</v>
      </c>
      <c r="B1409" s="17">
        <v>45360</v>
      </c>
      <c r="C1409" s="6" t="s">
        <v>1620</v>
      </c>
      <c r="D1409" s="6" t="s">
        <v>359</v>
      </c>
      <c r="E1409" s="6" t="s">
        <v>209</v>
      </c>
      <c r="F1409" s="6" t="s">
        <v>210</v>
      </c>
      <c r="G1409" s="6" t="s">
        <v>51</v>
      </c>
      <c r="H1409" s="6" t="s">
        <v>116</v>
      </c>
      <c r="I1409" s="6" t="s">
        <v>27</v>
      </c>
      <c r="J1409" s="6" t="s">
        <v>211</v>
      </c>
      <c r="K1409" s="6" t="s">
        <v>178</v>
      </c>
      <c r="L1409" s="6" t="s">
        <v>256</v>
      </c>
      <c r="M1409" s="6" t="s">
        <v>153</v>
      </c>
      <c r="N1409" s="6" t="s">
        <v>70</v>
      </c>
      <c r="O1409" s="6">
        <v>34</v>
      </c>
      <c r="P1409" s="6">
        <v>18.37</v>
      </c>
      <c r="Q1409" s="6">
        <v>10.6</v>
      </c>
      <c r="R1409" s="6">
        <v>624.63</v>
      </c>
      <c r="S1409" s="6">
        <v>0.2</v>
      </c>
      <c r="T1409" s="6">
        <v>124.93</v>
      </c>
      <c r="U1409" s="6">
        <v>499.7</v>
      </c>
      <c r="V1409" s="6">
        <v>360.53</v>
      </c>
      <c r="W1409" s="6">
        <v>139.16999999999999</v>
      </c>
      <c r="X1409" s="6" t="s">
        <v>45</v>
      </c>
    </row>
    <row r="1410" spans="1:24" x14ac:dyDescent="0.25">
      <c r="A1410" s="5" t="s">
        <v>1917</v>
      </c>
      <c r="B1410" s="18">
        <v>45474</v>
      </c>
      <c r="C1410" s="7" t="s">
        <v>341</v>
      </c>
      <c r="D1410" s="7" t="s">
        <v>259</v>
      </c>
      <c r="E1410" s="7" t="s">
        <v>109</v>
      </c>
      <c r="F1410" s="7" t="s">
        <v>110</v>
      </c>
      <c r="G1410" s="7" t="s">
        <v>80</v>
      </c>
      <c r="H1410" s="7" t="s">
        <v>81</v>
      </c>
      <c r="I1410" s="7" t="s">
        <v>53</v>
      </c>
      <c r="J1410" s="7" t="s">
        <v>143</v>
      </c>
      <c r="K1410" s="7" t="s">
        <v>248</v>
      </c>
      <c r="L1410" s="7" t="s">
        <v>2675</v>
      </c>
      <c r="M1410" s="7" t="s">
        <v>30</v>
      </c>
      <c r="N1410" s="7" t="s">
        <v>75</v>
      </c>
      <c r="O1410" s="7">
        <v>43</v>
      </c>
      <c r="P1410" s="7">
        <v>133.56</v>
      </c>
      <c r="Q1410" s="7">
        <v>70.739999999999995</v>
      </c>
      <c r="R1410" s="7">
        <v>5743.15</v>
      </c>
      <c r="S1410" s="7">
        <v>0</v>
      </c>
      <c r="T1410" s="7">
        <v>0</v>
      </c>
      <c r="U1410" s="7">
        <v>5743.15</v>
      </c>
      <c r="V1410" s="7">
        <v>3041.8</v>
      </c>
      <c r="W1410" s="7">
        <v>2701.36</v>
      </c>
      <c r="X1410" s="7" t="s">
        <v>45</v>
      </c>
    </row>
    <row r="1411" spans="1:24" x14ac:dyDescent="0.25">
      <c r="A1411" s="16" t="s">
        <v>1918</v>
      </c>
      <c r="B1411" s="17">
        <v>45388</v>
      </c>
      <c r="C1411" s="6" t="s">
        <v>859</v>
      </c>
      <c r="D1411" s="6" t="s">
        <v>221</v>
      </c>
      <c r="E1411" s="6" t="s">
        <v>165</v>
      </c>
      <c r="F1411" s="6" t="s">
        <v>166</v>
      </c>
      <c r="G1411" s="6" t="s">
        <v>95</v>
      </c>
      <c r="H1411" s="6" t="s">
        <v>167</v>
      </c>
      <c r="I1411" s="6" t="s">
        <v>53</v>
      </c>
      <c r="J1411" s="6" t="s">
        <v>54</v>
      </c>
      <c r="K1411" s="6" t="s">
        <v>42</v>
      </c>
      <c r="L1411" s="6" t="s">
        <v>2661</v>
      </c>
      <c r="M1411" s="6" t="s">
        <v>43</v>
      </c>
      <c r="N1411" s="6" t="s">
        <v>44</v>
      </c>
      <c r="O1411" s="6">
        <v>1</v>
      </c>
      <c r="P1411" s="6">
        <v>42.83</v>
      </c>
      <c r="Q1411" s="6">
        <v>24.64</v>
      </c>
      <c r="R1411" s="6">
        <v>42.83</v>
      </c>
      <c r="S1411" s="6">
        <v>0.2</v>
      </c>
      <c r="T1411" s="6">
        <v>8.57</v>
      </c>
      <c r="U1411" s="6">
        <v>34.270000000000003</v>
      </c>
      <c r="V1411" s="6">
        <v>24.64</v>
      </c>
      <c r="W1411" s="6">
        <v>9.6300000000000008</v>
      </c>
      <c r="X1411" s="6" t="s">
        <v>45</v>
      </c>
    </row>
    <row r="1412" spans="1:24" x14ac:dyDescent="0.25">
      <c r="A1412" s="5" t="s">
        <v>1919</v>
      </c>
      <c r="B1412" s="18">
        <v>45482</v>
      </c>
      <c r="C1412" s="7" t="s">
        <v>347</v>
      </c>
      <c r="D1412" s="7" t="s">
        <v>163</v>
      </c>
      <c r="E1412" s="7" t="s">
        <v>49</v>
      </c>
      <c r="F1412" s="7" t="s">
        <v>50</v>
      </c>
      <c r="G1412" s="7" t="s">
        <v>51</v>
      </c>
      <c r="H1412" s="7" t="s">
        <v>52</v>
      </c>
      <c r="I1412" s="7" t="s">
        <v>58</v>
      </c>
      <c r="J1412" s="7" t="s">
        <v>73</v>
      </c>
      <c r="K1412" s="7" t="s">
        <v>29</v>
      </c>
      <c r="L1412" s="7" t="s">
        <v>2660</v>
      </c>
      <c r="M1412" s="7" t="s">
        <v>153</v>
      </c>
      <c r="N1412" s="7" t="s">
        <v>31</v>
      </c>
      <c r="O1412" s="7">
        <v>2</v>
      </c>
      <c r="P1412" s="7">
        <v>26.47</v>
      </c>
      <c r="Q1412" s="7">
        <v>13.16</v>
      </c>
      <c r="R1412" s="7">
        <v>52.94</v>
      </c>
      <c r="S1412" s="7">
        <v>0.05</v>
      </c>
      <c r="T1412" s="7">
        <v>2.65</v>
      </c>
      <c r="U1412" s="7">
        <v>50.29</v>
      </c>
      <c r="V1412" s="7">
        <v>26.33</v>
      </c>
      <c r="W1412" s="7">
        <v>23.96</v>
      </c>
      <c r="X1412" s="7" t="s">
        <v>32</v>
      </c>
    </row>
    <row r="1413" spans="1:24" x14ac:dyDescent="0.25">
      <c r="A1413" s="16" t="s">
        <v>1920</v>
      </c>
      <c r="B1413" s="17">
        <v>45542</v>
      </c>
      <c r="C1413" s="6" t="s">
        <v>365</v>
      </c>
      <c r="D1413" s="6" t="s">
        <v>22</v>
      </c>
      <c r="E1413" s="6" t="s">
        <v>66</v>
      </c>
      <c r="F1413" s="6" t="s">
        <v>67</v>
      </c>
      <c r="G1413" s="6" t="s">
        <v>38</v>
      </c>
      <c r="H1413" s="6" t="s">
        <v>68</v>
      </c>
      <c r="I1413" s="6" t="s">
        <v>58</v>
      </c>
      <c r="J1413" s="6" t="s">
        <v>323</v>
      </c>
      <c r="K1413" s="6" t="s">
        <v>261</v>
      </c>
      <c r="L1413" s="6" t="s">
        <v>2677</v>
      </c>
      <c r="M1413" s="6" t="s">
        <v>30</v>
      </c>
      <c r="N1413" s="6" t="s">
        <v>70</v>
      </c>
      <c r="O1413" s="6">
        <v>58</v>
      </c>
      <c r="P1413" s="6">
        <v>148.74</v>
      </c>
      <c r="Q1413" s="6">
        <v>111.23</v>
      </c>
      <c r="R1413" s="6">
        <v>8627.09</v>
      </c>
      <c r="S1413" s="6">
        <v>0.1</v>
      </c>
      <c r="T1413" s="6">
        <v>862.71</v>
      </c>
      <c r="U1413" s="6">
        <v>7764.38</v>
      </c>
      <c r="V1413" s="6">
        <v>6451.28</v>
      </c>
      <c r="W1413" s="6">
        <v>1313.09</v>
      </c>
      <c r="X1413" s="6" t="s">
        <v>45</v>
      </c>
    </row>
    <row r="1414" spans="1:24" x14ac:dyDescent="0.25">
      <c r="A1414" s="5" t="s">
        <v>1921</v>
      </c>
      <c r="B1414" s="18">
        <v>45451</v>
      </c>
      <c r="C1414" s="7"/>
      <c r="D1414" s="7"/>
      <c r="E1414" s="7" t="s">
        <v>132</v>
      </c>
      <c r="F1414" s="7" t="s">
        <v>133</v>
      </c>
      <c r="G1414" s="7" t="s">
        <v>51</v>
      </c>
      <c r="H1414" s="7" t="s">
        <v>134</v>
      </c>
      <c r="I1414" s="7" t="s">
        <v>40</v>
      </c>
      <c r="J1414" s="7" t="s">
        <v>82</v>
      </c>
      <c r="K1414" s="7" t="s">
        <v>218</v>
      </c>
      <c r="L1414" s="7" t="s">
        <v>2674</v>
      </c>
      <c r="M1414" s="7" t="s">
        <v>43</v>
      </c>
      <c r="N1414" s="7" t="s">
        <v>84</v>
      </c>
      <c r="O1414" s="7">
        <v>65</v>
      </c>
      <c r="P1414" s="7">
        <v>55.3</v>
      </c>
      <c r="Q1414" s="7">
        <v>35.18</v>
      </c>
      <c r="R1414" s="7">
        <v>3594.42</v>
      </c>
      <c r="S1414" s="7">
        <v>0.1</v>
      </c>
      <c r="T1414" s="7">
        <v>359.44</v>
      </c>
      <c r="U1414" s="7">
        <v>3234.98</v>
      </c>
      <c r="V1414" s="7">
        <v>2286.4</v>
      </c>
      <c r="W1414" s="7">
        <v>948.58</v>
      </c>
      <c r="X1414" s="7" t="s">
        <v>45</v>
      </c>
    </row>
    <row r="1415" spans="1:24" x14ac:dyDescent="0.25">
      <c r="A1415" s="16" t="s">
        <v>1922</v>
      </c>
      <c r="B1415" s="17">
        <v>45645</v>
      </c>
      <c r="C1415" s="6" t="s">
        <v>98</v>
      </c>
      <c r="D1415" s="6" t="s">
        <v>48</v>
      </c>
      <c r="E1415" s="6" t="s">
        <v>78</v>
      </c>
      <c r="F1415" s="6" t="s">
        <v>79</v>
      </c>
      <c r="G1415" s="6" t="s">
        <v>80</v>
      </c>
      <c r="H1415" s="6" t="s">
        <v>81</v>
      </c>
      <c r="I1415" s="6" t="s">
        <v>40</v>
      </c>
      <c r="J1415" s="6" t="s">
        <v>289</v>
      </c>
      <c r="K1415" s="6" t="s">
        <v>74</v>
      </c>
      <c r="L1415" s="6" t="s">
        <v>2664</v>
      </c>
      <c r="M1415" s="6" t="s">
        <v>153</v>
      </c>
      <c r="N1415" s="6" t="s">
        <v>31</v>
      </c>
      <c r="O1415" s="6">
        <v>13</v>
      </c>
      <c r="P1415" s="6">
        <v>139.25</v>
      </c>
      <c r="Q1415" s="6">
        <v>76.430000000000007</v>
      </c>
      <c r="R1415" s="6">
        <v>1810.19</v>
      </c>
      <c r="S1415" s="6">
        <v>0.05</v>
      </c>
      <c r="T1415" s="6">
        <v>90.51</v>
      </c>
      <c r="U1415" s="6">
        <v>1719.68</v>
      </c>
      <c r="V1415" s="6">
        <v>993.63</v>
      </c>
      <c r="W1415" s="6">
        <v>726.05</v>
      </c>
      <c r="X1415" s="6" t="s">
        <v>45</v>
      </c>
    </row>
    <row r="1416" spans="1:24" x14ac:dyDescent="0.25">
      <c r="A1416" s="5" t="s">
        <v>1923</v>
      </c>
      <c r="B1416" s="18">
        <v>45452</v>
      </c>
      <c r="C1416" s="7" t="s">
        <v>258</v>
      </c>
      <c r="D1416" s="7" t="s">
        <v>259</v>
      </c>
      <c r="E1416" s="7" t="s">
        <v>250</v>
      </c>
      <c r="F1416" s="7" t="s">
        <v>251</v>
      </c>
      <c r="G1416" s="7" t="s">
        <v>51</v>
      </c>
      <c r="H1416" s="7" t="s">
        <v>252</v>
      </c>
      <c r="I1416" s="7" t="s">
        <v>40</v>
      </c>
      <c r="J1416" s="7" t="s">
        <v>117</v>
      </c>
      <c r="K1416" s="7" t="s">
        <v>195</v>
      </c>
      <c r="L1416" s="7" t="s">
        <v>2673</v>
      </c>
      <c r="M1416" s="7" t="s">
        <v>30</v>
      </c>
      <c r="N1416" s="7" t="s">
        <v>75</v>
      </c>
      <c r="O1416" s="7">
        <v>43</v>
      </c>
      <c r="P1416" s="7">
        <v>66.97</v>
      </c>
      <c r="Q1416" s="7">
        <v>39.07</v>
      </c>
      <c r="R1416" s="7">
        <v>2879.76</v>
      </c>
      <c r="S1416" s="7">
        <v>0.15</v>
      </c>
      <c r="T1416" s="7">
        <v>431.96</v>
      </c>
      <c r="U1416" s="7">
        <v>2447.79</v>
      </c>
      <c r="V1416" s="7">
        <v>1680.15</v>
      </c>
      <c r="W1416" s="7">
        <v>767.65</v>
      </c>
      <c r="X1416" s="7" t="s">
        <v>45</v>
      </c>
    </row>
    <row r="1417" spans="1:24" x14ac:dyDescent="0.25">
      <c r="A1417" s="16" t="s">
        <v>1924</v>
      </c>
      <c r="B1417" s="17">
        <v>45605</v>
      </c>
      <c r="C1417" s="6" t="s">
        <v>98</v>
      </c>
      <c r="D1417" s="6" t="s">
        <v>48</v>
      </c>
      <c r="E1417" s="6" t="s">
        <v>216</v>
      </c>
      <c r="F1417" s="6" t="s">
        <v>217</v>
      </c>
      <c r="G1417" s="6" t="s">
        <v>38</v>
      </c>
      <c r="H1417" s="6" t="s">
        <v>134</v>
      </c>
      <c r="I1417" s="6" t="s">
        <v>40</v>
      </c>
      <c r="J1417" s="6" t="s">
        <v>41</v>
      </c>
      <c r="K1417" s="6" t="s">
        <v>253</v>
      </c>
      <c r="L1417" s="6" t="s">
        <v>2676</v>
      </c>
      <c r="M1417" s="6" t="s">
        <v>30</v>
      </c>
      <c r="N1417" s="6" t="s">
        <v>31</v>
      </c>
      <c r="O1417" s="6">
        <v>44</v>
      </c>
      <c r="P1417" s="6">
        <v>118.47</v>
      </c>
      <c r="Q1417" s="6">
        <v>63.68</v>
      </c>
      <c r="R1417" s="6">
        <v>5212.62</v>
      </c>
      <c r="S1417" s="6">
        <v>0.1</v>
      </c>
      <c r="T1417" s="6">
        <v>521.26</v>
      </c>
      <c r="U1417" s="6">
        <v>4691.3599999999997</v>
      </c>
      <c r="V1417" s="6">
        <v>2801.83</v>
      </c>
      <c r="W1417" s="6">
        <v>1889.53</v>
      </c>
      <c r="X1417" s="6" t="s">
        <v>45</v>
      </c>
    </row>
    <row r="1418" spans="1:24" x14ac:dyDescent="0.25">
      <c r="A1418" s="5" t="s">
        <v>1925</v>
      </c>
      <c r="B1418" s="18">
        <v>45323</v>
      </c>
      <c r="C1418" s="7" t="s">
        <v>358</v>
      </c>
      <c r="D1418" s="7" t="s">
        <v>359</v>
      </c>
      <c r="E1418" s="7" t="s">
        <v>23</v>
      </c>
      <c r="F1418" s="7" t="s">
        <v>24</v>
      </c>
      <c r="G1418" s="7" t="s">
        <v>25</v>
      </c>
      <c r="H1418" s="7" t="s">
        <v>26</v>
      </c>
      <c r="I1418" s="7" t="s">
        <v>58</v>
      </c>
      <c r="J1418" s="7" t="s">
        <v>323</v>
      </c>
      <c r="K1418" s="7" t="s">
        <v>118</v>
      </c>
      <c r="L1418" s="7" t="s">
        <v>2668</v>
      </c>
      <c r="M1418" s="7" t="s">
        <v>153</v>
      </c>
      <c r="N1418" s="7" t="s">
        <v>31</v>
      </c>
      <c r="O1418" s="7">
        <v>38</v>
      </c>
      <c r="P1418" s="7">
        <v>75.45</v>
      </c>
      <c r="Q1418" s="7">
        <v>46.96</v>
      </c>
      <c r="R1418" s="7">
        <v>2867.05</v>
      </c>
      <c r="S1418" s="7">
        <v>0.02</v>
      </c>
      <c r="T1418" s="7">
        <v>57.34</v>
      </c>
      <c r="U1418" s="7">
        <v>2809.71</v>
      </c>
      <c r="V1418" s="7">
        <v>1784.32</v>
      </c>
      <c r="W1418" s="7">
        <v>1025.3900000000001</v>
      </c>
      <c r="X1418" s="7" t="s">
        <v>45</v>
      </c>
    </row>
    <row r="1419" spans="1:24" x14ac:dyDescent="0.25">
      <c r="A1419" s="16" t="s">
        <v>1926</v>
      </c>
      <c r="B1419" s="17">
        <v>45534</v>
      </c>
      <c r="C1419" s="6" t="s">
        <v>653</v>
      </c>
      <c r="D1419" s="6" t="s">
        <v>87</v>
      </c>
      <c r="E1419" s="6" t="s">
        <v>150</v>
      </c>
      <c r="F1419" s="6" t="s">
        <v>151</v>
      </c>
      <c r="G1419" s="6" t="s">
        <v>101</v>
      </c>
      <c r="H1419" s="6" t="s">
        <v>134</v>
      </c>
      <c r="I1419" s="6" t="s">
        <v>27</v>
      </c>
      <c r="J1419" s="6" t="s">
        <v>106</v>
      </c>
      <c r="K1419" s="6" t="s">
        <v>195</v>
      </c>
      <c r="L1419" s="6" t="s">
        <v>2673</v>
      </c>
      <c r="M1419" s="6" t="s">
        <v>30</v>
      </c>
      <c r="N1419" s="6" t="s">
        <v>70</v>
      </c>
      <c r="O1419" s="6">
        <v>75</v>
      </c>
      <c r="P1419" s="6">
        <v>84.46</v>
      </c>
      <c r="Q1419" s="6">
        <v>53.97</v>
      </c>
      <c r="R1419" s="6">
        <v>6334.57</v>
      </c>
      <c r="S1419" s="6">
        <v>0</v>
      </c>
      <c r="T1419" s="6">
        <v>0</v>
      </c>
      <c r="U1419" s="6">
        <v>6334.57</v>
      </c>
      <c r="V1419" s="6">
        <v>4048.11</v>
      </c>
      <c r="W1419" s="6">
        <v>2286.4499999999998</v>
      </c>
      <c r="X1419" s="6" t="s">
        <v>45</v>
      </c>
    </row>
    <row r="1420" spans="1:24" x14ac:dyDescent="0.25">
      <c r="A1420" s="5" t="s">
        <v>1927</v>
      </c>
      <c r="B1420" s="18">
        <v>45635</v>
      </c>
      <c r="C1420" s="7" t="s">
        <v>205</v>
      </c>
      <c r="D1420" s="7" t="s">
        <v>22</v>
      </c>
      <c r="E1420" s="7" t="s">
        <v>222</v>
      </c>
      <c r="F1420" s="7" t="s">
        <v>223</v>
      </c>
      <c r="G1420" s="7" t="s">
        <v>101</v>
      </c>
      <c r="H1420" s="7" t="s">
        <v>68</v>
      </c>
      <c r="I1420" s="7" t="s">
        <v>40</v>
      </c>
      <c r="J1420" s="7" t="s">
        <v>117</v>
      </c>
      <c r="K1420" s="7" t="s">
        <v>29</v>
      </c>
      <c r="L1420" s="7" t="s">
        <v>2660</v>
      </c>
      <c r="M1420" s="7" t="s">
        <v>30</v>
      </c>
      <c r="N1420" s="7" t="s">
        <v>44</v>
      </c>
      <c r="O1420" s="7">
        <v>57</v>
      </c>
      <c r="P1420" s="7">
        <v>111.09</v>
      </c>
      <c r="Q1420" s="7">
        <v>75.540000000000006</v>
      </c>
      <c r="R1420" s="7">
        <v>6332.37</v>
      </c>
      <c r="S1420" s="7">
        <v>0.2</v>
      </c>
      <c r="T1420" s="7">
        <v>1266.47</v>
      </c>
      <c r="U1420" s="7">
        <v>5065.8999999999996</v>
      </c>
      <c r="V1420" s="7">
        <v>4305.95</v>
      </c>
      <c r="W1420" s="7">
        <v>759.95</v>
      </c>
      <c r="X1420" s="7" t="s">
        <v>45</v>
      </c>
    </row>
    <row r="1421" spans="1:24" x14ac:dyDescent="0.25">
      <c r="A1421" s="16" t="s">
        <v>1928</v>
      </c>
      <c r="B1421" s="17">
        <v>45313</v>
      </c>
      <c r="C1421" s="6" t="s">
        <v>433</v>
      </c>
      <c r="D1421" s="6" t="s">
        <v>22</v>
      </c>
      <c r="E1421" s="6" t="s">
        <v>209</v>
      </c>
      <c r="F1421" s="6" t="s">
        <v>210</v>
      </c>
      <c r="G1421" s="6" t="s">
        <v>51</v>
      </c>
      <c r="H1421" s="6" t="s">
        <v>116</v>
      </c>
      <c r="I1421" s="6" t="s">
        <v>27</v>
      </c>
      <c r="J1421" s="6" t="s">
        <v>211</v>
      </c>
      <c r="K1421" s="6" t="s">
        <v>253</v>
      </c>
      <c r="L1421" s="6" t="s">
        <v>2676</v>
      </c>
      <c r="M1421" s="6" t="s">
        <v>43</v>
      </c>
      <c r="N1421" s="6" t="s">
        <v>84</v>
      </c>
      <c r="O1421" s="6">
        <v>61</v>
      </c>
      <c r="P1421" s="6">
        <v>17.53</v>
      </c>
      <c r="Q1421" s="6">
        <v>9.43</v>
      </c>
      <c r="R1421" s="6">
        <v>1069.4000000000001</v>
      </c>
      <c r="S1421" s="6">
        <v>0.05</v>
      </c>
      <c r="T1421" s="6">
        <v>53.47</v>
      </c>
      <c r="U1421" s="6">
        <v>1015.93</v>
      </c>
      <c r="V1421" s="6">
        <v>575.14</v>
      </c>
      <c r="W1421" s="6">
        <v>440.79</v>
      </c>
      <c r="X1421" s="6" t="s">
        <v>45</v>
      </c>
    </row>
    <row r="1422" spans="1:24" x14ac:dyDescent="0.25">
      <c r="A1422" s="5" t="s">
        <v>1929</v>
      </c>
      <c r="B1422" s="18">
        <v>45558</v>
      </c>
      <c r="C1422" s="7" t="s">
        <v>744</v>
      </c>
      <c r="D1422" s="7" t="s">
        <v>65</v>
      </c>
      <c r="E1422" s="7" t="s">
        <v>250</v>
      </c>
      <c r="F1422" s="7" t="s">
        <v>251</v>
      </c>
      <c r="G1422" s="7" t="s">
        <v>51</v>
      </c>
      <c r="H1422" s="7" t="s">
        <v>252</v>
      </c>
      <c r="I1422" s="7" t="s">
        <v>40</v>
      </c>
      <c r="J1422" s="7" t="s">
        <v>41</v>
      </c>
      <c r="K1422" s="7" t="s">
        <v>83</v>
      </c>
      <c r="L1422" s="7" t="s">
        <v>2665</v>
      </c>
      <c r="M1422" s="7" t="s">
        <v>43</v>
      </c>
      <c r="N1422" s="7" t="s">
        <v>70</v>
      </c>
      <c r="O1422" s="7">
        <v>44</v>
      </c>
      <c r="P1422" s="7">
        <v>62.02</v>
      </c>
      <c r="Q1422" s="7">
        <v>35.15</v>
      </c>
      <c r="R1422" s="7">
        <v>2728.72</v>
      </c>
      <c r="S1422" s="7">
        <v>0.2</v>
      </c>
      <c r="T1422" s="7">
        <v>545.74</v>
      </c>
      <c r="U1422" s="7">
        <v>1946.54</v>
      </c>
      <c r="V1422" s="7">
        <v>1546.57</v>
      </c>
      <c r="W1422" s="7">
        <v>636.4</v>
      </c>
      <c r="X1422" s="7" t="s">
        <v>45</v>
      </c>
    </row>
    <row r="1423" spans="1:24" x14ac:dyDescent="0.25">
      <c r="A1423" s="16" t="s">
        <v>1930</v>
      </c>
      <c r="B1423" s="17">
        <v>45338</v>
      </c>
      <c r="C1423" s="6" t="s">
        <v>155</v>
      </c>
      <c r="D1423" s="6" t="s">
        <v>156</v>
      </c>
      <c r="E1423" s="6" t="s">
        <v>216</v>
      </c>
      <c r="F1423" s="6" t="s">
        <v>217</v>
      </c>
      <c r="G1423" s="6" t="s">
        <v>38</v>
      </c>
      <c r="H1423" s="6" t="s">
        <v>134</v>
      </c>
      <c r="I1423" s="6" t="s">
        <v>27</v>
      </c>
      <c r="J1423" s="6" t="s">
        <v>211</v>
      </c>
      <c r="K1423" s="6" t="s">
        <v>152</v>
      </c>
      <c r="L1423" s="6" t="s">
        <v>2670</v>
      </c>
      <c r="M1423" s="6" t="s">
        <v>43</v>
      </c>
      <c r="N1423" s="6" t="s">
        <v>70</v>
      </c>
      <c r="O1423" s="6">
        <v>28</v>
      </c>
      <c r="P1423" s="6">
        <v>116.9</v>
      </c>
      <c r="Q1423" s="6">
        <v>68.41</v>
      </c>
      <c r="R1423" s="6">
        <v>3273.2</v>
      </c>
      <c r="S1423" s="6">
        <v>0.2</v>
      </c>
      <c r="T1423" s="6">
        <v>654.64</v>
      </c>
      <c r="U1423" s="6">
        <v>2618.56</v>
      </c>
      <c r="V1423" s="6">
        <v>1915.36</v>
      </c>
      <c r="W1423" s="6">
        <v>703.2</v>
      </c>
      <c r="X1423" s="6" t="s">
        <v>45</v>
      </c>
    </row>
    <row r="1424" spans="1:24" x14ac:dyDescent="0.25">
      <c r="A1424" s="5" t="s">
        <v>1931</v>
      </c>
      <c r="B1424" s="18">
        <v>45530</v>
      </c>
      <c r="C1424" s="7" t="s">
        <v>519</v>
      </c>
      <c r="D1424" s="7" t="s">
        <v>121</v>
      </c>
      <c r="E1424" s="7" t="s">
        <v>187</v>
      </c>
      <c r="F1424" s="7" t="s">
        <v>188</v>
      </c>
      <c r="G1424" s="7" t="s">
        <v>25</v>
      </c>
      <c r="H1424" s="7" t="s">
        <v>26</v>
      </c>
      <c r="I1424" s="7" t="s">
        <v>27</v>
      </c>
      <c r="J1424" s="7" t="s">
        <v>106</v>
      </c>
      <c r="K1424" s="7" t="s">
        <v>83</v>
      </c>
      <c r="L1424" s="7" t="s">
        <v>2665</v>
      </c>
      <c r="M1424" s="7" t="s">
        <v>43</v>
      </c>
      <c r="N1424" s="7" t="s">
        <v>44</v>
      </c>
      <c r="O1424" s="7">
        <v>20</v>
      </c>
      <c r="P1424" s="7">
        <v>47.99</v>
      </c>
      <c r="Q1424" s="7">
        <v>28.62</v>
      </c>
      <c r="R1424" s="7">
        <v>959.75</v>
      </c>
      <c r="S1424" s="7">
        <v>0</v>
      </c>
      <c r="T1424" s="7">
        <v>0</v>
      </c>
      <c r="U1424" s="7">
        <v>959.75</v>
      </c>
      <c r="V1424" s="7">
        <v>572.48</v>
      </c>
      <c r="W1424" s="7">
        <v>387.27</v>
      </c>
      <c r="X1424" s="7" t="s">
        <v>129</v>
      </c>
    </row>
    <row r="1425" spans="1:24" x14ac:dyDescent="0.25">
      <c r="A1425" s="16" t="s">
        <v>1932</v>
      </c>
      <c r="B1425" s="17">
        <v>45319</v>
      </c>
      <c r="C1425" s="6" t="s">
        <v>404</v>
      </c>
      <c r="D1425" s="6" t="s">
        <v>87</v>
      </c>
      <c r="E1425" s="6" t="s">
        <v>187</v>
      </c>
      <c r="F1425" s="6" t="s">
        <v>188</v>
      </c>
      <c r="G1425" s="6" t="s">
        <v>25</v>
      </c>
      <c r="H1425" s="6" t="s">
        <v>26</v>
      </c>
      <c r="I1425" s="6" t="s">
        <v>58</v>
      </c>
      <c r="J1425" s="6" t="s">
        <v>59</v>
      </c>
      <c r="K1425" s="6" t="s">
        <v>144</v>
      </c>
      <c r="L1425" s="6" t="s">
        <v>2669</v>
      </c>
      <c r="M1425" s="6" t="s">
        <v>30</v>
      </c>
      <c r="N1425" s="6" t="s">
        <v>75</v>
      </c>
      <c r="O1425" s="6">
        <v>13</v>
      </c>
      <c r="P1425" s="6">
        <v>51.43</v>
      </c>
      <c r="Q1425" s="6">
        <v>28.54</v>
      </c>
      <c r="R1425" s="6">
        <v>668.6</v>
      </c>
      <c r="S1425" s="6">
        <v>0.15</v>
      </c>
      <c r="T1425" s="6">
        <v>100.29</v>
      </c>
      <c r="U1425" s="6">
        <v>568.30999999999995</v>
      </c>
      <c r="V1425" s="6">
        <v>370.98</v>
      </c>
      <c r="W1425" s="6">
        <v>197.33</v>
      </c>
      <c r="X1425" s="6" t="s">
        <v>45</v>
      </c>
    </row>
    <row r="1426" spans="1:24" x14ac:dyDescent="0.25">
      <c r="A1426" s="5" t="s">
        <v>1933</v>
      </c>
      <c r="B1426" s="18">
        <v>45347</v>
      </c>
      <c r="C1426" s="7" t="s">
        <v>418</v>
      </c>
      <c r="D1426" s="7" t="s">
        <v>159</v>
      </c>
      <c r="E1426" s="7" t="s">
        <v>49</v>
      </c>
      <c r="F1426" s="7" t="s">
        <v>50</v>
      </c>
      <c r="G1426" s="7" t="s">
        <v>51</v>
      </c>
      <c r="H1426" s="7" t="s">
        <v>52</v>
      </c>
      <c r="I1426" s="7" t="s">
        <v>88</v>
      </c>
      <c r="J1426" s="7" t="s">
        <v>183</v>
      </c>
      <c r="K1426" s="7" t="s">
        <v>144</v>
      </c>
      <c r="L1426" s="7" t="s">
        <v>2669</v>
      </c>
      <c r="M1426" s="7" t="s">
        <v>61</v>
      </c>
      <c r="N1426" s="7" t="s">
        <v>84</v>
      </c>
      <c r="O1426" s="7">
        <v>57</v>
      </c>
      <c r="P1426" s="7">
        <v>24.99</v>
      </c>
      <c r="Q1426" s="7">
        <v>12.12</v>
      </c>
      <c r="R1426" s="7">
        <v>1424.6</v>
      </c>
      <c r="S1426" s="7">
        <v>0.2</v>
      </c>
      <c r="T1426" s="7">
        <v>284.92</v>
      </c>
      <c r="U1426" s="7">
        <v>1139.68</v>
      </c>
      <c r="V1426" s="7">
        <v>690.86</v>
      </c>
      <c r="W1426" s="7">
        <v>448.83</v>
      </c>
      <c r="X1426" s="7" t="s">
        <v>129</v>
      </c>
    </row>
    <row r="1427" spans="1:24" x14ac:dyDescent="0.25">
      <c r="A1427" s="16" t="s">
        <v>1934</v>
      </c>
      <c r="B1427" s="17">
        <v>45556</v>
      </c>
      <c r="C1427" s="6" t="s">
        <v>1575</v>
      </c>
      <c r="D1427" s="6" t="s">
        <v>57</v>
      </c>
      <c r="E1427" s="6" t="s">
        <v>36</v>
      </c>
      <c r="F1427" s="6" t="s">
        <v>37</v>
      </c>
      <c r="G1427" s="6" t="s">
        <v>38</v>
      </c>
      <c r="H1427" s="6" t="s">
        <v>39</v>
      </c>
      <c r="I1427" s="6" t="s">
        <v>58</v>
      </c>
      <c r="J1427" s="6" t="s">
        <v>73</v>
      </c>
      <c r="K1427" s="6"/>
      <c r="L1427" s="6"/>
      <c r="M1427" s="6" t="s">
        <v>61</v>
      </c>
      <c r="N1427" s="6" t="s">
        <v>31</v>
      </c>
      <c r="O1427" s="6">
        <v>11</v>
      </c>
      <c r="P1427" s="6">
        <v>159.02000000000001</v>
      </c>
      <c r="Q1427" s="6">
        <v>106.87</v>
      </c>
      <c r="R1427" s="6">
        <v>1749.26</v>
      </c>
      <c r="S1427" s="6">
        <v>0.15</v>
      </c>
      <c r="T1427" s="6">
        <v>262.39</v>
      </c>
      <c r="U1427" s="6">
        <v>1486.87</v>
      </c>
      <c r="V1427" s="6">
        <v>1175.6199999999999</v>
      </c>
      <c r="W1427" s="6">
        <v>311.25</v>
      </c>
      <c r="X1427" s="6" t="s">
        <v>129</v>
      </c>
    </row>
    <row r="1428" spans="1:24" x14ac:dyDescent="0.25">
      <c r="A1428" s="5" t="s">
        <v>1935</v>
      </c>
      <c r="B1428" s="18">
        <v>45582</v>
      </c>
      <c r="C1428" s="7" t="s">
        <v>384</v>
      </c>
      <c r="D1428" s="7" t="s">
        <v>57</v>
      </c>
      <c r="E1428" s="7" t="s">
        <v>109</v>
      </c>
      <c r="F1428" s="7" t="s">
        <v>110</v>
      </c>
      <c r="G1428" s="7" t="s">
        <v>80</v>
      </c>
      <c r="H1428" s="7" t="s">
        <v>81</v>
      </c>
      <c r="I1428" s="7" t="s">
        <v>88</v>
      </c>
      <c r="J1428" s="7" t="s">
        <v>89</v>
      </c>
      <c r="K1428" s="7" t="s">
        <v>111</v>
      </c>
      <c r="L1428" s="7" t="s">
        <v>2667</v>
      </c>
      <c r="M1428" s="7" t="s">
        <v>30</v>
      </c>
      <c r="N1428" s="7" t="s">
        <v>70</v>
      </c>
      <c r="O1428" s="7">
        <v>11</v>
      </c>
      <c r="P1428" s="7">
        <v>130.15</v>
      </c>
      <c r="Q1428" s="7">
        <v>78.709999999999994</v>
      </c>
      <c r="R1428" s="7">
        <v>1431.6</v>
      </c>
      <c r="S1428" s="7">
        <v>0.02</v>
      </c>
      <c r="T1428" s="7">
        <v>28.63</v>
      </c>
      <c r="U1428" s="7">
        <v>1402.97</v>
      </c>
      <c r="V1428" s="7">
        <v>865.83</v>
      </c>
      <c r="W1428" s="7">
        <v>537.14</v>
      </c>
      <c r="X1428" s="7" t="s">
        <v>32</v>
      </c>
    </row>
    <row r="1429" spans="1:24" x14ac:dyDescent="0.25">
      <c r="A1429" s="16" t="s">
        <v>1936</v>
      </c>
      <c r="B1429" s="17">
        <v>45339</v>
      </c>
      <c r="C1429" s="6" t="s">
        <v>794</v>
      </c>
      <c r="D1429" s="6" t="s">
        <v>65</v>
      </c>
      <c r="E1429" s="6" t="s">
        <v>165</v>
      </c>
      <c r="F1429" s="6" t="s">
        <v>166</v>
      </c>
      <c r="G1429" s="6" t="s">
        <v>95</v>
      </c>
      <c r="H1429" s="6" t="s">
        <v>167</v>
      </c>
      <c r="I1429" s="6" t="s">
        <v>27</v>
      </c>
      <c r="J1429" s="6" t="s">
        <v>211</v>
      </c>
      <c r="K1429" s="6" t="s">
        <v>90</v>
      </c>
      <c r="L1429" s="6" t="s">
        <v>2666</v>
      </c>
      <c r="M1429" s="6" t="s">
        <v>61</v>
      </c>
      <c r="N1429" s="6" t="s">
        <v>31</v>
      </c>
      <c r="O1429" s="6">
        <v>29</v>
      </c>
      <c r="P1429" s="6">
        <v>44.93</v>
      </c>
      <c r="Q1429" s="6">
        <v>23.55</v>
      </c>
      <c r="R1429" s="6">
        <v>1303.1099999999999</v>
      </c>
      <c r="S1429" s="6">
        <v>0</v>
      </c>
      <c r="T1429" s="6">
        <v>0</v>
      </c>
      <c r="U1429" s="6">
        <v>1303.1099999999999</v>
      </c>
      <c r="V1429" s="6">
        <v>682.95</v>
      </c>
      <c r="W1429" s="6">
        <v>620.16</v>
      </c>
      <c r="X1429" s="6" t="s">
        <v>129</v>
      </c>
    </row>
    <row r="1430" spans="1:24" x14ac:dyDescent="0.25">
      <c r="A1430" s="5" t="s">
        <v>1937</v>
      </c>
      <c r="B1430" s="18">
        <v>45461</v>
      </c>
      <c r="C1430" s="7" t="s">
        <v>291</v>
      </c>
      <c r="D1430" s="7" t="s">
        <v>57</v>
      </c>
      <c r="E1430" s="7" t="s">
        <v>216</v>
      </c>
      <c r="F1430" s="7" t="s">
        <v>217</v>
      </c>
      <c r="G1430" s="7" t="s">
        <v>38</v>
      </c>
      <c r="H1430" s="7" t="s">
        <v>134</v>
      </c>
      <c r="I1430" s="7" t="s">
        <v>88</v>
      </c>
      <c r="J1430" s="7" t="s">
        <v>135</v>
      </c>
      <c r="K1430" s="7" t="s">
        <v>144</v>
      </c>
      <c r="L1430" s="7" t="s">
        <v>2669</v>
      </c>
      <c r="M1430" s="7" t="s">
        <v>43</v>
      </c>
      <c r="N1430" s="7" t="s">
        <v>84</v>
      </c>
      <c r="O1430" s="7">
        <v>49</v>
      </c>
      <c r="P1430" s="7">
        <v>101.65</v>
      </c>
      <c r="Q1430" s="7">
        <v>63.09</v>
      </c>
      <c r="R1430" s="7">
        <v>4981.0600000000004</v>
      </c>
      <c r="S1430" s="7">
        <v>0.02</v>
      </c>
      <c r="T1430" s="7">
        <v>99.62</v>
      </c>
      <c r="U1430" s="7">
        <v>4881.4399999999996</v>
      </c>
      <c r="V1430" s="7">
        <v>3091.36</v>
      </c>
      <c r="W1430" s="7">
        <v>1790.08</v>
      </c>
      <c r="X1430" s="7" t="s">
        <v>45</v>
      </c>
    </row>
    <row r="1431" spans="1:24" x14ac:dyDescent="0.25">
      <c r="A1431" s="16" t="s">
        <v>1938</v>
      </c>
      <c r="B1431" s="17">
        <v>45368</v>
      </c>
      <c r="C1431" s="6" t="s">
        <v>961</v>
      </c>
      <c r="D1431" s="6" t="s">
        <v>87</v>
      </c>
      <c r="E1431" s="6" t="s">
        <v>36</v>
      </c>
      <c r="F1431" s="6" t="s">
        <v>37</v>
      </c>
      <c r="G1431" s="6" t="s">
        <v>38</v>
      </c>
      <c r="H1431" s="6" t="s">
        <v>39</v>
      </c>
      <c r="I1431" s="6" t="s">
        <v>58</v>
      </c>
      <c r="J1431" s="6" t="s">
        <v>73</v>
      </c>
      <c r="K1431" s="6" t="s">
        <v>261</v>
      </c>
      <c r="L1431" s="6" t="s">
        <v>2677</v>
      </c>
      <c r="M1431" s="6" t="s">
        <v>61</v>
      </c>
      <c r="N1431" s="6" t="s">
        <v>75</v>
      </c>
      <c r="O1431" s="6">
        <v>38</v>
      </c>
      <c r="P1431" s="6">
        <v>171.3</v>
      </c>
      <c r="Q1431" s="6">
        <v>91.3</v>
      </c>
      <c r="R1431" s="6">
        <v>6509.49</v>
      </c>
      <c r="S1431" s="6">
        <v>0.02</v>
      </c>
      <c r="T1431" s="6">
        <v>130.19</v>
      </c>
      <c r="U1431" s="6">
        <v>6379.3</v>
      </c>
      <c r="V1431" s="6">
        <v>3469.31</v>
      </c>
      <c r="W1431" s="6">
        <v>2909.98</v>
      </c>
      <c r="X1431" s="6" t="s">
        <v>45</v>
      </c>
    </row>
    <row r="1432" spans="1:24" x14ac:dyDescent="0.25">
      <c r="A1432" s="5" t="s">
        <v>1939</v>
      </c>
      <c r="B1432" s="18">
        <v>45504</v>
      </c>
      <c r="C1432" s="7" t="s">
        <v>1887</v>
      </c>
      <c r="D1432" s="7" t="s">
        <v>159</v>
      </c>
      <c r="E1432" s="7" t="s">
        <v>209</v>
      </c>
      <c r="F1432" s="7" t="s">
        <v>210</v>
      </c>
      <c r="G1432" s="7" t="s">
        <v>51</v>
      </c>
      <c r="H1432" s="7" t="s">
        <v>116</v>
      </c>
      <c r="I1432" s="7" t="s">
        <v>88</v>
      </c>
      <c r="J1432" s="7" t="s">
        <v>1213</v>
      </c>
      <c r="K1432" s="7" t="s">
        <v>178</v>
      </c>
      <c r="L1432" s="7" t="s">
        <v>256</v>
      </c>
      <c r="M1432" s="7" t="s">
        <v>43</v>
      </c>
      <c r="N1432" s="7" t="s">
        <v>75</v>
      </c>
      <c r="O1432" s="7">
        <v>10</v>
      </c>
      <c r="P1432" s="7">
        <v>17.760000000000002</v>
      </c>
      <c r="Q1432" s="7">
        <v>9.4600000000000009</v>
      </c>
      <c r="R1432" s="7">
        <v>177.62</v>
      </c>
      <c r="S1432" s="7">
        <v>0.1</v>
      </c>
      <c r="T1432" s="7">
        <v>17.760000000000002</v>
      </c>
      <c r="U1432" s="7">
        <v>159.85</v>
      </c>
      <c r="V1432" s="7">
        <v>94.56</v>
      </c>
      <c r="W1432" s="7">
        <v>65.290000000000006</v>
      </c>
      <c r="X1432" s="7" t="s">
        <v>32</v>
      </c>
    </row>
    <row r="1433" spans="1:24" x14ac:dyDescent="0.25">
      <c r="A1433" s="16" t="s">
        <v>1940</v>
      </c>
      <c r="B1433" s="17">
        <v>45437</v>
      </c>
      <c r="C1433" s="6" t="s">
        <v>1134</v>
      </c>
      <c r="D1433" s="6" t="s">
        <v>159</v>
      </c>
      <c r="E1433" s="6" t="s">
        <v>78</v>
      </c>
      <c r="F1433" s="6" t="s">
        <v>79</v>
      </c>
      <c r="G1433" s="6" t="s">
        <v>80</v>
      </c>
      <c r="H1433" s="6" t="s">
        <v>81</v>
      </c>
      <c r="I1433" s="6" t="s">
        <v>27</v>
      </c>
      <c r="J1433" s="6" t="s">
        <v>28</v>
      </c>
      <c r="K1433" s="6" t="s">
        <v>261</v>
      </c>
      <c r="L1433" s="6" t="s">
        <v>2677</v>
      </c>
      <c r="M1433" s="6" t="s">
        <v>61</v>
      </c>
      <c r="N1433" s="6" t="s">
        <v>44</v>
      </c>
      <c r="O1433" s="6">
        <v>24</v>
      </c>
      <c r="P1433" s="6">
        <v>141.80000000000001</v>
      </c>
      <c r="Q1433" s="6">
        <v>0</v>
      </c>
      <c r="R1433" s="6">
        <v>3403.1</v>
      </c>
      <c r="S1433" s="6">
        <v>0.02</v>
      </c>
      <c r="T1433" s="6">
        <v>68.06</v>
      </c>
      <c r="U1433" s="6">
        <v>3335.04</v>
      </c>
      <c r="V1433" s="6">
        <v>1978.58</v>
      </c>
      <c r="W1433" s="6">
        <v>1356.46</v>
      </c>
      <c r="X1433" s="6" t="s">
        <v>45</v>
      </c>
    </row>
    <row r="1434" spans="1:24" x14ac:dyDescent="0.25">
      <c r="A1434" s="5" t="s">
        <v>1941</v>
      </c>
      <c r="B1434" s="18">
        <v>45456</v>
      </c>
      <c r="C1434" s="7" t="s">
        <v>1881</v>
      </c>
      <c r="D1434" s="7" t="s">
        <v>87</v>
      </c>
      <c r="E1434" s="7" t="s">
        <v>132</v>
      </c>
      <c r="F1434" s="7" t="s">
        <v>133</v>
      </c>
      <c r="G1434" s="7" t="s">
        <v>51</v>
      </c>
      <c r="H1434" s="7" t="s">
        <v>134</v>
      </c>
      <c r="I1434" s="7" t="s">
        <v>53</v>
      </c>
      <c r="J1434" s="7" t="s">
        <v>232</v>
      </c>
      <c r="K1434" s="7" t="s">
        <v>253</v>
      </c>
      <c r="L1434" s="7" t="s">
        <v>2676</v>
      </c>
      <c r="M1434" s="7" t="s">
        <v>547</v>
      </c>
      <c r="N1434" s="7" t="s">
        <v>75</v>
      </c>
      <c r="O1434" s="7">
        <v>3</v>
      </c>
      <c r="P1434" s="7">
        <v>64.010000000000005</v>
      </c>
      <c r="Q1434" s="7">
        <v>32.020000000000003</v>
      </c>
      <c r="R1434" s="7">
        <v>192.02</v>
      </c>
      <c r="S1434" s="7">
        <v>0.02</v>
      </c>
      <c r="T1434" s="7">
        <v>3.84</v>
      </c>
      <c r="U1434" s="7">
        <v>188.18</v>
      </c>
      <c r="V1434" s="7">
        <v>96.07</v>
      </c>
      <c r="W1434" s="7">
        <v>92.11</v>
      </c>
      <c r="X1434" s="7" t="s">
        <v>45</v>
      </c>
    </row>
    <row r="1435" spans="1:24" x14ac:dyDescent="0.25">
      <c r="A1435" s="16" t="s">
        <v>1942</v>
      </c>
      <c r="B1435" s="17">
        <v>45455</v>
      </c>
      <c r="C1435" s="6" t="s">
        <v>314</v>
      </c>
      <c r="D1435" s="6" t="s">
        <v>163</v>
      </c>
      <c r="E1435" s="6" t="s">
        <v>209</v>
      </c>
      <c r="F1435" s="6" t="s">
        <v>210</v>
      </c>
      <c r="G1435" s="6" t="s">
        <v>51</v>
      </c>
      <c r="H1435" s="6" t="s">
        <v>116</v>
      </c>
      <c r="I1435" s="6" t="s">
        <v>58</v>
      </c>
      <c r="J1435" s="6" t="s">
        <v>59</v>
      </c>
      <c r="K1435" s="6" t="s">
        <v>248</v>
      </c>
      <c r="L1435" s="6" t="s">
        <v>2675</v>
      </c>
      <c r="M1435" s="6" t="s">
        <v>30</v>
      </c>
      <c r="N1435" s="6" t="s">
        <v>75</v>
      </c>
      <c r="O1435" s="6">
        <v>45</v>
      </c>
      <c r="P1435" s="6">
        <v>18.89</v>
      </c>
      <c r="Q1435" s="6">
        <v>10.72</v>
      </c>
      <c r="R1435" s="6">
        <v>849.95</v>
      </c>
      <c r="S1435" s="6">
        <v>0.1</v>
      </c>
      <c r="T1435" s="6">
        <v>84.99</v>
      </c>
      <c r="U1435" s="6">
        <v>764.95</v>
      </c>
      <c r="V1435" s="6">
        <v>482.23</v>
      </c>
      <c r="W1435" s="6">
        <v>282.72000000000003</v>
      </c>
      <c r="X1435" s="6" t="s">
        <v>32</v>
      </c>
    </row>
    <row r="1436" spans="1:24" x14ac:dyDescent="0.25">
      <c r="A1436" s="5" t="s">
        <v>1943</v>
      </c>
      <c r="B1436" s="18">
        <v>45541</v>
      </c>
      <c r="C1436" s="7" t="s">
        <v>220</v>
      </c>
      <c r="D1436" s="7" t="s">
        <v>221</v>
      </c>
      <c r="E1436" s="7" t="s">
        <v>49</v>
      </c>
      <c r="F1436" s="7" t="s">
        <v>50</v>
      </c>
      <c r="G1436" s="7" t="s">
        <v>51</v>
      </c>
      <c r="H1436" s="7" t="s">
        <v>52</v>
      </c>
      <c r="I1436" s="7" t="s">
        <v>53</v>
      </c>
      <c r="J1436" s="7" t="s">
        <v>122</v>
      </c>
      <c r="K1436" s="7" t="s">
        <v>74</v>
      </c>
      <c r="L1436" s="7" t="s">
        <v>2664</v>
      </c>
      <c r="M1436" s="7" t="s">
        <v>153</v>
      </c>
      <c r="N1436" s="7" t="s">
        <v>70</v>
      </c>
      <c r="O1436" s="7">
        <v>7</v>
      </c>
      <c r="P1436" s="7">
        <v>23.84</v>
      </c>
      <c r="Q1436" s="7">
        <v>12.73</v>
      </c>
      <c r="R1436" s="7">
        <v>166.85</v>
      </c>
      <c r="S1436" s="7">
        <v>0.15</v>
      </c>
      <c r="T1436" s="7">
        <v>25.03</v>
      </c>
      <c r="U1436" s="7">
        <v>141.82</v>
      </c>
      <c r="V1436" s="7">
        <v>89.09</v>
      </c>
      <c r="W1436" s="7">
        <v>52.73</v>
      </c>
      <c r="X1436" s="7" t="s">
        <v>32</v>
      </c>
    </row>
    <row r="1437" spans="1:24" x14ac:dyDescent="0.25">
      <c r="A1437" s="16" t="s">
        <v>1944</v>
      </c>
      <c r="B1437" s="17">
        <v>45489</v>
      </c>
      <c r="C1437" s="6" t="s">
        <v>732</v>
      </c>
      <c r="D1437" s="6" t="s">
        <v>35</v>
      </c>
      <c r="E1437" s="6" t="s">
        <v>150</v>
      </c>
      <c r="F1437" s="6" t="s">
        <v>151</v>
      </c>
      <c r="G1437" s="6" t="s">
        <v>101</v>
      </c>
      <c r="H1437" s="6" t="s">
        <v>134</v>
      </c>
      <c r="I1437" s="6" t="s">
        <v>53</v>
      </c>
      <c r="J1437" s="6" t="s">
        <v>143</v>
      </c>
      <c r="K1437" s="6" t="s">
        <v>74</v>
      </c>
      <c r="L1437" s="6" t="s">
        <v>2664</v>
      </c>
      <c r="M1437" s="6" t="s">
        <v>153</v>
      </c>
      <c r="N1437" s="6" t="s">
        <v>44</v>
      </c>
      <c r="O1437" s="6">
        <v>49</v>
      </c>
      <c r="P1437" s="6">
        <v>82.17</v>
      </c>
      <c r="Q1437" s="6">
        <v>49.91</v>
      </c>
      <c r="R1437" s="6">
        <v>4026.49</v>
      </c>
      <c r="S1437" s="6">
        <v>0.15</v>
      </c>
      <c r="T1437" s="6">
        <v>603.97</v>
      </c>
      <c r="U1437" s="6">
        <v>3422.51</v>
      </c>
      <c r="V1437" s="6">
        <v>2445.5700000000002</v>
      </c>
      <c r="W1437" s="6">
        <v>976.95</v>
      </c>
      <c r="X1437" s="6" t="s">
        <v>45</v>
      </c>
    </row>
    <row r="1438" spans="1:24" x14ac:dyDescent="0.25">
      <c r="A1438" s="5" t="s">
        <v>1945</v>
      </c>
      <c r="B1438" s="18">
        <v>45513</v>
      </c>
      <c r="C1438" s="7" t="s">
        <v>1380</v>
      </c>
      <c r="D1438" s="7" t="s">
        <v>121</v>
      </c>
      <c r="E1438" s="7" t="s">
        <v>36</v>
      </c>
      <c r="F1438" s="7" t="s">
        <v>37</v>
      </c>
      <c r="G1438" s="7" t="s">
        <v>38</v>
      </c>
      <c r="H1438" s="7" t="s">
        <v>39</v>
      </c>
      <c r="I1438" s="7" t="s">
        <v>40</v>
      </c>
      <c r="J1438" s="7" t="s">
        <v>117</v>
      </c>
      <c r="K1438" s="7" t="s">
        <v>178</v>
      </c>
      <c r="L1438" s="7" t="s">
        <v>256</v>
      </c>
      <c r="M1438" s="7" t="s">
        <v>61</v>
      </c>
      <c r="N1438" s="7" t="s">
        <v>44</v>
      </c>
      <c r="O1438" s="7">
        <v>32</v>
      </c>
      <c r="P1438" s="7">
        <v>165.16</v>
      </c>
      <c r="Q1438" s="7">
        <v>100.77</v>
      </c>
      <c r="R1438" s="7">
        <v>5284.97</v>
      </c>
      <c r="S1438" s="7">
        <v>0.1</v>
      </c>
      <c r="T1438" s="7">
        <v>528.5</v>
      </c>
      <c r="U1438" s="7">
        <v>4756.4799999999996</v>
      </c>
      <c r="V1438" s="7">
        <v>3224.49</v>
      </c>
      <c r="W1438" s="7">
        <v>1531.98</v>
      </c>
      <c r="X1438" s="7" t="s">
        <v>32</v>
      </c>
    </row>
    <row r="1439" spans="1:24" x14ac:dyDescent="0.25">
      <c r="A1439" s="16" t="s">
        <v>1946</v>
      </c>
      <c r="B1439" s="17">
        <v>45457</v>
      </c>
      <c r="C1439" s="6" t="s">
        <v>354</v>
      </c>
      <c r="D1439" s="6" t="s">
        <v>163</v>
      </c>
      <c r="E1439" s="6" t="s">
        <v>165</v>
      </c>
      <c r="F1439" s="6" t="s">
        <v>166</v>
      </c>
      <c r="G1439" s="6" t="s">
        <v>95</v>
      </c>
      <c r="H1439" s="6" t="s">
        <v>167</v>
      </c>
      <c r="I1439" s="6" t="s">
        <v>58</v>
      </c>
      <c r="J1439" s="6" t="s">
        <v>323</v>
      </c>
      <c r="K1439" s="6" t="s">
        <v>261</v>
      </c>
      <c r="L1439" s="6" t="s">
        <v>2677</v>
      </c>
      <c r="M1439" s="6" t="s">
        <v>43</v>
      </c>
      <c r="N1439" s="6" t="s">
        <v>75</v>
      </c>
      <c r="O1439" s="6">
        <v>38</v>
      </c>
      <c r="P1439" s="6">
        <v>44.72</v>
      </c>
      <c r="Q1439" s="6">
        <v>24.39</v>
      </c>
      <c r="R1439" s="6">
        <v>1699.21</v>
      </c>
      <c r="S1439" s="6">
        <v>0.05</v>
      </c>
      <c r="T1439" s="6">
        <v>84.96</v>
      </c>
      <c r="U1439" s="6">
        <v>1614.25</v>
      </c>
      <c r="V1439" s="6">
        <v>926.93</v>
      </c>
      <c r="W1439" s="6">
        <v>687.31</v>
      </c>
      <c r="X1439" s="6" t="s">
        <v>45</v>
      </c>
    </row>
    <row r="1440" spans="1:24" x14ac:dyDescent="0.25">
      <c r="A1440" s="5" t="s">
        <v>1947</v>
      </c>
      <c r="B1440" s="18">
        <v>45432</v>
      </c>
      <c r="C1440" s="7" t="s">
        <v>239</v>
      </c>
      <c r="D1440" s="7" t="s">
        <v>65</v>
      </c>
      <c r="E1440" s="7" t="s">
        <v>222</v>
      </c>
      <c r="F1440" s="7" t="s">
        <v>223</v>
      </c>
      <c r="G1440" s="7" t="s">
        <v>101</v>
      </c>
      <c r="H1440" s="7" t="s">
        <v>68</v>
      </c>
      <c r="I1440" s="7" t="s">
        <v>88</v>
      </c>
      <c r="J1440" s="7" t="s">
        <v>183</v>
      </c>
      <c r="K1440" s="7" t="s">
        <v>29</v>
      </c>
      <c r="L1440" s="7" t="s">
        <v>2660</v>
      </c>
      <c r="M1440" s="7" t="s">
        <v>153</v>
      </c>
      <c r="N1440" s="7" t="s">
        <v>31</v>
      </c>
      <c r="O1440" s="7">
        <v>62</v>
      </c>
      <c r="P1440" s="7">
        <v>121.15</v>
      </c>
      <c r="Q1440" s="7">
        <v>78.34</v>
      </c>
      <c r="R1440" s="7">
        <v>7511.13</v>
      </c>
      <c r="S1440" s="7">
        <v>0.02</v>
      </c>
      <c r="T1440" s="7">
        <v>150.22</v>
      </c>
      <c r="U1440" s="7">
        <v>7360.91</v>
      </c>
      <c r="V1440" s="7">
        <v>4857.2</v>
      </c>
      <c r="W1440" s="7">
        <v>2503.71</v>
      </c>
      <c r="X1440" s="7" t="s">
        <v>129</v>
      </c>
    </row>
    <row r="1441" spans="1:24" x14ac:dyDescent="0.25">
      <c r="A1441" s="16" t="s">
        <v>1948</v>
      </c>
      <c r="B1441" s="17">
        <v>45436</v>
      </c>
      <c r="C1441" s="6" t="s">
        <v>696</v>
      </c>
      <c r="D1441" s="6" t="s">
        <v>105</v>
      </c>
      <c r="E1441" s="6" t="s">
        <v>176</v>
      </c>
      <c r="F1441" s="6" t="s">
        <v>177</v>
      </c>
      <c r="G1441" s="6" t="s">
        <v>101</v>
      </c>
      <c r="H1441" s="6" t="s">
        <v>39</v>
      </c>
      <c r="I1441" s="6" t="s">
        <v>88</v>
      </c>
      <c r="J1441" s="6" t="s">
        <v>135</v>
      </c>
      <c r="K1441" s="6" t="s">
        <v>265</v>
      </c>
      <c r="L1441" s="6" t="s">
        <v>2678</v>
      </c>
      <c r="M1441" s="6" t="s">
        <v>61</v>
      </c>
      <c r="N1441" s="6" t="s">
        <v>70</v>
      </c>
      <c r="O1441" s="6">
        <v>17</v>
      </c>
      <c r="P1441" s="6">
        <v>112</v>
      </c>
      <c r="Q1441" s="6">
        <v>62.3</v>
      </c>
      <c r="R1441" s="6">
        <v>1903.99</v>
      </c>
      <c r="S1441" s="6">
        <v>0.02</v>
      </c>
      <c r="T1441" s="6">
        <v>38.08</v>
      </c>
      <c r="U1441" s="6">
        <v>1865.91</v>
      </c>
      <c r="V1441" s="6">
        <v>1059.17</v>
      </c>
      <c r="W1441" s="6">
        <v>806.74</v>
      </c>
      <c r="X1441" s="6" t="s">
        <v>45</v>
      </c>
    </row>
    <row r="1442" spans="1:24" x14ac:dyDescent="0.25">
      <c r="A1442" s="5" t="s">
        <v>1268</v>
      </c>
      <c r="B1442" s="18">
        <v>45656</v>
      </c>
      <c r="C1442" s="7" t="s">
        <v>1075</v>
      </c>
      <c r="D1442" s="7" t="s">
        <v>65</v>
      </c>
      <c r="E1442" s="7" t="s">
        <v>216</v>
      </c>
      <c r="F1442" s="7" t="s">
        <v>217</v>
      </c>
      <c r="G1442" s="7" t="s">
        <v>38</v>
      </c>
      <c r="H1442" s="7" t="s">
        <v>134</v>
      </c>
      <c r="I1442" s="7" t="s">
        <v>58</v>
      </c>
      <c r="J1442" s="7" t="s">
        <v>59</v>
      </c>
      <c r="K1442" s="7" t="s">
        <v>184</v>
      </c>
      <c r="L1442" s="7" t="s">
        <v>2672</v>
      </c>
      <c r="M1442" s="7" t="s">
        <v>43</v>
      </c>
      <c r="N1442" s="7"/>
      <c r="O1442" s="7">
        <v>11</v>
      </c>
      <c r="P1442" s="7">
        <v>107.04</v>
      </c>
      <c r="Q1442" s="7">
        <v>70.81</v>
      </c>
      <c r="R1442" s="7">
        <v>1177.3900000000001</v>
      </c>
      <c r="S1442" s="7">
        <v>1.25</v>
      </c>
      <c r="T1442" s="7">
        <v>58.87</v>
      </c>
      <c r="U1442" s="7">
        <v>1118.52</v>
      </c>
      <c r="V1442" s="7">
        <v>778.87</v>
      </c>
      <c r="W1442" s="7">
        <v>339.66</v>
      </c>
      <c r="X1442" s="7" t="s">
        <v>32</v>
      </c>
    </row>
    <row r="1443" spans="1:24" x14ac:dyDescent="0.25">
      <c r="A1443" s="16" t="s">
        <v>1949</v>
      </c>
      <c r="B1443" s="17">
        <v>45470</v>
      </c>
      <c r="C1443" s="6" t="s">
        <v>146</v>
      </c>
      <c r="D1443" s="6" t="s">
        <v>105</v>
      </c>
      <c r="E1443" s="6" t="s">
        <v>126</v>
      </c>
      <c r="F1443" s="6" t="s">
        <v>127</v>
      </c>
      <c r="G1443" s="6" t="s">
        <v>95</v>
      </c>
      <c r="H1443" s="6" t="s">
        <v>128</v>
      </c>
      <c r="I1443" s="6" t="s">
        <v>40</v>
      </c>
      <c r="J1443" s="6" t="s">
        <v>82</v>
      </c>
      <c r="K1443" s="6" t="s">
        <v>74</v>
      </c>
      <c r="L1443" s="6" t="s">
        <v>2664</v>
      </c>
      <c r="M1443" s="6" t="s">
        <v>153</v>
      </c>
      <c r="N1443" s="6" t="s">
        <v>75</v>
      </c>
      <c r="O1443" s="6">
        <v>27</v>
      </c>
      <c r="P1443" s="6">
        <v>93.48</v>
      </c>
      <c r="Q1443" s="6">
        <v>52.94</v>
      </c>
      <c r="R1443" s="6">
        <v>2523.9499999999998</v>
      </c>
      <c r="S1443" s="6">
        <v>0.2</v>
      </c>
      <c r="T1443" s="6">
        <v>504.79</v>
      </c>
      <c r="U1443" s="6">
        <v>2019.16</v>
      </c>
      <c r="V1443" s="6">
        <v>1429.3</v>
      </c>
      <c r="W1443" s="6">
        <v>589.86</v>
      </c>
      <c r="X1443" s="6" t="s">
        <v>45</v>
      </c>
    </row>
    <row r="1444" spans="1:24" x14ac:dyDescent="0.25">
      <c r="A1444" s="5" t="s">
        <v>1950</v>
      </c>
      <c r="B1444" s="18">
        <v>45399</v>
      </c>
      <c r="C1444" s="7" t="s">
        <v>594</v>
      </c>
      <c r="D1444" s="7" t="s">
        <v>105</v>
      </c>
      <c r="E1444" s="7" t="s">
        <v>250</v>
      </c>
      <c r="F1444" s="7" t="s">
        <v>251</v>
      </c>
      <c r="G1444" s="7" t="s">
        <v>51</v>
      </c>
      <c r="H1444" s="7" t="s">
        <v>252</v>
      </c>
      <c r="I1444" s="7" t="s">
        <v>58</v>
      </c>
      <c r="J1444" s="7" t="s">
        <v>323</v>
      </c>
      <c r="K1444" s="7" t="s">
        <v>90</v>
      </c>
      <c r="L1444" s="7" t="s">
        <v>2666</v>
      </c>
      <c r="M1444" s="7" t="s">
        <v>43</v>
      </c>
      <c r="N1444" s="7" t="s">
        <v>70</v>
      </c>
      <c r="O1444" s="7">
        <v>17</v>
      </c>
      <c r="P1444" s="7">
        <v>61.5</v>
      </c>
      <c r="Q1444" s="7">
        <v>37.340000000000003</v>
      </c>
      <c r="R1444" s="7">
        <v>1045.51</v>
      </c>
      <c r="S1444" s="7">
        <v>0</v>
      </c>
      <c r="T1444" s="7">
        <v>0</v>
      </c>
      <c r="U1444" s="7">
        <v>1045.51</v>
      </c>
      <c r="V1444" s="7">
        <v>634.74</v>
      </c>
      <c r="W1444" s="7">
        <v>410.77</v>
      </c>
      <c r="X1444" s="7" t="s">
        <v>45</v>
      </c>
    </row>
    <row r="1445" spans="1:24" x14ac:dyDescent="0.25">
      <c r="A1445" s="16" t="s">
        <v>1951</v>
      </c>
      <c r="B1445" s="17">
        <v>45486</v>
      </c>
      <c r="C1445" s="6" t="s">
        <v>229</v>
      </c>
      <c r="D1445" s="6" t="s">
        <v>87</v>
      </c>
      <c r="E1445" s="6" t="s">
        <v>132</v>
      </c>
      <c r="F1445" s="6" t="s">
        <v>133</v>
      </c>
      <c r="G1445" s="6" t="s">
        <v>51</v>
      </c>
      <c r="H1445" s="6" t="s">
        <v>134</v>
      </c>
      <c r="I1445" s="6" t="s">
        <v>27</v>
      </c>
      <c r="J1445" s="6" t="s">
        <v>106</v>
      </c>
      <c r="K1445" s="6" t="s">
        <v>111</v>
      </c>
      <c r="L1445" s="6" t="s">
        <v>2667</v>
      </c>
      <c r="M1445" s="6" t="s">
        <v>30</v>
      </c>
      <c r="N1445" s="6" t="s">
        <v>70</v>
      </c>
      <c r="O1445" s="6">
        <v>61</v>
      </c>
      <c r="P1445" s="6">
        <v>61.27</v>
      </c>
      <c r="Q1445" s="6">
        <v>32.130000000000003</v>
      </c>
      <c r="R1445" s="6">
        <v>3737.53</v>
      </c>
      <c r="S1445" s="6">
        <v>0</v>
      </c>
      <c r="T1445" s="6">
        <v>0</v>
      </c>
      <c r="U1445" s="6">
        <v>3737.53</v>
      </c>
      <c r="V1445" s="6">
        <v>1960.01</v>
      </c>
      <c r="W1445" s="6">
        <v>1777.52</v>
      </c>
      <c r="X1445" s="6" t="s">
        <v>45</v>
      </c>
    </row>
    <row r="1446" spans="1:24" x14ac:dyDescent="0.25">
      <c r="A1446" s="5" t="s">
        <v>1952</v>
      </c>
      <c r="B1446" s="18">
        <v>45464</v>
      </c>
      <c r="C1446" s="7" t="s">
        <v>545</v>
      </c>
      <c r="D1446" s="7" t="s">
        <v>105</v>
      </c>
      <c r="E1446" s="7" t="s">
        <v>187</v>
      </c>
      <c r="F1446" s="7" t="s">
        <v>188</v>
      </c>
      <c r="G1446" s="7" t="s">
        <v>25</v>
      </c>
      <c r="H1446" s="7" t="s">
        <v>26</v>
      </c>
      <c r="I1446" s="7" t="s">
        <v>40</v>
      </c>
      <c r="J1446" s="7" t="s">
        <v>41</v>
      </c>
      <c r="K1446" s="7" t="s">
        <v>118</v>
      </c>
      <c r="L1446" s="7" t="s">
        <v>2668</v>
      </c>
      <c r="M1446" s="7" t="s">
        <v>30</v>
      </c>
      <c r="N1446" s="7" t="s">
        <v>84</v>
      </c>
      <c r="O1446" s="7">
        <v>20</v>
      </c>
      <c r="P1446" s="7">
        <v>47.37</v>
      </c>
      <c r="Q1446" s="7">
        <v>27.22</v>
      </c>
      <c r="R1446" s="7">
        <v>947.35</v>
      </c>
      <c r="S1446" s="7">
        <v>0.1</v>
      </c>
      <c r="T1446" s="7">
        <v>94.74</v>
      </c>
      <c r="U1446" s="7">
        <v>852.62</v>
      </c>
      <c r="V1446" s="7">
        <v>544.4</v>
      </c>
      <c r="W1446" s="7">
        <v>308.22000000000003</v>
      </c>
      <c r="X1446" s="7" t="s">
        <v>32</v>
      </c>
    </row>
    <row r="1447" spans="1:24" x14ac:dyDescent="0.25">
      <c r="A1447" s="16" t="s">
        <v>1953</v>
      </c>
      <c r="B1447" s="17">
        <v>45655</v>
      </c>
      <c r="C1447" s="6" t="s">
        <v>384</v>
      </c>
      <c r="D1447" s="6" t="s">
        <v>57</v>
      </c>
      <c r="E1447" s="6" t="s">
        <v>36</v>
      </c>
      <c r="F1447" s="6" t="s">
        <v>37</v>
      </c>
      <c r="G1447" s="6" t="s">
        <v>38</v>
      </c>
      <c r="H1447" s="6" t="s">
        <v>39</v>
      </c>
      <c r="I1447" s="6" t="s">
        <v>58</v>
      </c>
      <c r="J1447" s="6" t="s">
        <v>323</v>
      </c>
      <c r="K1447" s="6" t="s">
        <v>195</v>
      </c>
      <c r="L1447" s="6" t="s">
        <v>2673</v>
      </c>
      <c r="M1447" s="6" t="s">
        <v>61</v>
      </c>
      <c r="N1447" s="6" t="s">
        <v>75</v>
      </c>
      <c r="O1447" s="6">
        <v>39</v>
      </c>
      <c r="P1447" s="6">
        <v>161.28</v>
      </c>
      <c r="Q1447" s="6">
        <v>100.47</v>
      </c>
      <c r="R1447" s="6">
        <v>6290.07</v>
      </c>
      <c r="S1447" s="6">
        <v>0</v>
      </c>
      <c r="T1447" s="6">
        <v>0</v>
      </c>
      <c r="U1447" s="6">
        <v>6290.07</v>
      </c>
      <c r="V1447" s="6">
        <v>3918.42</v>
      </c>
      <c r="W1447" s="6">
        <v>2371.65</v>
      </c>
      <c r="X1447" s="6" t="s">
        <v>129</v>
      </c>
    </row>
    <row r="1448" spans="1:24" x14ac:dyDescent="0.25">
      <c r="A1448" s="5" t="s">
        <v>1954</v>
      </c>
      <c r="B1448" s="18">
        <v>45303</v>
      </c>
      <c r="C1448" s="7" t="s">
        <v>917</v>
      </c>
      <c r="D1448" s="7" t="s">
        <v>57</v>
      </c>
      <c r="E1448" s="7" t="s">
        <v>250</v>
      </c>
      <c r="F1448" s="7" t="s">
        <v>251</v>
      </c>
      <c r="G1448" s="7" t="s">
        <v>51</v>
      </c>
      <c r="H1448" s="7" t="s">
        <v>252</v>
      </c>
      <c r="I1448" s="7" t="s">
        <v>88</v>
      </c>
      <c r="J1448" s="7" t="s">
        <v>89</v>
      </c>
      <c r="K1448" s="7" t="s">
        <v>170</v>
      </c>
      <c r="L1448" s="7" t="s">
        <v>2671</v>
      </c>
      <c r="M1448" s="7" t="s">
        <v>61</v>
      </c>
      <c r="N1448" s="7" t="s">
        <v>31</v>
      </c>
      <c r="O1448" s="7">
        <v>23</v>
      </c>
      <c r="P1448" s="7">
        <v>63.04</v>
      </c>
      <c r="Q1448" s="7">
        <v>38.04</v>
      </c>
      <c r="R1448" s="7">
        <v>1449.99</v>
      </c>
      <c r="S1448" s="7">
        <v>0.05</v>
      </c>
      <c r="T1448" s="7">
        <v>72.5</v>
      </c>
      <c r="U1448" s="7">
        <v>1377.49</v>
      </c>
      <c r="V1448" s="7">
        <v>874.86</v>
      </c>
      <c r="W1448" s="7">
        <v>502.63</v>
      </c>
      <c r="X1448" s="7" t="s">
        <v>129</v>
      </c>
    </row>
    <row r="1449" spans="1:24" x14ac:dyDescent="0.25">
      <c r="A1449" s="16" t="s">
        <v>1955</v>
      </c>
      <c r="B1449" s="17">
        <v>45316</v>
      </c>
      <c r="C1449" s="6" t="s">
        <v>155</v>
      </c>
      <c r="D1449" s="6" t="s">
        <v>156</v>
      </c>
      <c r="E1449" s="6" t="s">
        <v>250</v>
      </c>
      <c r="F1449" s="6" t="s">
        <v>251</v>
      </c>
      <c r="G1449" s="6" t="s">
        <v>51</v>
      </c>
      <c r="H1449" s="6" t="s">
        <v>252</v>
      </c>
      <c r="I1449" s="6" t="s">
        <v>58</v>
      </c>
      <c r="J1449" s="6" t="s">
        <v>345</v>
      </c>
      <c r="K1449" s="6" t="s">
        <v>152</v>
      </c>
      <c r="L1449" s="6" t="s">
        <v>2670</v>
      </c>
      <c r="M1449" s="6" t="s">
        <v>30</v>
      </c>
      <c r="N1449" s="6" t="s">
        <v>70</v>
      </c>
      <c r="O1449" s="6">
        <v>31</v>
      </c>
      <c r="P1449" s="6">
        <v>61.43</v>
      </c>
      <c r="Q1449" s="6">
        <v>36.479999999999997</v>
      </c>
      <c r="R1449" s="6">
        <v>1904.24</v>
      </c>
      <c r="S1449" s="6">
        <v>0.1</v>
      </c>
      <c r="T1449" s="6">
        <v>190.42</v>
      </c>
      <c r="U1449" s="6">
        <v>1713.81</v>
      </c>
      <c r="V1449" s="6">
        <v>1130.93</v>
      </c>
      <c r="W1449" s="6">
        <v>582.89</v>
      </c>
      <c r="X1449" s="6" t="s">
        <v>45</v>
      </c>
    </row>
    <row r="1450" spans="1:24" x14ac:dyDescent="0.25">
      <c r="A1450" s="5" t="s">
        <v>1956</v>
      </c>
      <c r="B1450" s="18">
        <v>45511</v>
      </c>
      <c r="C1450" s="7" t="s">
        <v>506</v>
      </c>
      <c r="D1450" s="7" t="s">
        <v>264</v>
      </c>
      <c r="E1450" s="7" t="s">
        <v>66</v>
      </c>
      <c r="F1450" s="7" t="s">
        <v>67</v>
      </c>
      <c r="G1450" s="7" t="s">
        <v>38</v>
      </c>
      <c r="H1450" s="7" t="s">
        <v>68</v>
      </c>
      <c r="I1450" s="7" t="s">
        <v>712</v>
      </c>
      <c r="J1450" s="7" t="s">
        <v>323</v>
      </c>
      <c r="K1450" s="7" t="s">
        <v>118</v>
      </c>
      <c r="L1450" s="7" t="s">
        <v>2668</v>
      </c>
      <c r="M1450" s="7" t="s">
        <v>61</v>
      </c>
      <c r="N1450" s="7" t="s">
        <v>84</v>
      </c>
      <c r="O1450" s="7">
        <v>32</v>
      </c>
      <c r="P1450" s="7">
        <v>151.04</v>
      </c>
      <c r="Q1450" s="7">
        <v>107.95</v>
      </c>
      <c r="R1450" s="7">
        <v>4833.42</v>
      </c>
      <c r="S1450" s="7">
        <v>25</v>
      </c>
      <c r="T1450" s="7">
        <v>725.01</v>
      </c>
      <c r="U1450" s="7">
        <v>4108.41</v>
      </c>
      <c r="V1450" s="7">
        <v>3454.43</v>
      </c>
      <c r="W1450" s="7">
        <v>653.98</v>
      </c>
      <c r="X1450" s="7" t="s">
        <v>45</v>
      </c>
    </row>
    <row r="1451" spans="1:24" x14ac:dyDescent="0.25">
      <c r="A1451" s="16" t="s">
        <v>1957</v>
      </c>
      <c r="B1451" s="17">
        <v>45301</v>
      </c>
      <c r="C1451" s="6" t="s">
        <v>208</v>
      </c>
      <c r="D1451" s="6" t="s">
        <v>35</v>
      </c>
      <c r="E1451" s="6" t="s">
        <v>109</v>
      </c>
      <c r="F1451" s="6" t="s">
        <v>110</v>
      </c>
      <c r="G1451" s="6" t="s">
        <v>80</v>
      </c>
      <c r="H1451" s="6" t="s">
        <v>81</v>
      </c>
      <c r="I1451" s="6" t="s">
        <v>88</v>
      </c>
      <c r="J1451" s="6" t="s">
        <v>183</v>
      </c>
      <c r="K1451" s="6" t="s">
        <v>144</v>
      </c>
      <c r="L1451" s="6" t="s">
        <v>2669</v>
      </c>
      <c r="M1451" s="6" t="s">
        <v>61</v>
      </c>
      <c r="N1451" s="6" t="s">
        <v>84</v>
      </c>
      <c r="O1451" s="6">
        <v>80</v>
      </c>
      <c r="P1451" s="6">
        <v>117.11</v>
      </c>
      <c r="Q1451" s="6">
        <v>70.709999999999994</v>
      </c>
      <c r="R1451" s="6">
        <v>9368.5499999999993</v>
      </c>
      <c r="S1451" s="6">
        <v>0</v>
      </c>
      <c r="T1451" s="6">
        <v>0</v>
      </c>
      <c r="U1451" s="6">
        <v>9368.5499999999993</v>
      </c>
      <c r="V1451" s="6">
        <v>5657.02</v>
      </c>
      <c r="W1451" s="6">
        <v>3711.53</v>
      </c>
      <c r="X1451" s="6" t="s">
        <v>45</v>
      </c>
    </row>
    <row r="1452" spans="1:24" x14ac:dyDescent="0.25">
      <c r="A1452" s="5" t="s">
        <v>1958</v>
      </c>
      <c r="B1452" s="18">
        <v>45612</v>
      </c>
      <c r="C1452" s="7" t="s">
        <v>21</v>
      </c>
      <c r="D1452" s="7" t="s">
        <v>22</v>
      </c>
      <c r="E1452" s="7" t="s">
        <v>78</v>
      </c>
      <c r="F1452" s="7" t="s">
        <v>79</v>
      </c>
      <c r="G1452" s="7" t="s">
        <v>80</v>
      </c>
      <c r="H1452" s="7" t="s">
        <v>81</v>
      </c>
      <c r="I1452" s="7" t="s">
        <v>58</v>
      </c>
      <c r="J1452" s="7" t="s">
        <v>323</v>
      </c>
      <c r="K1452" s="7" t="s">
        <v>69</v>
      </c>
      <c r="L1452" s="7" t="s">
        <v>2663</v>
      </c>
      <c r="M1452" s="7" t="s">
        <v>30</v>
      </c>
      <c r="N1452" s="7" t="s">
        <v>70</v>
      </c>
      <c r="O1452" s="7">
        <v>64</v>
      </c>
      <c r="P1452" s="7">
        <v>129.81</v>
      </c>
      <c r="Q1452" s="7">
        <v>75.790000000000006</v>
      </c>
      <c r="R1452" s="7">
        <v>8308.0300000000007</v>
      </c>
      <c r="S1452" s="7">
        <v>0.15</v>
      </c>
      <c r="T1452" s="7">
        <v>1246.2</v>
      </c>
      <c r="U1452" s="7">
        <v>7061.82</v>
      </c>
      <c r="V1452" s="7">
        <v>4850.3</v>
      </c>
      <c r="W1452" s="7">
        <v>2211.52</v>
      </c>
      <c r="X1452" s="7" t="s">
        <v>45</v>
      </c>
    </row>
    <row r="1453" spans="1:24" x14ac:dyDescent="0.25">
      <c r="A1453" s="16" t="s">
        <v>1959</v>
      </c>
      <c r="B1453" s="17">
        <v>45624</v>
      </c>
      <c r="C1453" s="6" t="s">
        <v>524</v>
      </c>
      <c r="D1453" s="6" t="s">
        <v>125</v>
      </c>
      <c r="E1453" s="6" t="s">
        <v>150</v>
      </c>
      <c r="F1453" s="6" t="s">
        <v>151</v>
      </c>
      <c r="G1453" s="6" t="s">
        <v>101</v>
      </c>
      <c r="H1453" s="6" t="s">
        <v>134</v>
      </c>
      <c r="I1453" s="6" t="s">
        <v>53</v>
      </c>
      <c r="J1453" s="6" t="s">
        <v>122</v>
      </c>
      <c r="K1453" s="6" t="s">
        <v>152</v>
      </c>
      <c r="L1453" s="6" t="s">
        <v>2670</v>
      </c>
      <c r="M1453" s="6" t="s">
        <v>153</v>
      </c>
      <c r="N1453" s="6" t="s">
        <v>75</v>
      </c>
      <c r="O1453" s="6">
        <v>41</v>
      </c>
      <c r="P1453" s="6">
        <v>80.56</v>
      </c>
      <c r="Q1453" s="6">
        <v>54.24</v>
      </c>
      <c r="R1453" s="6">
        <v>3302.87</v>
      </c>
      <c r="S1453" s="6">
        <v>0.02</v>
      </c>
      <c r="T1453" s="6">
        <v>66.06</v>
      </c>
      <c r="U1453" s="6">
        <v>3236.82</v>
      </c>
      <c r="V1453" s="6">
        <v>2223.7399999999998</v>
      </c>
      <c r="W1453" s="6">
        <v>1013.07</v>
      </c>
      <c r="X1453" s="6" t="s">
        <v>129</v>
      </c>
    </row>
    <row r="1454" spans="1:24" x14ac:dyDescent="0.25">
      <c r="A1454" s="5" t="s">
        <v>1960</v>
      </c>
      <c r="B1454" s="18">
        <v>45332</v>
      </c>
      <c r="C1454" s="7" t="s">
        <v>137</v>
      </c>
      <c r="D1454" s="7" t="s">
        <v>22</v>
      </c>
      <c r="E1454" s="7" t="s">
        <v>132</v>
      </c>
      <c r="F1454" s="7" t="s">
        <v>133</v>
      </c>
      <c r="G1454" s="7" t="s">
        <v>51</v>
      </c>
      <c r="H1454" s="7" t="s">
        <v>134</v>
      </c>
      <c r="I1454" s="7" t="s">
        <v>58</v>
      </c>
      <c r="J1454" s="7" t="s">
        <v>59</v>
      </c>
      <c r="K1454" s="7" t="s">
        <v>69</v>
      </c>
      <c r="L1454" s="7" t="s">
        <v>2663</v>
      </c>
      <c r="M1454" s="7" t="s">
        <v>61</v>
      </c>
      <c r="N1454" s="7" t="s">
        <v>70</v>
      </c>
      <c r="O1454" s="7">
        <v>47</v>
      </c>
      <c r="P1454" s="7">
        <v>59.07</v>
      </c>
      <c r="Q1454" s="7">
        <v>35.82</v>
      </c>
      <c r="R1454" s="7">
        <v>2776.33</v>
      </c>
      <c r="S1454" s="7">
        <v>0.1</v>
      </c>
      <c r="T1454" s="7">
        <v>277.63</v>
      </c>
      <c r="U1454" s="7">
        <v>2498.69</v>
      </c>
      <c r="V1454" s="7">
        <v>1683.31</v>
      </c>
      <c r="W1454" s="7">
        <v>815.39</v>
      </c>
      <c r="X1454" s="7" t="s">
        <v>32</v>
      </c>
    </row>
    <row r="1455" spans="1:24" x14ac:dyDescent="0.25">
      <c r="A1455" s="16" t="s">
        <v>1961</v>
      </c>
      <c r="B1455" s="17">
        <v>45534</v>
      </c>
      <c r="C1455" s="6" t="s">
        <v>172</v>
      </c>
      <c r="D1455" s="6" t="s">
        <v>22</v>
      </c>
      <c r="E1455" s="6" t="s">
        <v>114</v>
      </c>
      <c r="F1455" s="6" t="s">
        <v>115</v>
      </c>
      <c r="G1455" s="6" t="s">
        <v>95</v>
      </c>
      <c r="H1455" s="6" t="s">
        <v>116</v>
      </c>
      <c r="I1455" s="6" t="s">
        <v>58</v>
      </c>
      <c r="J1455" s="6" t="s">
        <v>73</v>
      </c>
      <c r="K1455" s="6" t="s">
        <v>170</v>
      </c>
      <c r="L1455" s="6" t="s">
        <v>2671</v>
      </c>
      <c r="M1455" s="6" t="s">
        <v>30</v>
      </c>
      <c r="N1455" s="6" t="s">
        <v>84</v>
      </c>
      <c r="O1455" s="6">
        <v>28</v>
      </c>
      <c r="P1455" s="6">
        <v>37.72</v>
      </c>
      <c r="Q1455" s="6">
        <v>21.91</v>
      </c>
      <c r="R1455" s="6">
        <v>1056.05</v>
      </c>
      <c r="S1455" s="6">
        <v>0</v>
      </c>
      <c r="T1455" s="6">
        <v>0</v>
      </c>
      <c r="U1455" s="6">
        <v>1056.05</v>
      </c>
      <c r="V1455" s="6">
        <v>613.59</v>
      </c>
      <c r="W1455" s="6">
        <v>442.46</v>
      </c>
      <c r="X1455" s="6" t="s">
        <v>45</v>
      </c>
    </row>
    <row r="1456" spans="1:24" x14ac:dyDescent="0.25">
      <c r="A1456" s="5" t="s">
        <v>1962</v>
      </c>
      <c r="B1456" s="18">
        <v>45298</v>
      </c>
      <c r="C1456" s="7" t="s">
        <v>197</v>
      </c>
      <c r="D1456" s="7" t="s">
        <v>159</v>
      </c>
      <c r="E1456" s="7" t="s">
        <v>250</v>
      </c>
      <c r="F1456" s="7" t="s">
        <v>251</v>
      </c>
      <c r="G1456" s="7" t="s">
        <v>51</v>
      </c>
      <c r="H1456" s="7" t="s">
        <v>252</v>
      </c>
      <c r="I1456" s="7" t="s">
        <v>40</v>
      </c>
      <c r="J1456" s="7" t="s">
        <v>117</v>
      </c>
      <c r="K1456" s="7" t="s">
        <v>265</v>
      </c>
      <c r="L1456" s="7" t="s">
        <v>2678</v>
      </c>
      <c r="M1456" s="7" t="s">
        <v>30</v>
      </c>
      <c r="N1456" s="7" t="s">
        <v>70</v>
      </c>
      <c r="O1456" s="7">
        <v>27</v>
      </c>
      <c r="P1456" s="7">
        <v>60.18</v>
      </c>
      <c r="Q1456" s="7">
        <v>38.590000000000003</v>
      </c>
      <c r="R1456" s="7">
        <v>1624.99</v>
      </c>
      <c r="S1456" s="7">
        <v>0.2</v>
      </c>
      <c r="T1456" s="7">
        <v>325</v>
      </c>
      <c r="U1456" s="7">
        <v>1299.99</v>
      </c>
      <c r="V1456" s="7">
        <v>1041.8</v>
      </c>
      <c r="W1456" s="7">
        <v>258.19</v>
      </c>
      <c r="X1456" s="7" t="s">
        <v>45</v>
      </c>
    </row>
    <row r="1457" spans="1:24" x14ac:dyDescent="0.25">
      <c r="A1457" s="16" t="s">
        <v>1963</v>
      </c>
      <c r="B1457" s="17">
        <v>45419</v>
      </c>
      <c r="C1457" s="6" t="s">
        <v>701</v>
      </c>
      <c r="D1457" s="6" t="s">
        <v>48</v>
      </c>
      <c r="E1457" s="6" t="s">
        <v>109</v>
      </c>
      <c r="F1457" s="6" t="s">
        <v>110</v>
      </c>
      <c r="G1457" s="6" t="s">
        <v>80</v>
      </c>
      <c r="H1457" s="6" t="s">
        <v>81</v>
      </c>
      <c r="I1457" s="6" t="s">
        <v>58</v>
      </c>
      <c r="J1457" s="6" t="s">
        <v>345</v>
      </c>
      <c r="K1457" s="6" t="s">
        <v>218</v>
      </c>
      <c r="L1457" s="6" t="s">
        <v>2674</v>
      </c>
      <c r="M1457" s="6" t="s">
        <v>153</v>
      </c>
      <c r="N1457" s="6" t="s">
        <v>31</v>
      </c>
      <c r="O1457" s="6">
        <v>29</v>
      </c>
      <c r="P1457" s="6">
        <v>128.55000000000001</v>
      </c>
      <c r="Q1457" s="6">
        <v>71.77</v>
      </c>
      <c r="R1457" s="6">
        <v>3727.97</v>
      </c>
      <c r="S1457" s="6">
        <v>0.05</v>
      </c>
      <c r="T1457" s="6">
        <v>186.4</v>
      </c>
      <c r="U1457" s="6">
        <v>3541.58</v>
      </c>
      <c r="V1457" s="6">
        <v>2081.4</v>
      </c>
      <c r="W1457" s="6">
        <v>1460.17</v>
      </c>
      <c r="X1457" s="6" t="s">
        <v>129</v>
      </c>
    </row>
    <row r="1458" spans="1:24" x14ac:dyDescent="0.25">
      <c r="A1458" s="5" t="s">
        <v>1964</v>
      </c>
      <c r="B1458" s="18">
        <v>45364</v>
      </c>
      <c r="C1458" s="7" t="s">
        <v>339</v>
      </c>
      <c r="D1458" s="7" t="s">
        <v>221</v>
      </c>
      <c r="E1458" s="7" t="s">
        <v>209</v>
      </c>
      <c r="F1458" s="7" t="s">
        <v>210</v>
      </c>
      <c r="G1458" s="7" t="s">
        <v>51</v>
      </c>
      <c r="H1458" s="7" t="s">
        <v>116</v>
      </c>
      <c r="I1458" s="7" t="s">
        <v>88</v>
      </c>
      <c r="J1458" s="7" t="s">
        <v>183</v>
      </c>
      <c r="K1458" s="7" t="s">
        <v>170</v>
      </c>
      <c r="L1458" s="7" t="s">
        <v>2671</v>
      </c>
      <c r="M1458" s="7" t="s">
        <v>30</v>
      </c>
      <c r="N1458" s="7" t="s">
        <v>75</v>
      </c>
      <c r="O1458" s="7">
        <v>11</v>
      </c>
      <c r="P1458" s="7">
        <v>17.13</v>
      </c>
      <c r="Q1458" s="7">
        <v>10.1</v>
      </c>
      <c r="R1458" s="7">
        <v>188.44</v>
      </c>
      <c r="S1458" s="7">
        <v>0.02</v>
      </c>
      <c r="T1458" s="7">
        <v>3.77</v>
      </c>
      <c r="U1458" s="7">
        <v>184.67</v>
      </c>
      <c r="V1458" s="7">
        <v>111.15</v>
      </c>
      <c r="W1458" s="7">
        <v>73.52</v>
      </c>
      <c r="X1458" s="7" t="s">
        <v>45</v>
      </c>
    </row>
    <row r="1459" spans="1:24" x14ac:dyDescent="0.25">
      <c r="A1459" s="16" t="s">
        <v>1965</v>
      </c>
      <c r="B1459" s="17">
        <v>45351</v>
      </c>
      <c r="C1459" s="6" t="s">
        <v>897</v>
      </c>
      <c r="D1459" s="6" t="s">
        <v>65</v>
      </c>
      <c r="E1459" s="6" t="s">
        <v>209</v>
      </c>
      <c r="F1459" s="6" t="s">
        <v>210</v>
      </c>
      <c r="G1459" s="6" t="s">
        <v>51</v>
      </c>
      <c r="H1459" s="6" t="s">
        <v>116</v>
      </c>
      <c r="I1459" s="6" t="s">
        <v>27</v>
      </c>
      <c r="J1459" s="6" t="s">
        <v>211</v>
      </c>
      <c r="K1459" s="6" t="s">
        <v>184</v>
      </c>
      <c r="L1459" s="6" t="s">
        <v>2672</v>
      </c>
      <c r="M1459" s="6" t="s">
        <v>30</v>
      </c>
      <c r="N1459" s="6" t="s">
        <v>31</v>
      </c>
      <c r="O1459" s="6">
        <v>2</v>
      </c>
      <c r="P1459" s="6">
        <v>17.079999999999998</v>
      </c>
      <c r="Q1459" s="6">
        <v>10.29</v>
      </c>
      <c r="R1459" s="6">
        <v>34.159999999999997</v>
      </c>
      <c r="S1459" s="6">
        <v>0.02</v>
      </c>
      <c r="T1459" s="6">
        <v>0.68</v>
      </c>
      <c r="U1459" s="6">
        <v>33.479999999999997</v>
      </c>
      <c r="V1459" s="6">
        <v>20.58</v>
      </c>
      <c r="W1459" s="6">
        <v>12.9</v>
      </c>
      <c r="X1459" s="6" t="s">
        <v>129</v>
      </c>
    </row>
    <row r="1460" spans="1:24" x14ac:dyDescent="0.25">
      <c r="A1460" s="5" t="s">
        <v>1966</v>
      </c>
      <c r="B1460" s="18">
        <v>45348</v>
      </c>
      <c r="C1460" s="7" t="s">
        <v>1380</v>
      </c>
      <c r="D1460" s="7" t="s">
        <v>121</v>
      </c>
      <c r="E1460" s="7" t="s">
        <v>222</v>
      </c>
      <c r="F1460" s="7" t="s">
        <v>223</v>
      </c>
      <c r="G1460" s="7" t="s">
        <v>101</v>
      </c>
      <c r="H1460" s="7" t="s">
        <v>68</v>
      </c>
      <c r="I1460" s="7" t="s">
        <v>40</v>
      </c>
      <c r="J1460" s="7" t="s">
        <v>289</v>
      </c>
      <c r="K1460" s="7" t="s">
        <v>144</v>
      </c>
      <c r="L1460" s="7" t="s">
        <v>2669</v>
      </c>
      <c r="M1460" s="7" t="s">
        <v>61</v>
      </c>
      <c r="N1460" s="7" t="s">
        <v>44</v>
      </c>
      <c r="O1460" s="7">
        <v>59</v>
      </c>
      <c r="P1460" s="7">
        <v>117.34</v>
      </c>
      <c r="Q1460" s="7">
        <v>82.49</v>
      </c>
      <c r="R1460" s="7">
        <v>6923</v>
      </c>
      <c r="S1460" s="7">
        <v>0</v>
      </c>
      <c r="T1460" s="7">
        <v>0</v>
      </c>
      <c r="U1460" s="7">
        <v>6923</v>
      </c>
      <c r="V1460" s="7">
        <v>4866.92</v>
      </c>
      <c r="W1460" s="7">
        <v>2056.0700000000002</v>
      </c>
      <c r="X1460" s="7" t="s">
        <v>45</v>
      </c>
    </row>
    <row r="1461" spans="1:24" x14ac:dyDescent="0.25">
      <c r="A1461" s="16" t="s">
        <v>1967</v>
      </c>
      <c r="B1461" s="17">
        <v>45514</v>
      </c>
      <c r="C1461" s="6" t="s">
        <v>148</v>
      </c>
      <c r="D1461" s="6" t="s">
        <v>149</v>
      </c>
      <c r="E1461" s="6" t="s">
        <v>78</v>
      </c>
      <c r="F1461" s="6" t="s">
        <v>79</v>
      </c>
      <c r="G1461" s="6" t="s">
        <v>80</v>
      </c>
      <c r="H1461" s="6" t="s">
        <v>81</v>
      </c>
      <c r="I1461" s="6" t="s">
        <v>40</v>
      </c>
      <c r="J1461" s="6" t="s">
        <v>41</v>
      </c>
      <c r="K1461" s="6" t="s">
        <v>74</v>
      </c>
      <c r="L1461" s="6" t="s">
        <v>2664</v>
      </c>
      <c r="M1461" s="6" t="s">
        <v>153</v>
      </c>
      <c r="N1461" s="6" t="s">
        <v>31</v>
      </c>
      <c r="O1461" s="6">
        <v>55</v>
      </c>
      <c r="P1461" s="6">
        <v>136.68</v>
      </c>
      <c r="Q1461" s="6">
        <v>76.77</v>
      </c>
      <c r="R1461" s="6">
        <v>7517.2</v>
      </c>
      <c r="S1461" s="6">
        <v>0</v>
      </c>
      <c r="T1461" s="6">
        <v>0</v>
      </c>
      <c r="U1461" s="6">
        <v>7517.2</v>
      </c>
      <c r="V1461" s="6">
        <v>4222.3900000000003</v>
      </c>
      <c r="W1461" s="6">
        <v>3294.81</v>
      </c>
      <c r="X1461" s="6" t="s">
        <v>129</v>
      </c>
    </row>
    <row r="1462" spans="1:24" x14ac:dyDescent="0.25">
      <c r="A1462" s="5" t="s">
        <v>1968</v>
      </c>
      <c r="B1462" s="18">
        <v>45482</v>
      </c>
      <c r="C1462" s="7" t="s">
        <v>98</v>
      </c>
      <c r="D1462" s="7" t="s">
        <v>48</v>
      </c>
      <c r="E1462" s="7" t="s">
        <v>126</v>
      </c>
      <c r="F1462" s="7" t="s">
        <v>127</v>
      </c>
      <c r="G1462" s="7" t="s">
        <v>95</v>
      </c>
      <c r="H1462" s="7" t="s">
        <v>128</v>
      </c>
      <c r="I1462" s="7" t="s">
        <v>40</v>
      </c>
      <c r="J1462" s="7" t="s">
        <v>289</v>
      </c>
      <c r="K1462" s="7" t="s">
        <v>42</v>
      </c>
      <c r="L1462" s="7" t="s">
        <v>2661</v>
      </c>
      <c r="M1462" s="7" t="s">
        <v>43</v>
      </c>
      <c r="N1462" s="7"/>
      <c r="O1462" s="7">
        <v>73</v>
      </c>
      <c r="P1462" s="7">
        <v>93.77</v>
      </c>
      <c r="Q1462" s="7">
        <v>52.04</v>
      </c>
      <c r="R1462" s="7">
        <v>6845.2</v>
      </c>
      <c r="S1462" s="7">
        <v>0.1</v>
      </c>
      <c r="T1462" s="7">
        <v>684.52</v>
      </c>
      <c r="U1462" s="7">
        <v>6160.68</v>
      </c>
      <c r="V1462" s="7">
        <v>3798.76</v>
      </c>
      <c r="W1462" s="7">
        <v>2361.92</v>
      </c>
      <c r="X1462" s="7" t="s">
        <v>129</v>
      </c>
    </row>
    <row r="1463" spans="1:24" x14ac:dyDescent="0.25">
      <c r="A1463" s="16" t="s">
        <v>1969</v>
      </c>
      <c r="B1463" s="17">
        <v>45304</v>
      </c>
      <c r="C1463" s="6" t="s">
        <v>387</v>
      </c>
      <c r="D1463" s="6" t="s">
        <v>22</v>
      </c>
      <c r="E1463" s="6" t="s">
        <v>150</v>
      </c>
      <c r="F1463" s="6" t="s">
        <v>151</v>
      </c>
      <c r="G1463" s="6" t="s">
        <v>101</v>
      </c>
      <c r="H1463" s="6" t="s">
        <v>134</v>
      </c>
      <c r="I1463" s="6" t="s">
        <v>58</v>
      </c>
      <c r="J1463" s="6" t="s">
        <v>59</v>
      </c>
      <c r="K1463" s="6" t="s">
        <v>118</v>
      </c>
      <c r="L1463" s="6" t="s">
        <v>2668</v>
      </c>
      <c r="M1463" s="6" t="s">
        <v>153</v>
      </c>
      <c r="N1463" s="6" t="s">
        <v>70</v>
      </c>
      <c r="O1463" s="6">
        <v>30</v>
      </c>
      <c r="P1463" s="6">
        <v>83.16</v>
      </c>
      <c r="Q1463" s="6">
        <v>48.7</v>
      </c>
      <c r="R1463" s="6">
        <v>2494.75</v>
      </c>
      <c r="S1463" s="6">
        <v>0.2</v>
      </c>
      <c r="T1463" s="6">
        <v>498.95</v>
      </c>
      <c r="U1463" s="6">
        <v>1995.8</v>
      </c>
      <c r="V1463" s="6">
        <v>1460.94</v>
      </c>
      <c r="W1463" s="6">
        <v>534.86</v>
      </c>
      <c r="X1463" s="6" t="s">
        <v>45</v>
      </c>
    </row>
    <row r="1464" spans="1:24" x14ac:dyDescent="0.25">
      <c r="A1464" s="5" t="s">
        <v>1970</v>
      </c>
      <c r="B1464" s="18">
        <v>45397</v>
      </c>
      <c r="C1464" s="7" t="s">
        <v>363</v>
      </c>
      <c r="D1464" s="7" t="s">
        <v>87</v>
      </c>
      <c r="E1464" s="7" t="s">
        <v>150</v>
      </c>
      <c r="F1464" s="7" t="s">
        <v>151</v>
      </c>
      <c r="G1464" s="7" t="s">
        <v>101</v>
      </c>
      <c r="H1464" s="7" t="s">
        <v>134</v>
      </c>
      <c r="I1464" s="7" t="s">
        <v>40</v>
      </c>
      <c r="J1464" s="7" t="s">
        <v>41</v>
      </c>
      <c r="K1464" s="7" t="s">
        <v>90</v>
      </c>
      <c r="L1464" s="7" t="s">
        <v>2666</v>
      </c>
      <c r="M1464" s="7" t="s">
        <v>43</v>
      </c>
      <c r="N1464" s="7" t="s">
        <v>44</v>
      </c>
      <c r="O1464" s="7">
        <v>51</v>
      </c>
      <c r="P1464" s="7">
        <v>85.66</v>
      </c>
      <c r="Q1464" s="7">
        <v>49.27</v>
      </c>
      <c r="R1464" s="7">
        <v>4368.8900000000003</v>
      </c>
      <c r="S1464" s="7">
        <v>0</v>
      </c>
      <c r="T1464" s="7">
        <v>0</v>
      </c>
      <c r="U1464" s="7">
        <v>4368.8900000000003</v>
      </c>
      <c r="V1464" s="7">
        <v>2512.62</v>
      </c>
      <c r="W1464" s="7">
        <v>1856.27</v>
      </c>
      <c r="X1464" s="7" t="s">
        <v>45</v>
      </c>
    </row>
    <row r="1465" spans="1:24" x14ac:dyDescent="0.25">
      <c r="A1465" s="16" t="s">
        <v>1849</v>
      </c>
      <c r="B1465" s="17">
        <v>45579</v>
      </c>
      <c r="C1465" s="6" t="s">
        <v>1394</v>
      </c>
      <c r="D1465" s="6" t="s">
        <v>156</v>
      </c>
      <c r="E1465" s="6" t="s">
        <v>216</v>
      </c>
      <c r="F1465" s="6" t="s">
        <v>217</v>
      </c>
      <c r="G1465" s="6" t="s">
        <v>38</v>
      </c>
      <c r="H1465" s="6" t="s">
        <v>134</v>
      </c>
      <c r="I1465" s="6" t="s">
        <v>53</v>
      </c>
      <c r="J1465" s="6" t="s">
        <v>143</v>
      </c>
      <c r="K1465" s="6" t="s">
        <v>83</v>
      </c>
      <c r="L1465" s="6" t="s">
        <v>2665</v>
      </c>
      <c r="M1465" s="6" t="s">
        <v>30</v>
      </c>
      <c r="N1465" s="6" t="s">
        <v>31</v>
      </c>
      <c r="O1465" s="6">
        <v>42</v>
      </c>
      <c r="P1465" s="6">
        <v>116.87</v>
      </c>
      <c r="Q1465" s="6">
        <v>65.349999999999994</v>
      </c>
      <c r="R1465" s="6">
        <v>4908.3599999999997</v>
      </c>
      <c r="S1465" s="6">
        <v>0.05</v>
      </c>
      <c r="T1465" s="6">
        <v>245.42</v>
      </c>
      <c r="U1465" s="6">
        <v>4662.9399999999996</v>
      </c>
      <c r="V1465" s="6">
        <v>2744.61</v>
      </c>
      <c r="W1465" s="6">
        <v>1918.33</v>
      </c>
      <c r="X1465" s="6" t="s">
        <v>45</v>
      </c>
    </row>
    <row r="1466" spans="1:24" x14ac:dyDescent="0.25">
      <c r="A1466" s="5" t="s">
        <v>1971</v>
      </c>
      <c r="B1466" s="18">
        <v>45484</v>
      </c>
      <c r="C1466" s="7" t="s">
        <v>1310</v>
      </c>
      <c r="D1466" s="7" t="s">
        <v>264</v>
      </c>
      <c r="E1466" s="7" t="s">
        <v>99</v>
      </c>
      <c r="F1466" s="7" t="s">
        <v>100</v>
      </c>
      <c r="G1466" s="7" t="s">
        <v>101</v>
      </c>
      <c r="H1466" s="7" t="s">
        <v>102</v>
      </c>
      <c r="I1466" s="7" t="s">
        <v>40</v>
      </c>
      <c r="J1466" s="7" t="s">
        <v>41</v>
      </c>
      <c r="K1466" s="7" t="s">
        <v>29</v>
      </c>
      <c r="L1466" s="7" t="s">
        <v>2660</v>
      </c>
      <c r="M1466" s="7" t="s">
        <v>30</v>
      </c>
      <c r="N1466" s="7" t="s">
        <v>31</v>
      </c>
      <c r="O1466" s="7">
        <v>71</v>
      </c>
      <c r="P1466" s="7">
        <v>67.97</v>
      </c>
      <c r="Q1466" s="7">
        <v>41.83</v>
      </c>
      <c r="R1466" s="7">
        <v>4825.87</v>
      </c>
      <c r="S1466" s="7">
        <v>0.2</v>
      </c>
      <c r="T1466" s="7">
        <v>965.17</v>
      </c>
      <c r="U1466" s="7">
        <v>3860.7</v>
      </c>
      <c r="V1466" s="7">
        <v>2969.64</v>
      </c>
      <c r="W1466" s="7">
        <v>891.06</v>
      </c>
      <c r="X1466" s="7" t="s">
        <v>45</v>
      </c>
    </row>
    <row r="1467" spans="1:24" x14ac:dyDescent="0.25">
      <c r="A1467" s="16" t="s">
        <v>1880</v>
      </c>
      <c r="B1467" s="17">
        <v>45518</v>
      </c>
      <c r="C1467" s="6" t="s">
        <v>1881</v>
      </c>
      <c r="D1467" s="6" t="s">
        <v>87</v>
      </c>
      <c r="E1467" s="6" t="s">
        <v>126</v>
      </c>
      <c r="F1467" s="6" t="s">
        <v>127</v>
      </c>
      <c r="G1467" s="6" t="s">
        <v>95</v>
      </c>
      <c r="H1467" s="6" t="s">
        <v>128</v>
      </c>
      <c r="I1467" s="6" t="s">
        <v>88</v>
      </c>
      <c r="J1467" s="6" t="s">
        <v>173</v>
      </c>
      <c r="K1467" s="6" t="s">
        <v>253</v>
      </c>
      <c r="L1467" s="6" t="s">
        <v>2676</v>
      </c>
      <c r="M1467" s="6" t="s">
        <v>43</v>
      </c>
      <c r="N1467" s="6" t="s">
        <v>70</v>
      </c>
      <c r="O1467" s="6">
        <v>71</v>
      </c>
      <c r="P1467" s="6">
        <v>86.53</v>
      </c>
      <c r="Q1467" s="6">
        <v>54.38</v>
      </c>
      <c r="R1467" s="6">
        <v>6143.38</v>
      </c>
      <c r="S1467" s="6">
        <v>0</v>
      </c>
      <c r="T1467" s="6">
        <v>0</v>
      </c>
      <c r="U1467" s="6">
        <v>6143.38</v>
      </c>
      <c r="V1467" s="6">
        <v>3860.85</v>
      </c>
      <c r="W1467" s="6">
        <v>2282.5300000000002</v>
      </c>
      <c r="X1467" s="6" t="s">
        <v>45</v>
      </c>
    </row>
    <row r="1468" spans="1:24" x14ac:dyDescent="0.25">
      <c r="A1468" s="5" t="s">
        <v>1972</v>
      </c>
      <c r="B1468" s="18">
        <v>45311</v>
      </c>
      <c r="C1468" s="7" t="s">
        <v>526</v>
      </c>
      <c r="D1468" s="7" t="s">
        <v>159</v>
      </c>
      <c r="E1468" s="7" t="s">
        <v>109</v>
      </c>
      <c r="F1468" s="7" t="s">
        <v>110</v>
      </c>
      <c r="G1468" s="7" t="s">
        <v>80</v>
      </c>
      <c r="H1468" s="7" t="s">
        <v>81</v>
      </c>
      <c r="I1468" s="7" t="s">
        <v>53</v>
      </c>
      <c r="J1468" s="7" t="s">
        <v>122</v>
      </c>
      <c r="K1468" s="7" t="s">
        <v>60</v>
      </c>
      <c r="L1468" s="7" t="s">
        <v>2662</v>
      </c>
      <c r="M1468" s="7" t="s">
        <v>30</v>
      </c>
      <c r="N1468" s="7" t="s">
        <v>70</v>
      </c>
      <c r="O1468" s="7">
        <v>23</v>
      </c>
      <c r="P1468" s="7">
        <v>124.43</v>
      </c>
      <c r="Q1468" s="7">
        <v>72.959999999999994</v>
      </c>
      <c r="R1468" s="7">
        <v>2861.93</v>
      </c>
      <c r="S1468" s="7">
        <v>0.05</v>
      </c>
      <c r="T1468" s="7">
        <v>143.1</v>
      </c>
      <c r="U1468" s="7">
        <v>2718.83</v>
      </c>
      <c r="V1468" s="7">
        <v>1677.99</v>
      </c>
      <c r="W1468" s="7">
        <v>1040.8399999999999</v>
      </c>
      <c r="X1468" s="7" t="s">
        <v>45</v>
      </c>
    </row>
    <row r="1469" spans="1:24" x14ac:dyDescent="0.25">
      <c r="A1469" s="16" t="s">
        <v>1973</v>
      </c>
      <c r="B1469" s="17">
        <v>45498</v>
      </c>
      <c r="C1469" s="6" t="s">
        <v>1265</v>
      </c>
      <c r="D1469" s="6" t="s">
        <v>48</v>
      </c>
      <c r="E1469" s="6" t="s">
        <v>150</v>
      </c>
      <c r="F1469" s="6" t="s">
        <v>151</v>
      </c>
      <c r="G1469" s="6" t="s">
        <v>101</v>
      </c>
      <c r="H1469" s="6" t="s">
        <v>134</v>
      </c>
      <c r="I1469" s="6" t="s">
        <v>53</v>
      </c>
      <c r="J1469" s="6" t="s">
        <v>54</v>
      </c>
      <c r="K1469" s="6" t="s">
        <v>265</v>
      </c>
      <c r="L1469" s="6" t="s">
        <v>2678</v>
      </c>
      <c r="M1469" s="6" t="s">
        <v>30</v>
      </c>
      <c r="N1469" s="6" t="s">
        <v>44</v>
      </c>
      <c r="O1469" s="6">
        <v>5</v>
      </c>
      <c r="P1469" s="6">
        <v>79.180000000000007</v>
      </c>
      <c r="Q1469" s="6">
        <v>54.71</v>
      </c>
      <c r="R1469" s="6">
        <v>395.92</v>
      </c>
      <c r="S1469" s="6">
        <v>0.2</v>
      </c>
      <c r="T1469" s="6">
        <v>79.180000000000007</v>
      </c>
      <c r="U1469" s="6">
        <v>316.73</v>
      </c>
      <c r="V1469" s="6">
        <v>273.57</v>
      </c>
      <c r="W1469" s="6">
        <v>43.17</v>
      </c>
      <c r="X1469" s="6" t="s">
        <v>45</v>
      </c>
    </row>
    <row r="1470" spans="1:24" x14ac:dyDescent="0.25">
      <c r="A1470" s="5" t="s">
        <v>1974</v>
      </c>
      <c r="B1470" s="18">
        <v>45391</v>
      </c>
      <c r="C1470" s="7" t="s">
        <v>301</v>
      </c>
      <c r="D1470" s="7" t="s">
        <v>259</v>
      </c>
      <c r="E1470" s="7" t="s">
        <v>141</v>
      </c>
      <c r="F1470" s="7" t="s">
        <v>142</v>
      </c>
      <c r="G1470" s="7" t="s">
        <v>25</v>
      </c>
      <c r="H1470" s="7" t="s">
        <v>26</v>
      </c>
      <c r="I1470" s="7" t="s">
        <v>40</v>
      </c>
      <c r="J1470" s="7" t="s">
        <v>41</v>
      </c>
      <c r="K1470" s="7" t="s">
        <v>218</v>
      </c>
      <c r="L1470" s="7" t="s">
        <v>2674</v>
      </c>
      <c r="M1470" s="7" t="s">
        <v>153</v>
      </c>
      <c r="N1470" s="7" t="s">
        <v>84</v>
      </c>
      <c r="O1470" s="7">
        <v>14</v>
      </c>
      <c r="P1470" s="7">
        <v>93.14</v>
      </c>
      <c r="Q1470" s="7">
        <v>62.31</v>
      </c>
      <c r="R1470" s="7">
        <v>1303.8900000000001</v>
      </c>
      <c r="S1470" s="7">
        <v>0.02</v>
      </c>
      <c r="T1470" s="7">
        <v>26.08</v>
      </c>
      <c r="U1470" s="7">
        <v>1277.82</v>
      </c>
      <c r="V1470" s="7">
        <v>872.29</v>
      </c>
      <c r="W1470" s="7">
        <v>405.52</v>
      </c>
      <c r="X1470" s="7" t="s">
        <v>32</v>
      </c>
    </row>
    <row r="1471" spans="1:24" x14ac:dyDescent="0.25">
      <c r="A1471" s="16" t="s">
        <v>1975</v>
      </c>
      <c r="B1471" s="17">
        <v>45621</v>
      </c>
      <c r="C1471" s="6" t="s">
        <v>378</v>
      </c>
      <c r="D1471" s="6" t="s">
        <v>159</v>
      </c>
      <c r="E1471" s="6" t="s">
        <v>114</v>
      </c>
      <c r="F1471" s="6" t="s">
        <v>115</v>
      </c>
      <c r="G1471" s="6" t="s">
        <v>95</v>
      </c>
      <c r="H1471" s="6" t="s">
        <v>116</v>
      </c>
      <c r="I1471" s="6" t="s">
        <v>58</v>
      </c>
      <c r="J1471" s="6" t="s">
        <v>59</v>
      </c>
      <c r="K1471" s="6" t="s">
        <v>265</v>
      </c>
      <c r="L1471" s="6" t="s">
        <v>2678</v>
      </c>
      <c r="M1471" s="6" t="s">
        <v>43</v>
      </c>
      <c r="N1471" s="6" t="s">
        <v>70</v>
      </c>
      <c r="O1471" s="6">
        <v>4</v>
      </c>
      <c r="P1471" s="6">
        <v>32.43</v>
      </c>
      <c r="Q1471" s="6">
        <v>20.73</v>
      </c>
      <c r="R1471" s="6">
        <v>129.74</v>
      </c>
      <c r="S1471" s="6">
        <v>0.02</v>
      </c>
      <c r="T1471" s="6">
        <v>2.59</v>
      </c>
      <c r="U1471" s="6">
        <v>127.14</v>
      </c>
      <c r="V1471" s="6">
        <v>82.91</v>
      </c>
      <c r="W1471" s="6">
        <v>44.23</v>
      </c>
      <c r="X1471" s="6" t="s">
        <v>45</v>
      </c>
    </row>
    <row r="1472" spans="1:24" x14ac:dyDescent="0.25">
      <c r="A1472" s="5" t="s">
        <v>1976</v>
      </c>
      <c r="B1472" s="18">
        <v>45544</v>
      </c>
      <c r="C1472" s="7" t="s">
        <v>456</v>
      </c>
      <c r="D1472" s="7" t="s">
        <v>22</v>
      </c>
      <c r="E1472" s="7" t="s">
        <v>49</v>
      </c>
      <c r="F1472" s="7" t="s">
        <v>50</v>
      </c>
      <c r="G1472" s="7" t="s">
        <v>51</v>
      </c>
      <c r="H1472" s="7" t="s">
        <v>52</v>
      </c>
      <c r="I1472" s="7" t="s">
        <v>88</v>
      </c>
      <c r="J1472" s="7" t="s">
        <v>135</v>
      </c>
      <c r="K1472" s="7" t="s">
        <v>178</v>
      </c>
      <c r="L1472" s="7" t="s">
        <v>256</v>
      </c>
      <c r="M1472" s="7" t="s">
        <v>43</v>
      </c>
      <c r="N1472" s="7" t="s">
        <v>31</v>
      </c>
      <c r="O1472" s="7">
        <v>49</v>
      </c>
      <c r="P1472" s="7">
        <v>26.27</v>
      </c>
      <c r="Q1472" s="7">
        <v>12.5</v>
      </c>
      <c r="R1472" s="7">
        <v>1287.1500000000001</v>
      </c>
      <c r="S1472" s="7">
        <v>0.05</v>
      </c>
      <c r="T1472" s="7">
        <v>64.36</v>
      </c>
      <c r="U1472" s="7">
        <v>1222.79</v>
      </c>
      <c r="V1472" s="7">
        <v>612.33000000000004</v>
      </c>
      <c r="W1472" s="7">
        <v>610.46</v>
      </c>
      <c r="X1472" s="7" t="s">
        <v>32</v>
      </c>
    </row>
    <row r="1473" spans="1:24" x14ac:dyDescent="0.25">
      <c r="A1473" s="16" t="s">
        <v>968</v>
      </c>
      <c r="B1473" s="17">
        <v>45622</v>
      </c>
      <c r="C1473" s="6" t="s">
        <v>631</v>
      </c>
      <c r="D1473" s="6" t="s">
        <v>105</v>
      </c>
      <c r="E1473" s="6" t="s">
        <v>78</v>
      </c>
      <c r="F1473" s="6" t="s">
        <v>79</v>
      </c>
      <c r="G1473" s="6" t="s">
        <v>80</v>
      </c>
      <c r="H1473" s="6" t="s">
        <v>81</v>
      </c>
      <c r="I1473" s="6" t="s">
        <v>88</v>
      </c>
      <c r="J1473" s="6" t="s">
        <v>135</v>
      </c>
      <c r="K1473" s="6" t="s">
        <v>144</v>
      </c>
      <c r="L1473" s="6" t="s">
        <v>2669</v>
      </c>
      <c r="M1473" s="6" t="s">
        <v>61</v>
      </c>
      <c r="N1473" s="6" t="s">
        <v>44</v>
      </c>
      <c r="O1473" s="6">
        <v>66</v>
      </c>
      <c r="P1473" s="6">
        <v>140.55000000000001</v>
      </c>
      <c r="Q1473" s="6">
        <v>81.22</v>
      </c>
      <c r="R1473" s="6">
        <v>9276.06</v>
      </c>
      <c r="S1473" s="6">
        <v>0.02</v>
      </c>
      <c r="T1473" s="6">
        <v>185.52</v>
      </c>
      <c r="U1473" s="6">
        <v>9090.5400000000009</v>
      </c>
      <c r="V1473" s="6">
        <v>5360.71</v>
      </c>
      <c r="W1473" s="6">
        <v>3729.83</v>
      </c>
      <c r="X1473" s="6" t="s">
        <v>45</v>
      </c>
    </row>
    <row r="1474" spans="1:24" x14ac:dyDescent="0.25">
      <c r="A1474" s="5" t="s">
        <v>1977</v>
      </c>
      <c r="B1474" s="18">
        <v>45606</v>
      </c>
      <c r="C1474" s="7" t="s">
        <v>535</v>
      </c>
      <c r="D1474" s="7" t="s">
        <v>221</v>
      </c>
      <c r="E1474" s="7" t="s">
        <v>66</v>
      </c>
      <c r="F1474" s="7" t="s">
        <v>67</v>
      </c>
      <c r="G1474" s="7" t="s">
        <v>38</v>
      </c>
      <c r="H1474" s="7" t="s">
        <v>68</v>
      </c>
      <c r="I1474" s="7" t="s">
        <v>27</v>
      </c>
      <c r="J1474" s="7" t="s">
        <v>211</v>
      </c>
      <c r="K1474" s="7" t="s">
        <v>184</v>
      </c>
      <c r="L1474" s="7" t="s">
        <v>2672</v>
      </c>
      <c r="M1474" s="7" t="s">
        <v>153</v>
      </c>
      <c r="N1474" s="7" t="s">
        <v>44</v>
      </c>
      <c r="O1474" s="7">
        <v>1</v>
      </c>
      <c r="P1474" s="7">
        <v>150.69999999999999</v>
      </c>
      <c r="Q1474" s="7">
        <v>110.66</v>
      </c>
      <c r="R1474" s="7">
        <v>150.69999999999999</v>
      </c>
      <c r="S1474" s="7">
        <v>0.15</v>
      </c>
      <c r="T1474" s="7">
        <v>22.61</v>
      </c>
      <c r="U1474" s="7">
        <v>128.1</v>
      </c>
      <c r="V1474" s="7">
        <v>110.66</v>
      </c>
      <c r="W1474" s="7">
        <v>17.440000000000001</v>
      </c>
      <c r="X1474" s="7" t="s">
        <v>45</v>
      </c>
    </row>
    <row r="1475" spans="1:24" x14ac:dyDescent="0.25">
      <c r="A1475" s="16" t="s">
        <v>1978</v>
      </c>
      <c r="B1475" s="17">
        <v>45562</v>
      </c>
      <c r="C1475" s="6" t="s">
        <v>1261</v>
      </c>
      <c r="D1475" s="6" t="s">
        <v>393</v>
      </c>
      <c r="E1475" s="6" t="s">
        <v>132</v>
      </c>
      <c r="F1475" s="6" t="s">
        <v>133</v>
      </c>
      <c r="G1475" s="6" t="s">
        <v>51</v>
      </c>
      <c r="H1475" s="6" t="s">
        <v>134</v>
      </c>
      <c r="I1475" s="6" t="s">
        <v>27</v>
      </c>
      <c r="J1475" s="6" t="s">
        <v>211</v>
      </c>
      <c r="K1475" s="6" t="s">
        <v>90</v>
      </c>
      <c r="L1475" s="6" t="s">
        <v>2666</v>
      </c>
      <c r="M1475" s="6" t="s">
        <v>43</v>
      </c>
      <c r="N1475" s="6" t="s">
        <v>44</v>
      </c>
      <c r="O1475" s="6">
        <v>47</v>
      </c>
      <c r="P1475" s="6">
        <v>56.01</v>
      </c>
      <c r="Q1475" s="6">
        <v>35.090000000000003</v>
      </c>
      <c r="R1475" s="6">
        <v>2632.35</v>
      </c>
      <c r="S1475" s="6">
        <v>0</v>
      </c>
      <c r="T1475" s="6">
        <v>0</v>
      </c>
      <c r="U1475" s="6">
        <v>2632.35</v>
      </c>
      <c r="V1475" s="6">
        <v>1649.38</v>
      </c>
      <c r="W1475" s="6">
        <v>982.97</v>
      </c>
      <c r="X1475" s="6" t="s">
        <v>32</v>
      </c>
    </row>
    <row r="1476" spans="1:24" x14ac:dyDescent="0.25">
      <c r="A1476" s="5" t="s">
        <v>1979</v>
      </c>
      <c r="B1476" s="18">
        <v>45502</v>
      </c>
      <c r="C1476" s="7" t="s">
        <v>696</v>
      </c>
      <c r="D1476" s="7" t="s">
        <v>105</v>
      </c>
      <c r="E1476" s="7" t="s">
        <v>165</v>
      </c>
      <c r="F1476" s="7" t="s">
        <v>166</v>
      </c>
      <c r="G1476" s="7" t="s">
        <v>95</v>
      </c>
      <c r="H1476" s="7" t="s">
        <v>167</v>
      </c>
      <c r="I1476" s="7" t="s">
        <v>53</v>
      </c>
      <c r="J1476" s="7" t="s">
        <v>54</v>
      </c>
      <c r="K1476" s="7" t="s">
        <v>42</v>
      </c>
      <c r="L1476" s="7" t="s">
        <v>2661</v>
      </c>
      <c r="M1476" s="7" t="s">
        <v>153</v>
      </c>
      <c r="N1476" s="7" t="s">
        <v>75</v>
      </c>
      <c r="O1476" s="7">
        <v>12</v>
      </c>
      <c r="P1476" s="7">
        <v>42.77</v>
      </c>
      <c r="Q1476" s="7">
        <v>26.1</v>
      </c>
      <c r="R1476" s="7">
        <v>513.27</v>
      </c>
      <c r="S1476" s="7">
        <v>0</v>
      </c>
      <c r="T1476" s="7">
        <v>0</v>
      </c>
      <c r="U1476" s="7">
        <v>513.27</v>
      </c>
      <c r="V1476" s="7">
        <v>313.18</v>
      </c>
      <c r="W1476" s="7">
        <v>200.09</v>
      </c>
      <c r="X1476" s="7" t="s">
        <v>45</v>
      </c>
    </row>
    <row r="1477" spans="1:24" x14ac:dyDescent="0.25">
      <c r="A1477" s="16" t="s">
        <v>1980</v>
      </c>
      <c r="B1477" s="17">
        <v>45601</v>
      </c>
      <c r="C1477" s="6" t="s">
        <v>864</v>
      </c>
      <c r="D1477" s="6" t="s">
        <v>22</v>
      </c>
      <c r="E1477" s="6" t="s">
        <v>36</v>
      </c>
      <c r="F1477" s="6" t="s">
        <v>37</v>
      </c>
      <c r="G1477" s="6" t="s">
        <v>38</v>
      </c>
      <c r="H1477" s="6" t="s">
        <v>39</v>
      </c>
      <c r="I1477" s="6" t="s">
        <v>58</v>
      </c>
      <c r="J1477" s="6"/>
      <c r="K1477" s="6" t="s">
        <v>261</v>
      </c>
      <c r="L1477" s="6" t="s">
        <v>2677</v>
      </c>
      <c r="M1477" s="6" t="s">
        <v>61</v>
      </c>
      <c r="N1477" s="6" t="s">
        <v>31</v>
      </c>
      <c r="O1477" s="6">
        <v>28</v>
      </c>
      <c r="P1477" s="6">
        <v>167.12</v>
      </c>
      <c r="Q1477" s="6">
        <v>93.28</v>
      </c>
      <c r="R1477" s="6">
        <v>4679.4799999999996</v>
      </c>
      <c r="S1477" s="6">
        <v>0.02</v>
      </c>
      <c r="T1477" s="6">
        <v>93.59</v>
      </c>
      <c r="U1477" s="6">
        <v>4585.8900000000003</v>
      </c>
      <c r="V1477" s="6">
        <v>2611.98</v>
      </c>
      <c r="W1477" s="6">
        <v>1973.92</v>
      </c>
      <c r="X1477" s="6" t="s">
        <v>32</v>
      </c>
    </row>
    <row r="1478" spans="1:24" x14ac:dyDescent="0.25">
      <c r="A1478" s="5" t="s">
        <v>1981</v>
      </c>
      <c r="B1478" s="18">
        <v>45466</v>
      </c>
      <c r="C1478" s="7" t="s">
        <v>464</v>
      </c>
      <c r="D1478" s="7" t="s">
        <v>105</v>
      </c>
      <c r="E1478" s="7" t="s">
        <v>209</v>
      </c>
      <c r="F1478" s="7" t="s">
        <v>210</v>
      </c>
      <c r="G1478" s="7" t="s">
        <v>51</v>
      </c>
      <c r="H1478" s="7" t="s">
        <v>116</v>
      </c>
      <c r="I1478" s="7" t="s">
        <v>53</v>
      </c>
      <c r="J1478" s="7" t="s">
        <v>143</v>
      </c>
      <c r="K1478" s="7" t="s">
        <v>60</v>
      </c>
      <c r="L1478" s="7" t="s">
        <v>2662</v>
      </c>
      <c r="M1478" s="7" t="s">
        <v>43</v>
      </c>
      <c r="N1478" s="7" t="s">
        <v>70</v>
      </c>
      <c r="O1478" s="7">
        <v>27</v>
      </c>
      <c r="P1478" s="7">
        <v>17.29</v>
      </c>
      <c r="Q1478" s="7">
        <v>9.2200000000000006</v>
      </c>
      <c r="R1478" s="7">
        <v>466.81</v>
      </c>
      <c r="S1478" s="7">
        <v>0.1</v>
      </c>
      <c r="T1478" s="7">
        <v>46.68</v>
      </c>
      <c r="U1478" s="7">
        <v>420.13</v>
      </c>
      <c r="V1478" s="7">
        <v>248.83</v>
      </c>
      <c r="W1478" s="7">
        <v>171.3</v>
      </c>
      <c r="X1478" s="7" t="s">
        <v>45</v>
      </c>
    </row>
    <row r="1479" spans="1:24" x14ac:dyDescent="0.25">
      <c r="A1479" s="16" t="s">
        <v>1982</v>
      </c>
      <c r="B1479" s="17">
        <v>45651</v>
      </c>
      <c r="C1479" s="6" t="s">
        <v>511</v>
      </c>
      <c r="D1479" s="6" t="s">
        <v>163</v>
      </c>
      <c r="E1479" s="6" t="s">
        <v>99</v>
      </c>
      <c r="F1479" s="6" t="s">
        <v>100</v>
      </c>
      <c r="G1479" s="6" t="s">
        <v>101</v>
      </c>
      <c r="H1479" s="6" t="s">
        <v>102</v>
      </c>
      <c r="I1479" s="6" t="s">
        <v>53</v>
      </c>
      <c r="J1479" s="6" t="s">
        <v>232</v>
      </c>
      <c r="K1479" s="6" t="s">
        <v>170</v>
      </c>
      <c r="L1479" s="6" t="s">
        <v>2671</v>
      </c>
      <c r="M1479" s="6" t="s">
        <v>61</v>
      </c>
      <c r="N1479" s="6" t="s">
        <v>70</v>
      </c>
      <c r="O1479" s="6">
        <v>12</v>
      </c>
      <c r="P1479" s="6">
        <v>74.89</v>
      </c>
      <c r="Q1479" s="6">
        <v>38.06</v>
      </c>
      <c r="R1479" s="6">
        <v>898.71</v>
      </c>
      <c r="S1479" s="6">
        <v>0.02</v>
      </c>
      <c r="T1479" s="6">
        <v>17.97</v>
      </c>
      <c r="U1479" s="6">
        <v>880.73</v>
      </c>
      <c r="V1479" s="6">
        <v>456.75</v>
      </c>
      <c r="W1479" s="6">
        <v>423.98</v>
      </c>
      <c r="X1479" s="6" t="s">
        <v>45</v>
      </c>
    </row>
    <row r="1480" spans="1:24" x14ac:dyDescent="0.25">
      <c r="A1480" s="5" t="s">
        <v>1658</v>
      </c>
      <c r="B1480" s="18">
        <v>45488</v>
      </c>
      <c r="C1480" s="7" t="s">
        <v>301</v>
      </c>
      <c r="D1480" s="7" t="s">
        <v>259</v>
      </c>
      <c r="E1480" s="7" t="s">
        <v>93</v>
      </c>
      <c r="F1480" s="7" t="s">
        <v>94</v>
      </c>
      <c r="G1480" s="7" t="s">
        <v>95</v>
      </c>
      <c r="H1480" s="7" t="s">
        <v>96</v>
      </c>
      <c r="I1480" s="7" t="s">
        <v>88</v>
      </c>
      <c r="J1480" s="7" t="s">
        <v>89</v>
      </c>
      <c r="K1480" s="7" t="s">
        <v>265</v>
      </c>
      <c r="L1480" s="7" t="s">
        <v>2678</v>
      </c>
      <c r="M1480" s="7" t="s">
        <v>30</v>
      </c>
      <c r="N1480" s="7" t="s">
        <v>31</v>
      </c>
      <c r="O1480" s="7">
        <v>20</v>
      </c>
      <c r="P1480" s="7">
        <v>58.59</v>
      </c>
      <c r="Q1480" s="7">
        <v>30.72</v>
      </c>
      <c r="R1480" s="7">
        <v>1171.73</v>
      </c>
      <c r="S1480" s="7">
        <v>0.2</v>
      </c>
      <c r="T1480" s="7">
        <v>234.35</v>
      </c>
      <c r="U1480" s="7">
        <v>937.39</v>
      </c>
      <c r="V1480" s="7">
        <v>614.33000000000004</v>
      </c>
      <c r="W1480" s="7">
        <v>323.06</v>
      </c>
      <c r="X1480" s="7" t="s">
        <v>45</v>
      </c>
    </row>
    <row r="1481" spans="1:24" x14ac:dyDescent="0.25">
      <c r="A1481" s="16" t="s">
        <v>1983</v>
      </c>
      <c r="B1481" s="17">
        <v>45388</v>
      </c>
      <c r="C1481" s="6" t="s">
        <v>643</v>
      </c>
      <c r="D1481" s="6" t="s">
        <v>359</v>
      </c>
      <c r="E1481" s="6" t="s">
        <v>109</v>
      </c>
      <c r="F1481" s="6" t="s">
        <v>110</v>
      </c>
      <c r="G1481" s="6" t="s">
        <v>80</v>
      </c>
      <c r="H1481" s="6" t="s">
        <v>81</v>
      </c>
      <c r="I1481" s="6" t="s">
        <v>53</v>
      </c>
      <c r="J1481" s="6" t="s">
        <v>54</v>
      </c>
      <c r="K1481" s="6" t="s">
        <v>195</v>
      </c>
      <c r="L1481" s="6" t="s">
        <v>2673</v>
      </c>
      <c r="M1481" s="6" t="s">
        <v>30</v>
      </c>
      <c r="N1481" s="6" t="s">
        <v>70</v>
      </c>
      <c r="O1481" s="6">
        <v>31</v>
      </c>
      <c r="P1481" s="6">
        <v>131.34</v>
      </c>
      <c r="Q1481" s="6">
        <v>74.650000000000006</v>
      </c>
      <c r="R1481" s="6">
        <v>4071.68</v>
      </c>
      <c r="S1481" s="6">
        <v>0.15</v>
      </c>
      <c r="T1481" s="6">
        <v>610.75</v>
      </c>
      <c r="U1481" s="6">
        <v>3460.93</v>
      </c>
      <c r="V1481" s="6">
        <v>2314.2600000000002</v>
      </c>
      <c r="W1481" s="6">
        <v>1146.67</v>
      </c>
      <c r="X1481" s="6" t="s">
        <v>963</v>
      </c>
    </row>
    <row r="1482" spans="1:24" x14ac:dyDescent="0.25">
      <c r="A1482" s="5" t="s">
        <v>1984</v>
      </c>
      <c r="B1482" s="18">
        <v>45587</v>
      </c>
      <c r="C1482" s="7" t="s">
        <v>344</v>
      </c>
      <c r="D1482" s="7" t="s">
        <v>87</v>
      </c>
      <c r="E1482" s="7" t="s">
        <v>176</v>
      </c>
      <c r="F1482" s="7" t="s">
        <v>177</v>
      </c>
      <c r="G1482" s="7" t="s">
        <v>101</v>
      </c>
      <c r="H1482" s="7" t="s">
        <v>39</v>
      </c>
      <c r="I1482" s="7" t="s">
        <v>27</v>
      </c>
      <c r="J1482" s="7" t="s">
        <v>189</v>
      </c>
      <c r="K1482" s="7" t="s">
        <v>60</v>
      </c>
      <c r="L1482" s="7" t="s">
        <v>2662</v>
      </c>
      <c r="M1482" s="7" t="s">
        <v>43</v>
      </c>
      <c r="N1482" s="7" t="s">
        <v>84</v>
      </c>
      <c r="O1482" s="7">
        <v>55</v>
      </c>
      <c r="P1482" s="7">
        <v>102.44</v>
      </c>
      <c r="Q1482" s="7">
        <v>67.03</v>
      </c>
      <c r="R1482" s="7">
        <v>5633.95</v>
      </c>
      <c r="S1482" s="7">
        <v>0.2</v>
      </c>
      <c r="T1482" s="7">
        <v>1126.79</v>
      </c>
      <c r="U1482" s="7">
        <v>4507.16</v>
      </c>
      <c r="V1482" s="7">
        <v>3686.67</v>
      </c>
      <c r="W1482" s="7">
        <v>820.49</v>
      </c>
      <c r="X1482" s="7" t="s">
        <v>45</v>
      </c>
    </row>
    <row r="1483" spans="1:24" x14ac:dyDescent="0.25">
      <c r="A1483" s="16" t="s">
        <v>1985</v>
      </c>
      <c r="B1483" s="17">
        <v>45592</v>
      </c>
      <c r="C1483" s="6" t="s">
        <v>953</v>
      </c>
      <c r="D1483" s="6" t="s">
        <v>221</v>
      </c>
      <c r="E1483" s="6" t="s">
        <v>114</v>
      </c>
      <c r="F1483" s="6" t="s">
        <v>115</v>
      </c>
      <c r="G1483" s="6" t="s">
        <v>95</v>
      </c>
      <c r="H1483" s="6" t="s">
        <v>116</v>
      </c>
      <c r="I1483" s="6" t="s">
        <v>40</v>
      </c>
      <c r="J1483" s="6" t="s">
        <v>289</v>
      </c>
      <c r="K1483" s="6" t="s">
        <v>74</v>
      </c>
      <c r="L1483" s="6" t="s">
        <v>2664</v>
      </c>
      <c r="M1483" s="6" t="s">
        <v>153</v>
      </c>
      <c r="N1483" s="6" t="s">
        <v>31</v>
      </c>
      <c r="O1483" s="6">
        <v>53</v>
      </c>
      <c r="P1483" s="6">
        <v>36.79</v>
      </c>
      <c r="Q1483" s="6">
        <v>21.14</v>
      </c>
      <c r="R1483" s="6">
        <v>1949.7</v>
      </c>
      <c r="S1483" s="6">
        <v>0.05</v>
      </c>
      <c r="T1483" s="6">
        <v>97.48</v>
      </c>
      <c r="U1483" s="6">
        <v>1852.21</v>
      </c>
      <c r="V1483" s="6">
        <v>1120.26</v>
      </c>
      <c r="W1483" s="6">
        <v>731.95</v>
      </c>
      <c r="X1483" s="6" t="s">
        <v>45</v>
      </c>
    </row>
    <row r="1484" spans="1:24" x14ac:dyDescent="0.25">
      <c r="A1484" s="5" t="s">
        <v>1986</v>
      </c>
      <c r="B1484" s="18">
        <v>45596</v>
      </c>
      <c r="C1484" s="7" t="s">
        <v>904</v>
      </c>
      <c r="D1484" s="7" t="s">
        <v>35</v>
      </c>
      <c r="E1484" s="7" t="s">
        <v>216</v>
      </c>
      <c r="F1484" s="7" t="s">
        <v>217</v>
      </c>
      <c r="G1484" s="7" t="s">
        <v>38</v>
      </c>
      <c r="H1484" s="7" t="s">
        <v>134</v>
      </c>
      <c r="I1484" s="7" t="s">
        <v>53</v>
      </c>
      <c r="J1484" s="7" t="s">
        <v>232</v>
      </c>
      <c r="K1484" s="7" t="s">
        <v>184</v>
      </c>
      <c r="L1484" s="7" t="s">
        <v>2672</v>
      </c>
      <c r="M1484" s="7" t="s">
        <v>30</v>
      </c>
      <c r="N1484" s="7" t="s">
        <v>70</v>
      </c>
      <c r="O1484" s="7">
        <v>36</v>
      </c>
      <c r="P1484" s="7">
        <v>112.7</v>
      </c>
      <c r="Q1484" s="7">
        <v>71.7</v>
      </c>
      <c r="R1484" s="7">
        <v>4057.04</v>
      </c>
      <c r="S1484" s="7">
        <v>0.15</v>
      </c>
      <c r="T1484" s="7">
        <v>608.55999999999995</v>
      </c>
      <c r="U1484" s="7">
        <v>3448.49</v>
      </c>
      <c r="V1484" s="7">
        <v>2581.15</v>
      </c>
      <c r="W1484" s="7">
        <v>867.34</v>
      </c>
      <c r="X1484" s="7" t="s">
        <v>129</v>
      </c>
    </row>
    <row r="1485" spans="1:24" x14ac:dyDescent="0.25">
      <c r="A1485" s="16" t="s">
        <v>1987</v>
      </c>
      <c r="B1485" s="17">
        <v>45454</v>
      </c>
      <c r="C1485" s="6" t="s">
        <v>721</v>
      </c>
      <c r="D1485" s="6" t="s">
        <v>359</v>
      </c>
      <c r="E1485" s="6" t="s">
        <v>66</v>
      </c>
      <c r="F1485" s="6" t="s">
        <v>67</v>
      </c>
      <c r="G1485" s="6" t="s">
        <v>38</v>
      </c>
      <c r="H1485" s="6" t="s">
        <v>68</v>
      </c>
      <c r="I1485" s="6" t="s">
        <v>58</v>
      </c>
      <c r="J1485" s="6" t="s">
        <v>59</v>
      </c>
      <c r="K1485" s="6" t="s">
        <v>69</v>
      </c>
      <c r="L1485" s="6" t="s">
        <v>2663</v>
      </c>
      <c r="M1485" s="6" t="s">
        <v>43</v>
      </c>
      <c r="N1485" s="6" t="s">
        <v>75</v>
      </c>
      <c r="O1485" s="6"/>
      <c r="P1485" s="6">
        <v>169.49</v>
      </c>
      <c r="Q1485" s="6">
        <v>106.19</v>
      </c>
      <c r="R1485" s="6">
        <v>2711.77</v>
      </c>
      <c r="S1485" s="6">
        <v>0.02</v>
      </c>
      <c r="T1485" s="6">
        <v>54.24</v>
      </c>
      <c r="U1485" s="6">
        <v>2657.53</v>
      </c>
      <c r="V1485" s="6">
        <v>1698.99</v>
      </c>
      <c r="W1485" s="6">
        <v>958.54</v>
      </c>
      <c r="X1485" s="6" t="s">
        <v>45</v>
      </c>
    </row>
    <row r="1486" spans="1:24" x14ac:dyDescent="0.25">
      <c r="A1486" s="5" t="s">
        <v>1988</v>
      </c>
      <c r="B1486" s="18">
        <v>45349</v>
      </c>
      <c r="C1486" s="7" t="s">
        <v>1831</v>
      </c>
      <c r="D1486" s="7" t="s">
        <v>256</v>
      </c>
      <c r="E1486" s="7" t="s">
        <v>209</v>
      </c>
      <c r="F1486" s="7" t="s">
        <v>210</v>
      </c>
      <c r="G1486" s="7" t="s">
        <v>51</v>
      </c>
      <c r="H1486" s="7" t="s">
        <v>116</v>
      </c>
      <c r="I1486" s="7" t="s">
        <v>40</v>
      </c>
      <c r="J1486" s="7" t="s">
        <v>82</v>
      </c>
      <c r="K1486" s="7" t="s">
        <v>42</v>
      </c>
      <c r="L1486" s="7" t="s">
        <v>2661</v>
      </c>
      <c r="M1486" s="7" t="s">
        <v>30</v>
      </c>
      <c r="N1486" s="7" t="s">
        <v>70</v>
      </c>
      <c r="O1486" s="7">
        <v>57</v>
      </c>
      <c r="P1486" s="7">
        <v>17.600000000000001</v>
      </c>
      <c r="Q1486" s="7">
        <v>9.6300000000000008</v>
      </c>
      <c r="R1486" s="7">
        <v>1003.06</v>
      </c>
      <c r="S1486" s="7">
        <v>0.2</v>
      </c>
      <c r="T1486" s="7">
        <v>200.61</v>
      </c>
      <c r="U1486" s="7">
        <v>802.44</v>
      </c>
      <c r="V1486" s="7">
        <v>549.05999999999995</v>
      </c>
      <c r="W1486" s="7">
        <v>253.38</v>
      </c>
      <c r="X1486" s="7" t="s">
        <v>45</v>
      </c>
    </row>
    <row r="1487" spans="1:24" x14ac:dyDescent="0.25">
      <c r="A1487" s="16" t="s">
        <v>1989</v>
      </c>
      <c r="B1487" s="17">
        <v>45636</v>
      </c>
      <c r="C1487" s="6" t="s">
        <v>975</v>
      </c>
      <c r="D1487" s="6" t="s">
        <v>105</v>
      </c>
      <c r="E1487" s="6" t="s">
        <v>99</v>
      </c>
      <c r="F1487" s="6" t="s">
        <v>100</v>
      </c>
      <c r="G1487" s="6" t="s">
        <v>101</v>
      </c>
      <c r="H1487" s="6" t="s">
        <v>102</v>
      </c>
      <c r="I1487" s="6" t="s">
        <v>88</v>
      </c>
      <c r="J1487" s="6" t="s">
        <v>135</v>
      </c>
      <c r="K1487" s="6" t="s">
        <v>178</v>
      </c>
      <c r="L1487" s="6" t="s">
        <v>256</v>
      </c>
      <c r="M1487" s="6" t="s">
        <v>30</v>
      </c>
      <c r="N1487" s="6" t="s">
        <v>75</v>
      </c>
      <c r="O1487" s="6">
        <v>14</v>
      </c>
      <c r="P1487" s="6">
        <v>66.3</v>
      </c>
      <c r="Q1487" s="6">
        <v>41.13</v>
      </c>
      <c r="R1487" s="6">
        <v>928.22</v>
      </c>
      <c r="S1487" s="6">
        <v>0.02</v>
      </c>
      <c r="T1487" s="6">
        <v>18.559999999999999</v>
      </c>
      <c r="U1487" s="6">
        <v>909.65</v>
      </c>
      <c r="V1487" s="6">
        <v>575.82000000000005</v>
      </c>
      <c r="W1487" s="6">
        <v>333.84</v>
      </c>
      <c r="X1487" s="6" t="s">
        <v>32</v>
      </c>
    </row>
    <row r="1488" spans="1:24" x14ac:dyDescent="0.25">
      <c r="A1488" s="5" t="s">
        <v>1990</v>
      </c>
      <c r="B1488" s="18">
        <v>45462</v>
      </c>
      <c r="C1488" s="7" t="s">
        <v>608</v>
      </c>
      <c r="D1488" s="7" t="s">
        <v>22</v>
      </c>
      <c r="E1488" s="7" t="s">
        <v>165</v>
      </c>
      <c r="F1488" s="7" t="s">
        <v>166</v>
      </c>
      <c r="G1488" s="7" t="s">
        <v>95</v>
      </c>
      <c r="H1488" s="7" t="s">
        <v>167</v>
      </c>
      <c r="I1488" s="7" t="s">
        <v>40</v>
      </c>
      <c r="J1488" s="7" t="s">
        <v>41</v>
      </c>
      <c r="K1488" s="7" t="s">
        <v>248</v>
      </c>
      <c r="L1488" s="7" t="s">
        <v>2675</v>
      </c>
      <c r="M1488" s="7" t="s">
        <v>30</v>
      </c>
      <c r="N1488" s="7" t="s">
        <v>75</v>
      </c>
      <c r="O1488" s="7">
        <v>49</v>
      </c>
      <c r="P1488" s="7">
        <v>43.69</v>
      </c>
      <c r="Q1488" s="7">
        <v>23.5</v>
      </c>
      <c r="R1488" s="7">
        <v>2140.5700000000002</v>
      </c>
      <c r="S1488" s="7">
        <v>0.05</v>
      </c>
      <c r="T1488" s="7">
        <v>107.03</v>
      </c>
      <c r="U1488" s="7">
        <v>2033.54</v>
      </c>
      <c r="V1488" s="7">
        <v>1151.5999999999999</v>
      </c>
      <c r="W1488" s="7">
        <v>881.95</v>
      </c>
      <c r="X1488" s="7" t="s">
        <v>45</v>
      </c>
    </row>
    <row r="1489" spans="1:24" x14ac:dyDescent="0.25">
      <c r="A1489" s="16" t="s">
        <v>1991</v>
      </c>
      <c r="B1489" s="17">
        <v>45326</v>
      </c>
      <c r="C1489" s="6" t="s">
        <v>737</v>
      </c>
      <c r="D1489" s="6" t="s">
        <v>22</v>
      </c>
      <c r="E1489" s="6" t="s">
        <v>176</v>
      </c>
      <c r="F1489" s="6" t="s">
        <v>177</v>
      </c>
      <c r="G1489" s="6" t="s">
        <v>101</v>
      </c>
      <c r="H1489" s="6" t="s">
        <v>39</v>
      </c>
      <c r="I1489" s="6" t="s">
        <v>27</v>
      </c>
      <c r="J1489" s="6" t="s">
        <v>211</v>
      </c>
      <c r="K1489" s="6" t="s">
        <v>69</v>
      </c>
      <c r="L1489" s="6" t="s">
        <v>2663</v>
      </c>
      <c r="M1489" s="6" t="s">
        <v>30</v>
      </c>
      <c r="N1489" s="6" t="s">
        <v>75</v>
      </c>
      <c r="O1489" s="6">
        <v>59</v>
      </c>
      <c r="P1489" s="6">
        <v>106.85</v>
      </c>
      <c r="Q1489" s="6">
        <v>59.32</v>
      </c>
      <c r="R1489" s="6">
        <v>6304.26</v>
      </c>
      <c r="S1489" s="6">
        <v>0.02</v>
      </c>
      <c r="T1489" s="6">
        <v>126.09</v>
      </c>
      <c r="U1489" s="6">
        <v>6178.17</v>
      </c>
      <c r="V1489" s="6">
        <v>3500.14</v>
      </c>
      <c r="W1489" s="6">
        <v>2678.03</v>
      </c>
      <c r="X1489" s="6" t="s">
        <v>129</v>
      </c>
    </row>
    <row r="1490" spans="1:24" x14ac:dyDescent="0.25">
      <c r="A1490" s="5" t="s">
        <v>1992</v>
      </c>
      <c r="B1490" s="18">
        <v>45313</v>
      </c>
      <c r="C1490" s="7" t="s">
        <v>1013</v>
      </c>
      <c r="D1490" s="7" t="s">
        <v>48</v>
      </c>
      <c r="E1490" s="7" t="s">
        <v>216</v>
      </c>
      <c r="F1490" s="7" t="s">
        <v>217</v>
      </c>
      <c r="G1490" s="7" t="s">
        <v>38</v>
      </c>
      <c r="H1490" s="7" t="s">
        <v>134</v>
      </c>
      <c r="I1490" s="7" t="s">
        <v>88</v>
      </c>
      <c r="J1490" s="7" t="s">
        <v>89</v>
      </c>
      <c r="K1490" s="7" t="s">
        <v>248</v>
      </c>
      <c r="L1490" s="7" t="s">
        <v>2675</v>
      </c>
      <c r="M1490" s="7" t="s">
        <v>153</v>
      </c>
      <c r="N1490" s="7" t="s">
        <v>31</v>
      </c>
      <c r="O1490" s="7">
        <v>46</v>
      </c>
      <c r="P1490" s="7">
        <v>114.26</v>
      </c>
      <c r="Q1490" s="7">
        <v>70.739999999999995</v>
      </c>
      <c r="R1490" s="7">
        <v>5255.84</v>
      </c>
      <c r="S1490" s="7">
        <v>0.1</v>
      </c>
      <c r="T1490" s="7">
        <v>525.58000000000004</v>
      </c>
      <c r="U1490" s="7">
        <v>4730.26</v>
      </c>
      <c r="V1490" s="7">
        <v>3253.82</v>
      </c>
      <c r="W1490" s="7">
        <v>1476.44</v>
      </c>
      <c r="X1490" s="7" t="s">
        <v>45</v>
      </c>
    </row>
    <row r="1491" spans="1:24" x14ac:dyDescent="0.25">
      <c r="A1491" s="16" t="s">
        <v>1993</v>
      </c>
      <c r="B1491" s="17">
        <v>45528</v>
      </c>
      <c r="C1491" s="6" t="s">
        <v>180</v>
      </c>
      <c r="D1491" s="6" t="s">
        <v>163</v>
      </c>
      <c r="E1491" s="6" t="s">
        <v>216</v>
      </c>
      <c r="F1491" s="6" t="s">
        <v>217</v>
      </c>
      <c r="G1491" s="6" t="s">
        <v>38</v>
      </c>
      <c r="H1491" s="6" t="s">
        <v>134</v>
      </c>
      <c r="I1491" s="6" t="s">
        <v>58</v>
      </c>
      <c r="J1491" s="6" t="s">
        <v>73</v>
      </c>
      <c r="K1491" s="6" t="s">
        <v>74</v>
      </c>
      <c r="L1491" s="6" t="s">
        <v>2664</v>
      </c>
      <c r="M1491" s="6" t="s">
        <v>30</v>
      </c>
      <c r="N1491" s="6" t="s">
        <v>75</v>
      </c>
      <c r="O1491" s="6">
        <v>37</v>
      </c>
      <c r="P1491" s="6">
        <v>110.29</v>
      </c>
      <c r="Q1491" s="6">
        <v>65.099999999999994</v>
      </c>
      <c r="R1491" s="6">
        <v>4080.61</v>
      </c>
      <c r="S1491" s="6">
        <v>0.1</v>
      </c>
      <c r="T1491" s="6">
        <v>408.06</v>
      </c>
      <c r="U1491" s="6">
        <v>3672.55</v>
      </c>
      <c r="V1491" s="6">
        <v>2408.7800000000002</v>
      </c>
      <c r="W1491" s="6">
        <v>1263.78</v>
      </c>
      <c r="X1491" s="6" t="s">
        <v>45</v>
      </c>
    </row>
    <row r="1492" spans="1:24" x14ac:dyDescent="0.25">
      <c r="A1492" s="5" t="s">
        <v>1994</v>
      </c>
      <c r="B1492" s="18">
        <v>45408</v>
      </c>
      <c r="C1492" s="7" t="s">
        <v>72</v>
      </c>
      <c r="D1492" s="7" t="s">
        <v>48</v>
      </c>
      <c r="E1492" s="7" t="s">
        <v>209</v>
      </c>
      <c r="F1492" s="7" t="s">
        <v>210</v>
      </c>
      <c r="G1492" s="7" t="s">
        <v>51</v>
      </c>
      <c r="H1492" s="7" t="s">
        <v>116</v>
      </c>
      <c r="I1492" s="7" t="s">
        <v>40</v>
      </c>
      <c r="J1492" s="7" t="s">
        <v>289</v>
      </c>
      <c r="K1492" s="7" t="s">
        <v>60</v>
      </c>
      <c r="L1492" s="7" t="s">
        <v>2662</v>
      </c>
      <c r="M1492" s="7" t="s">
        <v>43</v>
      </c>
      <c r="N1492" s="7" t="s">
        <v>70</v>
      </c>
      <c r="O1492" s="7">
        <v>68</v>
      </c>
      <c r="P1492" s="7">
        <v>18.13</v>
      </c>
      <c r="Q1492" s="7">
        <v>9.81</v>
      </c>
      <c r="R1492" s="7">
        <v>1233.1400000000001</v>
      </c>
      <c r="S1492" s="7">
        <v>0.15</v>
      </c>
      <c r="T1492" s="7">
        <v>184.97</v>
      </c>
      <c r="U1492" s="7">
        <v>1048.17</v>
      </c>
      <c r="V1492" s="7">
        <v>666.99</v>
      </c>
      <c r="W1492" s="7">
        <v>381.18</v>
      </c>
      <c r="X1492" s="7" t="s">
        <v>45</v>
      </c>
    </row>
    <row r="1493" spans="1:24" x14ac:dyDescent="0.25">
      <c r="A1493" s="16" t="s">
        <v>1995</v>
      </c>
      <c r="B1493" s="17">
        <v>45368</v>
      </c>
      <c r="C1493" s="6" t="s">
        <v>970</v>
      </c>
      <c r="D1493" s="6" t="s">
        <v>159</v>
      </c>
      <c r="E1493" s="6" t="s">
        <v>209</v>
      </c>
      <c r="F1493" s="6" t="s">
        <v>210</v>
      </c>
      <c r="G1493" s="6" t="s">
        <v>51</v>
      </c>
      <c r="H1493" s="6" t="s">
        <v>116</v>
      </c>
      <c r="I1493" s="6" t="s">
        <v>40</v>
      </c>
      <c r="J1493" s="6" t="s">
        <v>289</v>
      </c>
      <c r="K1493" s="6" t="s">
        <v>118</v>
      </c>
      <c r="L1493" s="6" t="s">
        <v>2668</v>
      </c>
      <c r="M1493" s="6" t="s">
        <v>153</v>
      </c>
      <c r="N1493" s="6" t="s">
        <v>75</v>
      </c>
      <c r="O1493" s="6">
        <v>14</v>
      </c>
      <c r="P1493" s="6">
        <v>17.329999999999998</v>
      </c>
      <c r="Q1493" s="6">
        <v>9.36</v>
      </c>
      <c r="R1493" s="6">
        <v>242.67</v>
      </c>
      <c r="S1493" s="6">
        <v>0.05</v>
      </c>
      <c r="T1493" s="6">
        <v>12.13</v>
      </c>
      <c r="U1493" s="6">
        <v>230.54</v>
      </c>
      <c r="V1493" s="6">
        <v>131.06</v>
      </c>
      <c r="W1493" s="6">
        <v>99.47</v>
      </c>
      <c r="X1493" s="6" t="s">
        <v>45</v>
      </c>
    </row>
    <row r="1494" spans="1:24" x14ac:dyDescent="0.25">
      <c r="A1494" s="5" t="s">
        <v>71</v>
      </c>
      <c r="B1494" s="18">
        <v>45420</v>
      </c>
      <c r="C1494" s="7" t="s">
        <v>72</v>
      </c>
      <c r="D1494" s="7" t="s">
        <v>48</v>
      </c>
      <c r="E1494" s="7" t="s">
        <v>36</v>
      </c>
      <c r="F1494" s="7" t="s">
        <v>37</v>
      </c>
      <c r="G1494" s="7" t="s">
        <v>38</v>
      </c>
      <c r="H1494" s="7" t="s">
        <v>39</v>
      </c>
      <c r="I1494" s="7" t="s">
        <v>58</v>
      </c>
      <c r="J1494" s="7" t="s">
        <v>73</v>
      </c>
      <c r="K1494" s="7" t="s">
        <v>74</v>
      </c>
      <c r="L1494" s="7" t="s">
        <v>2664</v>
      </c>
      <c r="M1494" s="7" t="s">
        <v>30</v>
      </c>
      <c r="N1494" s="7" t="s">
        <v>75</v>
      </c>
      <c r="O1494" s="7">
        <v>68</v>
      </c>
      <c r="P1494" s="7">
        <v>176.42</v>
      </c>
      <c r="Q1494" s="7">
        <v>99.7</v>
      </c>
      <c r="R1494" s="7">
        <v>11996.8</v>
      </c>
      <c r="S1494" s="7">
        <v>0.1</v>
      </c>
      <c r="T1494" s="7">
        <v>1199.68</v>
      </c>
      <c r="U1494" s="7">
        <v>10797.12</v>
      </c>
      <c r="V1494" s="7">
        <v>6779.67</v>
      </c>
      <c r="W1494" s="7">
        <v>4017.45</v>
      </c>
      <c r="X1494" s="7" t="s">
        <v>45</v>
      </c>
    </row>
    <row r="1495" spans="1:24" x14ac:dyDescent="0.25">
      <c r="A1495" s="16" t="s">
        <v>1996</v>
      </c>
      <c r="B1495" s="17">
        <v>45497</v>
      </c>
      <c r="C1495" s="6" t="s">
        <v>509</v>
      </c>
      <c r="D1495" s="6" t="s">
        <v>264</v>
      </c>
      <c r="E1495" s="6" t="s">
        <v>222</v>
      </c>
      <c r="F1495" s="6" t="s">
        <v>223</v>
      </c>
      <c r="G1495" s="6" t="s">
        <v>101</v>
      </c>
      <c r="H1495" s="6" t="s">
        <v>68</v>
      </c>
      <c r="I1495" s="6" t="s">
        <v>58</v>
      </c>
      <c r="J1495" s="6" t="s">
        <v>59</v>
      </c>
      <c r="K1495" s="6" t="s">
        <v>178</v>
      </c>
      <c r="L1495" s="6" t="s">
        <v>256</v>
      </c>
      <c r="M1495" s="6" t="s">
        <v>43</v>
      </c>
      <c r="N1495" s="6" t="s">
        <v>75</v>
      </c>
      <c r="O1495" s="6">
        <v>22</v>
      </c>
      <c r="P1495" s="6">
        <v>122.06</v>
      </c>
      <c r="Q1495" s="6">
        <v>78.58</v>
      </c>
      <c r="R1495" s="6">
        <v>2685.24</v>
      </c>
      <c r="S1495" s="6">
        <v>0.1</v>
      </c>
      <c r="T1495" s="6">
        <v>268.52</v>
      </c>
      <c r="U1495" s="6">
        <v>2416.71</v>
      </c>
      <c r="V1495" s="6">
        <v>1728.82</v>
      </c>
      <c r="W1495" s="6">
        <v>687.89</v>
      </c>
      <c r="X1495" s="6" t="s">
        <v>32</v>
      </c>
    </row>
    <row r="1496" spans="1:24" x14ac:dyDescent="0.25">
      <c r="A1496" s="5" t="s">
        <v>1997</v>
      </c>
      <c r="B1496" s="18">
        <v>45303</v>
      </c>
      <c r="C1496" s="7" t="s">
        <v>155</v>
      </c>
      <c r="D1496" s="7" t="s">
        <v>156</v>
      </c>
      <c r="E1496" s="7" t="s">
        <v>66</v>
      </c>
      <c r="F1496" s="7" t="s">
        <v>67</v>
      </c>
      <c r="G1496" s="7" t="s">
        <v>38</v>
      </c>
      <c r="H1496" s="7" t="s">
        <v>68</v>
      </c>
      <c r="I1496" s="7" t="s">
        <v>40</v>
      </c>
      <c r="J1496" s="7" t="s">
        <v>289</v>
      </c>
      <c r="K1496" s="7" t="s">
        <v>69</v>
      </c>
      <c r="L1496" s="7" t="s">
        <v>2663</v>
      </c>
      <c r="M1496" s="7" t="s">
        <v>153</v>
      </c>
      <c r="N1496" s="7" t="s">
        <v>75</v>
      </c>
      <c r="O1496" s="7">
        <v>74</v>
      </c>
      <c r="P1496" s="7">
        <v>168.34</v>
      </c>
      <c r="Q1496" s="7">
        <v>97.82</v>
      </c>
      <c r="R1496" s="7">
        <v>12457.23</v>
      </c>
      <c r="S1496" s="7">
        <v>0.05</v>
      </c>
      <c r="T1496" s="7">
        <v>622.86</v>
      </c>
      <c r="U1496" s="7">
        <v>11834.37</v>
      </c>
      <c r="V1496" s="7">
        <v>7239.01</v>
      </c>
      <c r="W1496" s="7">
        <v>4595.3599999999997</v>
      </c>
      <c r="X1496" s="7" t="s">
        <v>45</v>
      </c>
    </row>
    <row r="1497" spans="1:24" x14ac:dyDescent="0.25">
      <c r="A1497" s="16" t="s">
        <v>1998</v>
      </c>
      <c r="B1497" s="17">
        <v>45656</v>
      </c>
      <c r="C1497" s="6" t="s">
        <v>220</v>
      </c>
      <c r="D1497" s="6" t="s">
        <v>221</v>
      </c>
      <c r="E1497" s="6" t="s">
        <v>109</v>
      </c>
      <c r="F1497" s="6" t="s">
        <v>110</v>
      </c>
      <c r="G1497" s="6" t="s">
        <v>80</v>
      </c>
      <c r="H1497" s="6" t="s">
        <v>81</v>
      </c>
      <c r="I1497" s="6" t="s">
        <v>88</v>
      </c>
      <c r="J1497" s="6" t="s">
        <v>183</v>
      </c>
      <c r="K1497" s="6" t="s">
        <v>184</v>
      </c>
      <c r="L1497" s="6" t="s">
        <v>2672</v>
      </c>
      <c r="M1497" s="6" t="s">
        <v>61</v>
      </c>
      <c r="N1497" s="6" t="s">
        <v>75</v>
      </c>
      <c r="O1497" s="6">
        <v>19</v>
      </c>
      <c r="P1497" s="6">
        <v>120.31</v>
      </c>
      <c r="Q1497" s="6">
        <v>75.2</v>
      </c>
      <c r="R1497" s="6">
        <v>2285.8200000000002</v>
      </c>
      <c r="S1497" s="6">
        <v>0.05</v>
      </c>
      <c r="T1497" s="6">
        <v>114.29</v>
      </c>
      <c r="U1497" s="6">
        <v>2171.5300000000002</v>
      </c>
      <c r="V1497" s="6">
        <v>1428.85</v>
      </c>
      <c r="W1497" s="6">
        <v>742.69</v>
      </c>
      <c r="X1497" s="6" t="s">
        <v>129</v>
      </c>
    </row>
    <row r="1498" spans="1:24" x14ac:dyDescent="0.25">
      <c r="A1498" s="5" t="s">
        <v>1999</v>
      </c>
      <c r="B1498" s="18">
        <v>45621</v>
      </c>
      <c r="C1498" s="7" t="s">
        <v>365</v>
      </c>
      <c r="D1498" s="7" t="s">
        <v>22</v>
      </c>
      <c r="E1498" s="7" t="s">
        <v>99</v>
      </c>
      <c r="F1498" s="7" t="s">
        <v>100</v>
      </c>
      <c r="G1498" s="7" t="s">
        <v>101</v>
      </c>
      <c r="H1498" s="7" t="s">
        <v>102</v>
      </c>
      <c r="I1498" s="7" t="s">
        <v>40</v>
      </c>
      <c r="J1498" s="7" t="s">
        <v>289</v>
      </c>
      <c r="K1498" s="7" t="s">
        <v>152</v>
      </c>
      <c r="L1498" s="7" t="s">
        <v>2670</v>
      </c>
      <c r="M1498" s="7" t="s">
        <v>30</v>
      </c>
      <c r="N1498" s="7" t="s">
        <v>31</v>
      </c>
      <c r="O1498" s="7">
        <v>52</v>
      </c>
      <c r="P1498" s="7">
        <v>73.849999999999994</v>
      </c>
      <c r="Q1498" s="7">
        <v>43.01</v>
      </c>
      <c r="R1498" s="7">
        <v>3840.44</v>
      </c>
      <c r="S1498" s="7">
        <v>0.05</v>
      </c>
      <c r="T1498" s="7">
        <v>192.02</v>
      </c>
      <c r="U1498" s="7">
        <v>3648.42</v>
      </c>
      <c r="V1498" s="7">
        <v>2236.27</v>
      </c>
      <c r="W1498" s="7">
        <v>1412.15</v>
      </c>
      <c r="X1498" s="7" t="s">
        <v>32</v>
      </c>
    </row>
    <row r="1499" spans="1:24" x14ac:dyDescent="0.25">
      <c r="A1499" s="16" t="s">
        <v>2000</v>
      </c>
      <c r="B1499" s="17">
        <v>45294</v>
      </c>
      <c r="C1499" s="6" t="s">
        <v>1122</v>
      </c>
      <c r="D1499" s="6" t="s">
        <v>159</v>
      </c>
      <c r="E1499" s="6" t="s">
        <v>141</v>
      </c>
      <c r="F1499" s="6" t="s">
        <v>142</v>
      </c>
      <c r="G1499" s="6" t="s">
        <v>25</v>
      </c>
      <c r="H1499" s="6" t="s">
        <v>26</v>
      </c>
      <c r="I1499" s="6" t="s">
        <v>40</v>
      </c>
      <c r="J1499" s="6" t="s">
        <v>82</v>
      </c>
      <c r="K1499" s="6" t="s">
        <v>253</v>
      </c>
      <c r="L1499" s="6" t="s">
        <v>2676</v>
      </c>
      <c r="M1499" s="6" t="s">
        <v>30</v>
      </c>
      <c r="N1499" s="6" t="s">
        <v>44</v>
      </c>
      <c r="O1499" s="6">
        <v>35</v>
      </c>
      <c r="P1499" s="6">
        <v>91.8</v>
      </c>
      <c r="Q1499" s="6">
        <v>61.71</v>
      </c>
      <c r="R1499" s="6">
        <v>3212.88</v>
      </c>
      <c r="S1499" s="6">
        <v>0.2</v>
      </c>
      <c r="T1499" s="6">
        <v>642.58000000000004</v>
      </c>
      <c r="U1499" s="6">
        <v>2570.3000000000002</v>
      </c>
      <c r="V1499" s="6">
        <v>2159.9499999999998</v>
      </c>
      <c r="W1499" s="6">
        <v>410.36</v>
      </c>
      <c r="X1499" s="6" t="s">
        <v>45</v>
      </c>
    </row>
    <row r="1500" spans="1:24" x14ac:dyDescent="0.25">
      <c r="A1500" s="5" t="s">
        <v>2001</v>
      </c>
      <c r="B1500" s="18">
        <v>45363</v>
      </c>
      <c r="C1500" s="7" t="s">
        <v>866</v>
      </c>
      <c r="D1500" s="7" t="s">
        <v>156</v>
      </c>
      <c r="E1500" s="7" t="s">
        <v>187</v>
      </c>
      <c r="F1500" s="7" t="s">
        <v>188</v>
      </c>
      <c r="G1500" s="7" t="s">
        <v>25</v>
      </c>
      <c r="H1500" s="7" t="s">
        <v>26</v>
      </c>
      <c r="I1500" s="7" t="s">
        <v>40</v>
      </c>
      <c r="J1500" s="7" t="s">
        <v>117</v>
      </c>
      <c r="K1500" s="7" t="s">
        <v>170</v>
      </c>
      <c r="L1500" s="7" t="s">
        <v>2671</v>
      </c>
      <c r="M1500" s="7" t="s">
        <v>61</v>
      </c>
      <c r="N1500" s="7" t="s">
        <v>84</v>
      </c>
      <c r="O1500" s="7">
        <v>19</v>
      </c>
      <c r="P1500" s="7">
        <v>50.48</v>
      </c>
      <c r="Q1500" s="7">
        <v>30.41</v>
      </c>
      <c r="R1500" s="7">
        <v>959.06</v>
      </c>
      <c r="S1500" s="7">
        <v>0.15</v>
      </c>
      <c r="T1500" s="7">
        <v>143.86000000000001</v>
      </c>
      <c r="U1500" s="7">
        <v>815.2</v>
      </c>
      <c r="V1500" s="7">
        <v>577.79999999999995</v>
      </c>
      <c r="W1500" s="7">
        <v>237.41</v>
      </c>
      <c r="X1500" s="7" t="s">
        <v>32</v>
      </c>
    </row>
    <row r="1501" spans="1:24" x14ac:dyDescent="0.25">
      <c r="A1501" s="16" t="s">
        <v>2002</v>
      </c>
      <c r="B1501" s="17">
        <v>45461</v>
      </c>
      <c r="C1501" s="6" t="s">
        <v>475</v>
      </c>
      <c r="D1501" s="6" t="s">
        <v>57</v>
      </c>
      <c r="E1501" s="6" t="s">
        <v>99</v>
      </c>
      <c r="F1501" s="6" t="s">
        <v>100</v>
      </c>
      <c r="G1501" s="6" t="s">
        <v>101</v>
      </c>
      <c r="H1501" s="6" t="s">
        <v>102</v>
      </c>
      <c r="I1501" s="6" t="s">
        <v>88</v>
      </c>
      <c r="J1501" s="6" t="s">
        <v>89</v>
      </c>
      <c r="K1501" s="6" t="s">
        <v>170</v>
      </c>
      <c r="L1501" s="6" t="s">
        <v>2671</v>
      </c>
      <c r="M1501" s="6" t="s">
        <v>153</v>
      </c>
      <c r="N1501" s="6" t="s">
        <v>44</v>
      </c>
      <c r="O1501" s="6">
        <v>73</v>
      </c>
      <c r="P1501" s="6">
        <v>67.900000000000006</v>
      </c>
      <c r="Q1501" s="6">
        <v>42.01</v>
      </c>
      <c r="R1501" s="6">
        <v>4956.93</v>
      </c>
      <c r="S1501" s="6">
        <v>0</v>
      </c>
      <c r="T1501" s="6">
        <v>0</v>
      </c>
      <c r="U1501" s="6">
        <v>4956.93</v>
      </c>
      <c r="V1501" s="6">
        <v>3066.91</v>
      </c>
      <c r="W1501" s="6">
        <v>1890.02</v>
      </c>
      <c r="X1501" s="6" t="s">
        <v>32</v>
      </c>
    </row>
    <row r="1502" spans="1:24" x14ac:dyDescent="0.25">
      <c r="A1502" s="5" t="s">
        <v>2003</v>
      </c>
      <c r="B1502" s="18">
        <v>45507</v>
      </c>
      <c r="C1502" s="7" t="s">
        <v>1171</v>
      </c>
      <c r="D1502" s="7" t="s">
        <v>35</v>
      </c>
      <c r="E1502" s="7" t="s">
        <v>176</v>
      </c>
      <c r="F1502" s="7" t="s">
        <v>177</v>
      </c>
      <c r="G1502" s="7" t="s">
        <v>101</v>
      </c>
      <c r="H1502" s="7" t="s">
        <v>39</v>
      </c>
      <c r="I1502" s="7" t="s">
        <v>27</v>
      </c>
      <c r="J1502" s="7" t="s">
        <v>106</v>
      </c>
      <c r="K1502" s="7" t="s">
        <v>74</v>
      </c>
      <c r="L1502" s="7" t="s">
        <v>2664</v>
      </c>
      <c r="M1502" s="7" t="s">
        <v>43</v>
      </c>
      <c r="N1502" s="7" t="s">
        <v>31</v>
      </c>
      <c r="O1502" s="7">
        <v>23</v>
      </c>
      <c r="P1502" s="7">
        <v>108.23</v>
      </c>
      <c r="Q1502" s="7">
        <v>59.32</v>
      </c>
      <c r="R1502" s="7">
        <v>2489.39</v>
      </c>
      <c r="S1502" s="7">
        <v>0.02</v>
      </c>
      <c r="T1502" s="7">
        <v>49.79</v>
      </c>
      <c r="U1502" s="7">
        <v>2439.61</v>
      </c>
      <c r="V1502" s="7">
        <v>1364.25</v>
      </c>
      <c r="W1502" s="7">
        <v>1075.3599999999999</v>
      </c>
      <c r="X1502" s="7" t="s">
        <v>45</v>
      </c>
    </row>
    <row r="1503" spans="1:24" x14ac:dyDescent="0.25">
      <c r="A1503" s="16" t="s">
        <v>2004</v>
      </c>
      <c r="B1503" s="17">
        <v>45412</v>
      </c>
      <c r="C1503" s="6" t="s">
        <v>506</v>
      </c>
      <c r="D1503" s="6" t="s">
        <v>264</v>
      </c>
      <c r="E1503" s="6" t="s">
        <v>150</v>
      </c>
      <c r="F1503" s="6" t="s">
        <v>151</v>
      </c>
      <c r="G1503" s="6" t="s">
        <v>101</v>
      </c>
      <c r="H1503" s="6" t="s">
        <v>134</v>
      </c>
      <c r="I1503" s="6" t="s">
        <v>27</v>
      </c>
      <c r="J1503" s="6" t="s">
        <v>28</v>
      </c>
      <c r="K1503" s="6" t="s">
        <v>69</v>
      </c>
      <c r="L1503" s="6" t="s">
        <v>2663</v>
      </c>
      <c r="M1503" s="6" t="s">
        <v>385</v>
      </c>
      <c r="N1503" s="6" t="s">
        <v>31</v>
      </c>
      <c r="O1503" s="6">
        <v>33</v>
      </c>
      <c r="P1503" s="6">
        <v>78.62</v>
      </c>
      <c r="Q1503" s="6">
        <v>49.06</v>
      </c>
      <c r="R1503" s="6">
        <v>2594.59</v>
      </c>
      <c r="S1503" s="6">
        <v>0.2</v>
      </c>
      <c r="T1503" s="6">
        <v>518.91999999999996</v>
      </c>
      <c r="U1503" s="6">
        <v>2075.6799999999998</v>
      </c>
      <c r="V1503" s="6">
        <v>1618.98</v>
      </c>
      <c r="W1503" s="6">
        <v>456.69</v>
      </c>
      <c r="X1503" s="6" t="s">
        <v>45</v>
      </c>
    </row>
    <row r="1504" spans="1:24" x14ac:dyDescent="0.25">
      <c r="A1504" s="5" t="s">
        <v>2005</v>
      </c>
      <c r="B1504" s="18">
        <v>45450</v>
      </c>
      <c r="C1504" s="7" t="s">
        <v>717</v>
      </c>
      <c r="D1504" s="7" t="s">
        <v>35</v>
      </c>
      <c r="E1504" s="7" t="s">
        <v>114</v>
      </c>
      <c r="F1504" s="7" t="s">
        <v>115</v>
      </c>
      <c r="G1504" s="7" t="s">
        <v>95</v>
      </c>
      <c r="H1504" s="7" t="s">
        <v>116</v>
      </c>
      <c r="I1504" s="7" t="s">
        <v>53</v>
      </c>
      <c r="J1504" s="7" t="s">
        <v>54</v>
      </c>
      <c r="K1504" s="7" t="s">
        <v>144</v>
      </c>
      <c r="L1504" s="7" t="s">
        <v>2669</v>
      </c>
      <c r="M1504" s="7" t="s">
        <v>43</v>
      </c>
      <c r="N1504" s="7" t="s">
        <v>75</v>
      </c>
      <c r="O1504" s="7">
        <v>58</v>
      </c>
      <c r="P1504" s="7">
        <v>33.69</v>
      </c>
      <c r="Q1504" s="7">
        <v>19.760000000000002</v>
      </c>
      <c r="R1504" s="7">
        <v>1953.87</v>
      </c>
      <c r="S1504" s="7">
        <v>0.05</v>
      </c>
      <c r="T1504" s="7">
        <v>97.69</v>
      </c>
      <c r="U1504" s="7">
        <v>1856.17</v>
      </c>
      <c r="V1504" s="7">
        <v>1145.8</v>
      </c>
      <c r="W1504" s="7">
        <v>710.37</v>
      </c>
      <c r="X1504" s="7" t="s">
        <v>45</v>
      </c>
    </row>
    <row r="1505" spans="1:24" x14ac:dyDescent="0.25">
      <c r="A1505" s="16" t="s">
        <v>2006</v>
      </c>
      <c r="B1505" s="17">
        <v>45572</v>
      </c>
      <c r="C1505" s="6" t="s">
        <v>509</v>
      </c>
      <c r="D1505" s="6" t="s">
        <v>264</v>
      </c>
      <c r="E1505" s="6" t="s">
        <v>114</v>
      </c>
      <c r="F1505" s="6" t="s">
        <v>115</v>
      </c>
      <c r="G1505" s="6" t="s">
        <v>95</v>
      </c>
      <c r="H1505" s="6" t="s">
        <v>116</v>
      </c>
      <c r="I1505" s="6" t="s">
        <v>88</v>
      </c>
      <c r="J1505" s="6" t="s">
        <v>89</v>
      </c>
      <c r="K1505" s="6" t="s">
        <v>195</v>
      </c>
      <c r="L1505" s="6" t="s">
        <v>2673</v>
      </c>
      <c r="M1505" s="6" t="s">
        <v>30</v>
      </c>
      <c r="N1505" s="6" t="s">
        <v>70</v>
      </c>
      <c r="O1505" s="6">
        <v>43</v>
      </c>
      <c r="P1505" s="6">
        <v>34.85</v>
      </c>
      <c r="Q1505" s="6">
        <v>19.47</v>
      </c>
      <c r="R1505" s="6">
        <v>1498.38</v>
      </c>
      <c r="S1505" s="6">
        <v>0.2</v>
      </c>
      <c r="T1505" s="6">
        <v>299.68</v>
      </c>
      <c r="U1505" s="6">
        <v>1198.7</v>
      </c>
      <c r="V1505" s="6">
        <v>837.36</v>
      </c>
      <c r="W1505" s="6">
        <v>361.35</v>
      </c>
      <c r="X1505" s="6" t="s">
        <v>32</v>
      </c>
    </row>
    <row r="1506" spans="1:24" x14ac:dyDescent="0.25">
      <c r="A1506" s="5" t="s">
        <v>2007</v>
      </c>
      <c r="B1506" s="18">
        <v>45611</v>
      </c>
      <c r="C1506" s="7" t="s">
        <v>823</v>
      </c>
      <c r="D1506" s="7" t="s">
        <v>87</v>
      </c>
      <c r="E1506" s="7" t="s">
        <v>23</v>
      </c>
      <c r="F1506" s="7" t="s">
        <v>24</v>
      </c>
      <c r="G1506" s="7" t="s">
        <v>25</v>
      </c>
      <c r="H1506" s="7" t="s">
        <v>26</v>
      </c>
      <c r="I1506" s="7" t="s">
        <v>27</v>
      </c>
      <c r="J1506" s="7" t="s">
        <v>211</v>
      </c>
      <c r="K1506" s="7" t="s">
        <v>170</v>
      </c>
      <c r="L1506" s="7" t="s">
        <v>2671</v>
      </c>
      <c r="M1506" s="7" t="s">
        <v>61</v>
      </c>
      <c r="N1506" s="7" t="s">
        <v>44</v>
      </c>
      <c r="O1506" s="7">
        <v>26</v>
      </c>
      <c r="P1506" s="7">
        <v>69.95</v>
      </c>
      <c r="Q1506" s="7">
        <v>42.17</v>
      </c>
      <c r="R1506" s="7">
        <v>1818.64</v>
      </c>
      <c r="S1506" s="7">
        <v>0</v>
      </c>
      <c r="T1506" s="7">
        <v>0</v>
      </c>
      <c r="U1506" s="7">
        <v>1818.64</v>
      </c>
      <c r="V1506" s="7">
        <v>1096.32</v>
      </c>
      <c r="W1506" s="7">
        <v>722.32</v>
      </c>
      <c r="X1506" s="7" t="s">
        <v>45</v>
      </c>
    </row>
    <row r="1507" spans="1:24" x14ac:dyDescent="0.25">
      <c r="A1507" s="16" t="s">
        <v>2008</v>
      </c>
      <c r="B1507" s="17">
        <v>45540</v>
      </c>
      <c r="C1507" s="6" t="s">
        <v>931</v>
      </c>
      <c r="D1507" s="6" t="s">
        <v>105</v>
      </c>
      <c r="E1507" s="6" t="s">
        <v>93</v>
      </c>
      <c r="F1507" s="6" t="s">
        <v>94</v>
      </c>
      <c r="G1507" s="6" t="s">
        <v>95</v>
      </c>
      <c r="H1507" s="6" t="s">
        <v>96</v>
      </c>
      <c r="I1507" s="6" t="s">
        <v>40</v>
      </c>
      <c r="J1507" s="6" t="s">
        <v>41</v>
      </c>
      <c r="K1507" s="6" t="s">
        <v>74</v>
      </c>
      <c r="L1507" s="6" t="s">
        <v>2664</v>
      </c>
      <c r="M1507" s="6" t="s">
        <v>43</v>
      </c>
      <c r="N1507" s="6" t="s">
        <v>75</v>
      </c>
      <c r="O1507" s="6">
        <v>59</v>
      </c>
      <c r="P1507" s="6">
        <v>52.59</v>
      </c>
      <c r="Q1507" s="6">
        <v>31.26</v>
      </c>
      <c r="R1507" s="6">
        <v>3103.08</v>
      </c>
      <c r="S1507" s="6">
        <v>0.02</v>
      </c>
      <c r="T1507" s="6">
        <v>62.06</v>
      </c>
      <c r="U1507" s="6">
        <v>3041.02</v>
      </c>
      <c r="V1507" s="6">
        <v>1844.2</v>
      </c>
      <c r="W1507" s="6">
        <v>1196.82</v>
      </c>
      <c r="X1507" s="6" t="s">
        <v>45</v>
      </c>
    </row>
    <row r="1508" spans="1:24" x14ac:dyDescent="0.25">
      <c r="A1508" s="5" t="s">
        <v>2009</v>
      </c>
      <c r="B1508" s="18">
        <v>45560</v>
      </c>
      <c r="C1508" s="7"/>
      <c r="D1508" s="7"/>
      <c r="E1508" s="7" t="s">
        <v>165</v>
      </c>
      <c r="F1508" s="7" t="s">
        <v>166</v>
      </c>
      <c r="G1508" s="7" t="s">
        <v>95</v>
      </c>
      <c r="H1508" s="7" t="s">
        <v>167</v>
      </c>
      <c r="I1508" s="7" t="s">
        <v>53</v>
      </c>
      <c r="J1508" s="7" t="s">
        <v>232</v>
      </c>
      <c r="K1508" s="7" t="s">
        <v>152</v>
      </c>
      <c r="L1508" s="7" t="s">
        <v>2670</v>
      </c>
      <c r="M1508" s="7" t="s">
        <v>153</v>
      </c>
      <c r="N1508" s="7" t="s">
        <v>84</v>
      </c>
      <c r="O1508" s="7">
        <v>64</v>
      </c>
      <c r="P1508" s="7">
        <v>44.99</v>
      </c>
      <c r="Q1508" s="7">
        <v>24.9</v>
      </c>
      <c r="R1508" s="7">
        <v>2879.07</v>
      </c>
      <c r="S1508" s="7">
        <v>0.15</v>
      </c>
      <c r="T1508" s="7">
        <v>431.86</v>
      </c>
      <c r="U1508" s="7">
        <v>2447.21</v>
      </c>
      <c r="V1508" s="7">
        <v>1593.4</v>
      </c>
      <c r="W1508" s="7">
        <v>853.81</v>
      </c>
      <c r="X1508" s="7" t="s">
        <v>45</v>
      </c>
    </row>
    <row r="1509" spans="1:24" x14ac:dyDescent="0.25">
      <c r="A1509" s="16" t="s">
        <v>2010</v>
      </c>
      <c r="B1509" s="17">
        <v>45346</v>
      </c>
      <c r="C1509" s="6" t="s">
        <v>649</v>
      </c>
      <c r="D1509" s="6" t="s">
        <v>87</v>
      </c>
      <c r="E1509" s="6" t="s">
        <v>132</v>
      </c>
      <c r="F1509" s="6" t="s">
        <v>133</v>
      </c>
      <c r="G1509" s="6" t="s">
        <v>51</v>
      </c>
      <c r="H1509" s="6" t="s">
        <v>134</v>
      </c>
      <c r="I1509" s="6" t="s">
        <v>88</v>
      </c>
      <c r="J1509" s="6" t="s">
        <v>173</v>
      </c>
      <c r="K1509" s="6" t="s">
        <v>152</v>
      </c>
      <c r="L1509" s="6" t="s">
        <v>2670</v>
      </c>
      <c r="M1509" s="6" t="s">
        <v>61</v>
      </c>
      <c r="N1509" s="6" t="s">
        <v>70</v>
      </c>
      <c r="O1509" s="6">
        <v>15</v>
      </c>
      <c r="P1509" s="6">
        <v>58.97</v>
      </c>
      <c r="Q1509" s="6">
        <v>33.89</v>
      </c>
      <c r="R1509" s="6">
        <v>884.52</v>
      </c>
      <c r="S1509" s="6">
        <v>0.1</v>
      </c>
      <c r="T1509" s="6">
        <v>88.45</v>
      </c>
      <c r="U1509" s="6">
        <v>796.07</v>
      </c>
      <c r="V1509" s="6">
        <v>508.36</v>
      </c>
      <c r="W1509" s="6">
        <v>287.7</v>
      </c>
      <c r="X1509" s="6" t="s">
        <v>45</v>
      </c>
    </row>
    <row r="1510" spans="1:24" x14ac:dyDescent="0.25">
      <c r="A1510" s="5" t="s">
        <v>2011</v>
      </c>
      <c r="B1510" s="18">
        <v>45421</v>
      </c>
      <c r="C1510" s="7" t="s">
        <v>487</v>
      </c>
      <c r="D1510" s="7" t="s">
        <v>156</v>
      </c>
      <c r="E1510" s="7" t="s">
        <v>99</v>
      </c>
      <c r="F1510" s="7" t="s">
        <v>100</v>
      </c>
      <c r="G1510" s="7" t="s">
        <v>101</v>
      </c>
      <c r="H1510" s="7" t="s">
        <v>102</v>
      </c>
      <c r="I1510" s="7" t="s">
        <v>53</v>
      </c>
      <c r="J1510" s="7" t="s">
        <v>143</v>
      </c>
      <c r="K1510" s="7" t="s">
        <v>184</v>
      </c>
      <c r="L1510" s="7" t="s">
        <v>2672</v>
      </c>
      <c r="M1510" s="7" t="s">
        <v>61</v>
      </c>
      <c r="N1510" s="7" t="s">
        <v>31</v>
      </c>
      <c r="O1510" s="7">
        <v>75</v>
      </c>
      <c r="P1510" s="7">
        <v>67.510000000000005</v>
      </c>
      <c r="Q1510" s="7">
        <v>39.53</v>
      </c>
      <c r="R1510" s="7">
        <v>5063.3999999999996</v>
      </c>
      <c r="S1510" s="7">
        <v>0</v>
      </c>
      <c r="T1510" s="7">
        <v>0</v>
      </c>
      <c r="U1510" s="7">
        <v>5063.3999999999996</v>
      </c>
      <c r="V1510" s="7">
        <v>2964.95</v>
      </c>
      <c r="W1510" s="7">
        <v>2098.4499999999998</v>
      </c>
      <c r="X1510" s="7" t="s">
        <v>45</v>
      </c>
    </row>
    <row r="1511" spans="1:24" x14ac:dyDescent="0.25">
      <c r="A1511" s="16" t="s">
        <v>2012</v>
      </c>
      <c r="B1511" s="17">
        <v>45551</v>
      </c>
      <c r="C1511" s="6" t="s">
        <v>182</v>
      </c>
      <c r="D1511" s="6" t="s">
        <v>35</v>
      </c>
      <c r="E1511" s="6" t="s">
        <v>250</v>
      </c>
      <c r="F1511" s="6" t="s">
        <v>251</v>
      </c>
      <c r="G1511" s="6" t="s">
        <v>51</v>
      </c>
      <c r="H1511" s="6" t="s">
        <v>252</v>
      </c>
      <c r="I1511" s="6" t="s">
        <v>40</v>
      </c>
      <c r="J1511" s="6" t="s">
        <v>82</v>
      </c>
      <c r="K1511" s="6" t="s">
        <v>253</v>
      </c>
      <c r="L1511" s="6" t="s">
        <v>2676</v>
      </c>
      <c r="M1511" s="6" t="s">
        <v>61</v>
      </c>
      <c r="N1511" s="6" t="s">
        <v>70</v>
      </c>
      <c r="O1511" s="6">
        <v>48</v>
      </c>
      <c r="P1511" s="6">
        <v>60.06</v>
      </c>
      <c r="Q1511" s="6">
        <v>37.69</v>
      </c>
      <c r="R1511" s="6">
        <v>2882.87</v>
      </c>
      <c r="S1511" s="6">
        <v>0.1</v>
      </c>
      <c r="T1511" s="6">
        <v>288.29000000000002</v>
      </c>
      <c r="U1511" s="6">
        <v>2594.58</v>
      </c>
      <c r="V1511" s="6">
        <v>1809.13</v>
      </c>
      <c r="W1511" s="6">
        <v>785.45</v>
      </c>
      <c r="X1511" s="6" t="s">
        <v>45</v>
      </c>
    </row>
    <row r="1512" spans="1:24" x14ac:dyDescent="0.25">
      <c r="A1512" s="5" t="s">
        <v>1085</v>
      </c>
      <c r="B1512" s="18">
        <v>45488</v>
      </c>
      <c r="C1512" s="7" t="s">
        <v>314</v>
      </c>
      <c r="D1512" s="7" t="s">
        <v>163</v>
      </c>
      <c r="E1512" s="7" t="s">
        <v>49</v>
      </c>
      <c r="F1512" s="7" t="s">
        <v>50</v>
      </c>
      <c r="G1512" s="7" t="s">
        <v>51</v>
      </c>
      <c r="H1512" s="7" t="s">
        <v>52</v>
      </c>
      <c r="I1512" s="7" t="s">
        <v>27</v>
      </c>
      <c r="J1512" s="7" t="s">
        <v>106</v>
      </c>
      <c r="K1512" s="7" t="s">
        <v>218</v>
      </c>
      <c r="L1512" s="7" t="s">
        <v>2674</v>
      </c>
      <c r="M1512" s="7" t="s">
        <v>153</v>
      </c>
      <c r="N1512" s="7" t="s">
        <v>31</v>
      </c>
      <c r="O1512" s="7">
        <v>24</v>
      </c>
      <c r="P1512" s="7">
        <v>25.75</v>
      </c>
      <c r="Q1512" s="7">
        <v>13.46</v>
      </c>
      <c r="R1512" s="7">
        <v>618.02</v>
      </c>
      <c r="S1512" s="7">
        <v>0.1</v>
      </c>
      <c r="T1512" s="7">
        <v>61.8</v>
      </c>
      <c r="U1512" s="7">
        <v>556.22</v>
      </c>
      <c r="V1512" s="7">
        <v>323.12</v>
      </c>
      <c r="W1512" s="7">
        <v>233.1</v>
      </c>
      <c r="X1512" s="7" t="s">
        <v>129</v>
      </c>
    </row>
    <row r="1513" spans="1:24" x14ac:dyDescent="0.25">
      <c r="A1513" s="16" t="s">
        <v>2013</v>
      </c>
      <c r="B1513" s="17">
        <v>45519</v>
      </c>
      <c r="C1513" s="6" t="s">
        <v>723</v>
      </c>
      <c r="D1513" s="6" t="s">
        <v>156</v>
      </c>
      <c r="E1513" s="6" t="s">
        <v>176</v>
      </c>
      <c r="F1513" s="6" t="s">
        <v>177</v>
      </c>
      <c r="G1513" s="6" t="s">
        <v>101</v>
      </c>
      <c r="H1513" s="6" t="s">
        <v>39</v>
      </c>
      <c r="I1513" s="6" t="s">
        <v>58</v>
      </c>
      <c r="J1513" s="6" t="s">
        <v>323</v>
      </c>
      <c r="K1513" s="6"/>
      <c r="L1513" s="6"/>
      <c r="M1513" s="6" t="s">
        <v>61</v>
      </c>
      <c r="N1513" s="6" t="s">
        <v>44</v>
      </c>
      <c r="O1513" s="6">
        <v>39</v>
      </c>
      <c r="P1513" s="6">
        <v>110.08</v>
      </c>
      <c r="Q1513" s="6">
        <v>63.73</v>
      </c>
      <c r="R1513" s="6">
        <v>4293.25</v>
      </c>
      <c r="S1513" s="6">
        <v>0.05</v>
      </c>
      <c r="T1513" s="6">
        <v>214.66</v>
      </c>
      <c r="U1513" s="6">
        <v>4078.59</v>
      </c>
      <c r="V1513" s="6">
        <v>2485.3200000000002</v>
      </c>
      <c r="W1513" s="6">
        <v>1593.27</v>
      </c>
      <c r="X1513" s="6" t="s">
        <v>45</v>
      </c>
    </row>
    <row r="1514" spans="1:24" x14ac:dyDescent="0.25">
      <c r="A1514" s="5" t="s">
        <v>2014</v>
      </c>
      <c r="B1514" s="18">
        <v>45506</v>
      </c>
      <c r="C1514" s="7" t="s">
        <v>447</v>
      </c>
      <c r="D1514" s="7" t="s">
        <v>48</v>
      </c>
      <c r="E1514" s="7" t="s">
        <v>114</v>
      </c>
      <c r="F1514" s="7" t="s">
        <v>115</v>
      </c>
      <c r="G1514" s="7" t="s">
        <v>95</v>
      </c>
      <c r="H1514" s="7" t="s">
        <v>116</v>
      </c>
      <c r="I1514" s="7" t="s">
        <v>40</v>
      </c>
      <c r="J1514" s="7" t="s">
        <v>289</v>
      </c>
      <c r="K1514" s="7" t="s">
        <v>218</v>
      </c>
      <c r="L1514" s="7" t="s">
        <v>2674</v>
      </c>
      <c r="M1514" s="7" t="s">
        <v>153</v>
      </c>
      <c r="N1514" s="7" t="s">
        <v>84</v>
      </c>
      <c r="O1514" s="7">
        <v>52</v>
      </c>
      <c r="P1514" s="7">
        <v>33.5</v>
      </c>
      <c r="Q1514" s="7">
        <v>20.63</v>
      </c>
      <c r="R1514" s="7">
        <v>1741.94</v>
      </c>
      <c r="S1514" s="7">
        <v>0.2</v>
      </c>
      <c r="T1514" s="7">
        <v>348.39</v>
      </c>
      <c r="U1514" s="7">
        <v>1393.55</v>
      </c>
      <c r="V1514" s="7">
        <v>1072.94</v>
      </c>
      <c r="W1514" s="7">
        <v>320.62</v>
      </c>
      <c r="X1514" s="7" t="s">
        <v>45</v>
      </c>
    </row>
    <row r="1515" spans="1:24" x14ac:dyDescent="0.25">
      <c r="A1515" s="16" t="s">
        <v>2015</v>
      </c>
      <c r="B1515" s="17">
        <v>45366</v>
      </c>
      <c r="C1515" s="6" t="s">
        <v>309</v>
      </c>
      <c r="D1515" s="6" t="s">
        <v>65</v>
      </c>
      <c r="E1515" s="6" t="s">
        <v>132</v>
      </c>
      <c r="F1515" s="6" t="s">
        <v>133</v>
      </c>
      <c r="G1515" s="6" t="s">
        <v>51</v>
      </c>
      <c r="H1515" s="6" t="s">
        <v>134</v>
      </c>
      <c r="I1515" s="6" t="s">
        <v>27</v>
      </c>
      <c r="J1515" s="6" t="s">
        <v>106</v>
      </c>
      <c r="K1515" s="6" t="s">
        <v>144</v>
      </c>
      <c r="L1515" s="6" t="s">
        <v>2669</v>
      </c>
      <c r="M1515" s="6" t="s">
        <v>43</v>
      </c>
      <c r="N1515" s="6" t="s">
        <v>70</v>
      </c>
      <c r="O1515" s="6">
        <v>17</v>
      </c>
      <c r="P1515" s="6">
        <v>60.74</v>
      </c>
      <c r="Q1515" s="6">
        <v>33.96</v>
      </c>
      <c r="R1515" s="6">
        <v>1032.55</v>
      </c>
      <c r="S1515" s="6">
        <v>0.15</v>
      </c>
      <c r="T1515" s="6">
        <v>154.88</v>
      </c>
      <c r="U1515" s="6">
        <v>877.67</v>
      </c>
      <c r="V1515" s="6">
        <v>577.30999999999995</v>
      </c>
      <c r="W1515" s="6">
        <v>300.36</v>
      </c>
      <c r="X1515" s="6" t="s">
        <v>45</v>
      </c>
    </row>
    <row r="1516" spans="1:24" x14ac:dyDescent="0.25">
      <c r="A1516" s="5" t="s">
        <v>2016</v>
      </c>
      <c r="B1516" s="18">
        <v>45646</v>
      </c>
      <c r="C1516" s="7" t="s">
        <v>776</v>
      </c>
      <c r="D1516" s="7" t="s">
        <v>57</v>
      </c>
      <c r="E1516" s="7" t="s">
        <v>99</v>
      </c>
      <c r="F1516" s="7" t="s">
        <v>100</v>
      </c>
      <c r="G1516" s="7" t="s">
        <v>101</v>
      </c>
      <c r="H1516" s="7" t="s">
        <v>102</v>
      </c>
      <c r="I1516" s="7" t="s">
        <v>53</v>
      </c>
      <c r="J1516" s="7" t="s">
        <v>143</v>
      </c>
      <c r="K1516" s="7" t="s">
        <v>178</v>
      </c>
      <c r="L1516" s="7" t="s">
        <v>256</v>
      </c>
      <c r="M1516" s="7" t="s">
        <v>30</v>
      </c>
      <c r="N1516" s="7" t="s">
        <v>70</v>
      </c>
      <c r="O1516" s="7">
        <v>20</v>
      </c>
      <c r="P1516" s="7">
        <v>65.88</v>
      </c>
      <c r="Q1516" s="7">
        <v>43.4</v>
      </c>
      <c r="R1516" s="7">
        <v>1317.5</v>
      </c>
      <c r="S1516" s="7">
        <v>0.02</v>
      </c>
      <c r="T1516" s="7">
        <v>26.35</v>
      </c>
      <c r="U1516" s="7">
        <v>1291.1500000000001</v>
      </c>
      <c r="V1516" s="7">
        <v>867.93</v>
      </c>
      <c r="W1516" s="7">
        <v>423.23</v>
      </c>
      <c r="X1516" s="7" t="s">
        <v>45</v>
      </c>
    </row>
    <row r="1517" spans="1:24" x14ac:dyDescent="0.25">
      <c r="A1517" s="16" t="s">
        <v>2017</v>
      </c>
      <c r="B1517" s="17">
        <v>45317</v>
      </c>
      <c r="C1517" s="6" t="s">
        <v>1586</v>
      </c>
      <c r="D1517" s="6" t="s">
        <v>221</v>
      </c>
      <c r="E1517" s="6" t="s">
        <v>216</v>
      </c>
      <c r="F1517" s="6" t="s">
        <v>217</v>
      </c>
      <c r="G1517" s="6" t="s">
        <v>38</v>
      </c>
      <c r="H1517" s="6" t="s">
        <v>134</v>
      </c>
      <c r="I1517" s="6" t="s">
        <v>58</v>
      </c>
      <c r="J1517" s="6" t="s">
        <v>323</v>
      </c>
      <c r="K1517" s="6" t="s">
        <v>152</v>
      </c>
      <c r="L1517" s="6" t="s">
        <v>2670</v>
      </c>
      <c r="M1517" s="6" t="s">
        <v>153</v>
      </c>
      <c r="N1517" s="6" t="s">
        <v>75</v>
      </c>
      <c r="O1517" s="6">
        <v>52</v>
      </c>
      <c r="P1517" s="6">
        <v>115.59</v>
      </c>
      <c r="Q1517" s="6">
        <v>62.93</v>
      </c>
      <c r="R1517" s="6">
        <v>6010.88</v>
      </c>
      <c r="S1517" s="6">
        <v>0.15</v>
      </c>
      <c r="T1517" s="6">
        <v>901.63</v>
      </c>
      <c r="U1517" s="6">
        <v>5109.25</v>
      </c>
      <c r="V1517" s="6">
        <v>3272.29</v>
      </c>
      <c r="W1517" s="6">
        <v>1836.96</v>
      </c>
      <c r="X1517" s="6" t="s">
        <v>45</v>
      </c>
    </row>
    <row r="1518" spans="1:24" x14ac:dyDescent="0.25">
      <c r="A1518" s="5" t="s">
        <v>2018</v>
      </c>
      <c r="B1518" s="18">
        <v>45431</v>
      </c>
      <c r="C1518" s="7" t="s">
        <v>276</v>
      </c>
      <c r="D1518" s="7" t="s">
        <v>221</v>
      </c>
      <c r="E1518" s="7" t="s">
        <v>93</v>
      </c>
      <c r="F1518" s="7" t="s">
        <v>94</v>
      </c>
      <c r="G1518" s="7" t="s">
        <v>95</v>
      </c>
      <c r="H1518" s="7" t="s">
        <v>96</v>
      </c>
      <c r="I1518" s="7" t="s">
        <v>53</v>
      </c>
      <c r="J1518" s="7" t="s">
        <v>143</v>
      </c>
      <c r="K1518" s="7" t="s">
        <v>74</v>
      </c>
      <c r="L1518" s="7" t="s">
        <v>2664</v>
      </c>
      <c r="M1518" s="7" t="s">
        <v>153</v>
      </c>
      <c r="N1518" s="7" t="s">
        <v>31</v>
      </c>
      <c r="O1518" s="7">
        <v>47</v>
      </c>
      <c r="P1518" s="7">
        <v>59.16</v>
      </c>
      <c r="Q1518" s="7">
        <v>33.33</v>
      </c>
      <c r="R1518" s="7">
        <v>2780.66</v>
      </c>
      <c r="S1518" s="7">
        <v>0.02</v>
      </c>
      <c r="T1518" s="7">
        <v>55.61</v>
      </c>
      <c r="U1518" s="7">
        <v>2725.05</v>
      </c>
      <c r="V1518" s="7">
        <v>1566.4</v>
      </c>
      <c r="W1518" s="7">
        <v>1158.6600000000001</v>
      </c>
      <c r="X1518" s="7" t="s">
        <v>45</v>
      </c>
    </row>
    <row r="1519" spans="1:24" x14ac:dyDescent="0.25">
      <c r="A1519" s="16" t="s">
        <v>2019</v>
      </c>
      <c r="B1519" s="17">
        <v>45644</v>
      </c>
      <c r="C1519" s="6" t="s">
        <v>800</v>
      </c>
      <c r="D1519" s="6" t="s">
        <v>264</v>
      </c>
      <c r="E1519" s="6" t="s">
        <v>216</v>
      </c>
      <c r="F1519" s="6" t="s">
        <v>217</v>
      </c>
      <c r="G1519" s="6" t="s">
        <v>38</v>
      </c>
      <c r="H1519" s="6" t="s">
        <v>134</v>
      </c>
      <c r="I1519" s="6" t="s">
        <v>58</v>
      </c>
      <c r="J1519" s="6" t="s">
        <v>345</v>
      </c>
      <c r="K1519" s="6" t="s">
        <v>90</v>
      </c>
      <c r="L1519" s="6" t="s">
        <v>2666</v>
      </c>
      <c r="M1519" s="6" t="s">
        <v>43</v>
      </c>
      <c r="N1519" s="6" t="s">
        <v>84</v>
      </c>
      <c r="O1519" s="6">
        <v>7</v>
      </c>
      <c r="P1519" s="6">
        <v>107.4</v>
      </c>
      <c r="Q1519" s="6">
        <v>70.66</v>
      </c>
      <c r="R1519" s="6">
        <v>751.81</v>
      </c>
      <c r="S1519" s="6">
        <v>0.05</v>
      </c>
      <c r="T1519" s="6">
        <v>37.590000000000003</v>
      </c>
      <c r="U1519" s="6">
        <v>714.22</v>
      </c>
      <c r="V1519" s="6">
        <v>494.62</v>
      </c>
      <c r="W1519" s="6">
        <v>219.6</v>
      </c>
      <c r="X1519" s="6" t="s">
        <v>45</v>
      </c>
    </row>
    <row r="1520" spans="1:24" x14ac:dyDescent="0.25">
      <c r="A1520" s="5" t="s">
        <v>2020</v>
      </c>
      <c r="B1520" s="18">
        <v>45424</v>
      </c>
      <c r="C1520" s="7" t="s">
        <v>569</v>
      </c>
      <c r="D1520" s="7" t="s">
        <v>121</v>
      </c>
      <c r="E1520" s="7" t="s">
        <v>93</v>
      </c>
      <c r="F1520" s="7" t="s">
        <v>94</v>
      </c>
      <c r="G1520" s="7" t="s">
        <v>95</v>
      </c>
      <c r="H1520" s="7" t="s">
        <v>96</v>
      </c>
      <c r="I1520" s="7" t="s">
        <v>27</v>
      </c>
      <c r="J1520" s="7" t="s">
        <v>28</v>
      </c>
      <c r="K1520" s="7" t="s">
        <v>261</v>
      </c>
      <c r="L1520" s="7" t="s">
        <v>2677</v>
      </c>
      <c r="M1520" s="7" t="s">
        <v>61</v>
      </c>
      <c r="N1520" s="7" t="s">
        <v>70</v>
      </c>
      <c r="O1520" s="7">
        <v>73</v>
      </c>
      <c r="P1520" s="7">
        <v>55.89</v>
      </c>
      <c r="Q1520" s="7">
        <v>32.08</v>
      </c>
      <c r="R1520" s="7">
        <v>4079.62</v>
      </c>
      <c r="S1520" s="7">
        <v>0.02</v>
      </c>
      <c r="T1520" s="7">
        <v>81.59</v>
      </c>
      <c r="U1520" s="7">
        <v>3998.03</v>
      </c>
      <c r="V1520" s="7">
        <v>2341.86</v>
      </c>
      <c r="W1520" s="7">
        <v>1656.17</v>
      </c>
      <c r="X1520" s="7" t="s">
        <v>129</v>
      </c>
    </row>
    <row r="1521" spans="1:24" x14ac:dyDescent="0.25">
      <c r="A1521" s="16" t="s">
        <v>2021</v>
      </c>
      <c r="B1521" s="17">
        <v>45629</v>
      </c>
      <c r="C1521" s="6" t="s">
        <v>900</v>
      </c>
      <c r="D1521" s="6" t="s">
        <v>22</v>
      </c>
      <c r="E1521" s="6" t="s">
        <v>250</v>
      </c>
      <c r="F1521" s="6" t="s">
        <v>251</v>
      </c>
      <c r="G1521" s="6" t="s">
        <v>51</v>
      </c>
      <c r="H1521" s="6" t="s">
        <v>252</v>
      </c>
      <c r="I1521" s="6" t="s">
        <v>40</v>
      </c>
      <c r="J1521" s="6" t="s">
        <v>117</v>
      </c>
      <c r="K1521" s="6" t="s">
        <v>170</v>
      </c>
      <c r="L1521" s="6" t="s">
        <v>2671</v>
      </c>
      <c r="M1521" s="6" t="s">
        <v>43</v>
      </c>
      <c r="N1521" s="6" t="s">
        <v>31</v>
      </c>
      <c r="O1521" s="6">
        <v>67</v>
      </c>
      <c r="P1521" s="6"/>
      <c r="Q1521" s="6">
        <v>36.04</v>
      </c>
      <c r="R1521" s="6">
        <v>4456.37</v>
      </c>
      <c r="S1521" s="6">
        <v>0.05</v>
      </c>
      <c r="T1521" s="6">
        <v>222.82</v>
      </c>
      <c r="U1521" s="6">
        <v>4233.55</v>
      </c>
      <c r="V1521" s="6">
        <v>2414.4699999999998</v>
      </c>
      <c r="W1521" s="6">
        <v>1819.08</v>
      </c>
      <c r="X1521" s="6" t="s">
        <v>45</v>
      </c>
    </row>
    <row r="1522" spans="1:24" x14ac:dyDescent="0.25">
      <c r="A1522" s="5" t="s">
        <v>2022</v>
      </c>
      <c r="B1522" s="18">
        <v>45642</v>
      </c>
      <c r="C1522" s="7" t="s">
        <v>414</v>
      </c>
      <c r="D1522" s="7" t="s">
        <v>22</v>
      </c>
      <c r="E1522" s="7" t="s">
        <v>132</v>
      </c>
      <c r="F1522" s="7" t="s">
        <v>133</v>
      </c>
      <c r="G1522" s="7" t="s">
        <v>51</v>
      </c>
      <c r="H1522" s="7" t="s">
        <v>134</v>
      </c>
      <c r="I1522" s="7" t="s">
        <v>40</v>
      </c>
      <c r="J1522" s="7" t="s">
        <v>41</v>
      </c>
      <c r="K1522" s="7" t="s">
        <v>118</v>
      </c>
      <c r="L1522" s="7" t="s">
        <v>2668</v>
      </c>
      <c r="M1522" s="7" t="s">
        <v>153</v>
      </c>
      <c r="N1522" s="7" t="s">
        <v>70</v>
      </c>
      <c r="O1522" s="7">
        <v>11</v>
      </c>
      <c r="P1522" s="7">
        <v>60.46</v>
      </c>
      <c r="Q1522" s="7">
        <v>35.729999999999997</v>
      </c>
      <c r="R1522" s="7">
        <v>665.03</v>
      </c>
      <c r="S1522" s="7">
        <v>0.15</v>
      </c>
      <c r="T1522" s="7">
        <v>99.75</v>
      </c>
      <c r="U1522" s="7">
        <v>565.27</v>
      </c>
      <c r="V1522" s="7">
        <v>392.99</v>
      </c>
      <c r="W1522" s="7">
        <v>172.28</v>
      </c>
      <c r="X1522" s="7" t="s">
        <v>45</v>
      </c>
    </row>
    <row r="1523" spans="1:24" x14ac:dyDescent="0.25">
      <c r="A1523" s="16" t="s">
        <v>2023</v>
      </c>
      <c r="B1523" s="17">
        <v>45462</v>
      </c>
      <c r="C1523" s="6" t="s">
        <v>497</v>
      </c>
      <c r="D1523" s="6" t="s">
        <v>35</v>
      </c>
      <c r="E1523" s="6" t="s">
        <v>49</v>
      </c>
      <c r="F1523" s="6" t="s">
        <v>50</v>
      </c>
      <c r="G1523" s="6" t="s">
        <v>51</v>
      </c>
      <c r="H1523" s="6" t="s">
        <v>52</v>
      </c>
      <c r="I1523" s="6" t="s">
        <v>88</v>
      </c>
      <c r="J1523" s="6" t="s">
        <v>183</v>
      </c>
      <c r="K1523" s="6" t="s">
        <v>42</v>
      </c>
      <c r="L1523" s="6" t="s">
        <v>2661</v>
      </c>
      <c r="M1523" s="6" t="s">
        <v>153</v>
      </c>
      <c r="N1523" s="6" t="s">
        <v>44</v>
      </c>
      <c r="O1523" s="6">
        <v>71</v>
      </c>
      <c r="P1523" s="6">
        <v>26.86</v>
      </c>
      <c r="Q1523" s="6">
        <v>12.78</v>
      </c>
      <c r="R1523" s="6">
        <v>1907.27</v>
      </c>
      <c r="S1523" s="6">
        <v>0.15</v>
      </c>
      <c r="T1523" s="6">
        <v>286.08999999999997</v>
      </c>
      <c r="U1523" s="6">
        <v>1621.18</v>
      </c>
      <c r="V1523" s="6">
        <v>907.52</v>
      </c>
      <c r="W1523" s="6">
        <v>713.66</v>
      </c>
      <c r="X1523" s="6" t="s">
        <v>129</v>
      </c>
    </row>
    <row r="1524" spans="1:24" x14ac:dyDescent="0.25">
      <c r="A1524" s="5" t="s">
        <v>2024</v>
      </c>
      <c r="B1524" s="18">
        <v>45463</v>
      </c>
      <c r="C1524" s="7" t="s">
        <v>1334</v>
      </c>
      <c r="D1524" s="7" t="s">
        <v>35</v>
      </c>
      <c r="E1524" s="7" t="s">
        <v>114</v>
      </c>
      <c r="F1524" s="7" t="s">
        <v>115</v>
      </c>
      <c r="G1524" s="7" t="s">
        <v>95</v>
      </c>
      <c r="H1524" s="7" t="s">
        <v>116</v>
      </c>
      <c r="I1524" s="7" t="s">
        <v>40</v>
      </c>
      <c r="J1524" s="7" t="s">
        <v>41</v>
      </c>
      <c r="K1524" s="7" t="s">
        <v>60</v>
      </c>
      <c r="L1524" s="7" t="s">
        <v>2662</v>
      </c>
      <c r="M1524" s="7" t="s">
        <v>30</v>
      </c>
      <c r="N1524" s="7" t="s">
        <v>75</v>
      </c>
      <c r="O1524" s="7">
        <v>9</v>
      </c>
      <c r="P1524" s="7">
        <v>36.090000000000003</v>
      </c>
      <c r="Q1524" s="7">
        <v>22.21</v>
      </c>
      <c r="R1524" s="7">
        <v>324.83</v>
      </c>
      <c r="S1524" s="7">
        <v>0</v>
      </c>
      <c r="T1524" s="7">
        <v>0</v>
      </c>
      <c r="U1524" s="7">
        <v>324.83</v>
      </c>
      <c r="V1524" s="7">
        <v>199.89</v>
      </c>
      <c r="W1524" s="7">
        <v>124.94</v>
      </c>
      <c r="X1524" s="7" t="s">
        <v>129</v>
      </c>
    </row>
    <row r="1525" spans="1:24" x14ac:dyDescent="0.25">
      <c r="A1525" s="16" t="s">
        <v>2025</v>
      </c>
      <c r="B1525" s="17">
        <v>45321</v>
      </c>
      <c r="C1525" s="6" t="s">
        <v>194</v>
      </c>
      <c r="D1525" s="6" t="s">
        <v>163</v>
      </c>
      <c r="E1525" s="6" t="s">
        <v>93</v>
      </c>
      <c r="F1525" s="6" t="s">
        <v>94</v>
      </c>
      <c r="G1525" s="6" t="s">
        <v>95</v>
      </c>
      <c r="H1525" s="6" t="s">
        <v>96</v>
      </c>
      <c r="I1525" s="6" t="s">
        <v>288</v>
      </c>
      <c r="J1525" s="6" t="s">
        <v>41</v>
      </c>
      <c r="K1525" s="6" t="s">
        <v>83</v>
      </c>
      <c r="L1525" s="6" t="s">
        <v>2665</v>
      </c>
      <c r="M1525" s="6" t="s">
        <v>61</v>
      </c>
      <c r="N1525" s="6" t="s">
        <v>70</v>
      </c>
      <c r="O1525" s="6">
        <v>77</v>
      </c>
      <c r="P1525" s="6">
        <v>54.46</v>
      </c>
      <c r="Q1525" s="6">
        <v>31.37</v>
      </c>
      <c r="R1525" s="6">
        <v>4193.76</v>
      </c>
      <c r="S1525" s="6">
        <v>0.1</v>
      </c>
      <c r="T1525" s="6">
        <v>419.38</v>
      </c>
      <c r="U1525" s="6">
        <v>3774.38</v>
      </c>
      <c r="V1525" s="6">
        <v>2415.4899999999998</v>
      </c>
      <c r="W1525" s="6">
        <v>1358.9</v>
      </c>
      <c r="X1525" s="6" t="s">
        <v>129</v>
      </c>
    </row>
    <row r="1526" spans="1:24" x14ac:dyDescent="0.25">
      <c r="A1526" s="5" t="s">
        <v>2026</v>
      </c>
      <c r="B1526" s="18">
        <v>45470</v>
      </c>
      <c r="C1526" s="7" t="s">
        <v>418</v>
      </c>
      <c r="D1526" s="7" t="s">
        <v>159</v>
      </c>
      <c r="E1526" s="7" t="s">
        <v>216</v>
      </c>
      <c r="F1526" s="7" t="s">
        <v>217</v>
      </c>
      <c r="G1526" s="7" t="s">
        <v>38</v>
      </c>
      <c r="H1526" s="7" t="s">
        <v>134</v>
      </c>
      <c r="I1526" s="7" t="s">
        <v>40</v>
      </c>
      <c r="J1526" s="7" t="s">
        <v>82</v>
      </c>
      <c r="K1526" s="7" t="s">
        <v>248</v>
      </c>
      <c r="L1526" s="7" t="s">
        <v>2675</v>
      </c>
      <c r="M1526" s="7" t="s">
        <v>153</v>
      </c>
      <c r="N1526" s="7" t="s">
        <v>70</v>
      </c>
      <c r="O1526" s="7">
        <v>61</v>
      </c>
      <c r="P1526" s="7">
        <v>116.15</v>
      </c>
      <c r="Q1526" s="7">
        <v>64.290000000000006</v>
      </c>
      <c r="R1526" s="7">
        <v>7085.38</v>
      </c>
      <c r="S1526" s="7">
        <v>0</v>
      </c>
      <c r="T1526" s="7">
        <v>0</v>
      </c>
      <c r="U1526" s="7">
        <v>7085.38</v>
      </c>
      <c r="V1526" s="7">
        <v>3921.79</v>
      </c>
      <c r="W1526" s="7">
        <v>3163.6</v>
      </c>
      <c r="X1526" s="7" t="s">
        <v>45</v>
      </c>
    </row>
    <row r="1527" spans="1:24" x14ac:dyDescent="0.25">
      <c r="A1527" s="16" t="s">
        <v>2027</v>
      </c>
      <c r="B1527" s="17">
        <v>45645</v>
      </c>
      <c r="C1527" s="6" t="s">
        <v>297</v>
      </c>
      <c r="D1527" s="6" t="s">
        <v>87</v>
      </c>
      <c r="E1527" s="6" t="s">
        <v>209</v>
      </c>
      <c r="F1527" s="6" t="s">
        <v>210</v>
      </c>
      <c r="G1527" s="6" t="s">
        <v>51</v>
      </c>
      <c r="H1527" s="6" t="s">
        <v>116</v>
      </c>
      <c r="I1527" s="6" t="s">
        <v>27</v>
      </c>
      <c r="J1527" s="6" t="s">
        <v>211</v>
      </c>
      <c r="K1527" s="6" t="s">
        <v>218</v>
      </c>
      <c r="L1527" s="6" t="s">
        <v>2674</v>
      </c>
      <c r="M1527" s="6" t="s">
        <v>30</v>
      </c>
      <c r="N1527" s="6" t="s">
        <v>84</v>
      </c>
      <c r="O1527" s="6">
        <v>43</v>
      </c>
      <c r="P1527" s="6">
        <v>16.79</v>
      </c>
      <c r="Q1527" s="6">
        <v>10.63</v>
      </c>
      <c r="R1527" s="6">
        <v>722</v>
      </c>
      <c r="S1527" s="6">
        <v>0.15</v>
      </c>
      <c r="T1527" s="6">
        <v>108.3</v>
      </c>
      <c r="U1527" s="6">
        <v>613.70000000000005</v>
      </c>
      <c r="V1527" s="6">
        <v>457.16</v>
      </c>
      <c r="W1527" s="6">
        <v>156.54</v>
      </c>
      <c r="X1527" s="6" t="s">
        <v>129</v>
      </c>
    </row>
    <row r="1528" spans="1:24" x14ac:dyDescent="0.25">
      <c r="A1528" s="5" t="s">
        <v>2028</v>
      </c>
      <c r="B1528" s="18">
        <v>45589</v>
      </c>
      <c r="C1528" s="7" t="s">
        <v>408</v>
      </c>
      <c r="D1528" s="7" t="s">
        <v>65</v>
      </c>
      <c r="E1528" s="7" t="s">
        <v>66</v>
      </c>
      <c r="F1528" s="7" t="s">
        <v>67</v>
      </c>
      <c r="G1528" s="7" t="s">
        <v>38</v>
      </c>
      <c r="H1528" s="7" t="s">
        <v>68</v>
      </c>
      <c r="I1528" s="7" t="s">
        <v>88</v>
      </c>
      <c r="J1528" s="7" t="s">
        <v>183</v>
      </c>
      <c r="K1528" s="7" t="s">
        <v>248</v>
      </c>
      <c r="L1528" s="7" t="s">
        <v>2675</v>
      </c>
      <c r="M1528" s="7" t="s">
        <v>61</v>
      </c>
      <c r="N1528" s="7" t="s">
        <v>44</v>
      </c>
      <c r="O1528" s="7">
        <v>7</v>
      </c>
      <c r="P1528" s="7">
        <v>168.14</v>
      </c>
      <c r="Q1528" s="7">
        <v>99.23</v>
      </c>
      <c r="R1528" s="7">
        <v>1176.95</v>
      </c>
      <c r="S1528" s="7">
        <v>0.2</v>
      </c>
      <c r="T1528" s="7">
        <v>235.39</v>
      </c>
      <c r="U1528" s="7">
        <v>941.56</v>
      </c>
      <c r="V1528" s="7">
        <v>694.63</v>
      </c>
      <c r="W1528" s="7">
        <v>246.93</v>
      </c>
      <c r="X1528" s="7" t="s">
        <v>45</v>
      </c>
    </row>
    <row r="1529" spans="1:24" x14ac:dyDescent="0.25">
      <c r="A1529" s="16" t="s">
        <v>2029</v>
      </c>
      <c r="B1529" s="17">
        <v>45399</v>
      </c>
      <c r="C1529" s="6" t="s">
        <v>485</v>
      </c>
      <c r="D1529" s="6" t="s">
        <v>22</v>
      </c>
      <c r="E1529" s="6" t="s">
        <v>165</v>
      </c>
      <c r="F1529" s="6" t="s">
        <v>166</v>
      </c>
      <c r="G1529" s="6" t="s">
        <v>95</v>
      </c>
      <c r="H1529" s="6" t="s">
        <v>167</v>
      </c>
      <c r="I1529" s="6" t="s">
        <v>58</v>
      </c>
      <c r="J1529" s="6" t="s">
        <v>73</v>
      </c>
      <c r="K1529" s="6" t="s">
        <v>83</v>
      </c>
      <c r="L1529" s="6" t="s">
        <v>2665</v>
      </c>
      <c r="M1529" s="6" t="s">
        <v>153</v>
      </c>
      <c r="N1529" s="6" t="s">
        <v>31</v>
      </c>
      <c r="O1529" s="6">
        <v>79</v>
      </c>
      <c r="P1529" s="6">
        <v>39.24</v>
      </c>
      <c r="Q1529" s="6">
        <v>26.02</v>
      </c>
      <c r="R1529" s="6">
        <v>3099.87</v>
      </c>
      <c r="S1529" s="6">
        <v>0.15</v>
      </c>
      <c r="T1529" s="6">
        <v>464.98</v>
      </c>
      <c r="U1529" s="6">
        <v>2634.89</v>
      </c>
      <c r="V1529" s="6">
        <v>2055.67</v>
      </c>
      <c r="W1529" s="6">
        <v>579.23</v>
      </c>
      <c r="X1529" s="6" t="s">
        <v>45</v>
      </c>
    </row>
    <row r="1530" spans="1:24" x14ac:dyDescent="0.25">
      <c r="A1530" s="5" t="s">
        <v>2030</v>
      </c>
      <c r="B1530" s="18">
        <v>45411</v>
      </c>
      <c r="C1530" s="7" t="s">
        <v>723</v>
      </c>
      <c r="D1530" s="7" t="s">
        <v>156</v>
      </c>
      <c r="E1530" s="7" t="s">
        <v>250</v>
      </c>
      <c r="F1530" s="7" t="s">
        <v>251</v>
      </c>
      <c r="G1530" s="7" t="s">
        <v>51</v>
      </c>
      <c r="H1530" s="7" t="s">
        <v>252</v>
      </c>
      <c r="I1530" s="7" t="s">
        <v>88</v>
      </c>
      <c r="J1530" s="7" t="s">
        <v>135</v>
      </c>
      <c r="K1530" s="7" t="s">
        <v>248</v>
      </c>
      <c r="L1530" s="7" t="s">
        <v>2675</v>
      </c>
      <c r="M1530" s="7" t="s">
        <v>30</v>
      </c>
      <c r="N1530" s="7" t="s">
        <v>84</v>
      </c>
      <c r="O1530" s="7">
        <v>67</v>
      </c>
      <c r="P1530" s="7">
        <v>65.28</v>
      </c>
      <c r="Q1530" s="7">
        <v>37.549999999999997</v>
      </c>
      <c r="R1530" s="7">
        <v>4373.84</v>
      </c>
      <c r="S1530" s="7">
        <v>0.15</v>
      </c>
      <c r="T1530" s="7">
        <v>656.08</v>
      </c>
      <c r="U1530" s="7">
        <v>3717.77</v>
      </c>
      <c r="V1530" s="7">
        <v>2515.89</v>
      </c>
      <c r="W1530" s="7">
        <v>1201.8800000000001</v>
      </c>
      <c r="X1530" s="7" t="s">
        <v>45</v>
      </c>
    </row>
    <row r="1531" spans="1:24" x14ac:dyDescent="0.25">
      <c r="A1531" s="16" t="s">
        <v>2031</v>
      </c>
      <c r="B1531" s="17">
        <v>45339</v>
      </c>
      <c r="C1531" s="6" t="s">
        <v>517</v>
      </c>
      <c r="D1531" s="6" t="s">
        <v>163</v>
      </c>
      <c r="E1531" s="6" t="s">
        <v>222</v>
      </c>
      <c r="F1531" s="6" t="s">
        <v>223</v>
      </c>
      <c r="G1531" s="6" t="s">
        <v>101</v>
      </c>
      <c r="H1531" s="6" t="s">
        <v>68</v>
      </c>
      <c r="I1531" s="6" t="s">
        <v>58</v>
      </c>
      <c r="J1531" s="6" t="s">
        <v>59</v>
      </c>
      <c r="K1531" s="6" t="s">
        <v>195</v>
      </c>
      <c r="L1531" s="6" t="s">
        <v>2673</v>
      </c>
      <c r="M1531" s="6" t="s">
        <v>61</v>
      </c>
      <c r="N1531" s="6" t="s">
        <v>75</v>
      </c>
      <c r="O1531" s="6">
        <v>31</v>
      </c>
      <c r="P1531" s="6">
        <v>125.01</v>
      </c>
      <c r="Q1531" s="6">
        <v>78.760000000000005</v>
      </c>
      <c r="R1531" s="6">
        <v>3875.22</v>
      </c>
      <c r="S1531" s="6">
        <v>0.2</v>
      </c>
      <c r="T1531" s="6">
        <v>775.04</v>
      </c>
      <c r="U1531" s="6">
        <v>3100.18</v>
      </c>
      <c r="V1531" s="6">
        <v>2441.71</v>
      </c>
      <c r="W1531" s="6">
        <v>658.47</v>
      </c>
      <c r="X1531" s="6" t="s">
        <v>45</v>
      </c>
    </row>
    <row r="1532" spans="1:24" x14ac:dyDescent="0.25">
      <c r="A1532" s="5" t="s">
        <v>2032</v>
      </c>
      <c r="B1532" s="18">
        <v>45526</v>
      </c>
      <c r="C1532" s="7" t="s">
        <v>1122</v>
      </c>
      <c r="D1532" s="7" t="s">
        <v>159</v>
      </c>
      <c r="E1532" s="7" t="s">
        <v>126</v>
      </c>
      <c r="F1532" s="7" t="s">
        <v>127</v>
      </c>
      <c r="G1532" s="7" t="s">
        <v>95</v>
      </c>
      <c r="H1532" s="7" t="s">
        <v>128</v>
      </c>
      <c r="I1532" s="7" t="s">
        <v>27</v>
      </c>
      <c r="J1532" s="7" t="s">
        <v>106</v>
      </c>
      <c r="K1532" s="7" t="s">
        <v>253</v>
      </c>
      <c r="L1532" s="7" t="s">
        <v>2676</v>
      </c>
      <c r="M1532" s="7" t="s">
        <v>153</v>
      </c>
      <c r="N1532" s="7" t="s">
        <v>31</v>
      </c>
      <c r="O1532" s="7">
        <v>34</v>
      </c>
      <c r="P1532" s="7">
        <v>91.13</v>
      </c>
      <c r="Q1532" s="7">
        <v>50.01</v>
      </c>
      <c r="R1532" s="7">
        <v>3098.33</v>
      </c>
      <c r="S1532" s="7">
        <v>0.02</v>
      </c>
      <c r="T1532" s="7">
        <v>61.97</v>
      </c>
      <c r="U1532" s="7">
        <v>3036.37</v>
      </c>
      <c r="V1532" s="7">
        <v>1700.21</v>
      </c>
      <c r="W1532" s="7">
        <v>1336.16</v>
      </c>
      <c r="X1532" s="7" t="s">
        <v>45</v>
      </c>
    </row>
    <row r="1533" spans="1:24" x14ac:dyDescent="0.25">
      <c r="A1533" s="16" t="s">
        <v>2033</v>
      </c>
      <c r="B1533" s="17">
        <v>45372</v>
      </c>
      <c r="C1533" s="6" t="s">
        <v>263</v>
      </c>
      <c r="D1533" s="6" t="s">
        <v>264</v>
      </c>
      <c r="E1533" s="6" t="s">
        <v>176</v>
      </c>
      <c r="F1533" s="6" t="s">
        <v>177</v>
      </c>
      <c r="G1533" s="6" t="s">
        <v>101</v>
      </c>
      <c r="H1533" s="6" t="s">
        <v>39</v>
      </c>
      <c r="I1533" s="6" t="s">
        <v>53</v>
      </c>
      <c r="J1533" s="6" t="s">
        <v>122</v>
      </c>
      <c r="K1533" s="6" t="s">
        <v>69</v>
      </c>
      <c r="L1533" s="6" t="s">
        <v>2663</v>
      </c>
      <c r="M1533" s="6" t="s">
        <v>61</v>
      </c>
      <c r="N1533" s="6" t="s">
        <v>84</v>
      </c>
      <c r="O1533" s="6">
        <v>43</v>
      </c>
      <c r="P1533" s="6">
        <v>109.24</v>
      </c>
      <c r="Q1533" s="6">
        <v>63.32</v>
      </c>
      <c r="R1533" s="6">
        <v>4697.33</v>
      </c>
      <c r="S1533" s="6">
        <v>0.05</v>
      </c>
      <c r="T1533" s="6">
        <v>234.87</v>
      </c>
      <c r="U1533" s="6">
        <v>4462.47</v>
      </c>
      <c r="V1533" s="6">
        <v>2722.56</v>
      </c>
      <c r="W1533" s="6">
        <v>1739.9</v>
      </c>
      <c r="X1533" s="6" t="s">
        <v>45</v>
      </c>
    </row>
    <row r="1534" spans="1:24" x14ac:dyDescent="0.25">
      <c r="A1534" s="5" t="s">
        <v>2034</v>
      </c>
      <c r="B1534" s="18">
        <v>45430</v>
      </c>
      <c r="C1534" s="7" t="s">
        <v>215</v>
      </c>
      <c r="D1534" s="7" t="s">
        <v>105</v>
      </c>
      <c r="E1534" s="7" t="s">
        <v>93</v>
      </c>
      <c r="F1534" s="7" t="s">
        <v>94</v>
      </c>
      <c r="G1534" s="7" t="s">
        <v>95</v>
      </c>
      <c r="H1534" s="7" t="s">
        <v>96</v>
      </c>
      <c r="I1534" s="7" t="s">
        <v>58</v>
      </c>
      <c r="J1534" s="7" t="s">
        <v>323</v>
      </c>
      <c r="K1534" s="7" t="s">
        <v>69</v>
      </c>
      <c r="L1534" s="7" t="s">
        <v>2663</v>
      </c>
      <c r="M1534" s="7" t="s">
        <v>43</v>
      </c>
      <c r="N1534" s="7" t="s">
        <v>70</v>
      </c>
      <c r="O1534" s="7">
        <v>7</v>
      </c>
      <c r="P1534" s="7">
        <v>54.63</v>
      </c>
      <c r="Q1534" s="7">
        <v>31.91</v>
      </c>
      <c r="R1534" s="7">
        <v>382.42</v>
      </c>
      <c r="S1534" s="7">
        <v>0.2</v>
      </c>
      <c r="T1534" s="7">
        <v>76.48</v>
      </c>
      <c r="U1534" s="7">
        <v>305.94</v>
      </c>
      <c r="V1534" s="7">
        <v>223.39</v>
      </c>
      <c r="W1534" s="7">
        <v>82.55</v>
      </c>
      <c r="X1534" s="7" t="s">
        <v>129</v>
      </c>
    </row>
    <row r="1535" spans="1:24" x14ac:dyDescent="0.25">
      <c r="A1535" s="16" t="s">
        <v>2035</v>
      </c>
      <c r="B1535" s="17">
        <v>45295</v>
      </c>
      <c r="C1535" s="6" t="s">
        <v>208</v>
      </c>
      <c r="D1535" s="6" t="s">
        <v>35</v>
      </c>
      <c r="E1535" s="6" t="s">
        <v>126</v>
      </c>
      <c r="F1535" s="6" t="s">
        <v>127</v>
      </c>
      <c r="G1535" s="6" t="s">
        <v>95</v>
      </c>
      <c r="H1535" s="6" t="s">
        <v>128</v>
      </c>
      <c r="I1535" s="6" t="s">
        <v>58</v>
      </c>
      <c r="J1535" s="6" t="s">
        <v>323</v>
      </c>
      <c r="K1535" s="6" t="s">
        <v>178</v>
      </c>
      <c r="L1535" s="6" t="s">
        <v>256</v>
      </c>
      <c r="M1535" s="6" t="s">
        <v>61</v>
      </c>
      <c r="N1535" s="6" t="s">
        <v>44</v>
      </c>
      <c r="O1535" s="6">
        <v>19</v>
      </c>
      <c r="P1535" s="6">
        <v>82.97</v>
      </c>
      <c r="Q1535" s="6">
        <v>50.81</v>
      </c>
      <c r="R1535" s="6">
        <v>1576.52</v>
      </c>
      <c r="S1535" s="6">
        <v>0.1</v>
      </c>
      <c r="T1535" s="6">
        <v>157.65</v>
      </c>
      <c r="U1535" s="6">
        <v>1418.86</v>
      </c>
      <c r="V1535" s="6">
        <v>965.3</v>
      </c>
      <c r="W1535" s="6">
        <v>453.56</v>
      </c>
      <c r="X1535" s="6" t="s">
        <v>45</v>
      </c>
    </row>
    <row r="1536" spans="1:24" x14ac:dyDescent="0.25">
      <c r="A1536" s="5" t="s">
        <v>2036</v>
      </c>
      <c r="B1536" s="18">
        <v>45442</v>
      </c>
      <c r="C1536" s="7" t="s">
        <v>1112</v>
      </c>
      <c r="D1536" s="7" t="s">
        <v>159</v>
      </c>
      <c r="E1536" s="7" t="s">
        <v>99</v>
      </c>
      <c r="F1536" s="7" t="s">
        <v>100</v>
      </c>
      <c r="G1536" s="7" t="s">
        <v>101</v>
      </c>
      <c r="H1536" s="7" t="s">
        <v>102</v>
      </c>
      <c r="I1536" s="7" t="s">
        <v>88</v>
      </c>
      <c r="J1536" s="7" t="s">
        <v>89</v>
      </c>
      <c r="K1536" s="7" t="s">
        <v>83</v>
      </c>
      <c r="L1536" s="7" t="s">
        <v>2665</v>
      </c>
      <c r="M1536" s="7" t="s">
        <v>43</v>
      </c>
      <c r="N1536" s="7" t="s">
        <v>70</v>
      </c>
      <c r="O1536" s="7">
        <v>73</v>
      </c>
      <c r="P1536" s="7">
        <v>73.430000000000007</v>
      </c>
      <c r="Q1536" s="7">
        <v>41.33</v>
      </c>
      <c r="R1536" s="7">
        <v>5360.18</v>
      </c>
      <c r="S1536" s="7">
        <v>0.1</v>
      </c>
      <c r="T1536" s="7">
        <v>536.02</v>
      </c>
      <c r="U1536" s="7">
        <v>4824.16</v>
      </c>
      <c r="V1536" s="7">
        <v>3017.05</v>
      </c>
      <c r="W1536" s="7">
        <v>1807.11</v>
      </c>
      <c r="X1536" s="7" t="s">
        <v>129</v>
      </c>
    </row>
    <row r="1537" spans="1:24" x14ac:dyDescent="0.25">
      <c r="A1537" s="16" t="s">
        <v>2037</v>
      </c>
      <c r="B1537" s="17">
        <v>45294</v>
      </c>
      <c r="C1537" s="6" t="s">
        <v>1724</v>
      </c>
      <c r="D1537" s="6" t="s">
        <v>121</v>
      </c>
      <c r="E1537" s="6" t="s">
        <v>93</v>
      </c>
      <c r="F1537" s="6" t="s">
        <v>94</v>
      </c>
      <c r="G1537" s="6" t="s">
        <v>95</v>
      </c>
      <c r="H1537" s="6" t="s">
        <v>96</v>
      </c>
      <c r="I1537" s="6" t="s">
        <v>53</v>
      </c>
      <c r="J1537" s="6" t="s">
        <v>143</v>
      </c>
      <c r="K1537" s="6" t="s">
        <v>69</v>
      </c>
      <c r="L1537" s="6" t="s">
        <v>2663</v>
      </c>
      <c r="M1537" s="6" t="s">
        <v>43</v>
      </c>
      <c r="N1537" s="6" t="s">
        <v>44</v>
      </c>
      <c r="O1537" s="6">
        <v>40</v>
      </c>
      <c r="P1537" s="6">
        <v>55.36</v>
      </c>
      <c r="Q1537" s="6">
        <v>30.23</v>
      </c>
      <c r="R1537" s="6">
        <v>2214.58</v>
      </c>
      <c r="S1537" s="6">
        <v>0.2</v>
      </c>
      <c r="T1537" s="6">
        <v>442.92</v>
      </c>
      <c r="U1537" s="6">
        <v>1771.66</v>
      </c>
      <c r="V1537" s="6">
        <v>1209.17</v>
      </c>
      <c r="W1537" s="6">
        <v>562.49</v>
      </c>
      <c r="X1537" s="6" t="s">
        <v>45</v>
      </c>
    </row>
    <row r="1538" spans="1:24" x14ac:dyDescent="0.25">
      <c r="A1538" s="5" t="s">
        <v>2038</v>
      </c>
      <c r="B1538" s="18">
        <v>45433</v>
      </c>
      <c r="C1538" s="7" t="s">
        <v>855</v>
      </c>
      <c r="D1538" s="7" t="s">
        <v>156</v>
      </c>
      <c r="E1538" s="7" t="s">
        <v>93</v>
      </c>
      <c r="F1538" s="7" t="s">
        <v>94</v>
      </c>
      <c r="G1538" s="7" t="s">
        <v>95</v>
      </c>
      <c r="H1538" s="7" t="s">
        <v>96</v>
      </c>
      <c r="I1538" s="7" t="s">
        <v>53</v>
      </c>
      <c r="J1538" s="7" t="s">
        <v>122</v>
      </c>
      <c r="K1538" s="7" t="s">
        <v>74</v>
      </c>
      <c r="L1538" s="7" t="s">
        <v>2664</v>
      </c>
      <c r="M1538" s="7" t="s">
        <v>61</v>
      </c>
      <c r="N1538" s="7" t="s">
        <v>84</v>
      </c>
      <c r="O1538" s="7">
        <v>2</v>
      </c>
      <c r="P1538" s="7">
        <v>56.49</v>
      </c>
      <c r="Q1538" s="7">
        <v>33.69</v>
      </c>
      <c r="R1538" s="7">
        <v>112.98</v>
      </c>
      <c r="S1538" s="7">
        <v>0.02</v>
      </c>
      <c r="T1538" s="7">
        <v>2.2599999999999998</v>
      </c>
      <c r="U1538" s="7">
        <v>110.72</v>
      </c>
      <c r="V1538" s="7">
        <v>67.37</v>
      </c>
      <c r="W1538" s="7">
        <v>43.35</v>
      </c>
      <c r="X1538" s="7" t="s">
        <v>129</v>
      </c>
    </row>
    <row r="1539" spans="1:24" x14ac:dyDescent="0.25">
      <c r="A1539" s="16" t="s">
        <v>2039</v>
      </c>
      <c r="B1539" s="17">
        <v>45485</v>
      </c>
      <c r="C1539" s="6" t="s">
        <v>475</v>
      </c>
      <c r="D1539" s="6" t="s">
        <v>57</v>
      </c>
      <c r="E1539" s="6" t="s">
        <v>126</v>
      </c>
      <c r="F1539" s="6" t="s">
        <v>127</v>
      </c>
      <c r="G1539" s="6" t="s">
        <v>95</v>
      </c>
      <c r="H1539" s="6" t="s">
        <v>128</v>
      </c>
      <c r="I1539" s="6" t="s">
        <v>288</v>
      </c>
      <c r="J1539" s="6" t="s">
        <v>117</v>
      </c>
      <c r="K1539" s="6" t="s">
        <v>152</v>
      </c>
      <c r="L1539" s="6" t="s">
        <v>2670</v>
      </c>
      <c r="M1539" s="6" t="s">
        <v>153</v>
      </c>
      <c r="N1539" s="6" t="s">
        <v>44</v>
      </c>
      <c r="O1539" s="6">
        <v>11</v>
      </c>
      <c r="P1539" s="6">
        <v>91.46</v>
      </c>
      <c r="Q1539" s="6">
        <v>54.76</v>
      </c>
      <c r="R1539" s="6">
        <v>1006.02</v>
      </c>
      <c r="S1539" s="6">
        <v>0.15</v>
      </c>
      <c r="T1539" s="6">
        <v>150.9</v>
      </c>
      <c r="U1539" s="6">
        <v>855.11</v>
      </c>
      <c r="V1539" s="6">
        <v>602.41</v>
      </c>
      <c r="W1539" s="6">
        <v>252.71</v>
      </c>
      <c r="X1539" s="6" t="s">
        <v>45</v>
      </c>
    </row>
    <row r="1540" spans="1:24" x14ac:dyDescent="0.25">
      <c r="A1540" s="5" t="s">
        <v>2040</v>
      </c>
      <c r="B1540" s="18">
        <v>45304</v>
      </c>
      <c r="C1540" s="7" t="s">
        <v>282</v>
      </c>
      <c r="D1540" s="7" t="s">
        <v>125</v>
      </c>
      <c r="E1540" s="7" t="s">
        <v>93</v>
      </c>
      <c r="F1540" s="7" t="s">
        <v>94</v>
      </c>
      <c r="G1540" s="7" t="s">
        <v>95</v>
      </c>
      <c r="H1540" s="7" t="s">
        <v>96</v>
      </c>
      <c r="I1540" s="7" t="s">
        <v>27</v>
      </c>
      <c r="J1540" s="7" t="s">
        <v>28</v>
      </c>
      <c r="K1540" s="7" t="s">
        <v>60</v>
      </c>
      <c r="L1540" s="7" t="s">
        <v>2662</v>
      </c>
      <c r="M1540" s="7" t="s">
        <v>153</v>
      </c>
      <c r="N1540" s="7" t="s">
        <v>84</v>
      </c>
      <c r="O1540" s="7">
        <v>30</v>
      </c>
      <c r="P1540" s="7">
        <v>54.56</v>
      </c>
      <c r="Q1540" s="7">
        <v>33.42</v>
      </c>
      <c r="R1540" s="7">
        <v>1636.73</v>
      </c>
      <c r="S1540" s="7">
        <v>0.1</v>
      </c>
      <c r="T1540" s="7">
        <v>163.66999999999999</v>
      </c>
      <c r="U1540" s="7">
        <v>1473.06</v>
      </c>
      <c r="V1540" s="7">
        <v>1002.5</v>
      </c>
      <c r="W1540" s="7">
        <v>470.56</v>
      </c>
      <c r="X1540" s="7" t="s">
        <v>45</v>
      </c>
    </row>
    <row r="1541" spans="1:24" x14ac:dyDescent="0.25">
      <c r="A1541" s="16" t="s">
        <v>2041</v>
      </c>
      <c r="B1541" s="17">
        <v>45334</v>
      </c>
      <c r="C1541" s="6" t="s">
        <v>615</v>
      </c>
      <c r="D1541" s="6" t="s">
        <v>264</v>
      </c>
      <c r="E1541" s="6" t="s">
        <v>23</v>
      </c>
      <c r="F1541" s="6" t="s">
        <v>24</v>
      </c>
      <c r="G1541" s="6" t="s">
        <v>25</v>
      </c>
      <c r="H1541" s="6" t="s">
        <v>26</v>
      </c>
      <c r="I1541" s="6" t="s">
        <v>40</v>
      </c>
      <c r="J1541" s="6" t="s">
        <v>117</v>
      </c>
      <c r="K1541" s="6" t="s">
        <v>60</v>
      </c>
      <c r="L1541" s="6" t="s">
        <v>2662</v>
      </c>
      <c r="M1541" s="6" t="s">
        <v>43</v>
      </c>
      <c r="N1541" s="6" t="s">
        <v>70</v>
      </c>
      <c r="O1541" s="6">
        <v>55</v>
      </c>
      <c r="P1541" s="6">
        <v>71.790000000000006</v>
      </c>
      <c r="Q1541" s="6">
        <v>41.39</v>
      </c>
      <c r="R1541" s="6">
        <v>3948.45</v>
      </c>
      <c r="S1541" s="6">
        <v>0.05</v>
      </c>
      <c r="T1541" s="6">
        <v>197.42</v>
      </c>
      <c r="U1541" s="6">
        <v>3751.03</v>
      </c>
      <c r="V1541" s="6">
        <v>2276.61</v>
      </c>
      <c r="W1541" s="6">
        <v>1474.42</v>
      </c>
      <c r="X1541" s="6" t="s">
        <v>45</v>
      </c>
    </row>
    <row r="1542" spans="1:24" x14ac:dyDescent="0.25">
      <c r="A1542" s="5" t="s">
        <v>2042</v>
      </c>
      <c r="B1542" s="18">
        <v>45590</v>
      </c>
      <c r="C1542" s="7" t="s">
        <v>229</v>
      </c>
      <c r="D1542" s="7" t="s">
        <v>87</v>
      </c>
      <c r="E1542" s="7" t="s">
        <v>126</v>
      </c>
      <c r="F1542" s="7" t="s">
        <v>127</v>
      </c>
      <c r="G1542" s="7" t="s">
        <v>95</v>
      </c>
      <c r="H1542" s="7" t="s">
        <v>128</v>
      </c>
      <c r="I1542" s="7" t="s">
        <v>40</v>
      </c>
      <c r="J1542" s="7" t="s">
        <v>82</v>
      </c>
      <c r="K1542" s="7" t="s">
        <v>111</v>
      </c>
      <c r="L1542" s="7" t="s">
        <v>2667</v>
      </c>
      <c r="M1542" s="7" t="s">
        <v>43</v>
      </c>
      <c r="N1542" s="7" t="s">
        <v>84</v>
      </c>
      <c r="O1542" s="7"/>
      <c r="P1542" s="7">
        <v>88.77</v>
      </c>
      <c r="Q1542" s="7">
        <v>51.08</v>
      </c>
      <c r="R1542" s="7">
        <v>4616.22</v>
      </c>
      <c r="S1542" s="7">
        <v>0.15</v>
      </c>
      <c r="T1542" s="7">
        <v>692.43</v>
      </c>
      <c r="U1542" s="7">
        <v>3923.78</v>
      </c>
      <c r="V1542" s="7">
        <v>2656.08</v>
      </c>
      <c r="W1542" s="7">
        <v>1267.7</v>
      </c>
      <c r="X1542" s="7" t="s">
        <v>129</v>
      </c>
    </row>
    <row r="1543" spans="1:24" x14ac:dyDescent="0.25">
      <c r="A1543" s="16" t="s">
        <v>2043</v>
      </c>
      <c r="B1543" s="17">
        <v>45546</v>
      </c>
      <c r="C1543" s="6" t="s">
        <v>623</v>
      </c>
      <c r="D1543" s="6" t="s">
        <v>156</v>
      </c>
      <c r="E1543" s="6" t="s">
        <v>23</v>
      </c>
      <c r="F1543" s="6" t="s">
        <v>24</v>
      </c>
      <c r="G1543" s="6" t="s">
        <v>25</v>
      </c>
      <c r="H1543" s="6" t="s">
        <v>26</v>
      </c>
      <c r="I1543" s="6" t="s">
        <v>40</v>
      </c>
      <c r="J1543" s="6" t="s">
        <v>117</v>
      </c>
      <c r="K1543" s="6" t="s">
        <v>253</v>
      </c>
      <c r="L1543" s="6" t="s">
        <v>2676</v>
      </c>
      <c r="M1543" s="6" t="s">
        <v>153</v>
      </c>
      <c r="N1543" s="6" t="s">
        <v>70</v>
      </c>
      <c r="O1543" s="6">
        <v>75</v>
      </c>
      <c r="P1543" s="6">
        <v>70.98</v>
      </c>
      <c r="Q1543" s="6">
        <v>40.49</v>
      </c>
      <c r="R1543" s="6">
        <v>5323.76</v>
      </c>
      <c r="S1543" s="6">
        <v>0.02</v>
      </c>
      <c r="T1543" s="6">
        <v>106.48</v>
      </c>
      <c r="U1543" s="6">
        <v>5217.28</v>
      </c>
      <c r="V1543" s="6">
        <v>3037.05</v>
      </c>
      <c r="W1543" s="6">
        <v>2180.23</v>
      </c>
      <c r="X1543" s="6" t="s">
        <v>45</v>
      </c>
    </row>
    <row r="1544" spans="1:24" x14ac:dyDescent="0.25">
      <c r="A1544" s="5" t="s">
        <v>2044</v>
      </c>
      <c r="B1544" s="18">
        <v>45576</v>
      </c>
      <c r="C1544" s="7" t="s">
        <v>162</v>
      </c>
      <c r="D1544" s="7" t="s">
        <v>163</v>
      </c>
      <c r="E1544" s="7" t="s">
        <v>150</v>
      </c>
      <c r="F1544" s="7" t="s">
        <v>151</v>
      </c>
      <c r="G1544" s="7" t="s">
        <v>101</v>
      </c>
      <c r="H1544" s="7" t="s">
        <v>134</v>
      </c>
      <c r="I1544" s="7" t="s">
        <v>27</v>
      </c>
      <c r="J1544" s="7" t="s">
        <v>28</v>
      </c>
      <c r="K1544" s="7" t="s">
        <v>265</v>
      </c>
      <c r="L1544" s="7" t="s">
        <v>2678</v>
      </c>
      <c r="M1544" s="7" t="s">
        <v>30</v>
      </c>
      <c r="N1544" s="7" t="s">
        <v>84</v>
      </c>
      <c r="O1544" s="7">
        <v>69</v>
      </c>
      <c r="P1544" s="7">
        <v>80.709999999999994</v>
      </c>
      <c r="Q1544" s="7">
        <v>49.71</v>
      </c>
      <c r="R1544" s="7">
        <v>5569.06</v>
      </c>
      <c r="S1544" s="7">
        <v>0.1</v>
      </c>
      <c r="T1544" s="7">
        <v>556.91</v>
      </c>
      <c r="U1544" s="7">
        <v>5012.1499999999996</v>
      </c>
      <c r="V1544" s="7">
        <v>3430.1</v>
      </c>
      <c r="W1544" s="7">
        <v>1582.05</v>
      </c>
      <c r="X1544" s="7" t="s">
        <v>129</v>
      </c>
    </row>
    <row r="1545" spans="1:24" x14ac:dyDescent="0.25">
      <c r="A1545" s="16" t="s">
        <v>2045</v>
      </c>
      <c r="B1545" s="17">
        <v>45624</v>
      </c>
      <c r="C1545" s="6" t="s">
        <v>757</v>
      </c>
      <c r="D1545" s="6" t="s">
        <v>163</v>
      </c>
      <c r="E1545" s="6" t="s">
        <v>126</v>
      </c>
      <c r="F1545" s="6" t="s">
        <v>127</v>
      </c>
      <c r="G1545" s="6" t="s">
        <v>95</v>
      </c>
      <c r="H1545" s="6" t="s">
        <v>128</v>
      </c>
      <c r="I1545" s="6" t="s">
        <v>27</v>
      </c>
      <c r="J1545" s="6" t="s">
        <v>189</v>
      </c>
      <c r="K1545" s="6" t="s">
        <v>261</v>
      </c>
      <c r="L1545" s="6" t="s">
        <v>2677</v>
      </c>
      <c r="M1545" s="6" t="s">
        <v>153</v>
      </c>
      <c r="N1545" s="6" t="s">
        <v>44</v>
      </c>
      <c r="O1545" s="6">
        <v>42</v>
      </c>
      <c r="P1545" s="6">
        <v>92.2</v>
      </c>
      <c r="Q1545" s="6">
        <v>50.78</v>
      </c>
      <c r="R1545" s="6">
        <v>3872.38</v>
      </c>
      <c r="S1545" s="6">
        <v>0</v>
      </c>
      <c r="T1545" s="6">
        <v>0</v>
      </c>
      <c r="U1545" s="6">
        <v>3872.38</v>
      </c>
      <c r="V1545" s="6">
        <v>2132.75</v>
      </c>
      <c r="W1545" s="6">
        <v>1739.63</v>
      </c>
      <c r="X1545" s="6" t="s">
        <v>32</v>
      </c>
    </row>
    <row r="1546" spans="1:24" x14ac:dyDescent="0.25">
      <c r="A1546" s="5" t="s">
        <v>2046</v>
      </c>
      <c r="B1546" s="18">
        <v>45597</v>
      </c>
      <c r="C1546" s="7" t="s">
        <v>664</v>
      </c>
      <c r="D1546" s="7" t="s">
        <v>125</v>
      </c>
      <c r="E1546" s="7" t="s">
        <v>187</v>
      </c>
      <c r="F1546" s="7" t="s">
        <v>188</v>
      </c>
      <c r="G1546" s="7" t="s">
        <v>25</v>
      </c>
      <c r="H1546" s="7" t="s">
        <v>26</v>
      </c>
      <c r="I1546" s="7" t="s">
        <v>40</v>
      </c>
      <c r="J1546" s="7" t="s">
        <v>117</v>
      </c>
      <c r="K1546" s="7" t="s">
        <v>218</v>
      </c>
      <c r="L1546" s="7" t="s">
        <v>2674</v>
      </c>
      <c r="M1546" s="7" t="s">
        <v>1066</v>
      </c>
      <c r="N1546" s="7" t="s">
        <v>44</v>
      </c>
      <c r="O1546" s="7">
        <v>6</v>
      </c>
      <c r="P1546" s="7">
        <v>46.25</v>
      </c>
      <c r="Q1546" s="7">
        <v>30.2</v>
      </c>
      <c r="R1546" s="7">
        <v>277.49</v>
      </c>
      <c r="S1546" s="7">
        <v>0</v>
      </c>
      <c r="T1546" s="7">
        <v>0</v>
      </c>
      <c r="U1546" s="7">
        <v>277.49</v>
      </c>
      <c r="V1546" s="7">
        <v>181.22</v>
      </c>
      <c r="W1546" s="7">
        <v>96.27</v>
      </c>
      <c r="X1546" s="7" t="s">
        <v>45</v>
      </c>
    </row>
    <row r="1547" spans="1:24" x14ac:dyDescent="0.25">
      <c r="A1547" s="16" t="s">
        <v>2047</v>
      </c>
      <c r="B1547" s="17">
        <v>45565</v>
      </c>
      <c r="C1547" s="6" t="s">
        <v>108</v>
      </c>
      <c r="D1547" s="6" t="s">
        <v>105</v>
      </c>
      <c r="E1547" s="6" t="s">
        <v>93</v>
      </c>
      <c r="F1547" s="6" t="s">
        <v>94</v>
      </c>
      <c r="G1547" s="6" t="s">
        <v>95</v>
      </c>
      <c r="H1547" s="6" t="s">
        <v>96</v>
      </c>
      <c r="I1547" s="6" t="s">
        <v>53</v>
      </c>
      <c r="J1547" s="6" t="s">
        <v>143</v>
      </c>
      <c r="K1547" s="6" t="s">
        <v>170</v>
      </c>
      <c r="L1547" s="6" t="s">
        <v>2671</v>
      </c>
      <c r="M1547" s="6" t="s">
        <v>43</v>
      </c>
      <c r="N1547" s="6" t="s">
        <v>31</v>
      </c>
      <c r="O1547" s="6">
        <v>68</v>
      </c>
      <c r="P1547" s="6">
        <v>51.49</v>
      </c>
      <c r="Q1547" s="6">
        <v>30.67</v>
      </c>
      <c r="R1547" s="6">
        <v>3501.02</v>
      </c>
      <c r="S1547" s="6">
        <v>0</v>
      </c>
      <c r="T1547" s="6">
        <v>0</v>
      </c>
      <c r="U1547" s="6">
        <v>3501.02</v>
      </c>
      <c r="V1547" s="6">
        <v>2085.4299999999998</v>
      </c>
      <c r="W1547" s="6">
        <v>1415.59</v>
      </c>
      <c r="X1547" s="6" t="s">
        <v>45</v>
      </c>
    </row>
    <row r="1548" spans="1:24" x14ac:dyDescent="0.25">
      <c r="A1548" s="5" t="s">
        <v>2048</v>
      </c>
      <c r="B1548" s="18">
        <v>45485</v>
      </c>
      <c r="C1548" s="7" t="s">
        <v>776</v>
      </c>
      <c r="D1548" s="7" t="s">
        <v>57</v>
      </c>
      <c r="E1548" s="7" t="s">
        <v>222</v>
      </c>
      <c r="F1548" s="7" t="s">
        <v>223</v>
      </c>
      <c r="G1548" s="7" t="s">
        <v>101</v>
      </c>
      <c r="H1548" s="7" t="s">
        <v>68</v>
      </c>
      <c r="I1548" s="7" t="s">
        <v>27</v>
      </c>
      <c r="J1548" s="7" t="s">
        <v>189</v>
      </c>
      <c r="K1548" s="7" t="s">
        <v>60</v>
      </c>
      <c r="L1548" s="7" t="s">
        <v>2662</v>
      </c>
      <c r="M1548" s="7" t="s">
        <v>43</v>
      </c>
      <c r="N1548" s="7" t="s">
        <v>70</v>
      </c>
      <c r="O1548" s="7">
        <v>41</v>
      </c>
      <c r="P1548" s="7">
        <v>125.57</v>
      </c>
      <c r="Q1548" s="7">
        <v>75.56</v>
      </c>
      <c r="R1548" s="7">
        <v>5148.3100000000004</v>
      </c>
      <c r="S1548" s="7">
        <v>0.2</v>
      </c>
      <c r="T1548" s="7">
        <v>1029.6600000000001</v>
      </c>
      <c r="U1548" s="7">
        <v>4118.6499999999996</v>
      </c>
      <c r="V1548" s="7">
        <v>3098.06</v>
      </c>
      <c r="W1548" s="7">
        <v>1020.59</v>
      </c>
      <c r="X1548" s="7" t="s">
        <v>45</v>
      </c>
    </row>
    <row r="1549" spans="1:24" x14ac:dyDescent="0.25">
      <c r="A1549" s="16" t="s">
        <v>2049</v>
      </c>
      <c r="B1549" s="17">
        <v>45599</v>
      </c>
      <c r="C1549" s="6"/>
      <c r="D1549" s="6"/>
      <c r="E1549" s="6" t="s">
        <v>99</v>
      </c>
      <c r="F1549" s="6" t="s">
        <v>100</v>
      </c>
      <c r="G1549" s="6" t="s">
        <v>101</v>
      </c>
      <c r="H1549" s="6" t="s">
        <v>102</v>
      </c>
      <c r="I1549" s="6" t="s">
        <v>58</v>
      </c>
      <c r="J1549" s="6" t="s">
        <v>323</v>
      </c>
      <c r="K1549" s="6" t="s">
        <v>60</v>
      </c>
      <c r="L1549" s="6" t="s">
        <v>2662</v>
      </c>
      <c r="M1549" s="6" t="s">
        <v>30</v>
      </c>
      <c r="N1549" s="6" t="s">
        <v>31</v>
      </c>
      <c r="O1549" s="6">
        <v>55</v>
      </c>
      <c r="P1549" s="6">
        <v>71.209999999999994</v>
      </c>
      <c r="Q1549" s="6">
        <v>39.56</v>
      </c>
      <c r="R1549" s="6">
        <v>3916.72</v>
      </c>
      <c r="S1549" s="6">
        <v>0.15</v>
      </c>
      <c r="T1549" s="6">
        <v>587.51</v>
      </c>
      <c r="U1549" s="6">
        <v>3329.22</v>
      </c>
      <c r="V1549" s="6">
        <v>2176</v>
      </c>
      <c r="W1549" s="6">
        <v>1153.21</v>
      </c>
      <c r="X1549" s="6" t="s">
        <v>32</v>
      </c>
    </row>
    <row r="1550" spans="1:24" x14ac:dyDescent="0.25">
      <c r="A1550" s="5" t="s">
        <v>2050</v>
      </c>
      <c r="B1550" s="18">
        <v>45450</v>
      </c>
      <c r="C1550" s="7" t="s">
        <v>693</v>
      </c>
      <c r="D1550" s="7" t="s">
        <v>57</v>
      </c>
      <c r="E1550" s="7" t="s">
        <v>66</v>
      </c>
      <c r="F1550" s="7" t="s">
        <v>67</v>
      </c>
      <c r="G1550" s="7" t="s">
        <v>38</v>
      </c>
      <c r="H1550" s="7" t="s">
        <v>68</v>
      </c>
      <c r="I1550" s="7" t="s">
        <v>53</v>
      </c>
      <c r="J1550" s="7" t="s">
        <v>143</v>
      </c>
      <c r="K1550" s="7" t="s">
        <v>60</v>
      </c>
      <c r="L1550" s="7" t="s">
        <v>2662</v>
      </c>
      <c r="M1550" s="7" t="s">
        <v>43</v>
      </c>
      <c r="N1550" s="7" t="s">
        <v>75</v>
      </c>
      <c r="O1550" s="7">
        <v>23</v>
      </c>
      <c r="P1550" s="7">
        <v>160.09</v>
      </c>
      <c r="Q1550" s="7">
        <v>107.17</v>
      </c>
      <c r="R1550" s="7">
        <v>3682.01</v>
      </c>
      <c r="S1550" s="7">
        <v>0</v>
      </c>
      <c r="T1550" s="7">
        <v>0</v>
      </c>
      <c r="U1550" s="7">
        <v>3682.01</v>
      </c>
      <c r="V1550" s="7">
        <v>2464.87</v>
      </c>
      <c r="W1550" s="7">
        <v>1217.1400000000001</v>
      </c>
      <c r="X1550" s="7" t="s">
        <v>45</v>
      </c>
    </row>
    <row r="1551" spans="1:24" x14ac:dyDescent="0.25">
      <c r="A1551" s="16" t="s">
        <v>2051</v>
      </c>
      <c r="B1551" s="17">
        <v>45655</v>
      </c>
      <c r="C1551" s="6" t="s">
        <v>948</v>
      </c>
      <c r="D1551" s="6" t="s">
        <v>87</v>
      </c>
      <c r="E1551" s="6" t="s">
        <v>126</v>
      </c>
      <c r="F1551" s="6" t="s">
        <v>127</v>
      </c>
      <c r="G1551" s="6" t="s">
        <v>95</v>
      </c>
      <c r="H1551" s="6" t="s">
        <v>128</v>
      </c>
      <c r="I1551" s="6" t="s">
        <v>53</v>
      </c>
      <c r="J1551" s="6" t="s">
        <v>232</v>
      </c>
      <c r="K1551" s="6" t="s">
        <v>74</v>
      </c>
      <c r="L1551" s="6" t="s">
        <v>2664</v>
      </c>
      <c r="M1551" s="6" t="s">
        <v>43</v>
      </c>
      <c r="N1551" s="6" t="s">
        <v>70</v>
      </c>
      <c r="O1551" s="6">
        <v>63</v>
      </c>
      <c r="P1551" s="6">
        <v>93.56</v>
      </c>
      <c r="Q1551" s="6">
        <v>52.78</v>
      </c>
      <c r="R1551" s="6">
        <v>5894.48</v>
      </c>
      <c r="S1551" s="6">
        <v>0.05</v>
      </c>
      <c r="T1551" s="6">
        <v>294.72000000000003</v>
      </c>
      <c r="U1551" s="6">
        <v>5599.76</v>
      </c>
      <c r="V1551" s="6">
        <v>3325.01</v>
      </c>
      <c r="W1551" s="6">
        <v>2274.75</v>
      </c>
      <c r="X1551" s="6" t="s">
        <v>129</v>
      </c>
    </row>
    <row r="1552" spans="1:24" x14ac:dyDescent="0.25">
      <c r="A1552" s="5" t="s">
        <v>2052</v>
      </c>
      <c r="B1552" s="18">
        <v>45462</v>
      </c>
      <c r="C1552" s="7" t="s">
        <v>243</v>
      </c>
      <c r="D1552" s="7" t="s">
        <v>35</v>
      </c>
      <c r="E1552" s="7" t="s">
        <v>93</v>
      </c>
      <c r="F1552" s="7" t="s">
        <v>94</v>
      </c>
      <c r="G1552" s="7" t="s">
        <v>95</v>
      </c>
      <c r="H1552" s="7" t="s">
        <v>96</v>
      </c>
      <c r="I1552" s="7" t="s">
        <v>27</v>
      </c>
      <c r="J1552" s="7" t="s">
        <v>106</v>
      </c>
      <c r="K1552" s="7" t="s">
        <v>184</v>
      </c>
      <c r="L1552" s="7" t="s">
        <v>2672</v>
      </c>
      <c r="M1552" s="7" t="s">
        <v>30</v>
      </c>
      <c r="N1552" s="7" t="s">
        <v>31</v>
      </c>
      <c r="O1552" s="7">
        <v>41</v>
      </c>
      <c r="P1552" s="7">
        <v>58.98</v>
      </c>
      <c r="Q1552" s="7">
        <v>31.11</v>
      </c>
      <c r="R1552" s="7">
        <v>2418.38</v>
      </c>
      <c r="S1552" s="7">
        <v>0.15</v>
      </c>
      <c r="T1552" s="7">
        <v>362.76</v>
      </c>
      <c r="U1552" s="7">
        <v>2055.62</v>
      </c>
      <c r="V1552" s="7">
        <v>1275.6300000000001</v>
      </c>
      <c r="W1552" s="7">
        <v>779.99</v>
      </c>
      <c r="X1552" s="7" t="s">
        <v>45</v>
      </c>
    </row>
    <row r="1553" spans="1:24" x14ac:dyDescent="0.25">
      <c r="A1553" s="16" t="s">
        <v>2053</v>
      </c>
      <c r="B1553" s="17">
        <v>45569</v>
      </c>
      <c r="C1553" s="6" t="s">
        <v>263</v>
      </c>
      <c r="D1553" s="6" t="s">
        <v>264</v>
      </c>
      <c r="E1553" s="6" t="s">
        <v>49</v>
      </c>
      <c r="F1553" s="6" t="s">
        <v>50</v>
      </c>
      <c r="G1553" s="6" t="s">
        <v>51</v>
      </c>
      <c r="H1553" s="6" t="s">
        <v>52</v>
      </c>
      <c r="I1553" s="6" t="s">
        <v>27</v>
      </c>
      <c r="J1553" s="6" t="s">
        <v>28</v>
      </c>
      <c r="K1553" s="6" t="s">
        <v>83</v>
      </c>
      <c r="L1553" s="6" t="s">
        <v>2665</v>
      </c>
      <c r="M1553" s="6" t="s">
        <v>43</v>
      </c>
      <c r="N1553" s="6" t="s">
        <v>31</v>
      </c>
      <c r="O1553" s="6">
        <v>45</v>
      </c>
      <c r="P1553" s="6">
        <v>24.85</v>
      </c>
      <c r="Q1553" s="6">
        <v>13.51</v>
      </c>
      <c r="R1553" s="6">
        <v>1118.26</v>
      </c>
      <c r="S1553" s="6">
        <v>0.2</v>
      </c>
      <c r="T1553" s="6">
        <v>223.65</v>
      </c>
      <c r="U1553" s="6">
        <v>894.6</v>
      </c>
      <c r="V1553" s="6">
        <v>608.16</v>
      </c>
      <c r="W1553" s="6">
        <v>286.44</v>
      </c>
      <c r="X1553" s="6" t="s">
        <v>129</v>
      </c>
    </row>
    <row r="1554" spans="1:24" x14ac:dyDescent="0.25">
      <c r="A1554" s="5" t="s">
        <v>2054</v>
      </c>
      <c r="B1554" s="18">
        <v>45450</v>
      </c>
      <c r="C1554" s="7" t="s">
        <v>938</v>
      </c>
      <c r="D1554" s="7" t="s">
        <v>156</v>
      </c>
      <c r="E1554" s="7" t="s">
        <v>78</v>
      </c>
      <c r="F1554" s="7" t="s">
        <v>79</v>
      </c>
      <c r="G1554" s="7" t="s">
        <v>80</v>
      </c>
      <c r="H1554" s="7" t="s">
        <v>81</v>
      </c>
      <c r="I1554" s="7" t="s">
        <v>27</v>
      </c>
      <c r="J1554" s="7" t="s">
        <v>106</v>
      </c>
      <c r="K1554" s="7" t="s">
        <v>184</v>
      </c>
      <c r="L1554" s="7" t="s">
        <v>2672</v>
      </c>
      <c r="M1554" s="7" t="s">
        <v>61</v>
      </c>
      <c r="N1554" s="7" t="s">
        <v>75</v>
      </c>
      <c r="O1554" s="7">
        <v>24</v>
      </c>
      <c r="P1554" s="7">
        <v>142.75</v>
      </c>
      <c r="Q1554" s="7">
        <v>76.56</v>
      </c>
      <c r="R1554" s="7">
        <v>3426.07</v>
      </c>
      <c r="S1554" s="7">
        <v>0.02</v>
      </c>
      <c r="T1554" s="7">
        <v>68.52</v>
      </c>
      <c r="U1554" s="7">
        <v>3357.54</v>
      </c>
      <c r="V1554" s="7">
        <v>1837.43</v>
      </c>
      <c r="W1554" s="7">
        <v>1520.11</v>
      </c>
      <c r="X1554" s="7" t="s">
        <v>45</v>
      </c>
    </row>
    <row r="1555" spans="1:24" x14ac:dyDescent="0.25">
      <c r="A1555" s="16" t="s">
        <v>2055</v>
      </c>
      <c r="B1555" s="17">
        <v>45384</v>
      </c>
      <c r="C1555" s="6" t="s">
        <v>86</v>
      </c>
      <c r="D1555" s="6" t="s">
        <v>87</v>
      </c>
      <c r="E1555" s="6" t="s">
        <v>114</v>
      </c>
      <c r="F1555" s="6" t="s">
        <v>115</v>
      </c>
      <c r="G1555" s="6" t="s">
        <v>95</v>
      </c>
      <c r="H1555" s="6" t="s">
        <v>116</v>
      </c>
      <c r="I1555" s="6" t="s">
        <v>88</v>
      </c>
      <c r="J1555" s="6" t="s">
        <v>135</v>
      </c>
      <c r="K1555" s="6" t="s">
        <v>29</v>
      </c>
      <c r="L1555" s="6" t="s">
        <v>2660</v>
      </c>
      <c r="M1555" s="6" t="s">
        <v>61</v>
      </c>
      <c r="N1555" s="6" t="s">
        <v>84</v>
      </c>
      <c r="O1555" s="6">
        <v>37</v>
      </c>
      <c r="P1555" s="6">
        <v>33.43</v>
      </c>
      <c r="Q1555" s="6">
        <v>19.440000000000001</v>
      </c>
      <c r="R1555" s="6">
        <v>1236.79</v>
      </c>
      <c r="S1555" s="6">
        <v>0</v>
      </c>
      <c r="T1555" s="6">
        <v>0</v>
      </c>
      <c r="U1555" s="6">
        <v>1236.79</v>
      </c>
      <c r="V1555" s="6">
        <v>719.41</v>
      </c>
      <c r="W1555" s="6">
        <v>517.39</v>
      </c>
      <c r="X1555" s="6" t="s">
        <v>45</v>
      </c>
    </row>
    <row r="1556" spans="1:24" x14ac:dyDescent="0.25">
      <c r="A1556" s="5" t="s">
        <v>2056</v>
      </c>
      <c r="B1556" s="18">
        <v>45528</v>
      </c>
      <c r="C1556" s="7" t="s">
        <v>458</v>
      </c>
      <c r="D1556" s="7" t="s">
        <v>163</v>
      </c>
      <c r="E1556" s="7" t="s">
        <v>141</v>
      </c>
      <c r="F1556" s="7" t="s">
        <v>142</v>
      </c>
      <c r="G1556" s="7" t="s">
        <v>25</v>
      </c>
      <c r="H1556" s="7" t="s">
        <v>26</v>
      </c>
      <c r="I1556" s="7" t="s">
        <v>88</v>
      </c>
      <c r="J1556" s="7" t="s">
        <v>183</v>
      </c>
      <c r="K1556" s="7" t="s">
        <v>265</v>
      </c>
      <c r="L1556" s="7" t="s">
        <v>2678</v>
      </c>
      <c r="M1556" s="7" t="s">
        <v>43</v>
      </c>
      <c r="N1556" s="7" t="s">
        <v>31</v>
      </c>
      <c r="O1556" s="7">
        <v>62</v>
      </c>
      <c r="P1556" s="7">
        <v>89.17</v>
      </c>
      <c r="Q1556" s="7">
        <v>62.23</v>
      </c>
      <c r="R1556" s="7">
        <v>5528.25</v>
      </c>
      <c r="S1556" s="7">
        <v>0.15</v>
      </c>
      <c r="T1556" s="7">
        <v>829.24</v>
      </c>
      <c r="U1556" s="7">
        <v>4699.01</v>
      </c>
      <c r="V1556" s="7">
        <v>3858.32</v>
      </c>
      <c r="W1556" s="7">
        <v>840.69</v>
      </c>
      <c r="X1556" s="7" t="s">
        <v>129</v>
      </c>
    </row>
    <row r="1557" spans="1:24" x14ac:dyDescent="0.25">
      <c r="A1557" s="16" t="s">
        <v>2057</v>
      </c>
      <c r="B1557" s="17">
        <v>45368</v>
      </c>
      <c r="C1557" s="6" t="s">
        <v>707</v>
      </c>
      <c r="D1557" s="6" t="s">
        <v>65</v>
      </c>
      <c r="E1557" s="6" t="s">
        <v>141</v>
      </c>
      <c r="F1557" s="6" t="s">
        <v>142</v>
      </c>
      <c r="G1557" s="6" t="s">
        <v>25</v>
      </c>
      <c r="H1557" s="6" t="s">
        <v>26</v>
      </c>
      <c r="I1557" s="6" t="s">
        <v>58</v>
      </c>
      <c r="J1557" s="6" t="s">
        <v>345</v>
      </c>
      <c r="K1557" s="6" t="s">
        <v>178</v>
      </c>
      <c r="L1557" s="6" t="s">
        <v>256</v>
      </c>
      <c r="M1557" s="6" t="s">
        <v>61</v>
      </c>
      <c r="N1557" s="6" t="s">
        <v>44</v>
      </c>
      <c r="O1557" s="6">
        <v>36</v>
      </c>
      <c r="P1557" s="6">
        <v>100.33</v>
      </c>
      <c r="Q1557" s="6">
        <v>61.41</v>
      </c>
      <c r="R1557" s="6">
        <v>3611.84</v>
      </c>
      <c r="S1557" s="6">
        <v>0</v>
      </c>
      <c r="T1557" s="6">
        <v>0</v>
      </c>
      <c r="U1557" s="6">
        <v>3611.84</v>
      </c>
      <c r="V1557" s="6">
        <v>2210.71</v>
      </c>
      <c r="W1557" s="6">
        <v>1401.13</v>
      </c>
      <c r="X1557" s="6" t="s">
        <v>32</v>
      </c>
    </row>
    <row r="1558" spans="1:24" x14ac:dyDescent="0.25">
      <c r="A1558" s="5" t="s">
        <v>2058</v>
      </c>
      <c r="B1558" s="18">
        <v>45373</v>
      </c>
      <c r="C1558" s="7" t="s">
        <v>201</v>
      </c>
      <c r="D1558" s="7" t="s">
        <v>57</v>
      </c>
      <c r="E1558" s="7" t="s">
        <v>36</v>
      </c>
      <c r="F1558" s="7" t="s">
        <v>37</v>
      </c>
      <c r="G1558" s="7" t="s">
        <v>38</v>
      </c>
      <c r="H1558" s="7" t="s">
        <v>39</v>
      </c>
      <c r="I1558" s="7" t="s">
        <v>53</v>
      </c>
      <c r="J1558" s="7" t="s">
        <v>122</v>
      </c>
      <c r="K1558" s="7" t="s">
        <v>195</v>
      </c>
      <c r="L1558" s="7" t="s">
        <v>2673</v>
      </c>
      <c r="M1558" s="7" t="s">
        <v>153</v>
      </c>
      <c r="N1558" s="7" t="s">
        <v>44</v>
      </c>
      <c r="O1558" s="7">
        <v>61</v>
      </c>
      <c r="P1558" s="7">
        <v>152.63</v>
      </c>
      <c r="Q1558" s="7">
        <v>101.16</v>
      </c>
      <c r="R1558" s="7">
        <v>9310.41</v>
      </c>
      <c r="S1558" s="7">
        <v>0.1</v>
      </c>
      <c r="T1558" s="7">
        <v>931.04</v>
      </c>
      <c r="U1558" s="7">
        <v>8379.3700000000008</v>
      </c>
      <c r="V1558" s="7">
        <v>6170.81</v>
      </c>
      <c r="W1558" s="7">
        <v>2208.5700000000002</v>
      </c>
      <c r="X1558" s="7" t="s">
        <v>45</v>
      </c>
    </row>
    <row r="1559" spans="1:24" x14ac:dyDescent="0.25">
      <c r="A1559" s="16" t="s">
        <v>2059</v>
      </c>
      <c r="B1559" s="17">
        <v>45428</v>
      </c>
      <c r="C1559" s="6" t="s">
        <v>21</v>
      </c>
      <c r="D1559" s="6" t="s">
        <v>22</v>
      </c>
      <c r="E1559" s="6" t="s">
        <v>109</v>
      </c>
      <c r="F1559" s="6" t="s">
        <v>110</v>
      </c>
      <c r="G1559" s="6" t="s">
        <v>80</v>
      </c>
      <c r="H1559" s="6" t="s">
        <v>81</v>
      </c>
      <c r="I1559" s="6" t="s">
        <v>53</v>
      </c>
      <c r="J1559" s="6" t="s">
        <v>143</v>
      </c>
      <c r="K1559" s="6" t="s">
        <v>74</v>
      </c>
      <c r="L1559" s="6" t="s">
        <v>2664</v>
      </c>
      <c r="M1559" s="6" t="s">
        <v>43</v>
      </c>
      <c r="N1559" s="6" t="s">
        <v>368</v>
      </c>
      <c r="O1559" s="6">
        <v>76</v>
      </c>
      <c r="P1559" s="6">
        <v>121.2</v>
      </c>
      <c r="Q1559" s="6">
        <v>71.040000000000006</v>
      </c>
      <c r="R1559" s="6">
        <v>9210.91</v>
      </c>
      <c r="S1559" s="6">
        <v>0.05</v>
      </c>
      <c r="T1559" s="6">
        <v>460.55</v>
      </c>
      <c r="U1559" s="6">
        <v>8750.36</v>
      </c>
      <c r="V1559" s="6">
        <v>5399</v>
      </c>
      <c r="W1559" s="6">
        <v>3351.36</v>
      </c>
      <c r="X1559" s="6" t="s">
        <v>45</v>
      </c>
    </row>
    <row r="1560" spans="1:24" x14ac:dyDescent="0.25">
      <c r="A1560" s="5" t="s">
        <v>2060</v>
      </c>
      <c r="B1560" s="18">
        <v>45334</v>
      </c>
      <c r="C1560" s="7" t="s">
        <v>1887</v>
      </c>
      <c r="D1560" s="7" t="s">
        <v>159</v>
      </c>
      <c r="E1560" s="7" t="s">
        <v>176</v>
      </c>
      <c r="F1560" s="7" t="s">
        <v>177</v>
      </c>
      <c r="G1560" s="7" t="s">
        <v>101</v>
      </c>
      <c r="H1560" s="7" t="s">
        <v>39</v>
      </c>
      <c r="I1560" s="7" t="s">
        <v>27</v>
      </c>
      <c r="J1560" s="7" t="s">
        <v>189</v>
      </c>
      <c r="K1560" s="7" t="s">
        <v>265</v>
      </c>
      <c r="L1560" s="7" t="s">
        <v>2678</v>
      </c>
      <c r="M1560" s="7" t="s">
        <v>30</v>
      </c>
      <c r="N1560" s="7" t="s">
        <v>84</v>
      </c>
      <c r="O1560" s="7">
        <v>41</v>
      </c>
      <c r="P1560" s="7">
        <v>111.2</v>
      </c>
      <c r="Q1560" s="7">
        <v>63.71</v>
      </c>
      <c r="R1560" s="7">
        <v>4559.1000000000004</v>
      </c>
      <c r="S1560" s="7">
        <v>0.15</v>
      </c>
      <c r="T1560" s="7">
        <v>683.87</v>
      </c>
      <c r="U1560" s="7">
        <v>3875.24</v>
      </c>
      <c r="V1560" s="7">
        <v>2612.1799999999998</v>
      </c>
      <c r="W1560" s="7">
        <v>1263.05</v>
      </c>
      <c r="X1560" s="7" t="s">
        <v>129</v>
      </c>
    </row>
    <row r="1561" spans="1:24" x14ac:dyDescent="0.25">
      <c r="A1561" s="16" t="s">
        <v>2061</v>
      </c>
      <c r="B1561" s="17">
        <v>45453</v>
      </c>
      <c r="C1561" s="6" t="s">
        <v>1831</v>
      </c>
      <c r="D1561" s="6" t="s">
        <v>256</v>
      </c>
      <c r="E1561" s="6" t="s">
        <v>187</v>
      </c>
      <c r="F1561" s="6" t="s">
        <v>188</v>
      </c>
      <c r="G1561" s="6" t="s">
        <v>25</v>
      </c>
      <c r="H1561" s="6" t="s">
        <v>26</v>
      </c>
      <c r="I1561" s="6" t="s">
        <v>53</v>
      </c>
      <c r="J1561" s="6" t="s">
        <v>122</v>
      </c>
      <c r="K1561" s="6" t="s">
        <v>83</v>
      </c>
      <c r="L1561" s="6" t="s">
        <v>2665</v>
      </c>
      <c r="M1561" s="6" t="s">
        <v>43</v>
      </c>
      <c r="N1561" s="6" t="s">
        <v>44</v>
      </c>
      <c r="O1561" s="6">
        <v>1</v>
      </c>
      <c r="P1561" s="6">
        <v>45.76</v>
      </c>
      <c r="Q1561" s="6">
        <v>31</v>
      </c>
      <c r="R1561" s="6">
        <v>45.76</v>
      </c>
      <c r="S1561" s="6">
        <v>0.1</v>
      </c>
      <c r="T1561" s="6">
        <v>4.58</v>
      </c>
      <c r="U1561" s="6">
        <v>41.19</v>
      </c>
      <c r="V1561" s="6">
        <v>31</v>
      </c>
      <c r="W1561" s="6">
        <v>10.19</v>
      </c>
      <c r="X1561" s="6" t="s">
        <v>45</v>
      </c>
    </row>
    <row r="1562" spans="1:24" x14ac:dyDescent="0.25">
      <c r="A1562" s="5" t="s">
        <v>2062</v>
      </c>
      <c r="B1562" s="18">
        <v>45578</v>
      </c>
      <c r="C1562" s="7" t="s">
        <v>1171</v>
      </c>
      <c r="D1562" s="7" t="s">
        <v>35</v>
      </c>
      <c r="E1562" s="7" t="s">
        <v>99</v>
      </c>
      <c r="F1562" s="7" t="s">
        <v>100</v>
      </c>
      <c r="G1562" s="7" t="s">
        <v>101</v>
      </c>
      <c r="H1562" s="7" t="s">
        <v>102</v>
      </c>
      <c r="I1562" s="7" t="s">
        <v>58</v>
      </c>
      <c r="J1562" s="7" t="s">
        <v>59</v>
      </c>
      <c r="K1562" s="7" t="s">
        <v>152</v>
      </c>
      <c r="L1562" s="7" t="s">
        <v>2670</v>
      </c>
      <c r="M1562" s="7" t="s">
        <v>43</v>
      </c>
      <c r="N1562" s="7" t="s">
        <v>75</v>
      </c>
      <c r="O1562" s="7">
        <v>69</v>
      </c>
      <c r="P1562" s="7">
        <v>74.680000000000007</v>
      </c>
      <c r="Q1562" s="7">
        <v>39.630000000000003</v>
      </c>
      <c r="R1562" s="7">
        <v>5152.63</v>
      </c>
      <c r="S1562" s="7">
        <v>0.02</v>
      </c>
      <c r="T1562" s="7">
        <v>103.05</v>
      </c>
      <c r="U1562" s="7">
        <v>5049.58</v>
      </c>
      <c r="V1562" s="7">
        <v>2734.17</v>
      </c>
      <c r="W1562" s="7">
        <v>2315.41</v>
      </c>
      <c r="X1562" s="7" t="s">
        <v>45</v>
      </c>
    </row>
    <row r="1563" spans="1:24" x14ac:dyDescent="0.25">
      <c r="A1563" s="16" t="s">
        <v>2063</v>
      </c>
      <c r="B1563" s="17">
        <v>45357</v>
      </c>
      <c r="C1563" s="6" t="s">
        <v>367</v>
      </c>
      <c r="D1563" s="6" t="s">
        <v>105</v>
      </c>
      <c r="E1563" s="6" t="s">
        <v>250</v>
      </c>
      <c r="F1563" s="6" t="s">
        <v>251</v>
      </c>
      <c r="G1563" s="6" t="s">
        <v>51</v>
      </c>
      <c r="H1563" s="6" t="s">
        <v>252</v>
      </c>
      <c r="I1563" s="6" t="s">
        <v>40</v>
      </c>
      <c r="J1563" s="6" t="s">
        <v>289</v>
      </c>
      <c r="K1563" s="6" t="s">
        <v>218</v>
      </c>
      <c r="L1563" s="6" t="s">
        <v>2674</v>
      </c>
      <c r="M1563" s="6" t="s">
        <v>43</v>
      </c>
      <c r="N1563" s="6" t="s">
        <v>31</v>
      </c>
      <c r="O1563" s="6">
        <v>80</v>
      </c>
      <c r="P1563" s="6">
        <v>67.53</v>
      </c>
      <c r="Q1563" s="6">
        <v>35.25</v>
      </c>
      <c r="R1563" s="6">
        <v>5402.34</v>
      </c>
      <c r="S1563" s="6">
        <v>0.15</v>
      </c>
      <c r="T1563" s="6">
        <v>810.35</v>
      </c>
      <c r="U1563" s="6">
        <v>4591.99</v>
      </c>
      <c r="V1563" s="6">
        <v>2820.22</v>
      </c>
      <c r="W1563" s="6">
        <v>1771.77</v>
      </c>
      <c r="X1563" s="6" t="s">
        <v>45</v>
      </c>
    </row>
    <row r="1564" spans="1:24" x14ac:dyDescent="0.25">
      <c r="A1564" s="5" t="s">
        <v>2064</v>
      </c>
      <c r="B1564" s="18">
        <v>45328</v>
      </c>
      <c r="C1564" s="7" t="s">
        <v>464</v>
      </c>
      <c r="D1564" s="7" t="s">
        <v>105</v>
      </c>
      <c r="E1564" s="7" t="s">
        <v>99</v>
      </c>
      <c r="F1564" s="7" t="s">
        <v>100</v>
      </c>
      <c r="G1564" s="7" t="s">
        <v>101</v>
      </c>
      <c r="H1564" s="7" t="s">
        <v>102</v>
      </c>
      <c r="I1564" s="7" t="s">
        <v>58</v>
      </c>
      <c r="J1564" s="7" t="s">
        <v>73</v>
      </c>
      <c r="K1564" s="7" t="s">
        <v>170</v>
      </c>
      <c r="L1564" s="7" t="s">
        <v>2671</v>
      </c>
      <c r="M1564" s="7" t="s">
        <v>153</v>
      </c>
      <c r="N1564" s="7" t="s">
        <v>44</v>
      </c>
      <c r="O1564" s="7">
        <v>55</v>
      </c>
      <c r="P1564" s="7">
        <v>71.16</v>
      </c>
      <c r="Q1564" s="7">
        <v>42.22</v>
      </c>
      <c r="R1564" s="7">
        <v>3913.94</v>
      </c>
      <c r="S1564" s="7">
        <v>0.05</v>
      </c>
      <c r="T1564" s="7">
        <v>195.7</v>
      </c>
      <c r="U1564" s="7">
        <v>3718.24</v>
      </c>
      <c r="V1564" s="7">
        <v>2322.3200000000002</v>
      </c>
      <c r="W1564" s="7">
        <v>1395.92</v>
      </c>
      <c r="X1564" s="7" t="s">
        <v>45</v>
      </c>
    </row>
    <row r="1565" spans="1:24" x14ac:dyDescent="0.25">
      <c r="A1565" s="16" t="s">
        <v>2065</v>
      </c>
      <c r="B1565" s="17">
        <v>45650</v>
      </c>
      <c r="C1565" s="6" t="s">
        <v>866</v>
      </c>
      <c r="D1565" s="6" t="s">
        <v>156</v>
      </c>
      <c r="E1565" s="6" t="s">
        <v>49</v>
      </c>
      <c r="F1565" s="6" t="s">
        <v>50</v>
      </c>
      <c r="G1565" s="6" t="s">
        <v>51</v>
      </c>
      <c r="H1565" s="6" t="s">
        <v>52</v>
      </c>
      <c r="I1565" s="6" t="s">
        <v>58</v>
      </c>
      <c r="J1565" s="6" t="s">
        <v>345</v>
      </c>
      <c r="K1565" s="6" t="s">
        <v>265</v>
      </c>
      <c r="L1565" s="6" t="s">
        <v>2678</v>
      </c>
      <c r="M1565" s="6" t="s">
        <v>30</v>
      </c>
      <c r="N1565" s="6" t="s">
        <v>84</v>
      </c>
      <c r="O1565" s="6">
        <v>34</v>
      </c>
      <c r="P1565" s="6">
        <v>24.1</v>
      </c>
      <c r="Q1565" s="6">
        <v>13.11</v>
      </c>
      <c r="R1565" s="6">
        <v>819.27</v>
      </c>
      <c r="S1565" s="6">
        <v>0.02</v>
      </c>
      <c r="T1565" s="6">
        <v>16.39</v>
      </c>
      <c r="U1565" s="6">
        <v>802.89</v>
      </c>
      <c r="V1565" s="6">
        <v>445.83</v>
      </c>
      <c r="W1565" s="6">
        <v>357.05</v>
      </c>
      <c r="X1565" s="6" t="s">
        <v>45</v>
      </c>
    </row>
    <row r="1566" spans="1:24" x14ac:dyDescent="0.25">
      <c r="A1566" s="5" t="s">
        <v>2066</v>
      </c>
      <c r="B1566" s="18">
        <v>45374</v>
      </c>
      <c r="C1566" s="7" t="s">
        <v>1858</v>
      </c>
      <c r="D1566" s="7" t="s">
        <v>87</v>
      </c>
      <c r="E1566" s="7" t="s">
        <v>49</v>
      </c>
      <c r="F1566" s="7" t="s">
        <v>50</v>
      </c>
      <c r="G1566" s="7" t="s">
        <v>51</v>
      </c>
      <c r="H1566" s="7" t="s">
        <v>52</v>
      </c>
      <c r="I1566" s="7" t="s">
        <v>58</v>
      </c>
      <c r="J1566" s="7" t="s">
        <v>345</v>
      </c>
      <c r="K1566" s="7" t="s">
        <v>261</v>
      </c>
      <c r="L1566" s="7" t="s">
        <v>2677</v>
      </c>
      <c r="M1566" s="7" t="s">
        <v>43</v>
      </c>
      <c r="N1566" s="7" t="s">
        <v>31</v>
      </c>
      <c r="O1566" s="7">
        <v>26</v>
      </c>
      <c r="P1566" s="7">
        <v>26.14</v>
      </c>
      <c r="Q1566" s="7">
        <v>13.43</v>
      </c>
      <c r="R1566" s="7">
        <v>679.63</v>
      </c>
      <c r="S1566" s="7">
        <v>0.1</v>
      </c>
      <c r="T1566" s="7">
        <v>67.959999999999994</v>
      </c>
      <c r="U1566" s="7">
        <v>611.66999999999996</v>
      </c>
      <c r="V1566" s="7">
        <v>349.23</v>
      </c>
      <c r="W1566" s="7">
        <v>262.43</v>
      </c>
      <c r="X1566" s="7" t="s">
        <v>45</v>
      </c>
    </row>
    <row r="1567" spans="1:24" x14ac:dyDescent="0.25">
      <c r="A1567" s="16" t="s">
        <v>2067</v>
      </c>
      <c r="B1567" s="17">
        <v>45300</v>
      </c>
      <c r="C1567" s="6" t="s">
        <v>186</v>
      </c>
      <c r="D1567" s="6" t="s">
        <v>156</v>
      </c>
      <c r="E1567" s="6" t="s">
        <v>23</v>
      </c>
      <c r="F1567" s="6" t="s">
        <v>24</v>
      </c>
      <c r="G1567" s="6" t="s">
        <v>25</v>
      </c>
      <c r="H1567" s="6" t="s">
        <v>26</v>
      </c>
      <c r="I1567" s="6" t="s">
        <v>88</v>
      </c>
      <c r="J1567" s="6" t="s">
        <v>173</v>
      </c>
      <c r="K1567" s="6" t="s">
        <v>144</v>
      </c>
      <c r="L1567" s="6" t="s">
        <v>2669</v>
      </c>
      <c r="M1567" s="6" t="s">
        <v>30</v>
      </c>
      <c r="N1567" s="6" t="s">
        <v>44</v>
      </c>
      <c r="O1567" s="6">
        <v>62</v>
      </c>
      <c r="P1567" s="6">
        <v>77.569999999999993</v>
      </c>
      <c r="Q1567" s="6">
        <v>46.12</v>
      </c>
      <c r="R1567" s="6">
        <v>4809.28</v>
      </c>
      <c r="S1567" s="6">
        <v>0.2</v>
      </c>
      <c r="T1567" s="6">
        <v>961.86</v>
      </c>
      <c r="U1567" s="6">
        <v>3847.42</v>
      </c>
      <c r="V1567" s="6">
        <v>2859.7</v>
      </c>
      <c r="W1567" s="6">
        <v>987.73</v>
      </c>
      <c r="X1567" s="6" t="s">
        <v>129</v>
      </c>
    </row>
    <row r="1568" spans="1:24" x14ac:dyDescent="0.25">
      <c r="A1568" s="5" t="s">
        <v>2068</v>
      </c>
      <c r="B1568" s="18">
        <v>45337</v>
      </c>
      <c r="C1568" s="7" t="s">
        <v>888</v>
      </c>
      <c r="D1568" s="7" t="s">
        <v>159</v>
      </c>
      <c r="E1568" s="7" t="s">
        <v>126</v>
      </c>
      <c r="F1568" s="7" t="s">
        <v>127</v>
      </c>
      <c r="G1568" s="7" t="s">
        <v>95</v>
      </c>
      <c r="H1568" s="7" t="s">
        <v>128</v>
      </c>
      <c r="I1568" s="7" t="s">
        <v>53</v>
      </c>
      <c r="J1568" s="7" t="s">
        <v>122</v>
      </c>
      <c r="K1568" s="7" t="s">
        <v>90</v>
      </c>
      <c r="L1568" s="7" t="s">
        <v>2666</v>
      </c>
      <c r="M1568" s="7" t="s">
        <v>30</v>
      </c>
      <c r="N1568" s="7" t="s">
        <v>70</v>
      </c>
      <c r="O1568" s="7">
        <v>64</v>
      </c>
      <c r="P1568" s="7">
        <v>92.83</v>
      </c>
      <c r="Q1568" s="7">
        <v>56.58</v>
      </c>
      <c r="R1568" s="7">
        <v>5941.23</v>
      </c>
      <c r="S1568" s="7">
        <v>0.1</v>
      </c>
      <c r="T1568" s="7">
        <v>594.12</v>
      </c>
      <c r="U1568" s="7">
        <v>5347.11</v>
      </c>
      <c r="V1568" s="7">
        <v>3621.3</v>
      </c>
      <c r="W1568" s="7">
        <v>1725.81</v>
      </c>
      <c r="X1568" s="7" t="s">
        <v>45</v>
      </c>
    </row>
    <row r="1569" spans="1:24" x14ac:dyDescent="0.25">
      <c r="A1569" s="16" t="s">
        <v>2069</v>
      </c>
      <c r="B1569" s="17">
        <v>45301</v>
      </c>
      <c r="C1569" s="6" t="s">
        <v>1129</v>
      </c>
      <c r="D1569" s="6" t="s">
        <v>65</v>
      </c>
      <c r="E1569" s="6" t="s">
        <v>36</v>
      </c>
      <c r="F1569" s="6" t="s">
        <v>37</v>
      </c>
      <c r="G1569" s="6" t="s">
        <v>38</v>
      </c>
      <c r="H1569" s="6" t="s">
        <v>39</v>
      </c>
      <c r="I1569" s="6" t="s">
        <v>53</v>
      </c>
      <c r="J1569" s="6" t="s">
        <v>232</v>
      </c>
      <c r="K1569" s="6" t="s">
        <v>195</v>
      </c>
      <c r="L1569" s="6" t="s">
        <v>2673</v>
      </c>
      <c r="M1569" s="6" t="s">
        <v>153</v>
      </c>
      <c r="N1569" s="6" t="s">
        <v>70</v>
      </c>
      <c r="O1569" s="6">
        <v>80</v>
      </c>
      <c r="P1569" s="6">
        <v>176.2</v>
      </c>
      <c r="Q1569" s="6">
        <v>106.46</v>
      </c>
      <c r="R1569" s="6">
        <v>14096.32</v>
      </c>
      <c r="S1569" s="6">
        <v>0.05</v>
      </c>
      <c r="T1569" s="6">
        <v>704.82</v>
      </c>
      <c r="U1569" s="6">
        <v>13391.51</v>
      </c>
      <c r="V1569" s="6">
        <v>8516.93</v>
      </c>
      <c r="W1569" s="6">
        <v>4874.58</v>
      </c>
      <c r="X1569" s="6" t="s">
        <v>129</v>
      </c>
    </row>
    <row r="1570" spans="1:24" x14ac:dyDescent="0.25">
      <c r="A1570" s="5" t="s">
        <v>2070</v>
      </c>
      <c r="B1570" s="18">
        <v>45474</v>
      </c>
      <c r="C1570" s="7" t="s">
        <v>1881</v>
      </c>
      <c r="D1570" s="7" t="s">
        <v>87</v>
      </c>
      <c r="E1570" s="7" t="s">
        <v>93</v>
      </c>
      <c r="F1570" s="7" t="s">
        <v>94</v>
      </c>
      <c r="G1570" s="7" t="s">
        <v>95</v>
      </c>
      <c r="H1570" s="7" t="s">
        <v>96</v>
      </c>
      <c r="I1570" s="7" t="s">
        <v>27</v>
      </c>
      <c r="J1570" s="7" t="s">
        <v>28</v>
      </c>
      <c r="K1570" s="7" t="s">
        <v>218</v>
      </c>
      <c r="L1570" s="7" t="s">
        <v>2674</v>
      </c>
      <c r="M1570" s="7" t="s">
        <v>153</v>
      </c>
      <c r="N1570" s="7" t="s">
        <v>75</v>
      </c>
      <c r="O1570" s="7">
        <v>51</v>
      </c>
      <c r="P1570" s="7">
        <v>50.78</v>
      </c>
      <c r="Q1570" s="7">
        <v>31.09</v>
      </c>
      <c r="R1570" s="7">
        <v>2589.61</v>
      </c>
      <c r="S1570" s="7">
        <v>0.15</v>
      </c>
      <c r="T1570" s="7">
        <v>388.44</v>
      </c>
      <c r="U1570" s="7">
        <v>2201.17</v>
      </c>
      <c r="V1570" s="7">
        <v>1585.54</v>
      </c>
      <c r="W1570" s="7">
        <v>615.63</v>
      </c>
      <c r="X1570" s="7" t="s">
        <v>45</v>
      </c>
    </row>
    <row r="1571" spans="1:24" x14ac:dyDescent="0.25">
      <c r="A1571" s="16" t="s">
        <v>2071</v>
      </c>
      <c r="B1571" s="17">
        <v>45584</v>
      </c>
      <c r="C1571" s="6" t="s">
        <v>231</v>
      </c>
      <c r="D1571" s="6" t="s">
        <v>87</v>
      </c>
      <c r="E1571" s="6" t="s">
        <v>176</v>
      </c>
      <c r="F1571" s="6" t="s">
        <v>177</v>
      </c>
      <c r="G1571" s="6" t="s">
        <v>101</v>
      </c>
      <c r="H1571" s="6" t="s">
        <v>39</v>
      </c>
      <c r="I1571" s="6" t="s">
        <v>88</v>
      </c>
      <c r="J1571" s="6" t="s">
        <v>89</v>
      </c>
      <c r="K1571" s="6" t="s">
        <v>184</v>
      </c>
      <c r="L1571" s="6" t="s">
        <v>2672</v>
      </c>
      <c r="M1571" s="6" t="s">
        <v>30</v>
      </c>
      <c r="N1571" s="6" t="s">
        <v>75</v>
      </c>
      <c r="O1571" s="6">
        <v>74</v>
      </c>
      <c r="P1571" s="6">
        <v>108.1</v>
      </c>
      <c r="Q1571" s="6">
        <v>62.4</v>
      </c>
      <c r="R1571" s="6">
        <v>7999.04</v>
      </c>
      <c r="S1571" s="6">
        <v>0.1</v>
      </c>
      <c r="T1571" s="6">
        <v>799.9</v>
      </c>
      <c r="U1571" s="6">
        <v>7199.13</v>
      </c>
      <c r="V1571" s="6">
        <v>4617.3599999999997</v>
      </c>
      <c r="W1571" s="6">
        <v>2581.7800000000002</v>
      </c>
      <c r="X1571" s="6" t="s">
        <v>285</v>
      </c>
    </row>
    <row r="1572" spans="1:24" x14ac:dyDescent="0.25">
      <c r="A1572" s="5" t="s">
        <v>2072</v>
      </c>
      <c r="B1572" s="18">
        <v>45316</v>
      </c>
      <c r="C1572" s="7" t="s">
        <v>545</v>
      </c>
      <c r="D1572" s="7" t="s">
        <v>105</v>
      </c>
      <c r="E1572" s="7" t="s">
        <v>78</v>
      </c>
      <c r="F1572" s="7" t="s">
        <v>79</v>
      </c>
      <c r="G1572" s="7" t="s">
        <v>80</v>
      </c>
      <c r="H1572" s="7" t="s">
        <v>81</v>
      </c>
      <c r="I1572" s="7" t="s">
        <v>53</v>
      </c>
      <c r="J1572" s="7" t="s">
        <v>54</v>
      </c>
      <c r="K1572" s="7" t="s">
        <v>265</v>
      </c>
      <c r="L1572" s="7" t="s">
        <v>2678</v>
      </c>
      <c r="M1572" s="7" t="s">
        <v>61</v>
      </c>
      <c r="N1572" s="7" t="s">
        <v>75</v>
      </c>
      <c r="O1572" s="7">
        <v>38</v>
      </c>
      <c r="P1572" s="7">
        <v>132.82</v>
      </c>
      <c r="Q1572" s="7">
        <v>78.56</v>
      </c>
      <c r="R1572" s="7">
        <v>5047.3500000000004</v>
      </c>
      <c r="S1572" s="7">
        <v>0.05</v>
      </c>
      <c r="T1572" s="7">
        <v>252.37</v>
      </c>
      <c r="U1572" s="7">
        <v>4794.9799999999996</v>
      </c>
      <c r="V1572" s="7">
        <v>2985.15</v>
      </c>
      <c r="W1572" s="7">
        <v>1809.83</v>
      </c>
      <c r="X1572" s="7" t="s">
        <v>45</v>
      </c>
    </row>
    <row r="1573" spans="1:24" x14ac:dyDescent="0.25">
      <c r="A1573" s="16" t="s">
        <v>2073</v>
      </c>
      <c r="B1573" s="17">
        <v>45357</v>
      </c>
      <c r="C1573" s="6" t="s">
        <v>120</v>
      </c>
      <c r="D1573" s="6" t="s">
        <v>121</v>
      </c>
      <c r="E1573" s="6" t="s">
        <v>165</v>
      </c>
      <c r="F1573" s="6" t="s">
        <v>166</v>
      </c>
      <c r="G1573" s="6" t="s">
        <v>95</v>
      </c>
      <c r="H1573" s="6" t="s">
        <v>167</v>
      </c>
      <c r="I1573" s="6" t="s">
        <v>88</v>
      </c>
      <c r="J1573" s="6" t="s">
        <v>135</v>
      </c>
      <c r="K1573" s="6" t="s">
        <v>118</v>
      </c>
      <c r="L1573" s="6" t="s">
        <v>2668</v>
      </c>
      <c r="M1573" s="6" t="s">
        <v>153</v>
      </c>
      <c r="N1573" s="6" t="s">
        <v>75</v>
      </c>
      <c r="O1573" s="6">
        <v>6</v>
      </c>
      <c r="P1573" s="6">
        <v>43.83</v>
      </c>
      <c r="Q1573" s="6">
        <v>23.79</v>
      </c>
      <c r="R1573" s="6">
        <v>262.98</v>
      </c>
      <c r="S1573" s="6">
        <v>0.05</v>
      </c>
      <c r="T1573" s="6">
        <v>13.15</v>
      </c>
      <c r="U1573" s="6">
        <v>249.83</v>
      </c>
      <c r="V1573" s="6">
        <v>142.77000000000001</v>
      </c>
      <c r="W1573" s="6">
        <v>107.06</v>
      </c>
      <c r="X1573" s="6" t="s">
        <v>129</v>
      </c>
    </row>
    <row r="1574" spans="1:24" x14ac:dyDescent="0.25">
      <c r="A1574" s="5" t="s">
        <v>2074</v>
      </c>
      <c r="B1574" s="18">
        <v>45495</v>
      </c>
      <c r="C1574" s="7" t="s">
        <v>1270</v>
      </c>
      <c r="D1574" s="7" t="s">
        <v>87</v>
      </c>
      <c r="E1574" s="7" t="s">
        <v>176</v>
      </c>
      <c r="F1574" s="7" t="s">
        <v>177</v>
      </c>
      <c r="G1574" s="7" t="s">
        <v>101</v>
      </c>
      <c r="H1574" s="7" t="s">
        <v>39</v>
      </c>
      <c r="I1574" s="7" t="s">
        <v>27</v>
      </c>
      <c r="J1574" s="7" t="s">
        <v>106</v>
      </c>
      <c r="K1574" s="7" t="s">
        <v>248</v>
      </c>
      <c r="L1574" s="7" t="s">
        <v>2675</v>
      </c>
      <c r="M1574" s="7" t="s">
        <v>30</v>
      </c>
      <c r="N1574" s="7" t="s">
        <v>44</v>
      </c>
      <c r="O1574" s="7">
        <v>49</v>
      </c>
      <c r="P1574" s="7">
        <v>102.48</v>
      </c>
      <c r="Q1574" s="7">
        <v>65.77</v>
      </c>
      <c r="R1574" s="7">
        <v>5021.28</v>
      </c>
      <c r="S1574" s="7">
        <v>0.02</v>
      </c>
      <c r="T1574" s="7">
        <v>100.43</v>
      </c>
      <c r="U1574" s="7">
        <v>4920.8500000000004</v>
      </c>
      <c r="V1574" s="7">
        <v>3222.66</v>
      </c>
      <c r="W1574" s="7">
        <v>1698.19</v>
      </c>
      <c r="X1574" s="7" t="s">
        <v>32</v>
      </c>
    </row>
    <row r="1575" spans="1:24" x14ac:dyDescent="0.25">
      <c r="A1575" s="16" t="s">
        <v>2075</v>
      </c>
      <c r="B1575" s="17">
        <v>45593</v>
      </c>
      <c r="C1575" s="6" t="s">
        <v>1036</v>
      </c>
      <c r="D1575" s="6" t="s">
        <v>22</v>
      </c>
      <c r="E1575" s="6" t="s">
        <v>132</v>
      </c>
      <c r="F1575" s="6" t="s">
        <v>133</v>
      </c>
      <c r="G1575" s="6" t="s">
        <v>51</v>
      </c>
      <c r="H1575" s="6" t="s">
        <v>134</v>
      </c>
      <c r="I1575" s="6" t="s">
        <v>40</v>
      </c>
      <c r="J1575" s="6" t="s">
        <v>117</v>
      </c>
      <c r="K1575" s="6" t="s">
        <v>184</v>
      </c>
      <c r="L1575" s="6" t="s">
        <v>2672</v>
      </c>
      <c r="M1575" s="6" t="s">
        <v>30</v>
      </c>
      <c r="N1575" s="6" t="s">
        <v>44</v>
      </c>
      <c r="O1575" s="6">
        <v>39</v>
      </c>
      <c r="P1575" s="6">
        <v>60.93</v>
      </c>
      <c r="Q1575" s="6">
        <v>36.72</v>
      </c>
      <c r="R1575" s="6">
        <v>2376.2800000000002</v>
      </c>
      <c r="S1575" s="6">
        <v>0.2</v>
      </c>
      <c r="T1575" s="6">
        <v>475.26</v>
      </c>
      <c r="U1575" s="6">
        <v>1901.03</v>
      </c>
      <c r="V1575" s="6">
        <v>1431.99</v>
      </c>
      <c r="W1575" s="6">
        <v>469.04</v>
      </c>
      <c r="X1575" s="6" t="s">
        <v>32</v>
      </c>
    </row>
    <row r="1576" spans="1:24" x14ac:dyDescent="0.25">
      <c r="A1576" s="5" t="s">
        <v>2076</v>
      </c>
      <c r="B1576" s="18">
        <v>45508</v>
      </c>
      <c r="C1576" s="7" t="s">
        <v>717</v>
      </c>
      <c r="D1576" s="7" t="s">
        <v>35</v>
      </c>
      <c r="E1576" s="7" t="s">
        <v>209</v>
      </c>
      <c r="F1576" s="7" t="s">
        <v>210</v>
      </c>
      <c r="G1576" s="7" t="s">
        <v>51</v>
      </c>
      <c r="H1576" s="7" t="s">
        <v>116</v>
      </c>
      <c r="I1576" s="7" t="s">
        <v>58</v>
      </c>
      <c r="J1576" s="7" t="s">
        <v>59</v>
      </c>
      <c r="K1576" s="7" t="s">
        <v>218</v>
      </c>
      <c r="L1576" s="7" t="s">
        <v>2674</v>
      </c>
      <c r="M1576" s="7" t="s">
        <v>61</v>
      </c>
      <c r="N1576" s="7" t="s">
        <v>75</v>
      </c>
      <c r="O1576" s="7">
        <v>12</v>
      </c>
      <c r="P1576" s="7">
        <v>16.809999999999999</v>
      </c>
      <c r="Q1576" s="7">
        <v>10.7</v>
      </c>
      <c r="R1576" s="7">
        <v>201.75</v>
      </c>
      <c r="S1576" s="7">
        <v>0.15</v>
      </c>
      <c r="T1576" s="7">
        <v>30.26</v>
      </c>
      <c r="U1576" s="7">
        <v>171.49</v>
      </c>
      <c r="V1576" s="7">
        <v>128.38999999999999</v>
      </c>
      <c r="W1576" s="7">
        <v>43.1</v>
      </c>
      <c r="X1576" s="7" t="s">
        <v>45</v>
      </c>
    </row>
    <row r="1577" spans="1:24" x14ac:dyDescent="0.25">
      <c r="A1577" s="16" t="s">
        <v>2077</v>
      </c>
      <c r="B1577" s="17">
        <v>45292</v>
      </c>
      <c r="C1577" s="6" t="s">
        <v>1281</v>
      </c>
      <c r="D1577" s="6" t="s">
        <v>35</v>
      </c>
      <c r="E1577" s="6" t="s">
        <v>165</v>
      </c>
      <c r="F1577" s="6" t="s">
        <v>166</v>
      </c>
      <c r="G1577" s="6" t="s">
        <v>95</v>
      </c>
      <c r="H1577" s="6" t="s">
        <v>167</v>
      </c>
      <c r="I1577" s="6" t="s">
        <v>40</v>
      </c>
      <c r="J1577" s="6"/>
      <c r="K1577" s="6" t="s">
        <v>261</v>
      </c>
      <c r="L1577" s="6" t="s">
        <v>2677</v>
      </c>
      <c r="M1577" s="6" t="s">
        <v>30</v>
      </c>
      <c r="N1577" s="6" t="s">
        <v>44</v>
      </c>
      <c r="O1577" s="6">
        <v>65</v>
      </c>
      <c r="P1577" s="6">
        <v>39.08</v>
      </c>
      <c r="Q1577" s="6">
        <v>23.08</v>
      </c>
      <c r="R1577" s="6">
        <v>2540.5</v>
      </c>
      <c r="S1577" s="6">
        <v>0.15</v>
      </c>
      <c r="T1577" s="6">
        <v>381.08</v>
      </c>
      <c r="U1577" s="6">
        <v>2159.4299999999998</v>
      </c>
      <c r="V1577" s="6">
        <v>1499.98</v>
      </c>
      <c r="W1577" s="6">
        <v>659.45</v>
      </c>
      <c r="X1577" s="6" t="s">
        <v>129</v>
      </c>
    </row>
    <row r="1578" spans="1:24" x14ac:dyDescent="0.25">
      <c r="A1578" s="5" t="s">
        <v>2078</v>
      </c>
      <c r="B1578" s="18">
        <v>45550</v>
      </c>
      <c r="C1578" s="7" t="s">
        <v>904</v>
      </c>
      <c r="D1578" s="7" t="s">
        <v>35</v>
      </c>
      <c r="E1578" s="7" t="s">
        <v>109</v>
      </c>
      <c r="F1578" s="7" t="s">
        <v>110</v>
      </c>
      <c r="G1578" s="7" t="s">
        <v>80</v>
      </c>
      <c r="H1578" s="7" t="s">
        <v>81</v>
      </c>
      <c r="I1578" s="7" t="s">
        <v>40</v>
      </c>
      <c r="J1578" s="7" t="s">
        <v>289</v>
      </c>
      <c r="K1578" s="7" t="s">
        <v>195</v>
      </c>
      <c r="L1578" s="7" t="s">
        <v>2673</v>
      </c>
      <c r="M1578" s="7" t="s">
        <v>153</v>
      </c>
      <c r="N1578" s="7" t="s">
        <v>31</v>
      </c>
      <c r="O1578" s="7">
        <v>50</v>
      </c>
      <c r="P1578" s="7">
        <v>132.4</v>
      </c>
      <c r="Q1578" s="7">
        <v>74.22</v>
      </c>
      <c r="R1578" s="7">
        <v>6619.9</v>
      </c>
      <c r="S1578" s="7">
        <v>0.1</v>
      </c>
      <c r="T1578" s="7">
        <v>661.99</v>
      </c>
      <c r="U1578" s="7">
        <v>5957.91</v>
      </c>
      <c r="V1578" s="7">
        <v>3711.15</v>
      </c>
      <c r="W1578" s="7">
        <v>2246.75</v>
      </c>
      <c r="X1578" s="7" t="s">
        <v>45</v>
      </c>
    </row>
    <row r="1579" spans="1:24" x14ac:dyDescent="0.25">
      <c r="A1579" s="16" t="s">
        <v>2079</v>
      </c>
      <c r="B1579" s="17">
        <v>45650</v>
      </c>
      <c r="C1579" s="6" t="s">
        <v>936</v>
      </c>
      <c r="D1579" s="6" t="s">
        <v>57</v>
      </c>
      <c r="E1579" s="6" t="s">
        <v>132</v>
      </c>
      <c r="F1579" s="6" t="s">
        <v>133</v>
      </c>
      <c r="G1579" s="6" t="s">
        <v>51</v>
      </c>
      <c r="H1579" s="6" t="s">
        <v>134</v>
      </c>
      <c r="I1579" s="6" t="s">
        <v>27</v>
      </c>
      <c r="J1579" s="6" t="s">
        <v>106</v>
      </c>
      <c r="K1579" s="6" t="s">
        <v>152</v>
      </c>
      <c r="L1579" s="6" t="s">
        <v>2670</v>
      </c>
      <c r="M1579" s="6" t="s">
        <v>30</v>
      </c>
      <c r="N1579" s="6" t="s">
        <v>44</v>
      </c>
      <c r="O1579" s="6">
        <v>32</v>
      </c>
      <c r="P1579" s="6">
        <v>58.77</v>
      </c>
      <c r="Q1579" s="6">
        <v>33.630000000000003</v>
      </c>
      <c r="R1579" s="6">
        <v>1880.73</v>
      </c>
      <c r="S1579" s="6">
        <v>0.05</v>
      </c>
      <c r="T1579" s="6">
        <v>94.04</v>
      </c>
      <c r="U1579" s="6">
        <v>1786.69</v>
      </c>
      <c r="V1579" s="6">
        <v>1076.18</v>
      </c>
      <c r="W1579" s="6">
        <v>710.52</v>
      </c>
      <c r="X1579" s="6" t="s">
        <v>270</v>
      </c>
    </row>
    <row r="1580" spans="1:24" x14ac:dyDescent="0.25">
      <c r="A1580" s="5" t="s">
        <v>2080</v>
      </c>
      <c r="B1580" s="18">
        <v>45422</v>
      </c>
      <c r="C1580" s="7" t="s">
        <v>992</v>
      </c>
      <c r="D1580" s="7" t="s">
        <v>105</v>
      </c>
      <c r="E1580" s="7" t="s">
        <v>99</v>
      </c>
      <c r="F1580" s="7" t="s">
        <v>100</v>
      </c>
      <c r="G1580" s="7" t="s">
        <v>101</v>
      </c>
      <c r="H1580" s="7" t="s">
        <v>102</v>
      </c>
      <c r="I1580" s="7" t="s">
        <v>40</v>
      </c>
      <c r="J1580" s="7" t="s">
        <v>117</v>
      </c>
      <c r="K1580" s="7" t="s">
        <v>69</v>
      </c>
      <c r="L1580" s="7" t="s">
        <v>2663</v>
      </c>
      <c r="M1580" s="7" t="s">
        <v>153</v>
      </c>
      <c r="N1580" s="7" t="s">
        <v>70</v>
      </c>
      <c r="O1580" s="7">
        <v>22</v>
      </c>
      <c r="P1580" s="7">
        <v>75.459999999999994</v>
      </c>
      <c r="Q1580" s="7">
        <v>40.53</v>
      </c>
      <c r="R1580" s="7">
        <v>1660.17</v>
      </c>
      <c r="S1580" s="7">
        <v>0</v>
      </c>
      <c r="T1580" s="7">
        <v>0</v>
      </c>
      <c r="U1580" s="7">
        <v>1660.17</v>
      </c>
      <c r="V1580" s="7">
        <v>891.58</v>
      </c>
      <c r="W1580" s="7">
        <v>768.6</v>
      </c>
      <c r="X1580" s="7" t="s">
        <v>45</v>
      </c>
    </row>
    <row r="1581" spans="1:24" x14ac:dyDescent="0.25">
      <c r="A1581" s="16" t="s">
        <v>2081</v>
      </c>
      <c r="B1581" s="17">
        <v>45496</v>
      </c>
      <c r="C1581" s="6" t="s">
        <v>503</v>
      </c>
      <c r="D1581" s="6" t="s">
        <v>87</v>
      </c>
      <c r="E1581" s="6" t="s">
        <v>187</v>
      </c>
      <c r="F1581" s="6" t="s">
        <v>188</v>
      </c>
      <c r="G1581" s="6" t="s">
        <v>25</v>
      </c>
      <c r="H1581" s="6" t="s">
        <v>26</v>
      </c>
      <c r="I1581" s="6" t="s">
        <v>88</v>
      </c>
      <c r="J1581" s="6" t="s">
        <v>89</v>
      </c>
      <c r="K1581" s="6" t="s">
        <v>144</v>
      </c>
      <c r="L1581" s="6" t="s">
        <v>2669</v>
      </c>
      <c r="M1581" s="6" t="s">
        <v>30</v>
      </c>
      <c r="N1581" s="6" t="s">
        <v>31</v>
      </c>
      <c r="O1581" s="6">
        <v>12</v>
      </c>
      <c r="P1581" s="6">
        <v>49.13</v>
      </c>
      <c r="Q1581" s="6">
        <v>30.85</v>
      </c>
      <c r="R1581" s="6">
        <v>589.59</v>
      </c>
      <c r="S1581" s="6">
        <v>0</v>
      </c>
      <c r="T1581" s="6">
        <v>0</v>
      </c>
      <c r="U1581" s="6">
        <v>589.59</v>
      </c>
      <c r="V1581" s="6">
        <v>370.16</v>
      </c>
      <c r="W1581" s="6">
        <v>219.43</v>
      </c>
      <c r="X1581" s="6" t="s">
        <v>45</v>
      </c>
    </row>
    <row r="1582" spans="1:24" x14ac:dyDescent="0.25">
      <c r="A1582" s="5" t="s">
        <v>2082</v>
      </c>
      <c r="B1582" s="18">
        <v>45292</v>
      </c>
      <c r="C1582" s="7" t="s">
        <v>1033</v>
      </c>
      <c r="D1582" s="7" t="s">
        <v>105</v>
      </c>
      <c r="E1582" s="7" t="s">
        <v>126</v>
      </c>
      <c r="F1582" s="7" t="s">
        <v>127</v>
      </c>
      <c r="G1582" s="7" t="s">
        <v>95</v>
      </c>
      <c r="H1582" s="7" t="s">
        <v>128</v>
      </c>
      <c r="I1582" s="7" t="s">
        <v>27</v>
      </c>
      <c r="J1582" s="7" t="s">
        <v>28</v>
      </c>
      <c r="K1582" s="7" t="s">
        <v>29</v>
      </c>
      <c r="L1582" s="7" t="s">
        <v>2660</v>
      </c>
      <c r="M1582" s="7" t="s">
        <v>61</v>
      </c>
      <c r="N1582" s="7" t="s">
        <v>75</v>
      </c>
      <c r="O1582" s="7">
        <v>57</v>
      </c>
      <c r="P1582" s="7">
        <v>91.05</v>
      </c>
      <c r="Q1582" s="7">
        <v>51.52</v>
      </c>
      <c r="R1582" s="7">
        <v>5189.95</v>
      </c>
      <c r="S1582" s="7">
        <v>0</v>
      </c>
      <c r="T1582" s="7">
        <v>0</v>
      </c>
      <c r="U1582" s="7">
        <v>5189.95</v>
      </c>
      <c r="V1582" s="7">
        <v>2936.51</v>
      </c>
      <c r="W1582" s="7">
        <v>2253.44</v>
      </c>
      <c r="X1582" s="7" t="s">
        <v>129</v>
      </c>
    </row>
    <row r="1583" spans="1:24" x14ac:dyDescent="0.25">
      <c r="A1583" s="16" t="s">
        <v>2083</v>
      </c>
      <c r="B1583" s="17">
        <v>45303</v>
      </c>
      <c r="C1583" s="6" t="s">
        <v>655</v>
      </c>
      <c r="D1583" s="6" t="s">
        <v>57</v>
      </c>
      <c r="E1583" s="6" t="s">
        <v>109</v>
      </c>
      <c r="F1583" s="6" t="s">
        <v>110</v>
      </c>
      <c r="G1583" s="6" t="s">
        <v>80</v>
      </c>
      <c r="H1583" s="6" t="s">
        <v>81</v>
      </c>
      <c r="I1583" s="6" t="s">
        <v>27</v>
      </c>
      <c r="J1583" s="6" t="s">
        <v>211</v>
      </c>
      <c r="K1583" s="6" t="s">
        <v>265</v>
      </c>
      <c r="L1583" s="6" t="s">
        <v>2678</v>
      </c>
      <c r="M1583" s="6" t="s">
        <v>61</v>
      </c>
      <c r="N1583" s="6" t="s">
        <v>31</v>
      </c>
      <c r="O1583" s="6">
        <v>53</v>
      </c>
      <c r="P1583" s="6">
        <v>134.68</v>
      </c>
      <c r="Q1583" s="6">
        <v>75.989999999999995</v>
      </c>
      <c r="R1583" s="6">
        <v>7138.16</v>
      </c>
      <c r="S1583" s="6">
        <v>0</v>
      </c>
      <c r="T1583" s="6">
        <v>0</v>
      </c>
      <c r="U1583" s="6">
        <v>7138.16</v>
      </c>
      <c r="V1583" s="6">
        <v>4027.37</v>
      </c>
      <c r="W1583" s="6">
        <v>3110.78</v>
      </c>
      <c r="X1583" s="6" t="s">
        <v>45</v>
      </c>
    </row>
    <row r="1584" spans="1:24" x14ac:dyDescent="0.25">
      <c r="A1584" s="5" t="s">
        <v>2084</v>
      </c>
      <c r="B1584" s="18">
        <v>45566</v>
      </c>
      <c r="C1584" s="7" t="s">
        <v>878</v>
      </c>
      <c r="D1584" s="7" t="s">
        <v>65</v>
      </c>
      <c r="E1584" s="7" t="s">
        <v>49</v>
      </c>
      <c r="F1584" s="7" t="s">
        <v>50</v>
      </c>
      <c r="G1584" s="7" t="s">
        <v>51</v>
      </c>
      <c r="H1584" s="7" t="s">
        <v>52</v>
      </c>
      <c r="I1584" s="7" t="s">
        <v>88</v>
      </c>
      <c r="J1584" s="7" t="s">
        <v>89</v>
      </c>
      <c r="K1584" s="7" t="s">
        <v>152</v>
      </c>
      <c r="L1584" s="7" t="s">
        <v>2670</v>
      </c>
      <c r="M1584" s="7" t="s">
        <v>153</v>
      </c>
      <c r="N1584" s="7" t="s">
        <v>75</v>
      </c>
      <c r="O1584" s="7">
        <v>27</v>
      </c>
      <c r="P1584" s="7">
        <v>25.58</v>
      </c>
      <c r="Q1584" s="7">
        <v>13.28</v>
      </c>
      <c r="R1584" s="7">
        <v>690.75</v>
      </c>
      <c r="S1584" s="7">
        <v>0.2</v>
      </c>
      <c r="T1584" s="7">
        <v>138.15</v>
      </c>
      <c r="U1584" s="7">
        <v>552.6</v>
      </c>
      <c r="V1584" s="7">
        <v>358.69</v>
      </c>
      <c r="W1584" s="7">
        <v>193.91</v>
      </c>
      <c r="X1584" s="7" t="s">
        <v>32</v>
      </c>
    </row>
    <row r="1585" spans="1:24" x14ac:dyDescent="0.25">
      <c r="A1585" s="16" t="s">
        <v>2085</v>
      </c>
      <c r="B1585" s="17">
        <v>45574</v>
      </c>
      <c r="C1585" s="6" t="s">
        <v>1706</v>
      </c>
      <c r="D1585" s="6" t="s">
        <v>65</v>
      </c>
      <c r="E1585" s="6" t="s">
        <v>109</v>
      </c>
      <c r="F1585" s="6" t="s">
        <v>110</v>
      </c>
      <c r="G1585" s="6" t="s">
        <v>80</v>
      </c>
      <c r="H1585" s="6" t="s">
        <v>81</v>
      </c>
      <c r="I1585" s="6" t="s">
        <v>53</v>
      </c>
      <c r="J1585" s="6" t="s">
        <v>122</v>
      </c>
      <c r="K1585" s="6" t="s">
        <v>170</v>
      </c>
      <c r="L1585" s="6" t="s">
        <v>2671</v>
      </c>
      <c r="M1585" s="6" t="s">
        <v>61</v>
      </c>
      <c r="N1585" s="6" t="s">
        <v>70</v>
      </c>
      <c r="O1585" s="6">
        <v>61</v>
      </c>
      <c r="P1585" s="6">
        <v>124.11</v>
      </c>
      <c r="Q1585" s="6">
        <v>75.42</v>
      </c>
      <c r="R1585" s="6">
        <v>7570.9</v>
      </c>
      <c r="S1585" s="6">
        <v>0</v>
      </c>
      <c r="T1585" s="6">
        <v>0</v>
      </c>
      <c r="U1585" s="6">
        <v>7570.9</v>
      </c>
      <c r="V1585" s="6">
        <v>4600.76</v>
      </c>
      <c r="W1585" s="6">
        <v>2970.14</v>
      </c>
      <c r="X1585" s="6" t="s">
        <v>45</v>
      </c>
    </row>
    <row r="1586" spans="1:24" x14ac:dyDescent="0.25">
      <c r="A1586" s="5" t="s">
        <v>2086</v>
      </c>
      <c r="B1586" s="18">
        <v>45516</v>
      </c>
      <c r="C1586" s="7" t="s">
        <v>602</v>
      </c>
      <c r="D1586" s="7" t="s">
        <v>159</v>
      </c>
      <c r="E1586" s="7" t="s">
        <v>49</v>
      </c>
      <c r="F1586" s="7" t="s">
        <v>50</v>
      </c>
      <c r="G1586" s="7" t="s">
        <v>51</v>
      </c>
      <c r="H1586" s="7" t="s">
        <v>52</v>
      </c>
      <c r="I1586" s="7" t="s">
        <v>40</v>
      </c>
      <c r="J1586" s="7" t="s">
        <v>289</v>
      </c>
      <c r="K1586" s="7" t="s">
        <v>118</v>
      </c>
      <c r="L1586" s="7" t="s">
        <v>2668</v>
      </c>
      <c r="M1586" s="7" t="s">
        <v>61</v>
      </c>
      <c r="N1586" s="7" t="s">
        <v>75</v>
      </c>
      <c r="O1586" s="7">
        <v>19</v>
      </c>
      <c r="P1586" s="7">
        <v>23.47</v>
      </c>
      <c r="Q1586" s="7">
        <v>12.56</v>
      </c>
      <c r="R1586" s="7">
        <v>446.01</v>
      </c>
      <c r="S1586" s="7">
        <v>0.1</v>
      </c>
      <c r="T1586" s="7">
        <v>44.6</v>
      </c>
      <c r="U1586" s="7">
        <v>401.41</v>
      </c>
      <c r="V1586" s="7">
        <v>238.66</v>
      </c>
      <c r="W1586" s="7">
        <v>162.75</v>
      </c>
      <c r="X1586" s="7" t="s">
        <v>129</v>
      </c>
    </row>
    <row r="1587" spans="1:24" x14ac:dyDescent="0.25">
      <c r="A1587" s="16" t="s">
        <v>2087</v>
      </c>
      <c r="B1587" s="17">
        <v>45381</v>
      </c>
      <c r="C1587" s="6" t="s">
        <v>897</v>
      </c>
      <c r="D1587" s="6" t="s">
        <v>65</v>
      </c>
      <c r="E1587" s="6" t="s">
        <v>36</v>
      </c>
      <c r="F1587" s="6" t="s">
        <v>37</v>
      </c>
      <c r="G1587" s="6" t="s">
        <v>38</v>
      </c>
      <c r="H1587" s="6" t="s">
        <v>39</v>
      </c>
      <c r="I1587" s="6" t="s">
        <v>53</v>
      </c>
      <c r="J1587" s="6" t="s">
        <v>143</v>
      </c>
      <c r="K1587" s="6" t="s">
        <v>42</v>
      </c>
      <c r="L1587" s="6" t="s">
        <v>2661</v>
      </c>
      <c r="M1587" s="6" t="s">
        <v>153</v>
      </c>
      <c r="N1587" s="6" t="s">
        <v>70</v>
      </c>
      <c r="O1587" s="6">
        <v>20</v>
      </c>
      <c r="P1587" s="6">
        <v>175.01</v>
      </c>
      <c r="Q1587" s="6">
        <v>100.14</v>
      </c>
      <c r="R1587" s="6">
        <v>3500.1</v>
      </c>
      <c r="S1587" s="6">
        <v>0.05</v>
      </c>
      <c r="T1587" s="6">
        <v>175.01</v>
      </c>
      <c r="U1587" s="6">
        <v>3325.1</v>
      </c>
      <c r="V1587" s="6">
        <v>2002.74</v>
      </c>
      <c r="W1587" s="6">
        <v>1322.36</v>
      </c>
      <c r="X1587" s="6" t="s">
        <v>129</v>
      </c>
    </row>
    <row r="1588" spans="1:24" x14ac:dyDescent="0.25">
      <c r="A1588" s="5" t="s">
        <v>2088</v>
      </c>
      <c r="B1588" s="18">
        <v>45551</v>
      </c>
      <c r="C1588" s="7" t="s">
        <v>638</v>
      </c>
      <c r="D1588" s="7" t="s">
        <v>87</v>
      </c>
      <c r="E1588" s="7" t="s">
        <v>66</v>
      </c>
      <c r="F1588" s="7" t="s">
        <v>67</v>
      </c>
      <c r="G1588" s="7" t="s">
        <v>38</v>
      </c>
      <c r="H1588" s="7" t="s">
        <v>68</v>
      </c>
      <c r="I1588" s="7" t="s">
        <v>40</v>
      </c>
      <c r="J1588" s="7" t="s">
        <v>117</v>
      </c>
      <c r="K1588" s="7" t="s">
        <v>90</v>
      </c>
      <c r="L1588" s="7" t="s">
        <v>2666</v>
      </c>
      <c r="M1588" s="7" t="s">
        <v>61</v>
      </c>
      <c r="N1588" s="7" t="s">
        <v>84</v>
      </c>
      <c r="O1588" s="7">
        <v>14</v>
      </c>
      <c r="P1588" s="7">
        <v>163.16999999999999</v>
      </c>
      <c r="Q1588" s="7">
        <v>103.2</v>
      </c>
      <c r="R1588" s="7">
        <v>2284.39</v>
      </c>
      <c r="S1588" s="7">
        <v>0.02</v>
      </c>
      <c r="T1588" s="7">
        <v>45.69</v>
      </c>
      <c r="U1588" s="7">
        <v>2238.6999999999998</v>
      </c>
      <c r="V1588" s="7">
        <v>1444.76</v>
      </c>
      <c r="W1588" s="7">
        <v>793.94</v>
      </c>
      <c r="X1588" s="7" t="s">
        <v>45</v>
      </c>
    </row>
    <row r="1589" spans="1:24" x14ac:dyDescent="0.25">
      <c r="A1589" s="16" t="s">
        <v>2089</v>
      </c>
      <c r="B1589" s="17">
        <v>45358</v>
      </c>
      <c r="C1589" s="6" t="s">
        <v>1394</v>
      </c>
      <c r="D1589" s="6" t="s">
        <v>156</v>
      </c>
      <c r="E1589" s="6" t="s">
        <v>141</v>
      </c>
      <c r="F1589" s="6" t="s">
        <v>142</v>
      </c>
      <c r="G1589" s="6" t="s">
        <v>25</v>
      </c>
      <c r="H1589" s="6" t="s">
        <v>26</v>
      </c>
      <c r="I1589" s="6" t="s">
        <v>88</v>
      </c>
      <c r="J1589" s="6" t="s">
        <v>89</v>
      </c>
      <c r="K1589" s="6" t="s">
        <v>90</v>
      </c>
      <c r="L1589" s="6" t="s">
        <v>2666</v>
      </c>
      <c r="M1589" s="6" t="s">
        <v>61</v>
      </c>
      <c r="N1589" s="6" t="s">
        <v>84</v>
      </c>
      <c r="O1589" s="6">
        <v>20</v>
      </c>
      <c r="P1589" s="6"/>
      <c r="Q1589" s="6">
        <v>56.81</v>
      </c>
      <c r="R1589" s="6">
        <v>2018.41</v>
      </c>
      <c r="S1589" s="6">
        <v>0</v>
      </c>
      <c r="T1589" s="6">
        <v>0</v>
      </c>
      <c r="U1589" s="6">
        <v>2018.41</v>
      </c>
      <c r="V1589" s="6">
        <v>1136.1400000000001</v>
      </c>
      <c r="W1589" s="6">
        <v>882.27</v>
      </c>
      <c r="X1589" s="6" t="s">
        <v>45</v>
      </c>
    </row>
    <row r="1590" spans="1:24" x14ac:dyDescent="0.25">
      <c r="A1590" s="5" t="s">
        <v>2090</v>
      </c>
      <c r="B1590" s="18">
        <v>45627</v>
      </c>
      <c r="C1590" s="7" t="s">
        <v>735</v>
      </c>
      <c r="D1590" s="7" t="s">
        <v>22</v>
      </c>
      <c r="E1590" s="7" t="s">
        <v>132</v>
      </c>
      <c r="F1590" s="7" t="s">
        <v>133</v>
      </c>
      <c r="G1590" s="7" t="s">
        <v>51</v>
      </c>
      <c r="H1590" s="7" t="s">
        <v>134</v>
      </c>
      <c r="I1590" s="7" t="s">
        <v>88</v>
      </c>
      <c r="J1590" s="7" t="s">
        <v>173</v>
      </c>
      <c r="K1590" s="7" t="s">
        <v>195</v>
      </c>
      <c r="L1590" s="7" t="s">
        <v>2673</v>
      </c>
      <c r="M1590" s="7" t="s">
        <v>153</v>
      </c>
      <c r="N1590" s="7" t="s">
        <v>31</v>
      </c>
      <c r="O1590" s="7">
        <v>50</v>
      </c>
      <c r="P1590" s="7">
        <v>59.97</v>
      </c>
      <c r="Q1590" s="7">
        <v>34.53</v>
      </c>
      <c r="R1590" s="7">
        <v>2998.26</v>
      </c>
      <c r="S1590" s="7">
        <v>0.05</v>
      </c>
      <c r="T1590" s="7">
        <v>149.91</v>
      </c>
      <c r="U1590" s="7">
        <v>2848.34</v>
      </c>
      <c r="V1590" s="7">
        <v>1726.34</v>
      </c>
      <c r="W1590" s="7">
        <v>1122</v>
      </c>
      <c r="X1590" s="7" t="s">
        <v>129</v>
      </c>
    </row>
    <row r="1591" spans="1:24" x14ac:dyDescent="0.25">
      <c r="A1591" s="16" t="s">
        <v>2091</v>
      </c>
      <c r="B1591" s="17">
        <v>45318</v>
      </c>
      <c r="C1591" s="6" t="s">
        <v>447</v>
      </c>
      <c r="D1591" s="6" t="s">
        <v>48</v>
      </c>
      <c r="E1591" s="6" t="s">
        <v>132</v>
      </c>
      <c r="F1591" s="6" t="s">
        <v>133</v>
      </c>
      <c r="G1591" s="6" t="s">
        <v>51</v>
      </c>
      <c r="H1591" s="6" t="s">
        <v>134</v>
      </c>
      <c r="I1591" s="6" t="s">
        <v>88</v>
      </c>
      <c r="J1591" s="6" t="s">
        <v>183</v>
      </c>
      <c r="K1591" s="6" t="s">
        <v>90</v>
      </c>
      <c r="L1591" s="6" t="s">
        <v>2666</v>
      </c>
      <c r="M1591" s="6" t="s">
        <v>43</v>
      </c>
      <c r="N1591" s="6" t="s">
        <v>84</v>
      </c>
      <c r="O1591" s="6">
        <v>62</v>
      </c>
      <c r="P1591" s="6">
        <v>62.83</v>
      </c>
      <c r="Q1591" s="6">
        <v>32.75</v>
      </c>
      <c r="R1591" s="6">
        <v>3895.69</v>
      </c>
      <c r="S1591" s="6">
        <v>0.05</v>
      </c>
      <c r="T1591" s="6">
        <v>194.78</v>
      </c>
      <c r="U1591" s="6">
        <v>3700.91</v>
      </c>
      <c r="V1591" s="6">
        <v>2030.71</v>
      </c>
      <c r="W1591" s="6">
        <v>1670.2</v>
      </c>
      <c r="X1591" s="6" t="s">
        <v>45</v>
      </c>
    </row>
    <row r="1592" spans="1:24" x14ac:dyDescent="0.25">
      <c r="A1592" s="5" t="s">
        <v>2092</v>
      </c>
      <c r="B1592" s="18">
        <v>45499</v>
      </c>
      <c r="C1592" s="7" t="s">
        <v>811</v>
      </c>
      <c r="D1592" s="7" t="s">
        <v>359</v>
      </c>
      <c r="E1592" s="7" t="s">
        <v>36</v>
      </c>
      <c r="F1592" s="7" t="s">
        <v>37</v>
      </c>
      <c r="G1592" s="7" t="s">
        <v>38</v>
      </c>
      <c r="H1592" s="7" t="s">
        <v>39</v>
      </c>
      <c r="I1592" s="7" t="s">
        <v>40</v>
      </c>
      <c r="J1592" s="7" t="s">
        <v>117</v>
      </c>
      <c r="K1592" s="7" t="s">
        <v>170</v>
      </c>
      <c r="L1592" s="7" t="s">
        <v>2671</v>
      </c>
      <c r="M1592" s="7" t="s">
        <v>30</v>
      </c>
      <c r="N1592" s="7" t="s">
        <v>44</v>
      </c>
      <c r="O1592" s="7">
        <v>2</v>
      </c>
      <c r="P1592" s="7">
        <v>168.16</v>
      </c>
      <c r="Q1592" s="7">
        <v>96.71</v>
      </c>
      <c r="R1592" s="7">
        <v>336.31</v>
      </c>
      <c r="S1592" s="7">
        <v>0.15</v>
      </c>
      <c r="T1592" s="7">
        <v>50.45</v>
      </c>
      <c r="U1592" s="7">
        <v>285.87</v>
      </c>
      <c r="V1592" s="7">
        <v>193.42</v>
      </c>
      <c r="W1592" s="7">
        <v>92.45</v>
      </c>
      <c r="X1592" s="7" t="s">
        <v>129</v>
      </c>
    </row>
    <row r="1593" spans="1:24" x14ac:dyDescent="0.25">
      <c r="A1593" s="16" t="s">
        <v>2093</v>
      </c>
      <c r="B1593" s="17">
        <v>45365</v>
      </c>
      <c r="C1593" s="6" t="s">
        <v>124</v>
      </c>
      <c r="D1593" s="6" t="s">
        <v>125</v>
      </c>
      <c r="E1593" s="6" t="s">
        <v>49</v>
      </c>
      <c r="F1593" s="6" t="s">
        <v>50</v>
      </c>
      <c r="G1593" s="6" t="s">
        <v>51</v>
      </c>
      <c r="H1593" s="6" t="s">
        <v>52</v>
      </c>
      <c r="I1593" s="6" t="s">
        <v>27</v>
      </c>
      <c r="J1593" s="6" t="s">
        <v>189</v>
      </c>
      <c r="K1593" s="6" t="s">
        <v>253</v>
      </c>
      <c r="L1593" s="6" t="s">
        <v>2676</v>
      </c>
      <c r="M1593" s="6" t="s">
        <v>30</v>
      </c>
      <c r="N1593" s="6" t="s">
        <v>84</v>
      </c>
      <c r="O1593" s="6">
        <v>17</v>
      </c>
      <c r="P1593" s="6">
        <v>25.56</v>
      </c>
      <c r="Q1593" s="6">
        <v>12.41</v>
      </c>
      <c r="R1593" s="6">
        <v>434.58</v>
      </c>
      <c r="S1593" s="6">
        <v>0.02</v>
      </c>
      <c r="T1593" s="6">
        <v>8.69</v>
      </c>
      <c r="U1593" s="6">
        <v>425.88</v>
      </c>
      <c r="V1593" s="6">
        <v>210.96</v>
      </c>
      <c r="W1593" s="6">
        <v>214.93</v>
      </c>
      <c r="X1593" s="6" t="s">
        <v>45</v>
      </c>
    </row>
    <row r="1594" spans="1:24" x14ac:dyDescent="0.25">
      <c r="A1594" s="5" t="s">
        <v>2094</v>
      </c>
      <c r="B1594" s="18">
        <v>45545</v>
      </c>
      <c r="C1594" s="7" t="s">
        <v>776</v>
      </c>
      <c r="D1594" s="7" t="s">
        <v>57</v>
      </c>
      <c r="E1594" s="7" t="s">
        <v>209</v>
      </c>
      <c r="F1594" s="7" t="s">
        <v>210</v>
      </c>
      <c r="G1594" s="7" t="s">
        <v>51</v>
      </c>
      <c r="H1594" s="7" t="s">
        <v>116</v>
      </c>
      <c r="I1594" s="7" t="s">
        <v>58</v>
      </c>
      <c r="J1594" s="7" t="s">
        <v>73</v>
      </c>
      <c r="K1594" s="7" t="s">
        <v>111</v>
      </c>
      <c r="L1594" s="7" t="s">
        <v>2667</v>
      </c>
      <c r="M1594" s="7" t="s">
        <v>153</v>
      </c>
      <c r="N1594" s="7" t="s">
        <v>70</v>
      </c>
      <c r="O1594" s="7">
        <v>21</v>
      </c>
      <c r="P1594" s="7">
        <v>17.809999999999999</v>
      </c>
      <c r="Q1594" s="7">
        <v>10.66</v>
      </c>
      <c r="R1594" s="7">
        <v>374</v>
      </c>
      <c r="S1594" s="7">
        <v>0.02</v>
      </c>
      <c r="T1594" s="7">
        <v>7.48</v>
      </c>
      <c r="U1594" s="7">
        <v>366.52</v>
      </c>
      <c r="V1594" s="7">
        <v>223.77</v>
      </c>
      <c r="W1594" s="7">
        <v>142.74</v>
      </c>
      <c r="X1594" s="7" t="s">
        <v>550</v>
      </c>
    </row>
    <row r="1595" spans="1:24" x14ac:dyDescent="0.25">
      <c r="A1595" s="16" t="s">
        <v>2095</v>
      </c>
      <c r="B1595" s="17">
        <v>45498</v>
      </c>
      <c r="C1595" s="6" t="s">
        <v>948</v>
      </c>
      <c r="D1595" s="6" t="s">
        <v>87</v>
      </c>
      <c r="E1595" s="6" t="s">
        <v>176</v>
      </c>
      <c r="F1595" s="6" t="s">
        <v>177</v>
      </c>
      <c r="G1595" s="6" t="s">
        <v>101</v>
      </c>
      <c r="H1595" s="6" t="s">
        <v>39</v>
      </c>
      <c r="I1595" s="6" t="s">
        <v>53</v>
      </c>
      <c r="J1595" s="6" t="s">
        <v>122</v>
      </c>
      <c r="K1595" s="6" t="s">
        <v>170</v>
      </c>
      <c r="L1595" s="6" t="s">
        <v>2671</v>
      </c>
      <c r="M1595" s="6" t="s">
        <v>30</v>
      </c>
      <c r="N1595" s="6" t="s">
        <v>31</v>
      </c>
      <c r="O1595" s="6">
        <v>9</v>
      </c>
      <c r="P1595" s="6">
        <v>109.98</v>
      </c>
      <c r="Q1595" s="6">
        <v>62.81</v>
      </c>
      <c r="R1595" s="6">
        <v>989.84</v>
      </c>
      <c r="S1595" s="6">
        <v>0.15</v>
      </c>
      <c r="T1595" s="6">
        <v>148.47999999999999</v>
      </c>
      <c r="U1595" s="6">
        <v>841.36</v>
      </c>
      <c r="V1595" s="6">
        <v>565.32000000000005</v>
      </c>
      <c r="W1595" s="6">
        <v>276.04000000000002</v>
      </c>
      <c r="X1595" s="6" t="s">
        <v>45</v>
      </c>
    </row>
    <row r="1596" spans="1:24" x14ac:dyDescent="0.25">
      <c r="A1596" s="5" t="s">
        <v>2096</v>
      </c>
      <c r="B1596" s="18">
        <v>45453</v>
      </c>
      <c r="C1596" s="7" t="s">
        <v>511</v>
      </c>
      <c r="D1596" s="7" t="s">
        <v>163</v>
      </c>
      <c r="E1596" s="7" t="s">
        <v>132</v>
      </c>
      <c r="F1596" s="7" t="s">
        <v>133</v>
      </c>
      <c r="G1596" s="7" t="s">
        <v>51</v>
      </c>
      <c r="H1596" s="7" t="s">
        <v>134</v>
      </c>
      <c r="I1596" s="7" t="s">
        <v>88</v>
      </c>
      <c r="J1596" s="7" t="s">
        <v>183</v>
      </c>
      <c r="K1596" s="7" t="s">
        <v>90</v>
      </c>
      <c r="L1596" s="7" t="s">
        <v>2666</v>
      </c>
      <c r="M1596" s="7" t="s">
        <v>153</v>
      </c>
      <c r="N1596" s="7" t="s">
        <v>75</v>
      </c>
      <c r="O1596" s="7">
        <v>39</v>
      </c>
      <c r="P1596" s="7">
        <v>64.53</v>
      </c>
      <c r="Q1596" s="7">
        <v>32.26</v>
      </c>
      <c r="R1596" s="7">
        <v>2516.4899999999998</v>
      </c>
      <c r="S1596" s="7">
        <v>0.05</v>
      </c>
      <c r="T1596" s="7">
        <v>125.82</v>
      </c>
      <c r="U1596" s="7">
        <v>2390.67</v>
      </c>
      <c r="V1596" s="7">
        <v>1258.32</v>
      </c>
      <c r="W1596" s="7">
        <v>1132.3499999999999</v>
      </c>
      <c r="X1596" s="7" t="s">
        <v>45</v>
      </c>
    </row>
    <row r="1597" spans="1:24" x14ac:dyDescent="0.25">
      <c r="A1597" s="16" t="s">
        <v>2097</v>
      </c>
      <c r="B1597" s="17">
        <v>45541</v>
      </c>
      <c r="C1597" s="6" t="s">
        <v>535</v>
      </c>
      <c r="D1597" s="6" t="s">
        <v>221</v>
      </c>
      <c r="E1597" s="6" t="s">
        <v>187</v>
      </c>
      <c r="F1597" s="6" t="s">
        <v>188</v>
      </c>
      <c r="G1597" s="6" t="s">
        <v>25</v>
      </c>
      <c r="H1597" s="6" t="s">
        <v>26</v>
      </c>
      <c r="I1597" s="6" t="s">
        <v>53</v>
      </c>
      <c r="J1597" s="6" t="s">
        <v>143</v>
      </c>
      <c r="K1597" s="6" t="s">
        <v>60</v>
      </c>
      <c r="L1597" s="6" t="s">
        <v>2662</v>
      </c>
      <c r="M1597" s="6" t="s">
        <v>61</v>
      </c>
      <c r="N1597" s="6" t="s">
        <v>44</v>
      </c>
      <c r="O1597" s="6">
        <v>43</v>
      </c>
      <c r="P1597" s="6"/>
      <c r="Q1597" s="6">
        <v>29.01</v>
      </c>
      <c r="R1597" s="6">
        <v>2081.63</v>
      </c>
      <c r="S1597" s="6">
        <v>0.02</v>
      </c>
      <c r="T1597" s="6">
        <v>41.63</v>
      </c>
      <c r="U1597" s="6">
        <v>2039.99</v>
      </c>
      <c r="V1597" s="6">
        <v>1247.6199999999999</v>
      </c>
      <c r="W1597" s="6">
        <v>792.37</v>
      </c>
      <c r="X1597" s="6" t="s">
        <v>32</v>
      </c>
    </row>
    <row r="1598" spans="1:24" x14ac:dyDescent="0.25">
      <c r="A1598" s="5" t="s">
        <v>2098</v>
      </c>
      <c r="B1598" s="18">
        <v>45398</v>
      </c>
      <c r="C1598" s="7" t="s">
        <v>660</v>
      </c>
      <c r="D1598" s="7" t="s">
        <v>264</v>
      </c>
      <c r="E1598" s="7" t="s">
        <v>209</v>
      </c>
      <c r="F1598" s="7" t="s">
        <v>210</v>
      </c>
      <c r="G1598" s="7" t="s">
        <v>51</v>
      </c>
      <c r="H1598" s="7" t="s">
        <v>116</v>
      </c>
      <c r="I1598" s="7" t="s">
        <v>53</v>
      </c>
      <c r="J1598" s="7" t="s">
        <v>143</v>
      </c>
      <c r="K1598" s="7" t="s">
        <v>118</v>
      </c>
      <c r="L1598" s="7" t="s">
        <v>2668</v>
      </c>
      <c r="M1598" s="7" t="s">
        <v>153</v>
      </c>
      <c r="N1598" s="7" t="s">
        <v>84</v>
      </c>
      <c r="O1598" s="7">
        <v>79</v>
      </c>
      <c r="P1598" s="7">
        <v>17.940000000000001</v>
      </c>
      <c r="Q1598" s="7">
        <v>10.15</v>
      </c>
      <c r="R1598" s="7">
        <v>1417.58</v>
      </c>
      <c r="S1598" s="7">
        <v>0.1</v>
      </c>
      <c r="T1598" s="7">
        <v>141.76</v>
      </c>
      <c r="U1598" s="7">
        <v>1275.82</v>
      </c>
      <c r="V1598" s="7">
        <v>801.68</v>
      </c>
      <c r="W1598" s="7">
        <v>474.14</v>
      </c>
      <c r="X1598" s="7" t="s">
        <v>32</v>
      </c>
    </row>
    <row r="1599" spans="1:24" x14ac:dyDescent="0.25">
      <c r="A1599" s="16" t="s">
        <v>2099</v>
      </c>
      <c r="B1599" s="17">
        <v>45652</v>
      </c>
      <c r="C1599" s="6" t="s">
        <v>458</v>
      </c>
      <c r="D1599" s="6" t="s">
        <v>163</v>
      </c>
      <c r="E1599" s="6" t="s">
        <v>126</v>
      </c>
      <c r="F1599" s="6" t="s">
        <v>127</v>
      </c>
      <c r="G1599" s="6" t="s">
        <v>95</v>
      </c>
      <c r="H1599" s="6" t="s">
        <v>128</v>
      </c>
      <c r="I1599" s="6" t="s">
        <v>53</v>
      </c>
      <c r="J1599" s="6" t="s">
        <v>232</v>
      </c>
      <c r="K1599" s="6" t="s">
        <v>74</v>
      </c>
      <c r="L1599" s="6" t="s">
        <v>2664</v>
      </c>
      <c r="M1599" s="6" t="s">
        <v>43</v>
      </c>
      <c r="N1599" s="6" t="s">
        <v>70</v>
      </c>
      <c r="O1599" s="6">
        <v>13</v>
      </c>
      <c r="P1599" s="6">
        <v>93.29</v>
      </c>
      <c r="Q1599" s="6">
        <v>51.69</v>
      </c>
      <c r="R1599" s="6">
        <v>1212.75</v>
      </c>
      <c r="S1599" s="6">
        <v>0.1</v>
      </c>
      <c r="T1599" s="6">
        <v>121.28</v>
      </c>
      <c r="U1599" s="6">
        <v>1091.48</v>
      </c>
      <c r="V1599" s="6">
        <v>672</v>
      </c>
      <c r="W1599" s="6">
        <v>419.47</v>
      </c>
      <c r="X1599" s="6" t="s">
        <v>45</v>
      </c>
    </row>
    <row r="1600" spans="1:24" x14ac:dyDescent="0.25">
      <c r="A1600" s="5" t="s">
        <v>2100</v>
      </c>
      <c r="B1600" s="18">
        <v>45418</v>
      </c>
      <c r="C1600" s="7" t="s">
        <v>707</v>
      </c>
      <c r="D1600" s="7" t="s">
        <v>65</v>
      </c>
      <c r="E1600" s="7" t="s">
        <v>36</v>
      </c>
      <c r="F1600" s="7" t="s">
        <v>37</v>
      </c>
      <c r="G1600" s="7" t="s">
        <v>38</v>
      </c>
      <c r="H1600" s="7" t="s">
        <v>39</v>
      </c>
      <c r="I1600" s="7" t="s">
        <v>53</v>
      </c>
      <c r="J1600" s="7" t="s">
        <v>143</v>
      </c>
      <c r="K1600" s="7" t="s">
        <v>170</v>
      </c>
      <c r="L1600" s="7" t="s">
        <v>2671</v>
      </c>
      <c r="M1600" s="7" t="s">
        <v>61</v>
      </c>
      <c r="N1600" s="7" t="s">
        <v>44</v>
      </c>
      <c r="O1600" s="7">
        <v>29</v>
      </c>
      <c r="P1600" s="7">
        <v>177.29</v>
      </c>
      <c r="Q1600" s="7">
        <v>103.89</v>
      </c>
      <c r="R1600" s="7">
        <v>5141.49</v>
      </c>
      <c r="S1600" s="7">
        <v>0</v>
      </c>
      <c r="T1600" s="7">
        <v>0</v>
      </c>
      <c r="U1600" s="7">
        <v>5141.49</v>
      </c>
      <c r="V1600" s="7">
        <v>3012.67</v>
      </c>
      <c r="W1600" s="7">
        <v>2128.8200000000002</v>
      </c>
      <c r="X1600" s="7" t="s">
        <v>45</v>
      </c>
    </row>
    <row r="1601" spans="1:24" x14ac:dyDescent="0.25">
      <c r="A1601" s="16" t="s">
        <v>2101</v>
      </c>
      <c r="B1601" s="17">
        <v>45603</v>
      </c>
      <c r="C1601" s="6" t="s">
        <v>744</v>
      </c>
      <c r="D1601" s="6" t="s">
        <v>65</v>
      </c>
      <c r="E1601" s="6" t="s">
        <v>132</v>
      </c>
      <c r="F1601" s="6" t="s">
        <v>133</v>
      </c>
      <c r="G1601" s="6" t="s">
        <v>51</v>
      </c>
      <c r="H1601" s="6" t="s">
        <v>134</v>
      </c>
      <c r="I1601" s="6" t="s">
        <v>40</v>
      </c>
      <c r="J1601" s="6" t="s">
        <v>117</v>
      </c>
      <c r="K1601" s="6" t="s">
        <v>261</v>
      </c>
      <c r="L1601" s="6" t="s">
        <v>2677</v>
      </c>
      <c r="M1601" s="6" t="s">
        <v>153</v>
      </c>
      <c r="N1601" s="6" t="s">
        <v>84</v>
      </c>
      <c r="O1601" s="6">
        <v>35</v>
      </c>
      <c r="P1601" s="6">
        <v>56.83</v>
      </c>
      <c r="Q1601" s="6">
        <v>34.31</v>
      </c>
      <c r="R1601" s="6">
        <v>1988.95</v>
      </c>
      <c r="S1601" s="6">
        <v>0</v>
      </c>
      <c r="T1601" s="6">
        <v>0</v>
      </c>
      <c r="U1601" s="6">
        <v>1988.95</v>
      </c>
      <c r="V1601" s="6">
        <v>1200.81</v>
      </c>
      <c r="W1601" s="6">
        <v>788.13</v>
      </c>
      <c r="X1601" s="6" t="s">
        <v>45</v>
      </c>
    </row>
    <row r="1602" spans="1:24" x14ac:dyDescent="0.25">
      <c r="A1602" s="5" t="s">
        <v>2102</v>
      </c>
      <c r="B1602" s="18">
        <v>45457</v>
      </c>
      <c r="C1602" s="7" t="s">
        <v>1493</v>
      </c>
      <c r="D1602" s="7" t="s">
        <v>159</v>
      </c>
      <c r="E1602" s="7" t="s">
        <v>176</v>
      </c>
      <c r="F1602" s="7" t="s">
        <v>177</v>
      </c>
      <c r="G1602" s="7" t="s">
        <v>101</v>
      </c>
      <c r="H1602" s="7" t="s">
        <v>39</v>
      </c>
      <c r="I1602" s="7" t="s">
        <v>58</v>
      </c>
      <c r="J1602" s="7" t="s">
        <v>323</v>
      </c>
      <c r="K1602" s="7" t="s">
        <v>90</v>
      </c>
      <c r="L1602" s="7" t="s">
        <v>2666</v>
      </c>
      <c r="M1602" s="7" t="s">
        <v>30</v>
      </c>
      <c r="N1602" s="7" t="s">
        <v>31</v>
      </c>
      <c r="O1602" s="7">
        <v>70</v>
      </c>
      <c r="P1602" s="7">
        <v>96.77</v>
      </c>
      <c r="Q1602" s="7">
        <v>62.64</v>
      </c>
      <c r="R1602" s="7">
        <v>6773.67</v>
      </c>
      <c r="S1602" s="7">
        <v>0.05</v>
      </c>
      <c r="T1602" s="7">
        <v>338.68</v>
      </c>
      <c r="U1602" s="7">
        <v>6434.99</v>
      </c>
      <c r="V1602" s="7">
        <v>4384.67</v>
      </c>
      <c r="W1602" s="7">
        <v>2050.3200000000002</v>
      </c>
      <c r="X1602" s="7" t="s">
        <v>129</v>
      </c>
    </row>
    <row r="1603" spans="1:24" x14ac:dyDescent="0.25">
      <c r="A1603" s="16" t="s">
        <v>2103</v>
      </c>
      <c r="B1603" s="17">
        <v>45581</v>
      </c>
      <c r="C1603" s="6" t="s">
        <v>1476</v>
      </c>
      <c r="D1603" s="6" t="s">
        <v>149</v>
      </c>
      <c r="E1603" s="6" t="s">
        <v>99</v>
      </c>
      <c r="F1603" s="6" t="s">
        <v>100</v>
      </c>
      <c r="G1603" s="6" t="s">
        <v>101</v>
      </c>
      <c r="H1603" s="6" t="s">
        <v>102</v>
      </c>
      <c r="I1603" s="6" t="s">
        <v>88</v>
      </c>
      <c r="J1603" s="6" t="s">
        <v>183</v>
      </c>
      <c r="K1603" s="6" t="s">
        <v>218</v>
      </c>
      <c r="L1603" s="6" t="s">
        <v>2674</v>
      </c>
      <c r="M1603" s="6" t="s">
        <v>30</v>
      </c>
      <c r="N1603" s="6" t="s">
        <v>75</v>
      </c>
      <c r="O1603" s="6">
        <v>56</v>
      </c>
      <c r="P1603" s="6">
        <v>65.260000000000005</v>
      </c>
      <c r="Q1603" s="6">
        <v>41</v>
      </c>
      <c r="R1603" s="6">
        <v>3654.61</v>
      </c>
      <c r="S1603" s="6">
        <v>0.1</v>
      </c>
      <c r="T1603" s="6">
        <v>365.46</v>
      </c>
      <c r="U1603" s="6">
        <v>3289.15</v>
      </c>
      <c r="V1603" s="6">
        <v>2296.23</v>
      </c>
      <c r="W1603" s="6">
        <v>992.92</v>
      </c>
      <c r="X1603" s="6" t="s">
        <v>45</v>
      </c>
    </row>
    <row r="1604" spans="1:24" x14ac:dyDescent="0.25">
      <c r="A1604" s="5" t="s">
        <v>1437</v>
      </c>
      <c r="B1604" s="18">
        <v>45628</v>
      </c>
      <c r="C1604" s="7" t="s">
        <v>491</v>
      </c>
      <c r="D1604" s="7" t="s">
        <v>57</v>
      </c>
      <c r="E1604" s="7" t="s">
        <v>176</v>
      </c>
      <c r="F1604" s="7" t="s">
        <v>177</v>
      </c>
      <c r="G1604" s="7" t="s">
        <v>101</v>
      </c>
      <c r="H1604" s="7" t="s">
        <v>39</v>
      </c>
      <c r="I1604" s="7" t="s">
        <v>27</v>
      </c>
      <c r="J1604" s="7" t="s">
        <v>28</v>
      </c>
      <c r="K1604" s="7" t="s">
        <v>178</v>
      </c>
      <c r="L1604" s="7" t="s">
        <v>256</v>
      </c>
      <c r="M1604" s="7" t="s">
        <v>153</v>
      </c>
      <c r="N1604" s="7" t="s">
        <v>84</v>
      </c>
      <c r="O1604" s="7">
        <v>33</v>
      </c>
      <c r="P1604" s="7">
        <v>101.13</v>
      </c>
      <c r="Q1604" s="7">
        <v>66.28</v>
      </c>
      <c r="R1604" s="7">
        <v>3337.39</v>
      </c>
      <c r="S1604" s="7">
        <v>0.02</v>
      </c>
      <c r="T1604" s="7">
        <v>66.75</v>
      </c>
      <c r="U1604" s="7">
        <v>3270.64</v>
      </c>
      <c r="V1604" s="7">
        <v>2187.12</v>
      </c>
      <c r="W1604" s="7">
        <v>1083.52</v>
      </c>
      <c r="X1604" s="7" t="s">
        <v>45</v>
      </c>
    </row>
    <row r="1605" spans="1:24" x14ac:dyDescent="0.25">
      <c r="A1605" s="16" t="s">
        <v>2104</v>
      </c>
      <c r="B1605" s="17">
        <v>45406</v>
      </c>
      <c r="C1605" s="6" t="s">
        <v>513</v>
      </c>
      <c r="D1605" s="6" t="s">
        <v>48</v>
      </c>
      <c r="E1605" s="6" t="s">
        <v>165</v>
      </c>
      <c r="F1605" s="6" t="s">
        <v>166</v>
      </c>
      <c r="G1605" s="6" t="s">
        <v>95</v>
      </c>
      <c r="H1605" s="6" t="s">
        <v>167</v>
      </c>
      <c r="I1605" s="6" t="s">
        <v>53</v>
      </c>
      <c r="J1605" s="6" t="s">
        <v>232</v>
      </c>
      <c r="K1605" s="6" t="s">
        <v>265</v>
      </c>
      <c r="L1605" s="6" t="s">
        <v>2678</v>
      </c>
      <c r="M1605" s="6" t="s">
        <v>43</v>
      </c>
      <c r="N1605" s="6" t="s">
        <v>70</v>
      </c>
      <c r="O1605" s="6">
        <v>34</v>
      </c>
      <c r="P1605" s="6">
        <v>44.82</v>
      </c>
      <c r="Q1605" s="6">
        <v>24.01</v>
      </c>
      <c r="R1605" s="6">
        <v>1523.72</v>
      </c>
      <c r="S1605" s="6">
        <v>0</v>
      </c>
      <c r="T1605" s="6">
        <v>0</v>
      </c>
      <c r="U1605" s="6">
        <v>1523.72</v>
      </c>
      <c r="V1605" s="6">
        <v>816.3</v>
      </c>
      <c r="W1605" s="6">
        <v>707.41</v>
      </c>
      <c r="X1605" s="6" t="s">
        <v>45</v>
      </c>
    </row>
    <row r="1606" spans="1:24" x14ac:dyDescent="0.25">
      <c r="A1606" s="5" t="s">
        <v>2105</v>
      </c>
      <c r="B1606" s="18">
        <v>45292</v>
      </c>
      <c r="C1606" s="7" t="s">
        <v>727</v>
      </c>
      <c r="D1606" s="7" t="s">
        <v>65</v>
      </c>
      <c r="E1606" s="7" t="s">
        <v>114</v>
      </c>
      <c r="F1606" s="7" t="s">
        <v>115</v>
      </c>
      <c r="G1606" s="7" t="s">
        <v>95</v>
      </c>
      <c r="H1606" s="7" t="s">
        <v>116</v>
      </c>
      <c r="I1606" s="7" t="s">
        <v>88</v>
      </c>
      <c r="J1606" s="7" t="s">
        <v>173</v>
      </c>
      <c r="K1606" s="7" t="s">
        <v>69</v>
      </c>
      <c r="L1606" s="7" t="s">
        <v>2663</v>
      </c>
      <c r="M1606" s="7" t="s">
        <v>153</v>
      </c>
      <c r="N1606" s="7" t="s">
        <v>31</v>
      </c>
      <c r="O1606" s="7">
        <v>7</v>
      </c>
      <c r="P1606" s="7">
        <v>32.86</v>
      </c>
      <c r="Q1606" s="7">
        <v>20.7</v>
      </c>
      <c r="R1606" s="7">
        <v>230.04</v>
      </c>
      <c r="S1606" s="7">
        <v>0.2</v>
      </c>
      <c r="T1606" s="7">
        <v>46.01</v>
      </c>
      <c r="U1606" s="7">
        <v>184.03</v>
      </c>
      <c r="V1606" s="7">
        <v>144.88</v>
      </c>
      <c r="W1606" s="7">
        <v>39.15</v>
      </c>
      <c r="X1606" s="7" t="s">
        <v>45</v>
      </c>
    </row>
    <row r="1607" spans="1:24" x14ac:dyDescent="0.25">
      <c r="A1607" s="16" t="s">
        <v>1759</v>
      </c>
      <c r="B1607" s="17">
        <v>45319</v>
      </c>
      <c r="C1607" s="6" t="s">
        <v>201</v>
      </c>
      <c r="D1607" s="6" t="s">
        <v>57</v>
      </c>
      <c r="E1607" s="6" t="s">
        <v>176</v>
      </c>
      <c r="F1607" s="6" t="s">
        <v>177</v>
      </c>
      <c r="G1607" s="6" t="s">
        <v>101</v>
      </c>
      <c r="H1607" s="6" t="s">
        <v>39</v>
      </c>
      <c r="I1607" s="6" t="s">
        <v>53</v>
      </c>
      <c r="J1607" s="6" t="s">
        <v>122</v>
      </c>
      <c r="K1607" s="6" t="s">
        <v>90</v>
      </c>
      <c r="L1607" s="6" t="s">
        <v>2666</v>
      </c>
      <c r="M1607" s="6" t="s">
        <v>30</v>
      </c>
      <c r="N1607" s="6" t="s">
        <v>44</v>
      </c>
      <c r="O1607" s="6">
        <v>39</v>
      </c>
      <c r="P1607" s="6">
        <v>110.11</v>
      </c>
      <c r="Q1607" s="6">
        <v>60.77</v>
      </c>
      <c r="R1607" s="6">
        <v>4294.47</v>
      </c>
      <c r="S1607" s="6">
        <v>0.1</v>
      </c>
      <c r="T1607" s="6">
        <v>429.45</v>
      </c>
      <c r="U1607" s="6">
        <v>3865.02</v>
      </c>
      <c r="V1607" s="6">
        <v>2370.0300000000002</v>
      </c>
      <c r="W1607" s="6">
        <v>1494.99</v>
      </c>
      <c r="X1607" s="6" t="s">
        <v>45</v>
      </c>
    </row>
    <row r="1608" spans="1:24" x14ac:dyDescent="0.25">
      <c r="A1608" s="5" t="s">
        <v>2106</v>
      </c>
      <c r="B1608" s="18">
        <v>45316</v>
      </c>
      <c r="C1608" s="7" t="s">
        <v>651</v>
      </c>
      <c r="D1608" s="7" t="s">
        <v>105</v>
      </c>
      <c r="E1608" s="7" t="s">
        <v>250</v>
      </c>
      <c r="F1608" s="7" t="s">
        <v>251</v>
      </c>
      <c r="G1608" s="7" t="s">
        <v>51</v>
      </c>
      <c r="H1608" s="7" t="s">
        <v>252</v>
      </c>
      <c r="I1608" s="7" t="s">
        <v>88</v>
      </c>
      <c r="J1608" s="7" t="s">
        <v>183</v>
      </c>
      <c r="K1608" s="7" t="s">
        <v>152</v>
      </c>
      <c r="L1608" s="7" t="s">
        <v>2670</v>
      </c>
      <c r="M1608" s="7" t="s">
        <v>30</v>
      </c>
      <c r="N1608" s="7" t="s">
        <v>84</v>
      </c>
      <c r="O1608" s="7">
        <v>7</v>
      </c>
      <c r="P1608" s="7">
        <v>61.03</v>
      </c>
      <c r="Q1608" s="7">
        <v>39.200000000000003</v>
      </c>
      <c r="R1608" s="7">
        <v>427.2</v>
      </c>
      <c r="S1608" s="7">
        <v>0.05</v>
      </c>
      <c r="T1608" s="7">
        <v>21.36</v>
      </c>
      <c r="U1608" s="7">
        <v>405.84</v>
      </c>
      <c r="V1608" s="7">
        <v>274.37</v>
      </c>
      <c r="W1608" s="7">
        <v>131.47</v>
      </c>
      <c r="X1608" s="7" t="s">
        <v>32</v>
      </c>
    </row>
    <row r="1609" spans="1:24" x14ac:dyDescent="0.25">
      <c r="A1609" s="16" t="s">
        <v>2107</v>
      </c>
      <c r="B1609" s="17">
        <v>45557</v>
      </c>
      <c r="C1609" s="6" t="s">
        <v>1362</v>
      </c>
      <c r="D1609" s="6" t="s">
        <v>57</v>
      </c>
      <c r="E1609" s="6" t="s">
        <v>23</v>
      </c>
      <c r="F1609" s="6" t="s">
        <v>24</v>
      </c>
      <c r="G1609" s="6" t="s">
        <v>25</v>
      </c>
      <c r="H1609" s="6" t="s">
        <v>26</v>
      </c>
      <c r="I1609" s="6" t="s">
        <v>27</v>
      </c>
      <c r="J1609" s="6" t="s">
        <v>28</v>
      </c>
      <c r="K1609" s="6" t="s">
        <v>178</v>
      </c>
      <c r="L1609" s="6" t="s">
        <v>256</v>
      </c>
      <c r="M1609" s="6" t="s">
        <v>43</v>
      </c>
      <c r="N1609" s="6" t="s">
        <v>44</v>
      </c>
      <c r="O1609" s="6">
        <v>79</v>
      </c>
      <c r="P1609" s="6">
        <v>76.61</v>
      </c>
      <c r="Q1609" s="6">
        <v>40.98</v>
      </c>
      <c r="R1609" s="6">
        <v>6052.13</v>
      </c>
      <c r="S1609" s="6">
        <v>0.15</v>
      </c>
      <c r="T1609" s="6">
        <v>907.82</v>
      </c>
      <c r="U1609" s="6">
        <v>5144.3100000000004</v>
      </c>
      <c r="V1609" s="6">
        <v>3237.37</v>
      </c>
      <c r="W1609" s="6">
        <v>1906.94</v>
      </c>
      <c r="X1609" s="6" t="s">
        <v>129</v>
      </c>
    </row>
    <row r="1610" spans="1:24" x14ac:dyDescent="0.25">
      <c r="A1610" s="5" t="s">
        <v>2108</v>
      </c>
      <c r="B1610" s="18">
        <v>45458</v>
      </c>
      <c r="C1610" s="7" t="s">
        <v>192</v>
      </c>
      <c r="D1610" s="7" t="s">
        <v>65</v>
      </c>
      <c r="E1610" s="7" t="s">
        <v>78</v>
      </c>
      <c r="F1610" s="7" t="s">
        <v>79</v>
      </c>
      <c r="G1610" s="7" t="s">
        <v>80</v>
      </c>
      <c r="H1610" s="7" t="s">
        <v>81</v>
      </c>
      <c r="I1610" s="7" t="s">
        <v>40</v>
      </c>
      <c r="J1610" s="7" t="s">
        <v>289</v>
      </c>
      <c r="K1610" s="7" t="s">
        <v>261</v>
      </c>
      <c r="L1610" s="7" t="s">
        <v>2677</v>
      </c>
      <c r="M1610" s="7" t="s">
        <v>61</v>
      </c>
      <c r="N1610" s="7" t="s">
        <v>31</v>
      </c>
      <c r="O1610" s="7">
        <v>11</v>
      </c>
      <c r="P1610" s="7">
        <v>131.79</v>
      </c>
      <c r="Q1610" s="7">
        <v>76.5</v>
      </c>
      <c r="R1610" s="7">
        <v>1449.69</v>
      </c>
      <c r="S1610" s="7">
        <v>-0.05</v>
      </c>
      <c r="T1610" s="7">
        <v>289.94</v>
      </c>
      <c r="U1610" s="7">
        <v>1159.75</v>
      </c>
      <c r="V1610" s="7">
        <v>841.47</v>
      </c>
      <c r="W1610" s="7">
        <v>318.27999999999997</v>
      </c>
      <c r="X1610" s="7" t="s">
        <v>32</v>
      </c>
    </row>
    <row r="1611" spans="1:24" x14ac:dyDescent="0.25">
      <c r="A1611" s="16" t="s">
        <v>919</v>
      </c>
      <c r="B1611" s="17">
        <v>45518</v>
      </c>
      <c r="C1611" s="6" t="s">
        <v>325</v>
      </c>
      <c r="D1611" s="6" t="s">
        <v>35</v>
      </c>
      <c r="E1611" s="6" t="s">
        <v>126</v>
      </c>
      <c r="F1611" s="6" t="s">
        <v>127</v>
      </c>
      <c r="G1611" s="6" t="s">
        <v>95</v>
      </c>
      <c r="H1611" s="6" t="s">
        <v>128</v>
      </c>
      <c r="I1611" s="6" t="s">
        <v>27</v>
      </c>
      <c r="J1611" s="6" t="s">
        <v>211</v>
      </c>
      <c r="K1611" s="6" t="s">
        <v>118</v>
      </c>
      <c r="L1611" s="6" t="s">
        <v>2668</v>
      </c>
      <c r="M1611" s="6" t="s">
        <v>153</v>
      </c>
      <c r="N1611" s="6" t="s">
        <v>44</v>
      </c>
      <c r="O1611" s="6">
        <v>39</v>
      </c>
      <c r="P1611" s="6">
        <v>88.21</v>
      </c>
      <c r="Q1611" s="6">
        <v>49.56</v>
      </c>
      <c r="R1611" s="6">
        <v>3440.13</v>
      </c>
      <c r="S1611" s="6">
        <v>0.05</v>
      </c>
      <c r="T1611" s="6">
        <v>172.01</v>
      </c>
      <c r="U1611" s="6">
        <v>3268.12</v>
      </c>
      <c r="V1611" s="6">
        <v>1932.72</v>
      </c>
      <c r="W1611" s="6">
        <v>1335.4</v>
      </c>
      <c r="X1611" s="6" t="s">
        <v>45</v>
      </c>
    </row>
    <row r="1612" spans="1:24" x14ac:dyDescent="0.25">
      <c r="A1612" s="5" t="s">
        <v>2109</v>
      </c>
      <c r="B1612" s="18">
        <v>45299</v>
      </c>
      <c r="C1612" s="7" t="s">
        <v>447</v>
      </c>
      <c r="D1612" s="7" t="s">
        <v>48</v>
      </c>
      <c r="E1612" s="7" t="s">
        <v>165</v>
      </c>
      <c r="F1612" s="7" t="s">
        <v>166</v>
      </c>
      <c r="G1612" s="7" t="s">
        <v>95</v>
      </c>
      <c r="H1612" s="7" t="s">
        <v>167</v>
      </c>
      <c r="I1612" s="7" t="s">
        <v>431</v>
      </c>
      <c r="J1612" s="7" t="s">
        <v>135</v>
      </c>
      <c r="K1612" s="7" t="s">
        <v>170</v>
      </c>
      <c r="L1612" s="7" t="s">
        <v>2671</v>
      </c>
      <c r="M1612" s="7" t="s">
        <v>153</v>
      </c>
      <c r="N1612" s="7" t="s">
        <v>75</v>
      </c>
      <c r="O1612" s="7">
        <v>39</v>
      </c>
      <c r="P1612" s="7">
        <v>40.159999999999997</v>
      </c>
      <c r="Q1612" s="7">
        <v>25.46</v>
      </c>
      <c r="R1612" s="7">
        <v>1566.33</v>
      </c>
      <c r="S1612" s="7">
        <v>0</v>
      </c>
      <c r="T1612" s="7">
        <v>0</v>
      </c>
      <c r="U1612" s="7">
        <v>1566.33</v>
      </c>
      <c r="V1612" s="7">
        <v>992.78</v>
      </c>
      <c r="W1612" s="7">
        <v>573.54999999999995</v>
      </c>
      <c r="X1612" s="7" t="s">
        <v>45</v>
      </c>
    </row>
    <row r="1613" spans="1:24" x14ac:dyDescent="0.25">
      <c r="A1613" s="16" t="s">
        <v>2110</v>
      </c>
      <c r="B1613" s="17">
        <v>45507</v>
      </c>
      <c r="C1613" s="6" t="s">
        <v>513</v>
      </c>
      <c r="D1613" s="6" t="s">
        <v>48</v>
      </c>
      <c r="E1613" s="6" t="s">
        <v>176</v>
      </c>
      <c r="F1613" s="6" t="s">
        <v>177</v>
      </c>
      <c r="G1613" s="6" t="s">
        <v>101</v>
      </c>
      <c r="H1613" s="6" t="s">
        <v>39</v>
      </c>
      <c r="I1613" s="6" t="s">
        <v>40</v>
      </c>
      <c r="J1613" s="6" t="s">
        <v>289</v>
      </c>
      <c r="K1613" s="6" t="s">
        <v>144</v>
      </c>
      <c r="L1613" s="6" t="s">
        <v>2669</v>
      </c>
      <c r="M1613" s="6" t="s">
        <v>43</v>
      </c>
      <c r="N1613" s="6" t="s">
        <v>44</v>
      </c>
      <c r="O1613" s="6">
        <v>46</v>
      </c>
      <c r="P1613" s="6">
        <v>99.35</v>
      </c>
      <c r="Q1613" s="6">
        <v>65.97</v>
      </c>
      <c r="R1613" s="6">
        <v>4570.05</v>
      </c>
      <c r="S1613" s="6">
        <v>0.05</v>
      </c>
      <c r="T1613" s="6">
        <v>228.5</v>
      </c>
      <c r="U1613" s="6">
        <v>4341.55</v>
      </c>
      <c r="V1613" s="6">
        <v>3034.7</v>
      </c>
      <c r="W1613" s="6">
        <v>1306.8499999999999</v>
      </c>
      <c r="X1613" s="6" t="s">
        <v>129</v>
      </c>
    </row>
    <row r="1614" spans="1:24" x14ac:dyDescent="0.25">
      <c r="A1614" s="5" t="s">
        <v>2111</v>
      </c>
      <c r="B1614" s="18">
        <v>45513</v>
      </c>
      <c r="C1614" s="7" t="s">
        <v>205</v>
      </c>
      <c r="D1614" s="7" t="s">
        <v>22</v>
      </c>
      <c r="E1614" s="7" t="s">
        <v>99</v>
      </c>
      <c r="F1614" s="7" t="s">
        <v>100</v>
      </c>
      <c r="G1614" s="7" t="s">
        <v>101</v>
      </c>
      <c r="H1614" s="7" t="s">
        <v>102</v>
      </c>
      <c r="I1614" s="7" t="s">
        <v>88</v>
      </c>
      <c r="J1614" s="7" t="s">
        <v>2112</v>
      </c>
      <c r="K1614" s="7" t="s">
        <v>74</v>
      </c>
      <c r="L1614" s="7" t="s">
        <v>2664</v>
      </c>
      <c r="M1614" s="7" t="s">
        <v>61</v>
      </c>
      <c r="N1614" s="7" t="s">
        <v>84</v>
      </c>
      <c r="O1614" s="7">
        <v>65</v>
      </c>
      <c r="P1614" s="7">
        <v>68.75</v>
      </c>
      <c r="Q1614" s="7">
        <v>41.94</v>
      </c>
      <c r="R1614" s="7">
        <v>4468.59</v>
      </c>
      <c r="S1614" s="7">
        <v>0</v>
      </c>
      <c r="T1614" s="7">
        <v>0</v>
      </c>
      <c r="U1614" s="7">
        <v>4468.59</v>
      </c>
      <c r="V1614" s="7">
        <v>2726.1</v>
      </c>
      <c r="W1614" s="7">
        <v>1742.49</v>
      </c>
      <c r="X1614" s="7" t="s">
        <v>45</v>
      </c>
    </row>
    <row r="1615" spans="1:24" x14ac:dyDescent="0.25">
      <c r="A1615" s="16" t="s">
        <v>2113</v>
      </c>
      <c r="B1615" s="17">
        <v>45551</v>
      </c>
      <c r="C1615" s="6" t="s">
        <v>92</v>
      </c>
      <c r="D1615" s="6" t="s">
        <v>48</v>
      </c>
      <c r="E1615" s="6" t="s">
        <v>114</v>
      </c>
      <c r="F1615" s="6" t="s">
        <v>115</v>
      </c>
      <c r="G1615" s="6" t="s">
        <v>95</v>
      </c>
      <c r="H1615" s="6" t="s">
        <v>116</v>
      </c>
      <c r="I1615" s="6" t="s">
        <v>27</v>
      </c>
      <c r="J1615" s="6" t="s">
        <v>211</v>
      </c>
      <c r="K1615" s="6" t="s">
        <v>111</v>
      </c>
      <c r="L1615" s="6" t="s">
        <v>2667</v>
      </c>
      <c r="M1615" s="6" t="s">
        <v>30</v>
      </c>
      <c r="N1615" s="6" t="s">
        <v>31</v>
      </c>
      <c r="O1615" s="6">
        <v>37</v>
      </c>
      <c r="P1615" s="6">
        <v>33.19</v>
      </c>
      <c r="Q1615" s="6">
        <v>19.62</v>
      </c>
      <c r="R1615" s="6">
        <v>1228.08</v>
      </c>
      <c r="S1615" s="6">
        <v>0.2</v>
      </c>
      <c r="T1615" s="6">
        <v>245.62</v>
      </c>
      <c r="U1615" s="6">
        <v>982.46</v>
      </c>
      <c r="V1615" s="6">
        <v>725.87</v>
      </c>
      <c r="W1615" s="6">
        <v>256.58999999999997</v>
      </c>
      <c r="X1615" s="6" t="s">
        <v>45</v>
      </c>
    </row>
    <row r="1616" spans="1:24" x14ac:dyDescent="0.25">
      <c r="A1616" s="5" t="s">
        <v>2114</v>
      </c>
      <c r="B1616" s="18">
        <v>45612</v>
      </c>
      <c r="C1616" s="7" t="s">
        <v>499</v>
      </c>
      <c r="D1616" s="7" t="s">
        <v>87</v>
      </c>
      <c r="E1616" s="7" t="s">
        <v>187</v>
      </c>
      <c r="F1616" s="7" t="s">
        <v>188</v>
      </c>
      <c r="G1616" s="7" t="s">
        <v>25</v>
      </c>
      <c r="H1616" s="7" t="s">
        <v>26</v>
      </c>
      <c r="I1616" s="7" t="s">
        <v>27</v>
      </c>
      <c r="J1616" s="7" t="s">
        <v>211</v>
      </c>
      <c r="K1616" s="7" t="s">
        <v>261</v>
      </c>
      <c r="L1616" s="7" t="s">
        <v>2677</v>
      </c>
      <c r="M1616" s="7" t="s">
        <v>153</v>
      </c>
      <c r="N1616" s="7" t="s">
        <v>44</v>
      </c>
      <c r="O1616" s="7">
        <v>31</v>
      </c>
      <c r="P1616" s="7">
        <v>46.25</v>
      </c>
      <c r="Q1616" s="7">
        <v>29.42</v>
      </c>
      <c r="R1616" s="7">
        <v>1433.75</v>
      </c>
      <c r="S1616" s="7">
        <v>0.15</v>
      </c>
      <c r="T1616" s="7">
        <v>215.06</v>
      </c>
      <c r="U1616" s="7">
        <v>1218.69</v>
      </c>
      <c r="V1616" s="7">
        <v>911.98</v>
      </c>
      <c r="W1616" s="7">
        <v>306.70999999999998</v>
      </c>
      <c r="X1616" s="7" t="s">
        <v>45</v>
      </c>
    </row>
    <row r="1617" spans="1:24" x14ac:dyDescent="0.25">
      <c r="A1617" s="16" t="s">
        <v>2115</v>
      </c>
      <c r="B1617" s="17">
        <v>45637</v>
      </c>
      <c r="C1617" s="6" t="s">
        <v>395</v>
      </c>
      <c r="D1617" s="6" t="s">
        <v>221</v>
      </c>
      <c r="E1617" s="6" t="s">
        <v>250</v>
      </c>
      <c r="F1617" s="6" t="s">
        <v>251</v>
      </c>
      <c r="G1617" s="6" t="s">
        <v>51</v>
      </c>
      <c r="H1617" s="6" t="s">
        <v>252</v>
      </c>
      <c r="I1617" s="6" t="s">
        <v>58</v>
      </c>
      <c r="J1617" s="6" t="s">
        <v>59</v>
      </c>
      <c r="K1617" s="6" t="s">
        <v>29</v>
      </c>
      <c r="L1617" s="6" t="s">
        <v>2660</v>
      </c>
      <c r="M1617" s="6" t="s">
        <v>43</v>
      </c>
      <c r="N1617" s="6" t="s">
        <v>84</v>
      </c>
      <c r="O1617" s="6">
        <v>21</v>
      </c>
      <c r="P1617" s="6">
        <v>69.790000000000006</v>
      </c>
      <c r="Q1617" s="6">
        <v>38.22</v>
      </c>
      <c r="R1617" s="6">
        <v>1465.66</v>
      </c>
      <c r="S1617" s="6">
        <v>0</v>
      </c>
      <c r="T1617" s="6">
        <v>0</v>
      </c>
      <c r="U1617" s="6">
        <v>1465.66</v>
      </c>
      <c r="V1617" s="6">
        <v>802.59</v>
      </c>
      <c r="W1617" s="6">
        <v>663.08</v>
      </c>
      <c r="X1617" s="6" t="s">
        <v>32</v>
      </c>
    </row>
    <row r="1618" spans="1:24" x14ac:dyDescent="0.25">
      <c r="A1618" s="5" t="s">
        <v>2116</v>
      </c>
      <c r="B1618" s="18">
        <v>45405</v>
      </c>
      <c r="C1618" s="7" t="s">
        <v>354</v>
      </c>
      <c r="D1618" s="7" t="s">
        <v>163</v>
      </c>
      <c r="E1618" s="7" t="s">
        <v>99</v>
      </c>
      <c r="F1618" s="7" t="s">
        <v>100</v>
      </c>
      <c r="G1618" s="7" t="s">
        <v>101</v>
      </c>
      <c r="H1618" s="7" t="s">
        <v>102</v>
      </c>
      <c r="I1618" s="7" t="s">
        <v>58</v>
      </c>
      <c r="J1618" s="7" t="s">
        <v>73</v>
      </c>
      <c r="K1618" s="7" t="s">
        <v>90</v>
      </c>
      <c r="L1618" s="7" t="s">
        <v>2666</v>
      </c>
      <c r="M1618" s="7" t="s">
        <v>153</v>
      </c>
      <c r="N1618" s="7" t="s">
        <v>31</v>
      </c>
      <c r="O1618" s="7">
        <v>25</v>
      </c>
      <c r="P1618" s="7">
        <v>74.45</v>
      </c>
      <c r="Q1618" s="7">
        <v>41.8</v>
      </c>
      <c r="R1618" s="7">
        <v>1861.26</v>
      </c>
      <c r="S1618" s="7">
        <v>0.15</v>
      </c>
      <c r="T1618" s="7">
        <v>279.19</v>
      </c>
      <c r="U1618" s="7">
        <v>1582.07</v>
      </c>
      <c r="V1618" s="7">
        <v>1045.1099999999999</v>
      </c>
      <c r="W1618" s="7">
        <v>536.96</v>
      </c>
      <c r="X1618" s="7" t="s">
        <v>45</v>
      </c>
    </row>
    <row r="1619" spans="1:24" x14ac:dyDescent="0.25">
      <c r="A1619" s="16" t="s">
        <v>2117</v>
      </c>
      <c r="B1619" s="17">
        <v>45391</v>
      </c>
      <c r="C1619" s="6" t="s">
        <v>674</v>
      </c>
      <c r="D1619" s="6" t="s">
        <v>264</v>
      </c>
      <c r="E1619" s="6" t="s">
        <v>209</v>
      </c>
      <c r="F1619" s="6" t="s">
        <v>210</v>
      </c>
      <c r="G1619" s="6" t="s">
        <v>51</v>
      </c>
      <c r="H1619" s="6" t="s">
        <v>116</v>
      </c>
      <c r="I1619" s="6" t="s">
        <v>40</v>
      </c>
      <c r="J1619" s="6" t="s">
        <v>82</v>
      </c>
      <c r="K1619" s="6" t="s">
        <v>184</v>
      </c>
      <c r="L1619" s="6" t="s">
        <v>2672</v>
      </c>
      <c r="M1619" s="6" t="s">
        <v>61</v>
      </c>
      <c r="N1619" s="6" t="s">
        <v>31</v>
      </c>
      <c r="O1619" s="6">
        <v>44</v>
      </c>
      <c r="P1619" s="6">
        <v>19.03</v>
      </c>
      <c r="Q1619" s="6">
        <v>10.8</v>
      </c>
      <c r="R1619" s="6">
        <v>837.37</v>
      </c>
      <c r="S1619" s="6">
        <v>0.05</v>
      </c>
      <c r="T1619" s="6">
        <v>41.87</v>
      </c>
      <c r="U1619" s="6">
        <v>795.5</v>
      </c>
      <c r="V1619" s="6">
        <v>475.03</v>
      </c>
      <c r="W1619" s="6">
        <v>320.47000000000003</v>
      </c>
      <c r="X1619" s="6" t="s">
        <v>45</v>
      </c>
    </row>
    <row r="1620" spans="1:24" x14ac:dyDescent="0.25">
      <c r="A1620" s="5" t="s">
        <v>2118</v>
      </c>
      <c r="B1620" s="18">
        <v>45292</v>
      </c>
      <c r="C1620" s="7" t="s">
        <v>215</v>
      </c>
      <c r="D1620" s="7" t="s">
        <v>105</v>
      </c>
      <c r="E1620" s="7" t="s">
        <v>216</v>
      </c>
      <c r="F1620" s="7" t="s">
        <v>217</v>
      </c>
      <c r="G1620" s="7" t="s">
        <v>38</v>
      </c>
      <c r="H1620" s="7" t="s">
        <v>134</v>
      </c>
      <c r="I1620" s="7" t="s">
        <v>53</v>
      </c>
      <c r="J1620" s="7" t="s">
        <v>122</v>
      </c>
      <c r="K1620" s="7" t="s">
        <v>118</v>
      </c>
      <c r="L1620" s="7" t="s">
        <v>2668</v>
      </c>
      <c r="M1620" s="7" t="s">
        <v>153</v>
      </c>
      <c r="N1620" s="7" t="s">
        <v>84</v>
      </c>
      <c r="O1620" s="7">
        <v>44</v>
      </c>
      <c r="P1620" s="7">
        <v>118.12</v>
      </c>
      <c r="Q1620" s="7">
        <v>68.8</v>
      </c>
      <c r="R1620" s="7">
        <v>5197.38</v>
      </c>
      <c r="S1620" s="7">
        <v>0.02</v>
      </c>
      <c r="T1620" s="7">
        <v>103.95</v>
      </c>
      <c r="U1620" s="7">
        <v>5093.43</v>
      </c>
      <c r="V1620" s="7">
        <v>3027.18</v>
      </c>
      <c r="W1620" s="7">
        <v>2066.25</v>
      </c>
      <c r="X1620" s="7" t="s">
        <v>32</v>
      </c>
    </row>
    <row r="1621" spans="1:24" x14ac:dyDescent="0.25">
      <c r="A1621" s="16" t="s">
        <v>2119</v>
      </c>
      <c r="B1621" s="17">
        <v>45343</v>
      </c>
      <c r="C1621" s="6" t="s">
        <v>282</v>
      </c>
      <c r="D1621" s="6" t="s">
        <v>125</v>
      </c>
      <c r="E1621" s="6" t="s">
        <v>222</v>
      </c>
      <c r="F1621" s="6" t="s">
        <v>223</v>
      </c>
      <c r="G1621" s="6" t="s">
        <v>101</v>
      </c>
      <c r="H1621" s="6" t="s">
        <v>68</v>
      </c>
      <c r="I1621" s="6" t="s">
        <v>88</v>
      </c>
      <c r="J1621" s="6" t="s">
        <v>173</v>
      </c>
      <c r="K1621" s="6" t="s">
        <v>69</v>
      </c>
      <c r="L1621" s="6" t="s">
        <v>2663</v>
      </c>
      <c r="M1621" s="6" t="s">
        <v>61</v>
      </c>
      <c r="N1621" s="6" t="s">
        <v>44</v>
      </c>
      <c r="O1621" s="6">
        <v>30</v>
      </c>
      <c r="P1621" s="6">
        <v>111.88</v>
      </c>
      <c r="Q1621" s="6">
        <v>80.45</v>
      </c>
      <c r="R1621" s="6">
        <v>3356.33</v>
      </c>
      <c r="S1621" s="6">
        <v>0.15</v>
      </c>
      <c r="T1621" s="6">
        <v>503.45</v>
      </c>
      <c r="U1621" s="6">
        <v>2852.88</v>
      </c>
      <c r="V1621" s="6">
        <v>2413.4899999999998</v>
      </c>
      <c r="W1621" s="6">
        <v>439.39</v>
      </c>
      <c r="X1621" s="6" t="s">
        <v>129</v>
      </c>
    </row>
    <row r="1622" spans="1:24" x14ac:dyDescent="0.25">
      <c r="A1622" s="5" t="s">
        <v>2042</v>
      </c>
      <c r="B1622" s="18">
        <v>45590</v>
      </c>
      <c r="C1622" s="7" t="s">
        <v>229</v>
      </c>
      <c r="D1622" s="7" t="s">
        <v>87</v>
      </c>
      <c r="E1622" s="7" t="s">
        <v>126</v>
      </c>
      <c r="F1622" s="7" t="s">
        <v>127</v>
      </c>
      <c r="G1622" s="7" t="s">
        <v>95</v>
      </c>
      <c r="H1622" s="7" t="s">
        <v>128</v>
      </c>
      <c r="I1622" s="7" t="s">
        <v>40</v>
      </c>
      <c r="J1622" s="7" t="s">
        <v>82</v>
      </c>
      <c r="K1622" s="7" t="s">
        <v>111</v>
      </c>
      <c r="L1622" s="7" t="s">
        <v>2667</v>
      </c>
      <c r="M1622" s="7" t="s">
        <v>43</v>
      </c>
      <c r="N1622" s="7" t="s">
        <v>84</v>
      </c>
      <c r="O1622" s="7">
        <v>52</v>
      </c>
      <c r="P1622" s="7">
        <v>88.77</v>
      </c>
      <c r="Q1622" s="7">
        <v>51.08</v>
      </c>
      <c r="R1622" s="7">
        <v>4616.22</v>
      </c>
      <c r="S1622" s="7">
        <v>0.15</v>
      </c>
      <c r="T1622" s="7">
        <v>692.43</v>
      </c>
      <c r="U1622" s="7">
        <v>3923.78</v>
      </c>
      <c r="V1622" s="7">
        <v>2656.08</v>
      </c>
      <c r="W1622" s="7">
        <v>1267.7</v>
      </c>
      <c r="X1622" s="7" t="s">
        <v>129</v>
      </c>
    </row>
    <row r="1623" spans="1:24" x14ac:dyDescent="0.25">
      <c r="A1623" s="16" t="s">
        <v>2120</v>
      </c>
      <c r="B1623" s="17">
        <v>45511</v>
      </c>
      <c r="C1623" s="6" t="s">
        <v>77</v>
      </c>
      <c r="D1623" s="6" t="s">
        <v>22</v>
      </c>
      <c r="E1623" s="6" t="s">
        <v>66</v>
      </c>
      <c r="F1623" s="6" t="s">
        <v>67</v>
      </c>
      <c r="G1623" s="6" t="s">
        <v>38</v>
      </c>
      <c r="H1623" s="6" t="s">
        <v>68</v>
      </c>
      <c r="I1623" s="6" t="s">
        <v>40</v>
      </c>
      <c r="J1623" s="6" t="s">
        <v>82</v>
      </c>
      <c r="K1623" s="6" t="s">
        <v>29</v>
      </c>
      <c r="L1623" s="6" t="s">
        <v>2660</v>
      </c>
      <c r="M1623" s="6" t="s">
        <v>43</v>
      </c>
      <c r="N1623" s="6" t="s">
        <v>31</v>
      </c>
      <c r="O1623" s="6">
        <v>26</v>
      </c>
      <c r="P1623" s="6">
        <v>152</v>
      </c>
      <c r="Q1623" s="6">
        <v>109.96</v>
      </c>
      <c r="R1623" s="6">
        <v>3951.94</v>
      </c>
      <c r="S1623" s="6">
        <v>0.15</v>
      </c>
      <c r="T1623" s="6">
        <v>592.79</v>
      </c>
      <c r="U1623" s="6">
        <v>3359.15</v>
      </c>
      <c r="V1623" s="6">
        <v>2858.96</v>
      </c>
      <c r="W1623" s="6">
        <v>500.19</v>
      </c>
      <c r="X1623" s="6" t="s">
        <v>45</v>
      </c>
    </row>
    <row r="1624" spans="1:24" x14ac:dyDescent="0.25">
      <c r="A1624" s="5" t="s">
        <v>2121</v>
      </c>
      <c r="B1624" s="18">
        <v>45453</v>
      </c>
      <c r="C1624" s="7" t="s">
        <v>1394</v>
      </c>
      <c r="D1624" s="7" t="s">
        <v>156</v>
      </c>
      <c r="E1624" s="7" t="s">
        <v>66</v>
      </c>
      <c r="F1624" s="7" t="s">
        <v>67</v>
      </c>
      <c r="G1624" s="7" t="s">
        <v>38</v>
      </c>
      <c r="H1624" s="7" t="s">
        <v>68</v>
      </c>
      <c r="I1624" s="7" t="s">
        <v>40</v>
      </c>
      <c r="J1624" s="7" t="s">
        <v>82</v>
      </c>
      <c r="K1624" s="7" t="s">
        <v>69</v>
      </c>
      <c r="L1624" s="7" t="s">
        <v>2663</v>
      </c>
      <c r="M1624" s="7" t="s">
        <v>30</v>
      </c>
      <c r="N1624" s="7" t="s">
        <v>44</v>
      </c>
      <c r="O1624" s="7">
        <v>2</v>
      </c>
      <c r="P1624" s="7">
        <v>151.69</v>
      </c>
      <c r="Q1624" s="7">
        <v>110.9</v>
      </c>
      <c r="R1624" s="7">
        <v>303.38</v>
      </c>
      <c r="S1624" s="7">
        <v>0</v>
      </c>
      <c r="T1624" s="7">
        <v>0</v>
      </c>
      <c r="U1624" s="7">
        <v>303.38</v>
      </c>
      <c r="V1624" s="7">
        <v>221.79</v>
      </c>
      <c r="W1624" s="7">
        <v>81.59</v>
      </c>
      <c r="X1624" s="7" t="s">
        <v>45</v>
      </c>
    </row>
    <row r="1625" spans="1:24" x14ac:dyDescent="0.25">
      <c r="A1625" s="16" t="s">
        <v>2122</v>
      </c>
      <c r="B1625" s="17">
        <v>45366</v>
      </c>
      <c r="C1625" s="6" t="s">
        <v>131</v>
      </c>
      <c r="D1625" s="6" t="s">
        <v>65</v>
      </c>
      <c r="E1625" s="6" t="s">
        <v>141</v>
      </c>
      <c r="F1625" s="6" t="s">
        <v>142</v>
      </c>
      <c r="G1625" s="6" t="s">
        <v>25</v>
      </c>
      <c r="H1625" s="6" t="s">
        <v>26</v>
      </c>
      <c r="I1625" s="6" t="s">
        <v>27</v>
      </c>
      <c r="J1625" s="6" t="s">
        <v>106</v>
      </c>
      <c r="K1625" s="6" t="s">
        <v>184</v>
      </c>
      <c r="L1625" s="6" t="s">
        <v>2672</v>
      </c>
      <c r="M1625" s="6" t="s">
        <v>61</v>
      </c>
      <c r="N1625" s="6" t="s">
        <v>31</v>
      </c>
      <c r="O1625" s="6">
        <v>18</v>
      </c>
      <c r="P1625" s="6">
        <v>100.11</v>
      </c>
      <c r="Q1625" s="6">
        <v>59.82</v>
      </c>
      <c r="R1625" s="6">
        <v>1801.92</v>
      </c>
      <c r="S1625" s="6">
        <v>0</v>
      </c>
      <c r="T1625" s="6">
        <v>0</v>
      </c>
      <c r="U1625" s="6">
        <v>1801.92</v>
      </c>
      <c r="V1625" s="6">
        <v>1076.74</v>
      </c>
      <c r="W1625" s="6">
        <v>725.19</v>
      </c>
      <c r="X1625" s="6" t="s">
        <v>45</v>
      </c>
    </row>
    <row r="1626" spans="1:24" x14ac:dyDescent="0.25">
      <c r="A1626" s="5" t="s">
        <v>2123</v>
      </c>
      <c r="B1626" s="18">
        <v>45615</v>
      </c>
      <c r="C1626" s="7" t="s">
        <v>645</v>
      </c>
      <c r="D1626" s="7" t="s">
        <v>149</v>
      </c>
      <c r="E1626" s="7" t="s">
        <v>78</v>
      </c>
      <c r="F1626" s="7" t="s">
        <v>79</v>
      </c>
      <c r="G1626" s="7" t="s">
        <v>80</v>
      </c>
      <c r="H1626" s="7" t="s">
        <v>81</v>
      </c>
      <c r="I1626" s="7" t="s">
        <v>40</v>
      </c>
      <c r="J1626" s="7" t="s">
        <v>82</v>
      </c>
      <c r="K1626" s="7" t="s">
        <v>178</v>
      </c>
      <c r="L1626" s="7" t="s">
        <v>256</v>
      </c>
      <c r="M1626" s="7" t="s">
        <v>61</v>
      </c>
      <c r="N1626" s="7" t="s">
        <v>44</v>
      </c>
      <c r="O1626" s="7">
        <v>22</v>
      </c>
      <c r="P1626" s="7">
        <v>139.63</v>
      </c>
      <c r="Q1626" s="7">
        <v>86.77</v>
      </c>
      <c r="R1626" s="7">
        <v>3071.82</v>
      </c>
      <c r="S1626" s="7">
        <v>0</v>
      </c>
      <c r="T1626" s="7">
        <v>0</v>
      </c>
      <c r="U1626" s="7">
        <v>3071.82</v>
      </c>
      <c r="V1626" s="7">
        <v>1908.93</v>
      </c>
      <c r="W1626" s="7">
        <v>1162.8900000000001</v>
      </c>
      <c r="X1626" s="7" t="s">
        <v>32</v>
      </c>
    </row>
    <row r="1627" spans="1:24" x14ac:dyDescent="0.25">
      <c r="A1627" s="16" t="s">
        <v>2124</v>
      </c>
      <c r="B1627" s="17">
        <v>45382</v>
      </c>
      <c r="C1627" s="6" t="s">
        <v>194</v>
      </c>
      <c r="D1627" s="6" t="s">
        <v>163</v>
      </c>
      <c r="E1627" s="6" t="s">
        <v>250</v>
      </c>
      <c r="F1627" s="6" t="s">
        <v>251</v>
      </c>
      <c r="G1627" s="6" t="s">
        <v>51</v>
      </c>
      <c r="H1627" s="6" t="s">
        <v>252</v>
      </c>
      <c r="I1627" s="6" t="s">
        <v>53</v>
      </c>
      <c r="J1627" s="6" t="s">
        <v>143</v>
      </c>
      <c r="K1627" s="6" t="s">
        <v>90</v>
      </c>
      <c r="L1627" s="6" t="s">
        <v>2666</v>
      </c>
      <c r="M1627" s="6" t="s">
        <v>153</v>
      </c>
      <c r="N1627" s="6" t="s">
        <v>31</v>
      </c>
      <c r="O1627" s="6">
        <v>60</v>
      </c>
      <c r="P1627" s="6">
        <v>63.7</v>
      </c>
      <c r="Q1627" s="6">
        <v>35.97</v>
      </c>
      <c r="R1627" s="6">
        <v>3821.72</v>
      </c>
      <c r="S1627" s="6">
        <v>0.05</v>
      </c>
      <c r="T1627" s="6">
        <v>191.09</v>
      </c>
      <c r="U1627" s="6">
        <v>3630.63</v>
      </c>
      <c r="V1627" s="6">
        <v>2158.4699999999998</v>
      </c>
      <c r="W1627" s="6">
        <v>1472.16</v>
      </c>
      <c r="X1627" s="6" t="s">
        <v>129</v>
      </c>
    </row>
    <row r="1628" spans="1:24" x14ac:dyDescent="0.25">
      <c r="A1628" s="5" t="s">
        <v>2125</v>
      </c>
      <c r="B1628" s="18">
        <v>45400</v>
      </c>
      <c r="C1628" s="7" t="s">
        <v>559</v>
      </c>
      <c r="D1628" s="7" t="s">
        <v>221</v>
      </c>
      <c r="E1628" s="7" t="s">
        <v>150</v>
      </c>
      <c r="F1628" s="7" t="s">
        <v>151</v>
      </c>
      <c r="G1628" s="7" t="s">
        <v>101</v>
      </c>
      <c r="H1628" s="7" t="s">
        <v>134</v>
      </c>
      <c r="I1628" s="7" t="s">
        <v>58</v>
      </c>
      <c r="J1628" s="7" t="s">
        <v>73</v>
      </c>
      <c r="K1628" s="7" t="s">
        <v>218</v>
      </c>
      <c r="L1628" s="7" t="s">
        <v>2674</v>
      </c>
      <c r="M1628" s="7" t="s">
        <v>30</v>
      </c>
      <c r="N1628" s="7" t="s">
        <v>84</v>
      </c>
      <c r="O1628" s="7">
        <v>70</v>
      </c>
      <c r="P1628" s="7">
        <v>79.08</v>
      </c>
      <c r="Q1628" s="7">
        <v>54.66</v>
      </c>
      <c r="R1628" s="7">
        <v>5535.93</v>
      </c>
      <c r="S1628" s="7">
        <v>0.2</v>
      </c>
      <c r="T1628" s="7">
        <v>1107.19</v>
      </c>
      <c r="U1628" s="7">
        <v>4428.74</v>
      </c>
      <c r="V1628" s="7">
        <v>3826.4</v>
      </c>
      <c r="W1628" s="7">
        <v>602.34</v>
      </c>
      <c r="X1628" s="7" t="s">
        <v>45</v>
      </c>
    </row>
    <row r="1629" spans="1:24" x14ac:dyDescent="0.25">
      <c r="A1629" s="16" t="s">
        <v>2126</v>
      </c>
      <c r="B1629" s="17">
        <v>45564</v>
      </c>
      <c r="C1629" s="6" t="s">
        <v>328</v>
      </c>
      <c r="D1629" s="6" t="s">
        <v>159</v>
      </c>
      <c r="E1629" s="6" t="s">
        <v>222</v>
      </c>
      <c r="F1629" s="6" t="s">
        <v>223</v>
      </c>
      <c r="G1629" s="6" t="s">
        <v>101</v>
      </c>
      <c r="H1629" s="6" t="s">
        <v>68</v>
      </c>
      <c r="I1629" s="6" t="s">
        <v>53</v>
      </c>
      <c r="J1629" s="6" t="s">
        <v>54</v>
      </c>
      <c r="K1629" s="6" t="s">
        <v>265</v>
      </c>
      <c r="L1629" s="6" t="s">
        <v>2678</v>
      </c>
      <c r="M1629" s="6" t="s">
        <v>153</v>
      </c>
      <c r="N1629" s="6" t="s">
        <v>84</v>
      </c>
      <c r="O1629" s="6">
        <v>67</v>
      </c>
      <c r="P1629" s="6">
        <v>123.97</v>
      </c>
      <c r="Q1629" s="6">
        <v>79.37</v>
      </c>
      <c r="R1629" s="6">
        <v>8305.81</v>
      </c>
      <c r="S1629" s="6">
        <v>0.15</v>
      </c>
      <c r="T1629" s="6">
        <v>1245.8699999999999</v>
      </c>
      <c r="U1629" s="6">
        <v>7059.94</v>
      </c>
      <c r="V1629" s="6">
        <v>5317.98</v>
      </c>
      <c r="W1629" s="6">
        <v>1741.95</v>
      </c>
      <c r="X1629" s="6" t="s">
        <v>45</v>
      </c>
    </row>
    <row r="1630" spans="1:24" x14ac:dyDescent="0.25">
      <c r="A1630" s="5" t="s">
        <v>2127</v>
      </c>
      <c r="B1630" s="18">
        <v>45296</v>
      </c>
      <c r="C1630" s="7" t="s">
        <v>182</v>
      </c>
      <c r="D1630" s="7" t="s">
        <v>35</v>
      </c>
      <c r="E1630" s="7" t="s">
        <v>93</v>
      </c>
      <c r="F1630" s="7" t="s">
        <v>94</v>
      </c>
      <c r="G1630" s="7" t="s">
        <v>95</v>
      </c>
      <c r="H1630" s="7" t="s">
        <v>96</v>
      </c>
      <c r="I1630" s="7" t="s">
        <v>58</v>
      </c>
      <c r="J1630" s="7" t="s">
        <v>345</v>
      </c>
      <c r="K1630" s="7" t="s">
        <v>83</v>
      </c>
      <c r="L1630" s="7" t="s">
        <v>2665</v>
      </c>
      <c r="M1630" s="7" t="s">
        <v>61</v>
      </c>
      <c r="N1630" s="7" t="s">
        <v>31</v>
      </c>
      <c r="O1630" s="7">
        <v>41</v>
      </c>
      <c r="P1630" s="7">
        <v>54.75</v>
      </c>
      <c r="Q1630" s="7">
        <v>33.65</v>
      </c>
      <c r="R1630" s="7">
        <v>2244.6</v>
      </c>
      <c r="S1630" s="7">
        <v>0.2</v>
      </c>
      <c r="T1630" s="7">
        <v>448.92</v>
      </c>
      <c r="U1630" s="7">
        <v>1795.68</v>
      </c>
      <c r="V1630" s="7">
        <v>1379.52</v>
      </c>
      <c r="W1630" s="7">
        <v>416.16</v>
      </c>
      <c r="X1630" s="7" t="s">
        <v>32</v>
      </c>
    </row>
    <row r="1631" spans="1:24" x14ac:dyDescent="0.25">
      <c r="A1631" s="16" t="s">
        <v>913</v>
      </c>
      <c r="B1631" s="17">
        <v>45396</v>
      </c>
      <c r="C1631" s="6" t="s">
        <v>757</v>
      </c>
      <c r="D1631" s="6" t="s">
        <v>163</v>
      </c>
      <c r="E1631" s="6" t="s">
        <v>78</v>
      </c>
      <c r="F1631" s="6" t="s">
        <v>79</v>
      </c>
      <c r="G1631" s="6" t="s">
        <v>80</v>
      </c>
      <c r="H1631" s="6" t="s">
        <v>81</v>
      </c>
      <c r="I1631" s="6" t="s">
        <v>40</v>
      </c>
      <c r="J1631" s="6" t="s">
        <v>289</v>
      </c>
      <c r="K1631" s="6" t="s">
        <v>144</v>
      </c>
      <c r="L1631" s="6" t="s">
        <v>2669</v>
      </c>
      <c r="M1631" s="6" t="s">
        <v>43</v>
      </c>
      <c r="N1631" s="6" t="s">
        <v>84</v>
      </c>
      <c r="O1631" s="6">
        <v>60</v>
      </c>
      <c r="P1631" s="6">
        <v>150.01</v>
      </c>
      <c r="Q1631" s="6">
        <v>76.83</v>
      </c>
      <c r="R1631" s="6">
        <v>9000.41</v>
      </c>
      <c r="S1631" s="6">
        <v>0.15</v>
      </c>
      <c r="T1631" s="6">
        <v>1350.06</v>
      </c>
      <c r="U1631" s="6">
        <v>7650.35</v>
      </c>
      <c r="V1631" s="6">
        <v>4609.7700000000004</v>
      </c>
      <c r="W1631" s="6">
        <v>3040.58</v>
      </c>
      <c r="X1631" s="6" t="s">
        <v>129</v>
      </c>
    </row>
    <row r="1632" spans="1:24" x14ac:dyDescent="0.25">
      <c r="A1632" s="5" t="s">
        <v>2128</v>
      </c>
      <c r="B1632" s="18">
        <v>45503</v>
      </c>
      <c r="C1632" s="7" t="s">
        <v>681</v>
      </c>
      <c r="D1632" s="7" t="s">
        <v>105</v>
      </c>
      <c r="E1632" s="7" t="s">
        <v>93</v>
      </c>
      <c r="F1632" s="7" t="s">
        <v>94</v>
      </c>
      <c r="G1632" s="7" t="s">
        <v>95</v>
      </c>
      <c r="H1632" s="7" t="s">
        <v>96</v>
      </c>
      <c r="I1632" s="7" t="s">
        <v>27</v>
      </c>
      <c r="J1632" s="7" t="s">
        <v>106</v>
      </c>
      <c r="K1632" s="7" t="s">
        <v>261</v>
      </c>
      <c r="L1632" s="7" t="s">
        <v>2677</v>
      </c>
      <c r="M1632" s="7" t="s">
        <v>61</v>
      </c>
      <c r="N1632" s="7" t="s">
        <v>75</v>
      </c>
      <c r="O1632" s="7">
        <v>53</v>
      </c>
      <c r="P1632" s="7">
        <v>55.95</v>
      </c>
      <c r="Q1632" s="7">
        <v>32.06</v>
      </c>
      <c r="R1632" s="7">
        <v>2965.25</v>
      </c>
      <c r="S1632" s="7">
        <v>0.05</v>
      </c>
      <c r="T1632" s="7">
        <v>148.26</v>
      </c>
      <c r="U1632" s="7">
        <v>2816.99</v>
      </c>
      <c r="V1632" s="7">
        <v>1699.44</v>
      </c>
      <c r="W1632" s="7">
        <v>1117.54</v>
      </c>
      <c r="X1632" s="7" t="s">
        <v>45</v>
      </c>
    </row>
    <row r="1633" spans="1:24" x14ac:dyDescent="0.25">
      <c r="A1633" s="16" t="s">
        <v>2129</v>
      </c>
      <c r="B1633" s="17">
        <v>45385</v>
      </c>
      <c r="C1633" s="6" t="s">
        <v>1159</v>
      </c>
      <c r="D1633" s="6" t="s">
        <v>159</v>
      </c>
      <c r="E1633" s="6" t="s">
        <v>250</v>
      </c>
      <c r="F1633" s="6" t="s">
        <v>251</v>
      </c>
      <c r="G1633" s="6" t="s">
        <v>51</v>
      </c>
      <c r="H1633" s="6" t="s">
        <v>252</v>
      </c>
      <c r="I1633" s="6" t="s">
        <v>88</v>
      </c>
      <c r="J1633" s="6" t="s">
        <v>183</v>
      </c>
      <c r="K1633" s="6" t="s">
        <v>178</v>
      </c>
      <c r="L1633" s="6" t="s">
        <v>256</v>
      </c>
      <c r="M1633" s="6" t="s">
        <v>30</v>
      </c>
      <c r="N1633" s="6" t="s">
        <v>84</v>
      </c>
      <c r="O1633" s="6">
        <v>64</v>
      </c>
      <c r="P1633" s="6">
        <v>61.41</v>
      </c>
      <c r="Q1633" s="6">
        <v>40.700000000000003</v>
      </c>
      <c r="R1633" s="6">
        <v>3930.25</v>
      </c>
      <c r="S1633" s="6">
        <v>0.05</v>
      </c>
      <c r="T1633" s="6">
        <v>196.51</v>
      </c>
      <c r="U1633" s="6">
        <v>3733.74</v>
      </c>
      <c r="V1633" s="6">
        <v>2605.06</v>
      </c>
      <c r="W1633" s="6">
        <v>1128.69</v>
      </c>
      <c r="X1633" s="6" t="s">
        <v>32</v>
      </c>
    </row>
    <row r="1634" spans="1:24" x14ac:dyDescent="0.25">
      <c r="A1634" s="5" t="s">
        <v>2130</v>
      </c>
      <c r="B1634" s="18">
        <v>45414</v>
      </c>
      <c r="C1634" s="7" t="s">
        <v>557</v>
      </c>
      <c r="D1634" s="7" t="s">
        <v>159</v>
      </c>
      <c r="E1634" s="7" t="s">
        <v>216</v>
      </c>
      <c r="F1634" s="7" t="s">
        <v>217</v>
      </c>
      <c r="G1634" s="7" t="s">
        <v>38</v>
      </c>
      <c r="H1634" s="7" t="s">
        <v>134</v>
      </c>
      <c r="I1634" s="7" t="s">
        <v>88</v>
      </c>
      <c r="J1634" s="7" t="s">
        <v>183</v>
      </c>
      <c r="K1634" s="7" t="s">
        <v>184</v>
      </c>
      <c r="L1634" s="7" t="s">
        <v>2672</v>
      </c>
      <c r="M1634" s="7" t="s">
        <v>61</v>
      </c>
      <c r="N1634" s="7" t="s">
        <v>75</v>
      </c>
      <c r="O1634" s="7">
        <v>70</v>
      </c>
      <c r="P1634" s="7">
        <v>110.46</v>
      </c>
      <c r="Q1634" s="7">
        <v>69.48</v>
      </c>
      <c r="R1634" s="7">
        <v>7732.53</v>
      </c>
      <c r="S1634" s="7">
        <v>0</v>
      </c>
      <c r="T1634" s="7">
        <v>0</v>
      </c>
      <c r="U1634" s="7">
        <v>7732.53</v>
      </c>
      <c r="V1634" s="7">
        <v>4863.78</v>
      </c>
      <c r="W1634" s="7">
        <v>2868.74</v>
      </c>
      <c r="X1634" s="7" t="s">
        <v>45</v>
      </c>
    </row>
    <row r="1635" spans="1:24" x14ac:dyDescent="0.25">
      <c r="A1635" s="16" t="s">
        <v>2131</v>
      </c>
      <c r="B1635" s="17">
        <v>45649</v>
      </c>
      <c r="C1635" s="6" t="s">
        <v>666</v>
      </c>
      <c r="D1635" s="6" t="s">
        <v>156</v>
      </c>
      <c r="E1635" s="6" t="s">
        <v>216</v>
      </c>
      <c r="F1635" s="6" t="s">
        <v>217</v>
      </c>
      <c r="G1635" s="6" t="s">
        <v>38</v>
      </c>
      <c r="H1635" s="6" t="s">
        <v>134</v>
      </c>
      <c r="I1635" s="6" t="s">
        <v>88</v>
      </c>
      <c r="J1635" s="6" t="s">
        <v>89</v>
      </c>
      <c r="K1635" s="6" t="s">
        <v>152</v>
      </c>
      <c r="L1635" s="6" t="s">
        <v>2670</v>
      </c>
      <c r="M1635" s="6" t="s">
        <v>30</v>
      </c>
      <c r="N1635" s="6" t="s">
        <v>70</v>
      </c>
      <c r="O1635" s="6">
        <v>12</v>
      </c>
      <c r="P1635" s="6">
        <v>112.12</v>
      </c>
      <c r="Q1635" s="6">
        <v>69.599999999999994</v>
      </c>
      <c r="R1635" s="6">
        <v>1345.44</v>
      </c>
      <c r="S1635" s="6">
        <v>0.15</v>
      </c>
      <c r="T1635" s="6">
        <v>201.82</v>
      </c>
      <c r="U1635" s="6">
        <v>1143.6300000000001</v>
      </c>
      <c r="V1635" s="6">
        <v>835.16</v>
      </c>
      <c r="W1635" s="6">
        <v>308.45999999999998</v>
      </c>
      <c r="X1635" s="6" t="s">
        <v>45</v>
      </c>
    </row>
    <row r="1636" spans="1:24" x14ac:dyDescent="0.25">
      <c r="A1636" s="5" t="s">
        <v>2132</v>
      </c>
      <c r="B1636" s="18">
        <v>45400</v>
      </c>
      <c r="C1636" s="7" t="s">
        <v>237</v>
      </c>
      <c r="D1636" s="7" t="s">
        <v>105</v>
      </c>
      <c r="E1636" s="7" t="s">
        <v>36</v>
      </c>
      <c r="F1636" s="7" t="s">
        <v>37</v>
      </c>
      <c r="G1636" s="7" t="s">
        <v>38</v>
      </c>
      <c r="H1636" s="7" t="s">
        <v>39</v>
      </c>
      <c r="I1636" s="7" t="s">
        <v>520</v>
      </c>
      <c r="J1636" s="7" t="s">
        <v>232</v>
      </c>
      <c r="K1636" s="7" t="s">
        <v>195</v>
      </c>
      <c r="L1636" s="7" t="s">
        <v>2673</v>
      </c>
      <c r="M1636" s="7" t="s">
        <v>30</v>
      </c>
      <c r="N1636" s="7" t="s">
        <v>75</v>
      </c>
      <c r="O1636" s="7">
        <v>52</v>
      </c>
      <c r="P1636" s="7">
        <v>157.75</v>
      </c>
      <c r="Q1636" s="7">
        <v>95.06</v>
      </c>
      <c r="R1636" s="7">
        <v>8202.92</v>
      </c>
      <c r="S1636" s="7">
        <v>0.15</v>
      </c>
      <c r="T1636" s="7">
        <v>1230.44</v>
      </c>
      <c r="U1636" s="7">
        <v>6972.48</v>
      </c>
      <c r="V1636" s="7">
        <v>4942.88</v>
      </c>
      <c r="W1636" s="7">
        <v>2029.6</v>
      </c>
      <c r="X1636" s="7" t="s">
        <v>129</v>
      </c>
    </row>
    <row r="1637" spans="1:24" x14ac:dyDescent="0.25">
      <c r="A1637" s="16" t="s">
        <v>2133</v>
      </c>
      <c r="B1637" s="17">
        <v>45606</v>
      </c>
      <c r="C1637" s="6"/>
      <c r="D1637" s="6"/>
      <c r="E1637" s="6" t="s">
        <v>216</v>
      </c>
      <c r="F1637" s="6" t="s">
        <v>217</v>
      </c>
      <c r="G1637" s="6" t="s">
        <v>38</v>
      </c>
      <c r="H1637" s="6" t="s">
        <v>134</v>
      </c>
      <c r="I1637" s="6" t="s">
        <v>88</v>
      </c>
      <c r="J1637" s="6" t="s">
        <v>183</v>
      </c>
      <c r="K1637" s="6" t="s">
        <v>29</v>
      </c>
      <c r="L1637" s="6" t="s">
        <v>2660</v>
      </c>
      <c r="M1637" s="6" t="s">
        <v>30</v>
      </c>
      <c r="N1637" s="6" t="s">
        <v>70</v>
      </c>
      <c r="O1637" s="6">
        <v>16</v>
      </c>
      <c r="P1637" s="6">
        <v>105.45</v>
      </c>
      <c r="Q1637" s="6">
        <v>62.07</v>
      </c>
      <c r="R1637" s="6">
        <v>1687.21</v>
      </c>
      <c r="S1637" s="6">
        <v>0</v>
      </c>
      <c r="T1637" s="6">
        <v>0</v>
      </c>
      <c r="U1637" s="6">
        <v>1687.21</v>
      </c>
      <c r="V1637" s="6">
        <v>993.16</v>
      </c>
      <c r="W1637" s="6">
        <v>694.04</v>
      </c>
      <c r="X1637" s="6" t="s">
        <v>32</v>
      </c>
    </row>
    <row r="1638" spans="1:24" x14ac:dyDescent="0.25">
      <c r="A1638" s="5" t="s">
        <v>2134</v>
      </c>
      <c r="B1638" s="18">
        <v>45313</v>
      </c>
      <c r="C1638" s="7" t="s">
        <v>717</v>
      </c>
      <c r="D1638" s="7" t="s">
        <v>35</v>
      </c>
      <c r="E1638" s="7" t="s">
        <v>126</v>
      </c>
      <c r="F1638" s="7" t="s">
        <v>127</v>
      </c>
      <c r="G1638" s="7" t="s">
        <v>95</v>
      </c>
      <c r="H1638" s="7" t="s">
        <v>128</v>
      </c>
      <c r="I1638" s="7" t="s">
        <v>53</v>
      </c>
      <c r="J1638" s="7" t="s">
        <v>232</v>
      </c>
      <c r="K1638" s="7" t="s">
        <v>60</v>
      </c>
      <c r="L1638" s="7" t="s">
        <v>2662</v>
      </c>
      <c r="M1638" s="7" t="s">
        <v>153</v>
      </c>
      <c r="N1638" s="7" t="s">
        <v>44</v>
      </c>
      <c r="O1638" s="7">
        <v>44</v>
      </c>
      <c r="P1638" s="7">
        <v>92.51</v>
      </c>
      <c r="Q1638" s="7">
        <v>49.2</v>
      </c>
      <c r="R1638" s="7">
        <v>4070.26</v>
      </c>
      <c r="S1638" s="7">
        <v>0.15</v>
      </c>
      <c r="T1638" s="7">
        <v>610.54</v>
      </c>
      <c r="U1638" s="7">
        <v>3459.72</v>
      </c>
      <c r="V1638" s="7">
        <v>2164.7800000000002</v>
      </c>
      <c r="W1638" s="7">
        <v>1294.94</v>
      </c>
      <c r="X1638" s="7" t="s">
        <v>129</v>
      </c>
    </row>
    <row r="1639" spans="1:24" x14ac:dyDescent="0.25">
      <c r="A1639" s="16" t="s">
        <v>2135</v>
      </c>
      <c r="B1639" s="17">
        <v>45452</v>
      </c>
      <c r="C1639" s="6" t="s">
        <v>506</v>
      </c>
      <c r="D1639" s="6" t="s">
        <v>264</v>
      </c>
      <c r="E1639" s="6" t="s">
        <v>222</v>
      </c>
      <c r="F1639" s="6" t="s">
        <v>223</v>
      </c>
      <c r="G1639" s="6" t="s">
        <v>101</v>
      </c>
      <c r="H1639" s="6" t="s">
        <v>68</v>
      </c>
      <c r="I1639" s="6" t="s">
        <v>58</v>
      </c>
      <c r="J1639" s="6" t="s">
        <v>73</v>
      </c>
      <c r="K1639" s="6" t="s">
        <v>265</v>
      </c>
      <c r="L1639" s="6" t="s">
        <v>2678</v>
      </c>
      <c r="M1639" s="6" t="s">
        <v>61</v>
      </c>
      <c r="N1639" s="6" t="s">
        <v>70</v>
      </c>
      <c r="O1639" s="6">
        <v>12</v>
      </c>
      <c r="P1639" s="6">
        <v>117.92</v>
      </c>
      <c r="Q1639" s="6">
        <v>76.91</v>
      </c>
      <c r="R1639" s="6">
        <v>1415.01</v>
      </c>
      <c r="S1639" s="6">
        <v>0.2</v>
      </c>
      <c r="T1639" s="6">
        <v>283</v>
      </c>
      <c r="U1639" s="6">
        <v>1132.01</v>
      </c>
      <c r="V1639" s="6">
        <v>922.91</v>
      </c>
      <c r="W1639" s="6">
        <v>209.09</v>
      </c>
      <c r="X1639" s="6" t="s">
        <v>45</v>
      </c>
    </row>
    <row r="1640" spans="1:24" x14ac:dyDescent="0.25">
      <c r="A1640" s="5" t="s">
        <v>2136</v>
      </c>
      <c r="B1640" s="18">
        <v>45343</v>
      </c>
      <c r="C1640" s="7" t="s">
        <v>392</v>
      </c>
      <c r="D1640" s="7" t="s">
        <v>393</v>
      </c>
      <c r="E1640" s="7" t="s">
        <v>250</v>
      </c>
      <c r="F1640" s="7" t="s">
        <v>251</v>
      </c>
      <c r="G1640" s="7" t="s">
        <v>51</v>
      </c>
      <c r="H1640" s="7" t="s">
        <v>252</v>
      </c>
      <c r="I1640" s="7" t="s">
        <v>27</v>
      </c>
      <c r="J1640" s="7" t="s">
        <v>189</v>
      </c>
      <c r="K1640" s="7" t="s">
        <v>90</v>
      </c>
      <c r="L1640" s="7" t="s">
        <v>2666</v>
      </c>
      <c r="M1640" s="7" t="s">
        <v>43</v>
      </c>
      <c r="N1640" s="7" t="s">
        <v>75</v>
      </c>
      <c r="O1640" s="7">
        <v>60</v>
      </c>
      <c r="P1640" s="7">
        <v>63.68</v>
      </c>
      <c r="Q1640" s="7">
        <v>36.51</v>
      </c>
      <c r="R1640" s="7">
        <v>3821.04</v>
      </c>
      <c r="S1640" s="7">
        <v>0.15</v>
      </c>
      <c r="T1640" s="7">
        <v>573.16</v>
      </c>
      <c r="U1640" s="7">
        <v>3247.88</v>
      </c>
      <c r="V1640" s="7">
        <v>2190.75</v>
      </c>
      <c r="W1640" s="7">
        <v>1057.1400000000001</v>
      </c>
      <c r="X1640" s="7" t="s">
        <v>285</v>
      </c>
    </row>
    <row r="1641" spans="1:24" x14ac:dyDescent="0.25">
      <c r="A1641" s="16" t="s">
        <v>2137</v>
      </c>
      <c r="B1641" s="17">
        <v>45376</v>
      </c>
      <c r="C1641" s="6" t="s">
        <v>56</v>
      </c>
      <c r="D1641" s="6" t="s">
        <v>57</v>
      </c>
      <c r="E1641" s="6" t="s">
        <v>99</v>
      </c>
      <c r="F1641" s="6" t="s">
        <v>100</v>
      </c>
      <c r="G1641" s="6" t="s">
        <v>101</v>
      </c>
      <c r="H1641" s="6" t="s">
        <v>102</v>
      </c>
      <c r="I1641" s="6" t="s">
        <v>58</v>
      </c>
      <c r="J1641" s="6" t="s">
        <v>73</v>
      </c>
      <c r="K1641" s="6" t="s">
        <v>69</v>
      </c>
      <c r="L1641" s="6" t="s">
        <v>2663</v>
      </c>
      <c r="M1641" s="6" t="s">
        <v>43</v>
      </c>
      <c r="N1641" s="6" t="s">
        <v>44</v>
      </c>
      <c r="O1641" s="6">
        <v>79</v>
      </c>
      <c r="P1641" s="6">
        <v>68.790000000000006</v>
      </c>
      <c r="Q1641" s="6">
        <v>40.590000000000003</v>
      </c>
      <c r="R1641" s="6">
        <v>5434.66</v>
      </c>
      <c r="S1641" s="6">
        <v>0.02</v>
      </c>
      <c r="T1641" s="6">
        <v>108.69</v>
      </c>
      <c r="U1641" s="6">
        <v>5325.96</v>
      </c>
      <c r="V1641" s="6">
        <v>3206.6</v>
      </c>
      <c r="W1641" s="6">
        <v>2119.37</v>
      </c>
      <c r="X1641" s="6" t="s">
        <v>45</v>
      </c>
    </row>
    <row r="1642" spans="1:24" x14ac:dyDescent="0.25">
      <c r="A1642" s="5" t="s">
        <v>2138</v>
      </c>
      <c r="B1642" s="18">
        <v>45292</v>
      </c>
      <c r="C1642" s="7" t="s">
        <v>325</v>
      </c>
      <c r="D1642" s="7" t="s">
        <v>35</v>
      </c>
      <c r="E1642" s="7" t="s">
        <v>49</v>
      </c>
      <c r="F1642" s="7" t="s">
        <v>50</v>
      </c>
      <c r="G1642" s="7" t="s">
        <v>51</v>
      </c>
      <c r="H1642" s="7" t="s">
        <v>52</v>
      </c>
      <c r="I1642" s="7" t="s">
        <v>58</v>
      </c>
      <c r="J1642" s="7" t="s">
        <v>73</v>
      </c>
      <c r="K1642" s="7" t="s">
        <v>69</v>
      </c>
      <c r="L1642" s="7" t="s">
        <v>2663</v>
      </c>
      <c r="M1642" s="7" t="s">
        <v>153</v>
      </c>
      <c r="N1642" s="7" t="s">
        <v>75</v>
      </c>
      <c r="O1642" s="7">
        <v>-5</v>
      </c>
      <c r="P1642" s="7">
        <v>26.17</v>
      </c>
      <c r="Q1642" s="7">
        <v>12.1</v>
      </c>
      <c r="R1642" s="7">
        <v>392.57</v>
      </c>
      <c r="S1642" s="7">
        <v>0.1</v>
      </c>
      <c r="T1642" s="7">
        <v>39.26</v>
      </c>
      <c r="U1642" s="7">
        <v>353.31</v>
      </c>
      <c r="V1642" s="7">
        <v>181.55</v>
      </c>
      <c r="W1642" s="7">
        <v>171.75</v>
      </c>
      <c r="X1642" s="7" t="s">
        <v>32</v>
      </c>
    </row>
    <row r="1643" spans="1:24" x14ac:dyDescent="0.25">
      <c r="A1643" s="16" t="s">
        <v>2139</v>
      </c>
      <c r="B1643" s="17">
        <v>45485</v>
      </c>
      <c r="C1643" s="6" t="s">
        <v>387</v>
      </c>
      <c r="D1643" s="6" t="s">
        <v>22</v>
      </c>
      <c r="E1643" s="6" t="s">
        <v>23</v>
      </c>
      <c r="F1643" s="6" t="s">
        <v>24</v>
      </c>
      <c r="G1643" s="6" t="s">
        <v>25</v>
      </c>
      <c r="H1643" s="6" t="s">
        <v>26</v>
      </c>
      <c r="I1643" s="6" t="s">
        <v>40</v>
      </c>
      <c r="J1643" s="6" t="s">
        <v>41</v>
      </c>
      <c r="K1643" s="6" t="s">
        <v>90</v>
      </c>
      <c r="L1643" s="6" t="s">
        <v>2666</v>
      </c>
      <c r="M1643" s="6" t="s">
        <v>153</v>
      </c>
      <c r="N1643" s="6" t="s">
        <v>44</v>
      </c>
      <c r="O1643" s="6">
        <v>67</v>
      </c>
      <c r="P1643" s="6">
        <v>77.69</v>
      </c>
      <c r="Q1643" s="6">
        <v>44.55</v>
      </c>
      <c r="R1643" s="6">
        <v>5205.37</v>
      </c>
      <c r="S1643" s="6">
        <v>0.2</v>
      </c>
      <c r="T1643" s="6">
        <v>1041.07</v>
      </c>
      <c r="U1643" s="6">
        <v>4164.29</v>
      </c>
      <c r="V1643" s="6">
        <v>2984.97</v>
      </c>
      <c r="W1643" s="6">
        <v>1179.32</v>
      </c>
      <c r="X1643" s="6" t="s">
        <v>32</v>
      </c>
    </row>
    <row r="1644" spans="1:24" x14ac:dyDescent="0.25">
      <c r="A1644" s="5" t="s">
        <v>2140</v>
      </c>
      <c r="B1644" s="18">
        <v>45527</v>
      </c>
      <c r="C1644" s="7" t="s">
        <v>426</v>
      </c>
      <c r="D1644" s="7" t="s">
        <v>57</v>
      </c>
      <c r="E1644" s="7" t="s">
        <v>165</v>
      </c>
      <c r="F1644" s="7" t="s">
        <v>166</v>
      </c>
      <c r="G1644" s="7" t="s">
        <v>95</v>
      </c>
      <c r="H1644" s="7" t="s">
        <v>167</v>
      </c>
      <c r="I1644" s="7" t="s">
        <v>452</v>
      </c>
      <c r="J1644" s="7" t="s">
        <v>106</v>
      </c>
      <c r="K1644" s="7" t="s">
        <v>83</v>
      </c>
      <c r="L1644" s="7" t="s">
        <v>2665</v>
      </c>
      <c r="M1644" s="7" t="s">
        <v>43</v>
      </c>
      <c r="N1644" s="7" t="s">
        <v>70</v>
      </c>
      <c r="O1644" s="7">
        <v>22</v>
      </c>
      <c r="P1644" s="7">
        <v>39.78</v>
      </c>
      <c r="Q1644" s="7">
        <v>23.78</v>
      </c>
      <c r="R1644" s="7">
        <v>875.2</v>
      </c>
      <c r="S1644" s="7">
        <v>0.2</v>
      </c>
      <c r="T1644" s="7">
        <v>175.04</v>
      </c>
      <c r="U1644" s="7">
        <v>700.16</v>
      </c>
      <c r="V1644" s="7">
        <v>523.16</v>
      </c>
      <c r="W1644" s="7">
        <v>177</v>
      </c>
      <c r="X1644" s="7" t="s">
        <v>45</v>
      </c>
    </row>
    <row r="1645" spans="1:24" x14ac:dyDescent="0.25">
      <c r="A1645" s="16" t="s">
        <v>2141</v>
      </c>
      <c r="B1645" s="17">
        <v>45606</v>
      </c>
      <c r="C1645" s="6" t="s">
        <v>56</v>
      </c>
      <c r="D1645" s="6" t="s">
        <v>57</v>
      </c>
      <c r="E1645" s="6" t="s">
        <v>66</v>
      </c>
      <c r="F1645" s="6" t="s">
        <v>67</v>
      </c>
      <c r="G1645" s="6" t="s">
        <v>38</v>
      </c>
      <c r="H1645" s="6" t="s">
        <v>68</v>
      </c>
      <c r="I1645" s="6" t="s">
        <v>27</v>
      </c>
      <c r="J1645" s="6" t="s">
        <v>211</v>
      </c>
      <c r="K1645" s="6" t="s">
        <v>265</v>
      </c>
      <c r="L1645" s="6" t="s">
        <v>2678</v>
      </c>
      <c r="M1645" s="6" t="s">
        <v>43</v>
      </c>
      <c r="N1645" s="6" t="s">
        <v>44</v>
      </c>
      <c r="O1645" s="6">
        <v>3</v>
      </c>
      <c r="P1645" s="6">
        <v>167.09</v>
      </c>
      <c r="Q1645" s="6">
        <v>104.97</v>
      </c>
      <c r="R1645" s="6">
        <v>501.28</v>
      </c>
      <c r="S1645" s="6">
        <v>0.02</v>
      </c>
      <c r="T1645" s="6">
        <v>10.029999999999999</v>
      </c>
      <c r="U1645" s="6">
        <v>491.26</v>
      </c>
      <c r="V1645" s="6">
        <v>314.92</v>
      </c>
      <c r="W1645" s="6">
        <v>176.34</v>
      </c>
      <c r="X1645" s="6" t="s">
        <v>45</v>
      </c>
    </row>
    <row r="1646" spans="1:24" x14ac:dyDescent="0.25">
      <c r="A1646" s="5" t="s">
        <v>2142</v>
      </c>
      <c r="B1646" s="18">
        <v>45596</v>
      </c>
      <c r="C1646" s="7" t="s">
        <v>276</v>
      </c>
      <c r="D1646" s="7" t="s">
        <v>221</v>
      </c>
      <c r="E1646" s="7" t="s">
        <v>222</v>
      </c>
      <c r="F1646" s="7" t="s">
        <v>223</v>
      </c>
      <c r="G1646" s="7" t="s">
        <v>101</v>
      </c>
      <c r="H1646" s="7" t="s">
        <v>68</v>
      </c>
      <c r="I1646" s="7" t="s">
        <v>88</v>
      </c>
      <c r="J1646" s="7" t="s">
        <v>173</v>
      </c>
      <c r="K1646" s="7" t="s">
        <v>178</v>
      </c>
      <c r="L1646" s="7" t="s">
        <v>256</v>
      </c>
      <c r="M1646" s="7" t="s">
        <v>43</v>
      </c>
      <c r="N1646" s="7" t="s">
        <v>44</v>
      </c>
      <c r="O1646" s="7">
        <v>9</v>
      </c>
      <c r="P1646" s="7">
        <v>128.44</v>
      </c>
      <c r="Q1646" s="7">
        <v>82.93</v>
      </c>
      <c r="R1646" s="7">
        <v>1155.95</v>
      </c>
      <c r="S1646" s="7">
        <v>0.2</v>
      </c>
      <c r="T1646" s="7">
        <v>231.19</v>
      </c>
      <c r="U1646" s="7">
        <v>924.76</v>
      </c>
      <c r="V1646" s="7">
        <v>746.35</v>
      </c>
      <c r="W1646" s="7">
        <v>178.41</v>
      </c>
      <c r="X1646" s="7" t="s">
        <v>45</v>
      </c>
    </row>
    <row r="1647" spans="1:24" x14ac:dyDescent="0.25">
      <c r="A1647" s="16" t="s">
        <v>2143</v>
      </c>
      <c r="B1647" s="17">
        <v>45350</v>
      </c>
      <c r="C1647" s="6" t="s">
        <v>541</v>
      </c>
      <c r="D1647" s="6" t="s">
        <v>159</v>
      </c>
      <c r="E1647" s="6" t="s">
        <v>216</v>
      </c>
      <c r="F1647" s="6" t="s">
        <v>217</v>
      </c>
      <c r="G1647" s="6" t="s">
        <v>38</v>
      </c>
      <c r="H1647" s="6" t="s">
        <v>134</v>
      </c>
      <c r="I1647" s="6" t="s">
        <v>53</v>
      </c>
      <c r="J1647" s="6" t="s">
        <v>232</v>
      </c>
      <c r="K1647" s="6" t="s">
        <v>42</v>
      </c>
      <c r="L1647" s="6" t="s">
        <v>2661</v>
      </c>
      <c r="M1647" s="6" t="s">
        <v>30</v>
      </c>
      <c r="N1647" s="6" t="s">
        <v>75</v>
      </c>
      <c r="O1647" s="6">
        <v>26</v>
      </c>
      <c r="P1647" s="6">
        <v>109.27</v>
      </c>
      <c r="Q1647" s="6">
        <v>65.41</v>
      </c>
      <c r="R1647" s="6">
        <v>2840.93</v>
      </c>
      <c r="S1647" s="6">
        <v>0</v>
      </c>
      <c r="T1647" s="6">
        <v>0</v>
      </c>
      <c r="U1647" s="6">
        <v>2840.93</v>
      </c>
      <c r="V1647" s="6">
        <v>1700.53</v>
      </c>
      <c r="W1647" s="6">
        <v>1140.4000000000001</v>
      </c>
      <c r="X1647" s="6" t="s">
        <v>45</v>
      </c>
    </row>
    <row r="1648" spans="1:24" x14ac:dyDescent="0.25">
      <c r="A1648" s="5" t="s">
        <v>2144</v>
      </c>
      <c r="B1648" s="18">
        <v>45622</v>
      </c>
      <c r="C1648" s="7" t="s">
        <v>945</v>
      </c>
      <c r="D1648" s="7" t="s">
        <v>159</v>
      </c>
      <c r="E1648" s="7" t="s">
        <v>165</v>
      </c>
      <c r="F1648" s="7" t="s">
        <v>166</v>
      </c>
      <c r="G1648" s="7" t="s">
        <v>95</v>
      </c>
      <c r="H1648" s="7" t="s">
        <v>167</v>
      </c>
      <c r="I1648" s="7" t="s">
        <v>27</v>
      </c>
      <c r="J1648" s="7" t="s">
        <v>28</v>
      </c>
      <c r="K1648" s="7" t="s">
        <v>60</v>
      </c>
      <c r="L1648" s="7" t="s">
        <v>2662</v>
      </c>
      <c r="M1648" s="7" t="s">
        <v>61</v>
      </c>
      <c r="N1648" s="7" t="s">
        <v>84</v>
      </c>
      <c r="O1648" s="7">
        <v>78</v>
      </c>
      <c r="P1648" s="7">
        <v>38.81</v>
      </c>
      <c r="Q1648" s="7">
        <v>23.62</v>
      </c>
      <c r="R1648" s="7">
        <v>3027.23</v>
      </c>
      <c r="S1648" s="7">
        <v>0</v>
      </c>
      <c r="T1648" s="7">
        <v>0</v>
      </c>
      <c r="U1648" s="7">
        <v>3027.23</v>
      </c>
      <c r="V1648" s="7">
        <v>1842.72</v>
      </c>
      <c r="W1648" s="7">
        <v>1184.51</v>
      </c>
      <c r="X1648" s="7" t="s">
        <v>129</v>
      </c>
    </row>
    <row r="1649" spans="1:24" x14ac:dyDescent="0.25">
      <c r="A1649" s="16" t="s">
        <v>411</v>
      </c>
      <c r="B1649" s="17">
        <v>45630</v>
      </c>
      <c r="C1649" s="6" t="s">
        <v>98</v>
      </c>
      <c r="D1649" s="6" t="s">
        <v>48</v>
      </c>
      <c r="E1649" s="6" t="s">
        <v>209</v>
      </c>
      <c r="F1649" s="6" t="s">
        <v>210</v>
      </c>
      <c r="G1649" s="6" t="s">
        <v>51</v>
      </c>
      <c r="H1649" s="6" t="s">
        <v>116</v>
      </c>
      <c r="I1649" s="6" t="s">
        <v>27</v>
      </c>
      <c r="J1649" s="6" t="s">
        <v>211</v>
      </c>
      <c r="K1649" s="6" t="s">
        <v>29</v>
      </c>
      <c r="L1649" s="6" t="s">
        <v>2660</v>
      </c>
      <c r="M1649" s="6" t="s">
        <v>43</v>
      </c>
      <c r="N1649" s="6" t="s">
        <v>70</v>
      </c>
      <c r="O1649" s="6">
        <v>35</v>
      </c>
      <c r="P1649" s="6">
        <v>17.670000000000002</v>
      </c>
      <c r="Q1649" s="6">
        <v>10.29</v>
      </c>
      <c r="R1649" s="6">
        <v>618.34</v>
      </c>
      <c r="S1649" s="6">
        <v>0.2</v>
      </c>
      <c r="T1649" s="6">
        <v>123.67</v>
      </c>
      <c r="U1649" s="6">
        <v>494.67</v>
      </c>
      <c r="V1649" s="6">
        <v>360.06</v>
      </c>
      <c r="W1649" s="6">
        <v>134.61000000000001</v>
      </c>
      <c r="X1649" s="6" t="s">
        <v>45</v>
      </c>
    </row>
    <row r="1650" spans="1:24" x14ac:dyDescent="0.25">
      <c r="A1650" s="5" t="s">
        <v>2145</v>
      </c>
      <c r="B1650" s="18">
        <v>45630</v>
      </c>
      <c r="C1650" s="7" t="s">
        <v>1215</v>
      </c>
      <c r="D1650" s="7" t="s">
        <v>163</v>
      </c>
      <c r="E1650" s="7" t="s">
        <v>93</v>
      </c>
      <c r="F1650" s="7" t="s">
        <v>94</v>
      </c>
      <c r="G1650" s="7" t="s">
        <v>95</v>
      </c>
      <c r="H1650" s="7" t="s">
        <v>96</v>
      </c>
      <c r="I1650" s="7" t="s">
        <v>53</v>
      </c>
      <c r="J1650" s="7" t="s">
        <v>232</v>
      </c>
      <c r="K1650" s="7" t="s">
        <v>218</v>
      </c>
      <c r="L1650" s="7" t="s">
        <v>2674</v>
      </c>
      <c r="M1650" s="7" t="s">
        <v>153</v>
      </c>
      <c r="N1650" s="7" t="s">
        <v>75</v>
      </c>
      <c r="O1650" s="7">
        <v>58</v>
      </c>
      <c r="P1650" s="7">
        <v>50.99</v>
      </c>
      <c r="Q1650" s="7">
        <v>30.29</v>
      </c>
      <c r="R1650" s="7">
        <v>2957.21</v>
      </c>
      <c r="S1650" s="7">
        <v>0.05</v>
      </c>
      <c r="T1650" s="7">
        <v>147.86000000000001</v>
      </c>
      <c r="U1650" s="7">
        <v>2809.35</v>
      </c>
      <c r="V1650" s="7">
        <v>1756.74</v>
      </c>
      <c r="W1650" s="7">
        <v>1052.6099999999999</v>
      </c>
      <c r="X1650" s="7" t="s">
        <v>32</v>
      </c>
    </row>
    <row r="1651" spans="1:24" x14ac:dyDescent="0.25">
      <c r="A1651" s="16" t="s">
        <v>2146</v>
      </c>
      <c r="B1651" s="17">
        <v>45621</v>
      </c>
      <c r="C1651" s="6" t="s">
        <v>679</v>
      </c>
      <c r="D1651" s="6" t="s">
        <v>105</v>
      </c>
      <c r="E1651" s="6" t="s">
        <v>176</v>
      </c>
      <c r="F1651" s="6" t="s">
        <v>177</v>
      </c>
      <c r="G1651" s="6" t="s">
        <v>101</v>
      </c>
      <c r="H1651" s="6" t="s">
        <v>39</v>
      </c>
      <c r="I1651" s="6" t="s">
        <v>27</v>
      </c>
      <c r="J1651" s="6" t="s">
        <v>106</v>
      </c>
      <c r="K1651" s="6" t="s">
        <v>111</v>
      </c>
      <c r="L1651" s="6" t="s">
        <v>2667</v>
      </c>
      <c r="M1651" s="6" t="s">
        <v>30</v>
      </c>
      <c r="N1651" s="6" t="s">
        <v>75</v>
      </c>
      <c r="O1651" s="6">
        <v>49</v>
      </c>
      <c r="P1651" s="6">
        <v>97.55</v>
      </c>
      <c r="Q1651" s="6">
        <v>59.16</v>
      </c>
      <c r="R1651" s="6">
        <v>4779.75</v>
      </c>
      <c r="S1651" s="6">
        <v>0.15</v>
      </c>
      <c r="T1651" s="6">
        <v>716.96</v>
      </c>
      <c r="U1651" s="6">
        <v>4062.79</v>
      </c>
      <c r="V1651" s="6">
        <v>2898.73</v>
      </c>
      <c r="W1651" s="6">
        <v>1164.06</v>
      </c>
      <c r="X1651" s="6" t="s">
        <v>45</v>
      </c>
    </row>
    <row r="1652" spans="1:24" x14ac:dyDescent="0.25">
      <c r="A1652" s="5" t="s">
        <v>2147</v>
      </c>
      <c r="B1652" s="18">
        <v>45502</v>
      </c>
      <c r="C1652" s="7" t="s">
        <v>137</v>
      </c>
      <c r="D1652" s="7" t="s">
        <v>22</v>
      </c>
      <c r="E1652" s="7" t="s">
        <v>209</v>
      </c>
      <c r="F1652" s="7" t="s">
        <v>210</v>
      </c>
      <c r="G1652" s="7" t="s">
        <v>51</v>
      </c>
      <c r="H1652" s="7" t="s">
        <v>116</v>
      </c>
      <c r="I1652" s="7" t="s">
        <v>88</v>
      </c>
      <c r="J1652" s="7" t="s">
        <v>183</v>
      </c>
      <c r="K1652" s="7" t="s">
        <v>90</v>
      </c>
      <c r="L1652" s="7" t="s">
        <v>2666</v>
      </c>
      <c r="M1652" s="7" t="s">
        <v>30</v>
      </c>
      <c r="N1652" s="7" t="s">
        <v>70</v>
      </c>
      <c r="O1652" s="7">
        <v>32</v>
      </c>
      <c r="P1652" s="7">
        <v>18.600000000000001</v>
      </c>
      <c r="Q1652" s="7">
        <v>10.37</v>
      </c>
      <c r="R1652" s="7">
        <v>595.05999999999995</v>
      </c>
      <c r="S1652" s="7">
        <v>0.05</v>
      </c>
      <c r="T1652" s="7">
        <v>29.75</v>
      </c>
      <c r="U1652" s="7">
        <v>565.30999999999995</v>
      </c>
      <c r="V1652" s="7">
        <v>331.73</v>
      </c>
      <c r="W1652" s="7">
        <v>233.59</v>
      </c>
      <c r="X1652" s="7" t="s">
        <v>45</v>
      </c>
    </row>
    <row r="1653" spans="1:24" x14ac:dyDescent="0.25">
      <c r="A1653" s="16" t="s">
        <v>2148</v>
      </c>
      <c r="B1653" s="17">
        <v>45357</v>
      </c>
      <c r="C1653" s="6" t="s">
        <v>515</v>
      </c>
      <c r="D1653" s="6" t="s">
        <v>48</v>
      </c>
      <c r="E1653" s="6" t="s">
        <v>66</v>
      </c>
      <c r="F1653" s="6" t="s">
        <v>67</v>
      </c>
      <c r="G1653" s="6" t="s">
        <v>38</v>
      </c>
      <c r="H1653" s="6" t="s">
        <v>68</v>
      </c>
      <c r="I1653" s="6" t="s">
        <v>58</v>
      </c>
      <c r="J1653" s="6" t="s">
        <v>345</v>
      </c>
      <c r="K1653" s="6" t="s">
        <v>111</v>
      </c>
      <c r="L1653" s="6" t="s">
        <v>2667</v>
      </c>
      <c r="M1653" s="6" t="s">
        <v>153</v>
      </c>
      <c r="N1653" s="6" t="s">
        <v>84</v>
      </c>
      <c r="O1653" s="6">
        <v>64</v>
      </c>
      <c r="P1653" s="6">
        <v>156.91999999999999</v>
      </c>
      <c r="Q1653" s="6">
        <v>110.05</v>
      </c>
      <c r="R1653" s="6">
        <v>10043.040000000001</v>
      </c>
      <c r="S1653" s="6">
        <v>0.05</v>
      </c>
      <c r="T1653" s="6">
        <v>502.15</v>
      </c>
      <c r="U1653" s="6">
        <v>9540.89</v>
      </c>
      <c r="V1653" s="6">
        <v>7042.94</v>
      </c>
      <c r="W1653" s="6">
        <v>2497.9499999999998</v>
      </c>
      <c r="X1653" s="6" t="s">
        <v>32</v>
      </c>
    </row>
    <row r="1654" spans="1:24" x14ac:dyDescent="0.25">
      <c r="A1654" s="5" t="s">
        <v>2149</v>
      </c>
      <c r="B1654" s="18">
        <v>45310</v>
      </c>
      <c r="C1654" s="7" t="s">
        <v>1724</v>
      </c>
      <c r="D1654" s="7" t="s">
        <v>121</v>
      </c>
      <c r="E1654" s="7" t="s">
        <v>126</v>
      </c>
      <c r="F1654" s="7" t="s">
        <v>127</v>
      </c>
      <c r="G1654" s="7" t="s">
        <v>95</v>
      </c>
      <c r="H1654" s="7" t="s">
        <v>128</v>
      </c>
      <c r="I1654" s="7" t="s">
        <v>40</v>
      </c>
      <c r="J1654" s="7" t="s">
        <v>117</v>
      </c>
      <c r="K1654" s="7" t="s">
        <v>111</v>
      </c>
      <c r="L1654" s="7" t="s">
        <v>2667</v>
      </c>
      <c r="M1654" s="7" t="s">
        <v>61</v>
      </c>
      <c r="N1654" s="7" t="s">
        <v>44</v>
      </c>
      <c r="O1654" s="7">
        <v>28</v>
      </c>
      <c r="P1654" s="7">
        <v>93.97</v>
      </c>
      <c r="Q1654" s="7">
        <v>56.94</v>
      </c>
      <c r="R1654" s="7">
        <v>2631.13</v>
      </c>
      <c r="S1654" s="7">
        <v>0.2</v>
      </c>
      <c r="T1654" s="7">
        <v>526.23</v>
      </c>
      <c r="U1654" s="7">
        <v>2104.9</v>
      </c>
      <c r="V1654" s="7">
        <v>1594.29</v>
      </c>
      <c r="W1654" s="7">
        <v>510.62</v>
      </c>
      <c r="X1654" s="7" t="s">
        <v>45</v>
      </c>
    </row>
    <row r="1655" spans="1:24" x14ac:dyDescent="0.25">
      <c r="A1655" s="16" t="s">
        <v>2150</v>
      </c>
      <c r="B1655" s="17">
        <v>45441</v>
      </c>
      <c r="C1655" s="6" t="s">
        <v>613</v>
      </c>
      <c r="D1655" s="6" t="s">
        <v>87</v>
      </c>
      <c r="E1655" s="6" t="s">
        <v>165</v>
      </c>
      <c r="F1655" s="6" t="s">
        <v>166</v>
      </c>
      <c r="G1655" s="6" t="s">
        <v>95</v>
      </c>
      <c r="H1655" s="6" t="s">
        <v>167</v>
      </c>
      <c r="I1655" s="6" t="s">
        <v>27</v>
      </c>
      <c r="J1655" s="6" t="s">
        <v>106</v>
      </c>
      <c r="K1655" s="6" t="s">
        <v>144</v>
      </c>
      <c r="L1655" s="6" t="s">
        <v>2669</v>
      </c>
      <c r="M1655" s="6" t="s">
        <v>61</v>
      </c>
      <c r="N1655" s="6" t="s">
        <v>70</v>
      </c>
      <c r="O1655" s="6">
        <v>14</v>
      </c>
      <c r="P1655" s="6">
        <v>39.130000000000003</v>
      </c>
      <c r="Q1655" s="6">
        <v>25.49</v>
      </c>
      <c r="R1655" s="6">
        <v>547.84</v>
      </c>
      <c r="S1655" s="6">
        <v>0.05</v>
      </c>
      <c r="T1655" s="6">
        <v>27.39</v>
      </c>
      <c r="U1655" s="6">
        <v>534.74</v>
      </c>
      <c r="V1655" s="6">
        <v>356.85</v>
      </c>
      <c r="W1655" s="6">
        <v>163.59</v>
      </c>
      <c r="X1655" s="6" t="s">
        <v>45</v>
      </c>
    </row>
    <row r="1656" spans="1:24" x14ac:dyDescent="0.25">
      <c r="A1656" s="5" t="s">
        <v>2151</v>
      </c>
      <c r="B1656" s="18">
        <v>45538</v>
      </c>
      <c r="C1656" s="7" t="s">
        <v>823</v>
      </c>
      <c r="D1656" s="7" t="s">
        <v>87</v>
      </c>
      <c r="E1656" s="7" t="s">
        <v>126</v>
      </c>
      <c r="F1656" s="7" t="s">
        <v>127</v>
      </c>
      <c r="G1656" s="7" t="s">
        <v>95</v>
      </c>
      <c r="H1656" s="7" t="s">
        <v>128</v>
      </c>
      <c r="I1656" s="7" t="s">
        <v>40</v>
      </c>
      <c r="J1656" s="7" t="s">
        <v>117</v>
      </c>
      <c r="K1656" s="7" t="s">
        <v>178</v>
      </c>
      <c r="L1656" s="7" t="s">
        <v>256</v>
      </c>
      <c r="M1656" s="7" t="s">
        <v>61</v>
      </c>
      <c r="N1656" s="7" t="s">
        <v>75</v>
      </c>
      <c r="O1656" s="7">
        <v>15</v>
      </c>
      <c r="P1656" s="7">
        <v>84.5</v>
      </c>
      <c r="Q1656" s="7">
        <v>53.65</v>
      </c>
      <c r="R1656" s="7">
        <v>1267.43</v>
      </c>
      <c r="S1656" s="7">
        <v>0.05</v>
      </c>
      <c r="T1656" s="7">
        <v>63.37</v>
      </c>
      <c r="U1656" s="7">
        <v>1204.06</v>
      </c>
      <c r="V1656" s="7">
        <v>804.73</v>
      </c>
      <c r="W1656" s="7">
        <v>399.33</v>
      </c>
      <c r="X1656" s="7" t="s">
        <v>45</v>
      </c>
    </row>
    <row r="1657" spans="1:24" x14ac:dyDescent="0.25">
      <c r="A1657" s="16" t="s">
        <v>2152</v>
      </c>
      <c r="B1657" s="17">
        <v>45465</v>
      </c>
      <c r="C1657" s="6" t="s">
        <v>280</v>
      </c>
      <c r="D1657" s="6" t="s">
        <v>35</v>
      </c>
      <c r="E1657" s="6" t="s">
        <v>141</v>
      </c>
      <c r="F1657" s="6" t="s">
        <v>142</v>
      </c>
      <c r="G1657" s="6" t="s">
        <v>25</v>
      </c>
      <c r="H1657" s="6" t="s">
        <v>26</v>
      </c>
      <c r="I1657" s="6" t="s">
        <v>53</v>
      </c>
      <c r="J1657" s="6" t="s">
        <v>143</v>
      </c>
      <c r="K1657" s="6" t="s">
        <v>170</v>
      </c>
      <c r="L1657" s="6" t="s">
        <v>2671</v>
      </c>
      <c r="M1657" s="6" t="s">
        <v>30</v>
      </c>
      <c r="N1657" s="6" t="s">
        <v>44</v>
      </c>
      <c r="O1657" s="6">
        <v>30</v>
      </c>
      <c r="P1657" s="6">
        <v>87.69</v>
      </c>
      <c r="Q1657" s="6">
        <v>60.59</v>
      </c>
      <c r="R1657" s="6">
        <v>2630.73</v>
      </c>
      <c r="S1657" s="6">
        <v>0.15</v>
      </c>
      <c r="T1657" s="6">
        <v>394.61</v>
      </c>
      <c r="U1657" s="6">
        <v>2236.12</v>
      </c>
      <c r="V1657" s="6">
        <v>1817.7</v>
      </c>
      <c r="W1657" s="6">
        <v>418.42</v>
      </c>
      <c r="X1657" s="6" t="s">
        <v>32</v>
      </c>
    </row>
    <row r="1658" spans="1:24" x14ac:dyDescent="0.25">
      <c r="A1658" s="5" t="s">
        <v>1291</v>
      </c>
      <c r="B1658" s="18">
        <v>45319</v>
      </c>
      <c r="C1658" s="7" t="s">
        <v>531</v>
      </c>
      <c r="D1658" s="7" t="s">
        <v>264</v>
      </c>
      <c r="E1658" s="7" t="s">
        <v>49</v>
      </c>
      <c r="F1658" s="7" t="s">
        <v>50</v>
      </c>
      <c r="G1658" s="7" t="s">
        <v>51</v>
      </c>
      <c r="H1658" s="7" t="s">
        <v>52</v>
      </c>
      <c r="I1658" s="7" t="s">
        <v>53</v>
      </c>
      <c r="J1658" s="7" t="s">
        <v>54</v>
      </c>
      <c r="K1658" s="7" t="s">
        <v>83</v>
      </c>
      <c r="L1658" s="7" t="s">
        <v>2665</v>
      </c>
      <c r="M1658" s="7" t="s">
        <v>43</v>
      </c>
      <c r="N1658" s="7" t="s">
        <v>84</v>
      </c>
      <c r="O1658" s="7">
        <v>35</v>
      </c>
      <c r="P1658" s="7">
        <v>23.62</v>
      </c>
      <c r="Q1658" s="7">
        <v>12.01</v>
      </c>
      <c r="R1658" s="7">
        <v>826.62</v>
      </c>
      <c r="S1658" s="7">
        <v>0.1</v>
      </c>
      <c r="T1658" s="7">
        <v>82.66</v>
      </c>
      <c r="U1658" s="7">
        <v>743.96</v>
      </c>
      <c r="V1658" s="7">
        <v>420.45</v>
      </c>
      <c r="W1658" s="7">
        <v>323.51</v>
      </c>
      <c r="X1658" s="7" t="s">
        <v>45</v>
      </c>
    </row>
    <row r="1659" spans="1:24" x14ac:dyDescent="0.25">
      <c r="A1659" s="16" t="s">
        <v>2153</v>
      </c>
      <c r="B1659" s="17">
        <v>45578</v>
      </c>
      <c r="C1659" s="6" t="s">
        <v>832</v>
      </c>
      <c r="D1659" s="6" t="s">
        <v>159</v>
      </c>
      <c r="E1659" s="6" t="s">
        <v>36</v>
      </c>
      <c r="F1659" s="6" t="s">
        <v>37</v>
      </c>
      <c r="G1659" s="6" t="s">
        <v>38</v>
      </c>
      <c r="H1659" s="6" t="s">
        <v>39</v>
      </c>
      <c r="I1659" s="6" t="s">
        <v>88</v>
      </c>
      <c r="J1659" s="6" t="s">
        <v>89</v>
      </c>
      <c r="K1659" s="6" t="s">
        <v>253</v>
      </c>
      <c r="L1659" s="6" t="s">
        <v>2676</v>
      </c>
      <c r="M1659" s="6" t="s">
        <v>43</v>
      </c>
      <c r="N1659" s="6" t="s">
        <v>31</v>
      </c>
      <c r="O1659" s="6">
        <v>79</v>
      </c>
      <c r="P1659" s="6">
        <v>158.33000000000001</v>
      </c>
      <c r="Q1659" s="6">
        <v>104.87</v>
      </c>
      <c r="R1659" s="6">
        <v>12507.83</v>
      </c>
      <c r="S1659" s="6">
        <v>0.2</v>
      </c>
      <c r="T1659" s="6">
        <v>2501.5700000000002</v>
      </c>
      <c r="U1659" s="6">
        <v>10006.26</v>
      </c>
      <c r="V1659" s="6">
        <v>8284.94</v>
      </c>
      <c r="W1659" s="6">
        <v>1721.32</v>
      </c>
      <c r="X1659" s="6" t="s">
        <v>45</v>
      </c>
    </row>
    <row r="1660" spans="1:24" x14ac:dyDescent="0.25">
      <c r="A1660" s="5" t="s">
        <v>2154</v>
      </c>
      <c r="B1660" s="18">
        <v>45354</v>
      </c>
      <c r="C1660" s="7" t="s">
        <v>451</v>
      </c>
      <c r="D1660" s="7" t="s">
        <v>87</v>
      </c>
      <c r="E1660" s="7" t="s">
        <v>216</v>
      </c>
      <c r="F1660" s="7" t="s">
        <v>217</v>
      </c>
      <c r="G1660" s="7" t="s">
        <v>38</v>
      </c>
      <c r="H1660" s="7" t="s">
        <v>134</v>
      </c>
      <c r="I1660" s="7" t="s">
        <v>88</v>
      </c>
      <c r="J1660" s="7" t="s">
        <v>89</v>
      </c>
      <c r="K1660" s="7" t="s">
        <v>144</v>
      </c>
      <c r="L1660" s="7" t="s">
        <v>2669</v>
      </c>
      <c r="M1660" s="7" t="s">
        <v>61</v>
      </c>
      <c r="N1660" s="7" t="s">
        <v>75</v>
      </c>
      <c r="O1660" s="7">
        <v>6</v>
      </c>
      <c r="P1660" s="7">
        <v>101.39</v>
      </c>
      <c r="Q1660" s="7">
        <v>70.5</v>
      </c>
      <c r="R1660" s="7">
        <v>608.34</v>
      </c>
      <c r="S1660" s="7">
        <v>0</v>
      </c>
      <c r="T1660" s="7">
        <v>0</v>
      </c>
      <c r="U1660" s="7">
        <v>608.34</v>
      </c>
      <c r="V1660" s="7">
        <v>423</v>
      </c>
      <c r="W1660" s="7">
        <v>185.34</v>
      </c>
      <c r="X1660" s="7" t="s">
        <v>45</v>
      </c>
    </row>
    <row r="1661" spans="1:24" x14ac:dyDescent="0.25">
      <c r="A1661" s="16" t="s">
        <v>2155</v>
      </c>
      <c r="B1661" s="17">
        <v>45547</v>
      </c>
      <c r="C1661" s="6" t="s">
        <v>428</v>
      </c>
      <c r="D1661" s="6" t="s">
        <v>57</v>
      </c>
      <c r="E1661" s="6" t="s">
        <v>114</v>
      </c>
      <c r="F1661" s="6" t="s">
        <v>115</v>
      </c>
      <c r="G1661" s="6" t="s">
        <v>95</v>
      </c>
      <c r="H1661" s="6" t="s">
        <v>116</v>
      </c>
      <c r="I1661" s="6" t="s">
        <v>40</v>
      </c>
      <c r="J1661" s="6" t="s">
        <v>41</v>
      </c>
      <c r="K1661" s="6" t="s">
        <v>218</v>
      </c>
      <c r="L1661" s="6" t="s">
        <v>2674</v>
      </c>
      <c r="M1661" s="6" t="s">
        <v>153</v>
      </c>
      <c r="N1661" s="6" t="s">
        <v>31</v>
      </c>
      <c r="O1661" s="6">
        <v>79</v>
      </c>
      <c r="P1661" s="6">
        <v>33</v>
      </c>
      <c r="Q1661" s="6">
        <v>21</v>
      </c>
      <c r="R1661" s="6">
        <v>2606.84</v>
      </c>
      <c r="S1661" s="6">
        <v>0</v>
      </c>
      <c r="T1661" s="6">
        <v>0</v>
      </c>
      <c r="U1661" s="6">
        <v>2606.84</v>
      </c>
      <c r="V1661" s="6">
        <v>1658.7</v>
      </c>
      <c r="W1661" s="6">
        <v>948.14</v>
      </c>
      <c r="X1661" s="6" t="s">
        <v>45</v>
      </c>
    </row>
    <row r="1662" spans="1:24" x14ac:dyDescent="0.25">
      <c r="A1662" s="5" t="s">
        <v>2156</v>
      </c>
      <c r="B1662" s="18">
        <v>45481</v>
      </c>
      <c r="C1662" s="7" t="s">
        <v>1028</v>
      </c>
      <c r="D1662" s="7" t="s">
        <v>57</v>
      </c>
      <c r="E1662" s="7" t="s">
        <v>36</v>
      </c>
      <c r="F1662" s="7" t="s">
        <v>37</v>
      </c>
      <c r="G1662" s="7" t="s">
        <v>38</v>
      </c>
      <c r="H1662" s="7" t="s">
        <v>39</v>
      </c>
      <c r="I1662" s="7" t="s">
        <v>27</v>
      </c>
      <c r="J1662" s="7" t="s">
        <v>211</v>
      </c>
      <c r="K1662" s="7" t="s">
        <v>184</v>
      </c>
      <c r="L1662" s="7" t="s">
        <v>2672</v>
      </c>
      <c r="M1662" s="7" t="s">
        <v>153</v>
      </c>
      <c r="N1662" s="7" t="s">
        <v>31</v>
      </c>
      <c r="O1662" s="7">
        <v>47</v>
      </c>
      <c r="P1662" s="7">
        <v>160.65</v>
      </c>
      <c r="Q1662" s="7">
        <v>92.14</v>
      </c>
      <c r="R1662" s="7">
        <v>7550.61</v>
      </c>
      <c r="S1662" s="7">
        <v>0</v>
      </c>
      <c r="T1662" s="7">
        <v>0</v>
      </c>
      <c r="U1662" s="7">
        <v>7550.61</v>
      </c>
      <c r="V1662" s="7">
        <v>4330.6499999999996</v>
      </c>
      <c r="W1662" s="7">
        <v>3219.96</v>
      </c>
      <c r="X1662" s="7" t="s">
        <v>32</v>
      </c>
    </row>
    <row r="1663" spans="1:24" x14ac:dyDescent="0.25">
      <c r="A1663" s="16" t="s">
        <v>2157</v>
      </c>
      <c r="B1663" s="17">
        <v>45376</v>
      </c>
      <c r="C1663" s="6" t="s">
        <v>1709</v>
      </c>
      <c r="D1663" s="6" t="s">
        <v>159</v>
      </c>
      <c r="E1663" s="6" t="s">
        <v>216</v>
      </c>
      <c r="F1663" s="6" t="s">
        <v>217</v>
      </c>
      <c r="G1663" s="6" t="s">
        <v>38</v>
      </c>
      <c r="H1663" s="6" t="s">
        <v>134</v>
      </c>
      <c r="I1663" s="6" t="s">
        <v>58</v>
      </c>
      <c r="J1663" s="6" t="s">
        <v>323</v>
      </c>
      <c r="K1663" s="6" t="s">
        <v>170</v>
      </c>
      <c r="L1663" s="6" t="s">
        <v>2671</v>
      </c>
      <c r="M1663" s="6" t="s">
        <v>153</v>
      </c>
      <c r="N1663" s="6" t="s">
        <v>31</v>
      </c>
      <c r="O1663" s="6">
        <v>68</v>
      </c>
      <c r="P1663" s="6">
        <v>107.99</v>
      </c>
      <c r="Q1663" s="6">
        <v>65.290000000000006</v>
      </c>
      <c r="R1663" s="6">
        <v>7342.98</v>
      </c>
      <c r="S1663" s="6">
        <v>0.2</v>
      </c>
      <c r="T1663" s="6">
        <v>1468.6</v>
      </c>
      <c r="U1663" s="6">
        <v>5874.38</v>
      </c>
      <c r="V1663" s="6">
        <v>4439.6499999999996</v>
      </c>
      <c r="W1663" s="6">
        <v>1434.74</v>
      </c>
      <c r="X1663" s="6" t="s">
        <v>45</v>
      </c>
    </row>
    <row r="1664" spans="1:24" x14ac:dyDescent="0.25">
      <c r="A1664" s="5" t="s">
        <v>2158</v>
      </c>
      <c r="B1664" s="18">
        <v>45299</v>
      </c>
      <c r="C1664" s="7" t="s">
        <v>1334</v>
      </c>
      <c r="D1664" s="7" t="s">
        <v>35</v>
      </c>
      <c r="E1664" s="7" t="s">
        <v>126</v>
      </c>
      <c r="F1664" s="7" t="s">
        <v>127</v>
      </c>
      <c r="G1664" s="7" t="s">
        <v>95</v>
      </c>
      <c r="H1664" s="7" t="s">
        <v>128</v>
      </c>
      <c r="I1664" s="7" t="s">
        <v>88</v>
      </c>
      <c r="J1664" s="7" t="s">
        <v>89</v>
      </c>
      <c r="K1664" s="7" t="s">
        <v>265</v>
      </c>
      <c r="L1664" s="7" t="s">
        <v>2678</v>
      </c>
      <c r="M1664" s="7" t="s">
        <v>61</v>
      </c>
      <c r="N1664" s="7" t="s">
        <v>44</v>
      </c>
      <c r="O1664" s="7">
        <v>36</v>
      </c>
      <c r="P1664" s="7">
        <v>86.76</v>
      </c>
      <c r="Q1664" s="7">
        <v>52.11</v>
      </c>
      <c r="R1664" s="7">
        <v>3123.22</v>
      </c>
      <c r="S1664" s="7">
        <v>0.2</v>
      </c>
      <c r="T1664" s="7">
        <v>624.64</v>
      </c>
      <c r="U1664" s="7">
        <v>2498.58</v>
      </c>
      <c r="V1664" s="7">
        <v>1875.82</v>
      </c>
      <c r="W1664" s="7">
        <v>622.76</v>
      </c>
      <c r="X1664" s="7" t="s">
        <v>45</v>
      </c>
    </row>
    <row r="1665" spans="1:24" x14ac:dyDescent="0.25">
      <c r="A1665" s="16" t="s">
        <v>2159</v>
      </c>
      <c r="B1665" s="17">
        <v>45349</v>
      </c>
      <c r="C1665" s="6" t="s">
        <v>392</v>
      </c>
      <c r="D1665" s="6" t="s">
        <v>393</v>
      </c>
      <c r="E1665" s="6" t="s">
        <v>176</v>
      </c>
      <c r="F1665" s="6" t="s">
        <v>177</v>
      </c>
      <c r="G1665" s="6" t="s">
        <v>101</v>
      </c>
      <c r="H1665" s="6" t="s">
        <v>39</v>
      </c>
      <c r="I1665" s="6" t="s">
        <v>53</v>
      </c>
      <c r="J1665" s="6" t="s">
        <v>143</v>
      </c>
      <c r="K1665" s="6" t="s">
        <v>144</v>
      </c>
      <c r="L1665" s="6" t="s">
        <v>2669</v>
      </c>
      <c r="M1665" s="6" t="s">
        <v>138</v>
      </c>
      <c r="N1665" s="6" t="s">
        <v>70</v>
      </c>
      <c r="O1665" s="6">
        <v>30</v>
      </c>
      <c r="P1665" s="6">
        <v>104.68</v>
      </c>
      <c r="Q1665" s="6">
        <v>64.64</v>
      </c>
      <c r="R1665" s="6">
        <v>3140.37</v>
      </c>
      <c r="S1665" s="6">
        <v>0</v>
      </c>
      <c r="T1665" s="6">
        <v>0</v>
      </c>
      <c r="U1665" s="6">
        <v>3140.37</v>
      </c>
      <c r="V1665" s="6">
        <v>1939.12</v>
      </c>
      <c r="W1665" s="6">
        <v>1201.25</v>
      </c>
      <c r="X1665" s="6" t="s">
        <v>45</v>
      </c>
    </row>
    <row r="1666" spans="1:24" x14ac:dyDescent="0.25">
      <c r="A1666" s="5" t="s">
        <v>2160</v>
      </c>
      <c r="B1666" s="18">
        <v>45536</v>
      </c>
      <c r="C1666" s="7" t="s">
        <v>34</v>
      </c>
      <c r="D1666" s="7" t="s">
        <v>35</v>
      </c>
      <c r="E1666" s="7" t="s">
        <v>216</v>
      </c>
      <c r="F1666" s="7" t="s">
        <v>217</v>
      </c>
      <c r="G1666" s="7" t="s">
        <v>38</v>
      </c>
      <c r="H1666" s="7" t="s">
        <v>134</v>
      </c>
      <c r="I1666" s="7" t="s">
        <v>88</v>
      </c>
      <c r="J1666" s="7" t="s">
        <v>135</v>
      </c>
      <c r="K1666" s="7" t="s">
        <v>144</v>
      </c>
      <c r="L1666" s="7" t="s">
        <v>2669</v>
      </c>
      <c r="M1666" s="7" t="s">
        <v>30</v>
      </c>
      <c r="N1666" s="7" t="s">
        <v>44</v>
      </c>
      <c r="O1666" s="7">
        <v>62</v>
      </c>
      <c r="P1666" s="7">
        <v>112.76</v>
      </c>
      <c r="Q1666" s="7">
        <v>72.02</v>
      </c>
      <c r="R1666" s="7">
        <v>6991.05</v>
      </c>
      <c r="S1666" s="7">
        <v>0.02</v>
      </c>
      <c r="T1666" s="7">
        <v>139.82</v>
      </c>
      <c r="U1666" s="7">
        <v>6851.23</v>
      </c>
      <c r="V1666" s="7">
        <v>4465.41</v>
      </c>
      <c r="W1666" s="7">
        <v>2385.8200000000002</v>
      </c>
      <c r="X1666" s="7" t="s">
        <v>129</v>
      </c>
    </row>
    <row r="1667" spans="1:24" x14ac:dyDescent="0.25">
      <c r="A1667" s="16" t="s">
        <v>2161</v>
      </c>
      <c r="B1667" s="17">
        <v>45464</v>
      </c>
      <c r="C1667" s="6" t="s">
        <v>239</v>
      </c>
      <c r="D1667" s="6" t="s">
        <v>65</v>
      </c>
      <c r="E1667" s="6" t="s">
        <v>126</v>
      </c>
      <c r="F1667" s="6" t="s">
        <v>127</v>
      </c>
      <c r="G1667" s="6" t="s">
        <v>95</v>
      </c>
      <c r="H1667" s="6" t="s">
        <v>128</v>
      </c>
      <c r="I1667" s="6" t="s">
        <v>58</v>
      </c>
      <c r="J1667" s="6" t="s">
        <v>59</v>
      </c>
      <c r="K1667" s="6" t="s">
        <v>261</v>
      </c>
      <c r="L1667" s="6" t="s">
        <v>2677</v>
      </c>
      <c r="M1667" s="6" t="s">
        <v>43</v>
      </c>
      <c r="N1667" s="6" t="s">
        <v>84</v>
      </c>
      <c r="O1667" s="6">
        <v>54</v>
      </c>
      <c r="P1667" s="6">
        <v>95.59</v>
      </c>
      <c r="Q1667" s="6">
        <v>51.52</v>
      </c>
      <c r="R1667" s="6">
        <v>5161.8</v>
      </c>
      <c r="S1667" s="6">
        <v>0</v>
      </c>
      <c r="T1667" s="6">
        <v>0</v>
      </c>
      <c r="U1667" s="6">
        <v>5161.8</v>
      </c>
      <c r="V1667" s="6">
        <v>2782</v>
      </c>
      <c r="W1667" s="6">
        <v>2379.8000000000002</v>
      </c>
      <c r="X1667" s="6" t="s">
        <v>45</v>
      </c>
    </row>
    <row r="1668" spans="1:24" x14ac:dyDescent="0.25">
      <c r="A1668" s="5" t="s">
        <v>2162</v>
      </c>
      <c r="B1668" s="18">
        <v>45381</v>
      </c>
      <c r="C1668" s="7" t="s">
        <v>451</v>
      </c>
      <c r="D1668" s="7" t="s">
        <v>87</v>
      </c>
      <c r="E1668" s="7" t="s">
        <v>150</v>
      </c>
      <c r="F1668" s="7" t="s">
        <v>151</v>
      </c>
      <c r="G1668" s="7" t="s">
        <v>101</v>
      </c>
      <c r="H1668" s="7" t="s">
        <v>134</v>
      </c>
      <c r="I1668" s="7" t="s">
        <v>40</v>
      </c>
      <c r="J1668" s="7" t="s">
        <v>82</v>
      </c>
      <c r="K1668" s="7" t="s">
        <v>265</v>
      </c>
      <c r="L1668" s="7" t="s">
        <v>2678</v>
      </c>
      <c r="M1668" s="7" t="s">
        <v>153</v>
      </c>
      <c r="N1668" s="7" t="s">
        <v>75</v>
      </c>
      <c r="O1668" s="7">
        <v>62</v>
      </c>
      <c r="P1668" s="7">
        <v>86.76</v>
      </c>
      <c r="Q1668" s="7">
        <v>47.36</v>
      </c>
      <c r="R1668" s="7">
        <v>5379.24</v>
      </c>
      <c r="S1668" s="7">
        <v>0.1</v>
      </c>
      <c r="T1668" s="7">
        <v>537.91999999999996</v>
      </c>
      <c r="U1668" s="7">
        <v>4841.32</v>
      </c>
      <c r="V1668" s="7">
        <v>2936.53</v>
      </c>
      <c r="W1668" s="7">
        <v>1904.79</v>
      </c>
      <c r="X1668" s="7" t="s">
        <v>45</v>
      </c>
    </row>
    <row r="1669" spans="1:24" x14ac:dyDescent="0.25">
      <c r="A1669" s="16" t="s">
        <v>2163</v>
      </c>
      <c r="B1669" s="17">
        <v>45578</v>
      </c>
      <c r="C1669" s="6" t="s">
        <v>506</v>
      </c>
      <c r="D1669" s="6" t="s">
        <v>264</v>
      </c>
      <c r="E1669" s="6" t="s">
        <v>109</v>
      </c>
      <c r="F1669" s="6" t="s">
        <v>110</v>
      </c>
      <c r="G1669" s="6" t="s">
        <v>80</v>
      </c>
      <c r="H1669" s="6" t="s">
        <v>81</v>
      </c>
      <c r="I1669" s="6" t="s">
        <v>53</v>
      </c>
      <c r="J1669" s="6" t="s">
        <v>122</v>
      </c>
      <c r="K1669" s="6" t="s">
        <v>144</v>
      </c>
      <c r="L1669" s="6" t="s">
        <v>2669</v>
      </c>
      <c r="M1669" s="6" t="s">
        <v>153</v>
      </c>
      <c r="N1669" s="6" t="s">
        <v>31</v>
      </c>
      <c r="O1669" s="6">
        <v>17</v>
      </c>
      <c r="P1669" s="6">
        <v>133.09</v>
      </c>
      <c r="Q1669" s="6">
        <v>77.760000000000005</v>
      </c>
      <c r="R1669" s="6">
        <v>2262.48</v>
      </c>
      <c r="S1669" s="6">
        <v>0.02</v>
      </c>
      <c r="T1669" s="6">
        <v>45.25</v>
      </c>
      <c r="U1669" s="6">
        <v>2217.23</v>
      </c>
      <c r="V1669" s="6">
        <v>1321.89</v>
      </c>
      <c r="W1669" s="6">
        <v>895.34</v>
      </c>
      <c r="X1669" s="6" t="s">
        <v>45</v>
      </c>
    </row>
    <row r="1670" spans="1:24" x14ac:dyDescent="0.25">
      <c r="A1670" s="5" t="s">
        <v>2164</v>
      </c>
      <c r="B1670" s="18">
        <v>45591</v>
      </c>
      <c r="C1670" s="7" t="s">
        <v>480</v>
      </c>
      <c r="D1670" s="7" t="s">
        <v>22</v>
      </c>
      <c r="E1670" s="7" t="s">
        <v>36</v>
      </c>
      <c r="F1670" s="7" t="s">
        <v>37</v>
      </c>
      <c r="G1670" s="7" t="s">
        <v>38</v>
      </c>
      <c r="H1670" s="7" t="s">
        <v>39</v>
      </c>
      <c r="I1670" s="7" t="s">
        <v>53</v>
      </c>
      <c r="J1670" s="7" t="s">
        <v>54</v>
      </c>
      <c r="K1670" s="7" t="s">
        <v>248</v>
      </c>
      <c r="L1670" s="7" t="s">
        <v>2675</v>
      </c>
      <c r="M1670" s="7" t="s">
        <v>30</v>
      </c>
      <c r="N1670" s="7" t="s">
        <v>31</v>
      </c>
      <c r="O1670" s="7">
        <v>64</v>
      </c>
      <c r="P1670" s="7">
        <v>156.87</v>
      </c>
      <c r="Q1670" s="7">
        <v>96.2</v>
      </c>
      <c r="R1670" s="7">
        <v>10039.379999999999</v>
      </c>
      <c r="S1670" s="7">
        <v>0.2</v>
      </c>
      <c r="T1670" s="7">
        <v>2007.88</v>
      </c>
      <c r="U1670" s="7">
        <v>8031.5</v>
      </c>
      <c r="V1670" s="7">
        <v>6156.94</v>
      </c>
      <c r="W1670" s="7">
        <v>1874.56</v>
      </c>
      <c r="X1670" s="7" t="s">
        <v>45</v>
      </c>
    </row>
    <row r="1671" spans="1:24" x14ac:dyDescent="0.25">
      <c r="A1671" s="16" t="s">
        <v>2165</v>
      </c>
      <c r="B1671" s="17">
        <v>45514</v>
      </c>
      <c r="C1671" s="6" t="s">
        <v>325</v>
      </c>
      <c r="D1671" s="6" t="s">
        <v>35</v>
      </c>
      <c r="E1671" s="6" t="s">
        <v>36</v>
      </c>
      <c r="F1671" s="6" t="s">
        <v>37</v>
      </c>
      <c r="G1671" s="6" t="s">
        <v>38</v>
      </c>
      <c r="H1671" s="6" t="s">
        <v>39</v>
      </c>
      <c r="I1671" s="6" t="s">
        <v>53</v>
      </c>
      <c r="J1671" s="6" t="s">
        <v>232</v>
      </c>
      <c r="K1671" s="6" t="s">
        <v>253</v>
      </c>
      <c r="L1671" s="6" t="s">
        <v>2676</v>
      </c>
      <c r="M1671" s="6" t="s">
        <v>547</v>
      </c>
      <c r="N1671" s="6" t="s">
        <v>44</v>
      </c>
      <c r="O1671" s="6">
        <v>6</v>
      </c>
      <c r="P1671" s="6">
        <v>174.47</v>
      </c>
      <c r="Q1671" s="6">
        <v>102.93</v>
      </c>
      <c r="R1671" s="6">
        <v>1046.83</v>
      </c>
      <c r="S1671" s="6">
        <v>0.1</v>
      </c>
      <c r="T1671" s="6">
        <v>104.68</v>
      </c>
      <c r="U1671" s="6">
        <v>942.15</v>
      </c>
      <c r="V1671" s="6">
        <v>617.6</v>
      </c>
      <c r="W1671" s="6">
        <v>324.54000000000002</v>
      </c>
      <c r="X1671" s="6" t="s">
        <v>45</v>
      </c>
    </row>
    <row r="1672" spans="1:24" x14ac:dyDescent="0.25">
      <c r="A1672" s="5" t="s">
        <v>2166</v>
      </c>
      <c r="B1672" s="18">
        <v>45615</v>
      </c>
      <c r="C1672" s="7" t="s">
        <v>333</v>
      </c>
      <c r="D1672" s="7" t="s">
        <v>57</v>
      </c>
      <c r="E1672" s="7" t="s">
        <v>176</v>
      </c>
      <c r="F1672" s="7" t="s">
        <v>177</v>
      </c>
      <c r="G1672" s="7" t="s">
        <v>101</v>
      </c>
      <c r="H1672" s="7" t="s">
        <v>39</v>
      </c>
      <c r="I1672" s="7" t="s">
        <v>40</v>
      </c>
      <c r="J1672" s="7" t="s">
        <v>117</v>
      </c>
      <c r="K1672" s="7" t="s">
        <v>60</v>
      </c>
      <c r="L1672" s="7" t="s">
        <v>2662</v>
      </c>
      <c r="M1672" s="7" t="s">
        <v>153</v>
      </c>
      <c r="N1672" s="7" t="s">
        <v>31</v>
      </c>
      <c r="O1672" s="7">
        <v>66</v>
      </c>
      <c r="P1672" s="7">
        <v>105.83</v>
      </c>
      <c r="Q1672" s="7">
        <v>65.16</v>
      </c>
      <c r="R1672" s="7">
        <v>6984.58</v>
      </c>
      <c r="S1672" s="7">
        <v>0.15</v>
      </c>
      <c r="T1672" s="7">
        <v>1047.69</v>
      </c>
      <c r="U1672" s="7">
        <v>5936.9</v>
      </c>
      <c r="V1672" s="7">
        <v>4300.7700000000004</v>
      </c>
      <c r="W1672" s="7">
        <v>1636.13</v>
      </c>
      <c r="X1672" s="7" t="s">
        <v>45</v>
      </c>
    </row>
    <row r="1673" spans="1:24" x14ac:dyDescent="0.25">
      <c r="A1673" s="16" t="s">
        <v>2167</v>
      </c>
      <c r="B1673" s="17">
        <v>45536</v>
      </c>
      <c r="C1673" s="6" t="s">
        <v>201</v>
      </c>
      <c r="D1673" s="6" t="s">
        <v>57</v>
      </c>
      <c r="E1673" s="6" t="s">
        <v>150</v>
      </c>
      <c r="F1673" s="6" t="s">
        <v>151</v>
      </c>
      <c r="G1673" s="6" t="s">
        <v>101</v>
      </c>
      <c r="H1673" s="6" t="s">
        <v>134</v>
      </c>
      <c r="I1673" s="6" t="s">
        <v>58</v>
      </c>
      <c r="J1673" s="6" t="s">
        <v>73</v>
      </c>
      <c r="K1673" s="6" t="s">
        <v>170</v>
      </c>
      <c r="L1673" s="6" t="s">
        <v>2671</v>
      </c>
      <c r="M1673" s="6" t="s">
        <v>61</v>
      </c>
      <c r="N1673" s="6" t="s">
        <v>75</v>
      </c>
      <c r="O1673" s="6">
        <v>76</v>
      </c>
      <c r="P1673" s="6">
        <v>91.75</v>
      </c>
      <c r="Q1673" s="6">
        <v>49.93</v>
      </c>
      <c r="R1673" s="6">
        <v>6973.01</v>
      </c>
      <c r="S1673" s="6">
        <v>0.02</v>
      </c>
      <c r="T1673" s="6">
        <v>139.46</v>
      </c>
      <c r="U1673" s="6">
        <v>6833.55</v>
      </c>
      <c r="V1673" s="6">
        <v>3794.33</v>
      </c>
      <c r="W1673" s="6">
        <v>3039.22</v>
      </c>
      <c r="X1673" s="6" t="s">
        <v>45</v>
      </c>
    </row>
    <row r="1674" spans="1:24" x14ac:dyDescent="0.25">
      <c r="A1674" s="5" t="s">
        <v>2168</v>
      </c>
      <c r="B1674" s="18">
        <v>45436</v>
      </c>
      <c r="C1674" s="7" t="s">
        <v>245</v>
      </c>
      <c r="D1674" s="7" t="s">
        <v>65</v>
      </c>
      <c r="E1674" s="7" t="s">
        <v>209</v>
      </c>
      <c r="F1674" s="7" t="s">
        <v>210</v>
      </c>
      <c r="G1674" s="7" t="s">
        <v>51</v>
      </c>
      <c r="H1674" s="7" t="s">
        <v>116</v>
      </c>
      <c r="I1674" s="7" t="s">
        <v>58</v>
      </c>
      <c r="J1674" s="7" t="s">
        <v>323</v>
      </c>
      <c r="K1674" s="7" t="s">
        <v>74</v>
      </c>
      <c r="L1674" s="7" t="s">
        <v>2664</v>
      </c>
      <c r="M1674" s="7" t="s">
        <v>61</v>
      </c>
      <c r="N1674" s="7" t="s">
        <v>31</v>
      </c>
      <c r="O1674" s="7">
        <v>74</v>
      </c>
      <c r="P1674" s="7">
        <v>18.55</v>
      </c>
      <c r="Q1674" s="7">
        <v>9.89</v>
      </c>
      <c r="R1674" s="7">
        <v>1373.02</v>
      </c>
      <c r="S1674" s="7">
        <v>0.1</v>
      </c>
      <c r="T1674" s="7">
        <v>137.30000000000001</v>
      </c>
      <c r="U1674" s="7">
        <v>1235.72</v>
      </c>
      <c r="V1674" s="7">
        <v>731.7</v>
      </c>
      <c r="W1674" s="7">
        <v>504.02</v>
      </c>
      <c r="X1674" s="7" t="s">
        <v>45</v>
      </c>
    </row>
    <row r="1675" spans="1:24" x14ac:dyDescent="0.25">
      <c r="A1675" s="16" t="s">
        <v>2169</v>
      </c>
      <c r="B1675" s="17">
        <v>45565</v>
      </c>
      <c r="C1675" s="6" t="s">
        <v>843</v>
      </c>
      <c r="D1675" s="6" t="s">
        <v>22</v>
      </c>
      <c r="E1675" s="6" t="s">
        <v>23</v>
      </c>
      <c r="F1675" s="6" t="s">
        <v>24</v>
      </c>
      <c r="G1675" s="6" t="s">
        <v>25</v>
      </c>
      <c r="H1675" s="6" t="s">
        <v>26</v>
      </c>
      <c r="I1675" s="6" t="s">
        <v>27</v>
      </c>
      <c r="J1675" s="6" t="s">
        <v>28</v>
      </c>
      <c r="K1675" s="6" t="s">
        <v>265</v>
      </c>
      <c r="L1675" s="6" t="s">
        <v>2678</v>
      </c>
      <c r="M1675" s="6" t="s">
        <v>30</v>
      </c>
      <c r="N1675" s="6" t="s">
        <v>70</v>
      </c>
      <c r="O1675" s="6">
        <v>73</v>
      </c>
      <c r="P1675" s="6">
        <v>75.25</v>
      </c>
      <c r="Q1675" s="6">
        <v>44.87</v>
      </c>
      <c r="R1675" s="6">
        <v>5493.36</v>
      </c>
      <c r="S1675" s="6">
        <v>0</v>
      </c>
      <c r="T1675" s="6">
        <v>0</v>
      </c>
      <c r="U1675" s="6">
        <v>5493.36</v>
      </c>
      <c r="V1675" s="6">
        <v>3275.51</v>
      </c>
      <c r="W1675" s="6">
        <v>2217.85</v>
      </c>
      <c r="X1675" s="6" t="s">
        <v>45</v>
      </c>
    </row>
    <row r="1676" spans="1:24" x14ac:dyDescent="0.25">
      <c r="A1676" s="5" t="s">
        <v>873</v>
      </c>
      <c r="B1676" s="18">
        <v>45619</v>
      </c>
      <c r="C1676" s="7" t="s">
        <v>874</v>
      </c>
      <c r="D1676" s="7" t="s">
        <v>159</v>
      </c>
      <c r="E1676" s="7" t="s">
        <v>222</v>
      </c>
      <c r="F1676" s="7" t="s">
        <v>223</v>
      </c>
      <c r="G1676" s="7" t="s">
        <v>101</v>
      </c>
      <c r="H1676" s="7" t="s">
        <v>68</v>
      </c>
      <c r="I1676" s="7" t="s">
        <v>27</v>
      </c>
      <c r="J1676" s="7" t="s">
        <v>211</v>
      </c>
      <c r="K1676" s="7" t="s">
        <v>253</v>
      </c>
      <c r="L1676" s="7" t="s">
        <v>2676</v>
      </c>
      <c r="M1676" s="7" t="s">
        <v>30</v>
      </c>
      <c r="N1676" s="7" t="s">
        <v>44</v>
      </c>
      <c r="O1676" s="7">
        <v>35</v>
      </c>
      <c r="P1676" s="7">
        <v>127.69</v>
      </c>
      <c r="Q1676" s="7">
        <v>77.02</v>
      </c>
      <c r="R1676" s="7">
        <v>4469.2700000000004</v>
      </c>
      <c r="S1676" s="7">
        <v>0.1</v>
      </c>
      <c r="T1676" s="7">
        <v>446.93</v>
      </c>
      <c r="U1676" s="7">
        <v>4022.34</v>
      </c>
      <c r="V1676" s="7">
        <v>2695.81</v>
      </c>
      <c r="W1676" s="7">
        <v>1326.54</v>
      </c>
      <c r="X1676" s="7" t="s">
        <v>45</v>
      </c>
    </row>
    <row r="1677" spans="1:24" x14ac:dyDescent="0.25">
      <c r="A1677" s="16" t="s">
        <v>2170</v>
      </c>
      <c r="B1677" s="17">
        <v>45528</v>
      </c>
      <c r="C1677" s="6" t="s">
        <v>1033</v>
      </c>
      <c r="D1677" s="6" t="s">
        <v>105</v>
      </c>
      <c r="E1677" s="6" t="s">
        <v>99</v>
      </c>
      <c r="F1677" s="6" t="s">
        <v>100</v>
      </c>
      <c r="G1677" s="6" t="s">
        <v>101</v>
      </c>
      <c r="H1677" s="6" t="s">
        <v>102</v>
      </c>
      <c r="I1677" s="6" t="s">
        <v>53</v>
      </c>
      <c r="J1677" s="6" t="s">
        <v>122</v>
      </c>
      <c r="K1677" s="6" t="s">
        <v>218</v>
      </c>
      <c r="L1677" s="6" t="s">
        <v>2674</v>
      </c>
      <c r="M1677" s="6" t="s">
        <v>30</v>
      </c>
      <c r="N1677" s="6" t="s">
        <v>84</v>
      </c>
      <c r="O1677" s="6">
        <v>74</v>
      </c>
      <c r="P1677" s="6">
        <v>75.33</v>
      </c>
      <c r="Q1677" s="6">
        <v>42.98</v>
      </c>
      <c r="R1677" s="6">
        <v>5574.4</v>
      </c>
      <c r="S1677" s="6">
        <v>0</v>
      </c>
      <c r="T1677" s="6">
        <v>0</v>
      </c>
      <c r="U1677" s="6">
        <v>5574.4</v>
      </c>
      <c r="V1677" s="6">
        <v>3180.38</v>
      </c>
      <c r="W1677" s="6">
        <v>2394.0300000000002</v>
      </c>
      <c r="X1677" s="6" t="s">
        <v>129</v>
      </c>
    </row>
    <row r="1678" spans="1:24" x14ac:dyDescent="0.25">
      <c r="A1678" s="5" t="s">
        <v>2171</v>
      </c>
      <c r="B1678" s="18">
        <v>45379</v>
      </c>
      <c r="C1678" s="7" t="s">
        <v>533</v>
      </c>
      <c r="D1678" s="7" t="s">
        <v>163</v>
      </c>
      <c r="E1678" s="7" t="s">
        <v>49</v>
      </c>
      <c r="F1678" s="7" t="s">
        <v>50</v>
      </c>
      <c r="G1678" s="7" t="s">
        <v>51</v>
      </c>
      <c r="H1678" s="7" t="s">
        <v>52</v>
      </c>
      <c r="I1678" s="7" t="s">
        <v>58</v>
      </c>
      <c r="J1678" s="7" t="s">
        <v>73</v>
      </c>
      <c r="K1678" s="7" t="s">
        <v>60</v>
      </c>
      <c r="L1678" s="7" t="s">
        <v>2662</v>
      </c>
      <c r="M1678" s="7" t="s">
        <v>61</v>
      </c>
      <c r="N1678" s="7" t="s">
        <v>31</v>
      </c>
      <c r="O1678" s="7">
        <v>23</v>
      </c>
      <c r="P1678" s="7">
        <v>23.17</v>
      </c>
      <c r="Q1678" s="7">
        <v>13.97</v>
      </c>
      <c r="R1678" s="7">
        <v>532.86</v>
      </c>
      <c r="S1678" s="7">
        <v>0.05</v>
      </c>
      <c r="T1678" s="7">
        <v>26.64</v>
      </c>
      <c r="U1678" s="7">
        <v>506.22</v>
      </c>
      <c r="V1678" s="7">
        <v>321.41000000000003</v>
      </c>
      <c r="W1678" s="7">
        <v>184.8</v>
      </c>
      <c r="X1678" s="7" t="s">
        <v>45</v>
      </c>
    </row>
    <row r="1679" spans="1:24" x14ac:dyDescent="0.25">
      <c r="A1679" s="16" t="s">
        <v>2172</v>
      </c>
      <c r="B1679" s="17">
        <v>45604</v>
      </c>
      <c r="C1679" s="6" t="s">
        <v>1431</v>
      </c>
      <c r="D1679" s="6" t="s">
        <v>264</v>
      </c>
      <c r="E1679" s="6" t="s">
        <v>78</v>
      </c>
      <c r="F1679" s="6" t="s">
        <v>79</v>
      </c>
      <c r="G1679" s="6" t="s">
        <v>80</v>
      </c>
      <c r="H1679" s="6" t="s">
        <v>81</v>
      </c>
      <c r="I1679" s="6" t="s">
        <v>88</v>
      </c>
      <c r="J1679" s="6" t="s">
        <v>135</v>
      </c>
      <c r="K1679" s="6" t="s">
        <v>195</v>
      </c>
      <c r="L1679" s="6" t="s">
        <v>2673</v>
      </c>
      <c r="M1679" s="6" t="s">
        <v>61</v>
      </c>
      <c r="N1679" s="6" t="s">
        <v>84</v>
      </c>
      <c r="O1679" s="6">
        <v>37</v>
      </c>
      <c r="P1679" s="6">
        <v>145.06</v>
      </c>
      <c r="Q1679" s="6">
        <v>88.24</v>
      </c>
      <c r="R1679" s="6">
        <v>5367.38</v>
      </c>
      <c r="S1679" s="6">
        <v>0.2</v>
      </c>
      <c r="T1679" s="6">
        <v>1073.48</v>
      </c>
      <c r="U1679" s="6">
        <v>4293.91</v>
      </c>
      <c r="V1679" s="6">
        <v>3265</v>
      </c>
      <c r="W1679" s="6">
        <v>1028.9100000000001</v>
      </c>
      <c r="X1679" s="6" t="s">
        <v>45</v>
      </c>
    </row>
    <row r="1680" spans="1:24" x14ac:dyDescent="0.25">
      <c r="A1680" s="5" t="s">
        <v>2173</v>
      </c>
      <c r="B1680" s="18">
        <v>45522</v>
      </c>
      <c r="C1680" s="7" t="s">
        <v>451</v>
      </c>
      <c r="D1680" s="7" t="s">
        <v>87</v>
      </c>
      <c r="E1680" s="7" t="s">
        <v>132</v>
      </c>
      <c r="F1680" s="7" t="s">
        <v>133</v>
      </c>
      <c r="G1680" s="7" t="s">
        <v>51</v>
      </c>
      <c r="H1680" s="7" t="s">
        <v>134</v>
      </c>
      <c r="I1680" s="7" t="s">
        <v>40</v>
      </c>
      <c r="J1680" s="7" t="s">
        <v>41</v>
      </c>
      <c r="K1680" s="7" t="s">
        <v>83</v>
      </c>
      <c r="L1680" s="7" t="s">
        <v>2665</v>
      </c>
      <c r="M1680" s="7" t="s">
        <v>61</v>
      </c>
      <c r="N1680" s="7" t="s">
        <v>44</v>
      </c>
      <c r="O1680" s="7">
        <v>71</v>
      </c>
      <c r="P1680" s="7">
        <v>56.78</v>
      </c>
      <c r="Q1680" s="7">
        <v>31.91</v>
      </c>
      <c r="R1680" s="7">
        <v>4031.26</v>
      </c>
      <c r="S1680" s="7">
        <v>0</v>
      </c>
      <c r="T1680" s="7">
        <v>0</v>
      </c>
      <c r="U1680" s="7">
        <v>4031.26</v>
      </c>
      <c r="V1680" s="7">
        <v>2265.91</v>
      </c>
      <c r="W1680" s="7">
        <v>1765.35</v>
      </c>
      <c r="X1680" s="7" t="s">
        <v>45</v>
      </c>
    </row>
    <row r="1681" spans="1:24" x14ac:dyDescent="0.25">
      <c r="A1681" s="16" t="s">
        <v>2174</v>
      </c>
      <c r="B1681" s="17">
        <v>45627</v>
      </c>
      <c r="C1681" s="6" t="s">
        <v>276</v>
      </c>
      <c r="D1681" s="6" t="s">
        <v>221</v>
      </c>
      <c r="E1681" s="6" t="s">
        <v>187</v>
      </c>
      <c r="F1681" s="6" t="s">
        <v>188</v>
      </c>
      <c r="G1681" s="6" t="s">
        <v>25</v>
      </c>
      <c r="H1681" s="6" t="s">
        <v>26</v>
      </c>
      <c r="I1681" s="6" t="s">
        <v>27</v>
      </c>
      <c r="J1681" s="6" t="s">
        <v>189</v>
      </c>
      <c r="K1681" s="6" t="s">
        <v>253</v>
      </c>
      <c r="L1681" s="6" t="s">
        <v>2676</v>
      </c>
      <c r="M1681" s="6" t="s">
        <v>43</v>
      </c>
      <c r="N1681" s="6" t="s">
        <v>44</v>
      </c>
      <c r="O1681" s="6">
        <v>34</v>
      </c>
      <c r="P1681" s="6">
        <v>50</v>
      </c>
      <c r="Q1681" s="6">
        <v>27.4</v>
      </c>
      <c r="R1681" s="6">
        <v>1700.04</v>
      </c>
      <c r="S1681" s="6">
        <v>0.15</v>
      </c>
      <c r="T1681" s="6">
        <v>255.01</v>
      </c>
      <c r="U1681" s="6">
        <v>1445.04</v>
      </c>
      <c r="V1681" s="6">
        <v>931.49</v>
      </c>
      <c r="W1681" s="6">
        <v>513.54</v>
      </c>
      <c r="X1681" s="6" t="s">
        <v>129</v>
      </c>
    </row>
    <row r="1682" spans="1:24" x14ac:dyDescent="0.25">
      <c r="A1682" s="5" t="s">
        <v>2175</v>
      </c>
      <c r="B1682" s="18">
        <v>45582</v>
      </c>
      <c r="C1682" s="7" t="s">
        <v>1044</v>
      </c>
      <c r="D1682" s="7" t="s">
        <v>359</v>
      </c>
      <c r="E1682" s="7" t="s">
        <v>165</v>
      </c>
      <c r="F1682" s="7" t="s">
        <v>166</v>
      </c>
      <c r="G1682" s="7" t="s">
        <v>95</v>
      </c>
      <c r="H1682" s="7" t="s">
        <v>167</v>
      </c>
      <c r="I1682" s="7" t="s">
        <v>53</v>
      </c>
      <c r="J1682" s="7" t="s">
        <v>232</v>
      </c>
      <c r="K1682" s="7" t="s">
        <v>83</v>
      </c>
      <c r="L1682" s="7" t="s">
        <v>2665</v>
      </c>
      <c r="M1682" s="7" t="s">
        <v>30</v>
      </c>
      <c r="N1682" s="7" t="s">
        <v>84</v>
      </c>
      <c r="O1682" s="7">
        <v>24</v>
      </c>
      <c r="P1682" s="7">
        <v>44.79</v>
      </c>
      <c r="Q1682" s="7">
        <v>23.14</v>
      </c>
      <c r="R1682" s="7">
        <v>1075.01</v>
      </c>
      <c r="S1682" s="7">
        <v>0.15</v>
      </c>
      <c r="T1682" s="7">
        <v>161.25</v>
      </c>
      <c r="U1682" s="7">
        <v>913.76</v>
      </c>
      <c r="V1682" s="7">
        <v>555.26</v>
      </c>
      <c r="W1682" s="7">
        <v>358.5</v>
      </c>
      <c r="X1682" s="7" t="s">
        <v>32</v>
      </c>
    </row>
    <row r="1683" spans="1:24" x14ac:dyDescent="0.25">
      <c r="A1683" s="16" t="s">
        <v>2176</v>
      </c>
      <c r="B1683" s="17">
        <v>45582</v>
      </c>
      <c r="C1683" s="6" t="s">
        <v>938</v>
      </c>
      <c r="D1683" s="6" t="s">
        <v>156</v>
      </c>
      <c r="E1683" s="6" t="s">
        <v>209</v>
      </c>
      <c r="F1683" s="6" t="s">
        <v>210</v>
      </c>
      <c r="G1683" s="6" t="s">
        <v>51</v>
      </c>
      <c r="H1683" s="6" t="s">
        <v>116</v>
      </c>
      <c r="I1683" s="6" t="s">
        <v>58</v>
      </c>
      <c r="J1683" s="6" t="s">
        <v>73</v>
      </c>
      <c r="K1683" s="6" t="s">
        <v>144</v>
      </c>
      <c r="L1683" s="6" t="s">
        <v>2669</v>
      </c>
      <c r="M1683" s="6" t="s">
        <v>30</v>
      </c>
      <c r="N1683" s="6" t="s">
        <v>75</v>
      </c>
      <c r="O1683" s="6">
        <v>70</v>
      </c>
      <c r="P1683" s="6">
        <v>16.86</v>
      </c>
      <c r="Q1683" s="6">
        <v>9.82</v>
      </c>
      <c r="R1683" s="6">
        <v>1180.21</v>
      </c>
      <c r="S1683" s="6">
        <v>0</v>
      </c>
      <c r="T1683" s="6">
        <v>0</v>
      </c>
      <c r="U1683" s="6">
        <v>1180.21</v>
      </c>
      <c r="V1683" s="6">
        <v>687.07</v>
      </c>
      <c r="W1683" s="6">
        <v>493.15</v>
      </c>
      <c r="X1683" s="6" t="s">
        <v>45</v>
      </c>
    </row>
    <row r="1684" spans="1:24" x14ac:dyDescent="0.25">
      <c r="A1684" s="5" t="s">
        <v>2177</v>
      </c>
      <c r="B1684" s="18">
        <v>45411</v>
      </c>
      <c r="C1684" s="7" t="s">
        <v>1557</v>
      </c>
      <c r="D1684" s="7" t="s">
        <v>159</v>
      </c>
      <c r="E1684" s="7" t="s">
        <v>109</v>
      </c>
      <c r="F1684" s="7" t="s">
        <v>110</v>
      </c>
      <c r="G1684" s="7" t="s">
        <v>80</v>
      </c>
      <c r="H1684" s="7" t="s">
        <v>81</v>
      </c>
      <c r="I1684" s="7" t="s">
        <v>58</v>
      </c>
      <c r="J1684" s="7" t="s">
        <v>345</v>
      </c>
      <c r="K1684" s="7" t="s">
        <v>111</v>
      </c>
      <c r="L1684" s="7" t="s">
        <v>2667</v>
      </c>
      <c r="M1684" s="7" t="s">
        <v>153</v>
      </c>
      <c r="N1684" s="7" t="s">
        <v>44</v>
      </c>
      <c r="O1684" s="7">
        <v>65</v>
      </c>
      <c r="P1684" s="7">
        <v>131.55000000000001</v>
      </c>
      <c r="Q1684" s="7">
        <v>77.13</v>
      </c>
      <c r="R1684" s="7">
        <v>8550.77</v>
      </c>
      <c r="S1684" s="7">
        <v>0</v>
      </c>
      <c r="T1684" s="7">
        <v>0</v>
      </c>
      <c r="U1684" s="7">
        <v>8550.77</v>
      </c>
      <c r="V1684" s="7">
        <v>5013.58</v>
      </c>
      <c r="W1684" s="7">
        <v>3537.19</v>
      </c>
      <c r="X1684" s="7" t="s">
        <v>45</v>
      </c>
    </row>
    <row r="1685" spans="1:24" x14ac:dyDescent="0.25">
      <c r="A1685" s="16" t="s">
        <v>2178</v>
      </c>
      <c r="B1685" s="17">
        <v>45590</v>
      </c>
      <c r="C1685" s="6" t="s">
        <v>1036</v>
      </c>
      <c r="D1685" s="6" t="s">
        <v>22</v>
      </c>
      <c r="E1685" s="6" t="s">
        <v>209</v>
      </c>
      <c r="F1685" s="6" t="s">
        <v>210</v>
      </c>
      <c r="G1685" s="6" t="s">
        <v>51</v>
      </c>
      <c r="H1685" s="6" t="s">
        <v>116</v>
      </c>
      <c r="I1685" s="6" t="s">
        <v>53</v>
      </c>
      <c r="J1685" s="6" t="s">
        <v>54</v>
      </c>
      <c r="K1685" s="6" t="s">
        <v>42</v>
      </c>
      <c r="L1685" s="6" t="s">
        <v>2661</v>
      </c>
      <c r="M1685" s="6" t="s">
        <v>30</v>
      </c>
      <c r="N1685" s="6" t="s">
        <v>44</v>
      </c>
      <c r="O1685" s="6">
        <v>22</v>
      </c>
      <c r="P1685" s="6">
        <v>16.62</v>
      </c>
      <c r="Q1685" s="6">
        <v>9.7799999999999994</v>
      </c>
      <c r="R1685" s="6">
        <v>365.74</v>
      </c>
      <c r="S1685" s="6">
        <v>0.1</v>
      </c>
      <c r="T1685" s="6">
        <v>36.57</v>
      </c>
      <c r="U1685" s="6">
        <v>329.17</v>
      </c>
      <c r="V1685" s="6">
        <v>215.09</v>
      </c>
      <c r="W1685" s="6">
        <v>114.08</v>
      </c>
      <c r="X1685" s="6" t="s">
        <v>32</v>
      </c>
    </row>
    <row r="1686" spans="1:24" x14ac:dyDescent="0.25">
      <c r="A1686" s="5" t="s">
        <v>2179</v>
      </c>
      <c r="B1686" s="18">
        <v>45650</v>
      </c>
      <c r="C1686" s="7" t="s">
        <v>98</v>
      </c>
      <c r="D1686" s="7" t="s">
        <v>48</v>
      </c>
      <c r="E1686" s="7" t="s">
        <v>78</v>
      </c>
      <c r="F1686" s="7" t="s">
        <v>79</v>
      </c>
      <c r="G1686" s="7" t="s">
        <v>80</v>
      </c>
      <c r="H1686" s="7" t="s">
        <v>81</v>
      </c>
      <c r="I1686" s="7" t="s">
        <v>40</v>
      </c>
      <c r="J1686" s="7" t="s">
        <v>289</v>
      </c>
      <c r="K1686" s="7" t="s">
        <v>178</v>
      </c>
      <c r="L1686" s="7" t="s">
        <v>256</v>
      </c>
      <c r="M1686" s="7" t="s">
        <v>153</v>
      </c>
      <c r="N1686" s="7" t="s">
        <v>70</v>
      </c>
      <c r="O1686" s="7">
        <v>38</v>
      </c>
      <c r="P1686" s="7">
        <v>131.07</v>
      </c>
      <c r="Q1686" s="7">
        <v>84.15</v>
      </c>
      <c r="R1686" s="7">
        <v>4980.7700000000004</v>
      </c>
      <c r="S1686" s="7">
        <v>0</v>
      </c>
      <c r="T1686" s="7">
        <v>0</v>
      </c>
      <c r="U1686" s="7">
        <v>4980.7700000000004</v>
      </c>
      <c r="V1686" s="7">
        <v>3197.52</v>
      </c>
      <c r="W1686" s="7">
        <v>1783.26</v>
      </c>
      <c r="X1686" s="7" t="s">
        <v>32</v>
      </c>
    </row>
    <row r="1687" spans="1:24" x14ac:dyDescent="0.25">
      <c r="A1687" s="16" t="s">
        <v>2180</v>
      </c>
      <c r="B1687" s="17">
        <v>45654</v>
      </c>
      <c r="C1687" s="6" t="s">
        <v>1380</v>
      </c>
      <c r="D1687" s="6" t="s">
        <v>121</v>
      </c>
      <c r="E1687" s="6" t="s">
        <v>36</v>
      </c>
      <c r="F1687" s="6" t="s">
        <v>37</v>
      </c>
      <c r="G1687" s="6" t="s">
        <v>38</v>
      </c>
      <c r="H1687" s="6" t="s">
        <v>39</v>
      </c>
      <c r="I1687" s="6" t="s">
        <v>53</v>
      </c>
      <c r="J1687" s="6" t="s">
        <v>122</v>
      </c>
      <c r="K1687" s="6" t="s">
        <v>261</v>
      </c>
      <c r="L1687" s="6" t="s">
        <v>2677</v>
      </c>
      <c r="M1687" s="6" t="s">
        <v>61</v>
      </c>
      <c r="N1687" s="6" t="s">
        <v>31</v>
      </c>
      <c r="O1687" s="6">
        <v>44</v>
      </c>
      <c r="P1687" s="6">
        <v>160.57</v>
      </c>
      <c r="Q1687" s="6">
        <v>102.07</v>
      </c>
      <c r="R1687" s="6">
        <v>7065.07</v>
      </c>
      <c r="S1687" s="6">
        <v>0.02</v>
      </c>
      <c r="T1687" s="6">
        <v>141.30000000000001</v>
      </c>
      <c r="U1687" s="6">
        <v>6923.77</v>
      </c>
      <c r="V1687" s="6">
        <v>4490.9399999999996</v>
      </c>
      <c r="W1687" s="6">
        <v>2432.83</v>
      </c>
      <c r="X1687" s="6" t="s">
        <v>45</v>
      </c>
    </row>
    <row r="1688" spans="1:24" x14ac:dyDescent="0.25">
      <c r="A1688" s="5" t="s">
        <v>2181</v>
      </c>
      <c r="B1688" s="18">
        <v>45574</v>
      </c>
      <c r="C1688" s="7" t="s">
        <v>611</v>
      </c>
      <c r="D1688" s="7" t="s">
        <v>264</v>
      </c>
      <c r="E1688" s="7" t="s">
        <v>126</v>
      </c>
      <c r="F1688" s="7" t="s">
        <v>127</v>
      </c>
      <c r="G1688" s="7" t="s">
        <v>95</v>
      </c>
      <c r="H1688" s="7" t="s">
        <v>128</v>
      </c>
      <c r="I1688" s="7" t="s">
        <v>27</v>
      </c>
      <c r="J1688" s="7" t="s">
        <v>106</v>
      </c>
      <c r="K1688" s="7" t="s">
        <v>170</v>
      </c>
      <c r="L1688" s="7" t="s">
        <v>2671</v>
      </c>
      <c r="M1688" s="7" t="s">
        <v>43</v>
      </c>
      <c r="N1688" s="7" t="s">
        <v>84</v>
      </c>
      <c r="O1688" s="7">
        <v>5</v>
      </c>
      <c r="P1688" s="7">
        <v>90.1</v>
      </c>
      <c r="Q1688" s="7">
        <v>52.23</v>
      </c>
      <c r="R1688" s="7">
        <v>450.5</v>
      </c>
      <c r="S1688" s="7">
        <v>0.02</v>
      </c>
      <c r="T1688" s="7">
        <v>9.01</v>
      </c>
      <c r="U1688" s="7">
        <v>441.49</v>
      </c>
      <c r="V1688" s="7">
        <v>261.16000000000003</v>
      </c>
      <c r="W1688" s="7">
        <v>180.33</v>
      </c>
      <c r="X1688" s="7" t="s">
        <v>45</v>
      </c>
    </row>
    <row r="1689" spans="1:24" x14ac:dyDescent="0.25">
      <c r="A1689" s="16" t="s">
        <v>2182</v>
      </c>
      <c r="B1689" s="17">
        <v>45354</v>
      </c>
      <c r="C1689" s="6" t="s">
        <v>1028</v>
      </c>
      <c r="D1689" s="6" t="s">
        <v>57</v>
      </c>
      <c r="E1689" s="6" t="s">
        <v>23</v>
      </c>
      <c r="F1689" s="6" t="s">
        <v>24</v>
      </c>
      <c r="G1689" s="6" t="s">
        <v>25</v>
      </c>
      <c r="H1689" s="6" t="s">
        <v>26</v>
      </c>
      <c r="I1689" s="6" t="s">
        <v>58</v>
      </c>
      <c r="J1689" s="6" t="s">
        <v>73</v>
      </c>
      <c r="K1689" s="6" t="s">
        <v>248</v>
      </c>
      <c r="L1689" s="6" t="s">
        <v>2675</v>
      </c>
      <c r="M1689" s="6" t="s">
        <v>30</v>
      </c>
      <c r="N1689" s="6" t="s">
        <v>75</v>
      </c>
      <c r="O1689" s="6">
        <v>63</v>
      </c>
      <c r="P1689" s="6">
        <v>75.89</v>
      </c>
      <c r="Q1689" s="6">
        <v>45.18</v>
      </c>
      <c r="R1689" s="6">
        <v>4781.16</v>
      </c>
      <c r="S1689" s="6">
        <v>0.2</v>
      </c>
      <c r="T1689" s="6">
        <v>956.23</v>
      </c>
      <c r="U1689" s="6">
        <v>3824.93</v>
      </c>
      <c r="V1689" s="6">
        <v>2846.16</v>
      </c>
      <c r="W1689" s="6">
        <v>978.77</v>
      </c>
      <c r="X1689" s="6" t="s">
        <v>45</v>
      </c>
    </row>
    <row r="1690" spans="1:24" x14ac:dyDescent="0.25">
      <c r="A1690" s="5" t="s">
        <v>2183</v>
      </c>
      <c r="B1690" s="18">
        <v>45341</v>
      </c>
      <c r="C1690" s="7" t="s">
        <v>902</v>
      </c>
      <c r="D1690" s="7" t="s">
        <v>35</v>
      </c>
      <c r="E1690" s="7" t="s">
        <v>93</v>
      </c>
      <c r="F1690" s="7" t="s">
        <v>94</v>
      </c>
      <c r="G1690" s="7" t="s">
        <v>95</v>
      </c>
      <c r="H1690" s="7" t="s">
        <v>96</v>
      </c>
      <c r="I1690" s="7" t="s">
        <v>27</v>
      </c>
      <c r="J1690" s="7" t="s">
        <v>211</v>
      </c>
      <c r="K1690" s="7" t="s">
        <v>248</v>
      </c>
      <c r="L1690" s="7" t="s">
        <v>2675</v>
      </c>
      <c r="M1690" s="7" t="s">
        <v>30</v>
      </c>
      <c r="N1690" s="7" t="s">
        <v>75</v>
      </c>
      <c r="O1690" s="7">
        <v>59</v>
      </c>
      <c r="P1690" s="7">
        <v>56.16</v>
      </c>
      <c r="Q1690" s="7">
        <v>30.77</v>
      </c>
      <c r="R1690" s="7">
        <v>3313.44</v>
      </c>
      <c r="S1690" s="7">
        <v>0.05</v>
      </c>
      <c r="T1690" s="7">
        <v>165.67</v>
      </c>
      <c r="U1690" s="7">
        <v>3147.77</v>
      </c>
      <c r="V1690" s="7">
        <v>1815.44</v>
      </c>
      <c r="W1690" s="7">
        <v>1332.32</v>
      </c>
      <c r="X1690" s="7" t="s">
        <v>45</v>
      </c>
    </row>
    <row r="1691" spans="1:24" x14ac:dyDescent="0.25">
      <c r="A1691" s="16" t="s">
        <v>2184</v>
      </c>
      <c r="B1691" s="17">
        <v>45392</v>
      </c>
      <c r="C1691" s="6" t="s">
        <v>1025</v>
      </c>
      <c r="D1691" s="6" t="s">
        <v>149</v>
      </c>
      <c r="E1691" s="6" t="s">
        <v>114</v>
      </c>
      <c r="F1691" s="6" t="s">
        <v>115</v>
      </c>
      <c r="G1691" s="6" t="s">
        <v>95</v>
      </c>
      <c r="H1691" s="6" t="s">
        <v>116</v>
      </c>
      <c r="I1691" s="6" t="s">
        <v>53</v>
      </c>
      <c r="J1691" s="6" t="s">
        <v>143</v>
      </c>
      <c r="K1691" s="6" t="s">
        <v>248</v>
      </c>
      <c r="L1691" s="6" t="s">
        <v>2675</v>
      </c>
      <c r="M1691" s="6" t="s">
        <v>43</v>
      </c>
      <c r="N1691" s="6" t="s">
        <v>75</v>
      </c>
      <c r="O1691" s="6">
        <v>66</v>
      </c>
      <c r="P1691" s="6">
        <v>36.64</v>
      </c>
      <c r="Q1691" s="6">
        <v>21.43</v>
      </c>
      <c r="R1691" s="6">
        <v>2418.14</v>
      </c>
      <c r="S1691" s="6">
        <v>0</v>
      </c>
      <c r="T1691" s="6">
        <v>0</v>
      </c>
      <c r="U1691" s="6">
        <v>2418.14</v>
      </c>
      <c r="V1691" s="6">
        <v>1414.24</v>
      </c>
      <c r="W1691" s="6">
        <v>1003.91</v>
      </c>
      <c r="X1691" s="6" t="s">
        <v>45</v>
      </c>
    </row>
    <row r="1692" spans="1:24" x14ac:dyDescent="0.25">
      <c r="A1692" s="5" t="s">
        <v>2185</v>
      </c>
      <c r="B1692" s="18">
        <v>45546</v>
      </c>
      <c r="C1692" s="7" t="s">
        <v>557</v>
      </c>
      <c r="D1692" s="7" t="s">
        <v>159</v>
      </c>
      <c r="E1692" s="7" t="s">
        <v>114</v>
      </c>
      <c r="F1692" s="7" t="s">
        <v>115</v>
      </c>
      <c r="G1692" s="7" t="s">
        <v>95</v>
      </c>
      <c r="H1692" s="7" t="s">
        <v>116</v>
      </c>
      <c r="I1692" s="7" t="s">
        <v>27</v>
      </c>
      <c r="J1692" s="7" t="s">
        <v>883</v>
      </c>
      <c r="K1692" s="7" t="s">
        <v>29</v>
      </c>
      <c r="L1692" s="7" t="s">
        <v>2660</v>
      </c>
      <c r="M1692" s="7" t="s">
        <v>30</v>
      </c>
      <c r="N1692" s="7" t="s">
        <v>31</v>
      </c>
      <c r="O1692" s="7">
        <v>65</v>
      </c>
      <c r="P1692" s="7">
        <v>37.64</v>
      </c>
      <c r="Q1692" s="7">
        <v>20.43</v>
      </c>
      <c r="R1692" s="7">
        <v>2446.64</v>
      </c>
      <c r="S1692" s="7">
        <v>0.02</v>
      </c>
      <c r="T1692" s="7">
        <v>48.93</v>
      </c>
      <c r="U1692" s="7">
        <v>2397.71</v>
      </c>
      <c r="V1692" s="7">
        <v>1328.17</v>
      </c>
      <c r="W1692" s="7">
        <v>1069.54</v>
      </c>
      <c r="X1692" s="7" t="s">
        <v>45</v>
      </c>
    </row>
    <row r="1693" spans="1:24" x14ac:dyDescent="0.25">
      <c r="A1693" s="16" t="s">
        <v>2186</v>
      </c>
      <c r="B1693" s="17">
        <v>45323</v>
      </c>
      <c r="C1693" s="6" t="s">
        <v>258</v>
      </c>
      <c r="D1693" s="6" t="s">
        <v>259</v>
      </c>
      <c r="E1693" s="6" t="s">
        <v>165</v>
      </c>
      <c r="F1693" s="6" t="s">
        <v>166</v>
      </c>
      <c r="G1693" s="6" t="s">
        <v>95</v>
      </c>
      <c r="H1693" s="6" t="s">
        <v>167</v>
      </c>
      <c r="I1693" s="6" t="s">
        <v>53</v>
      </c>
      <c r="J1693" s="6" t="s">
        <v>122</v>
      </c>
      <c r="K1693" s="6" t="s">
        <v>42</v>
      </c>
      <c r="L1693" s="6" t="s">
        <v>2661</v>
      </c>
      <c r="M1693" s="6" t="s">
        <v>43</v>
      </c>
      <c r="N1693" s="6" t="s">
        <v>44</v>
      </c>
      <c r="O1693" s="6">
        <v>27</v>
      </c>
      <c r="P1693" s="6">
        <v>41.4</v>
      </c>
      <c r="Q1693" s="6">
        <v>26.02</v>
      </c>
      <c r="R1693" s="6">
        <v>1117.74</v>
      </c>
      <c r="S1693" s="6">
        <v>0.1</v>
      </c>
      <c r="T1693" s="6">
        <v>111.77</v>
      </c>
      <c r="U1693" s="6">
        <v>1005.97</v>
      </c>
      <c r="V1693" s="6">
        <v>702.6</v>
      </c>
      <c r="W1693" s="6">
        <v>303.37</v>
      </c>
      <c r="X1693" s="6" t="s">
        <v>45</v>
      </c>
    </row>
    <row r="1694" spans="1:24" x14ac:dyDescent="0.25">
      <c r="A1694" s="5" t="s">
        <v>2187</v>
      </c>
      <c r="B1694" s="18">
        <v>45375</v>
      </c>
      <c r="C1694" s="7" t="s">
        <v>611</v>
      </c>
      <c r="D1694" s="7" t="s">
        <v>264</v>
      </c>
      <c r="E1694" s="7" t="s">
        <v>132</v>
      </c>
      <c r="F1694" s="7" t="s">
        <v>133</v>
      </c>
      <c r="G1694" s="7" t="s">
        <v>51</v>
      </c>
      <c r="H1694" s="7" t="s">
        <v>134</v>
      </c>
      <c r="I1694" s="7" t="s">
        <v>53</v>
      </c>
      <c r="J1694" s="7" t="s">
        <v>232</v>
      </c>
      <c r="K1694" s="7" t="s">
        <v>144</v>
      </c>
      <c r="L1694" s="7" t="s">
        <v>2669</v>
      </c>
      <c r="M1694" s="7" t="s">
        <v>30</v>
      </c>
      <c r="N1694" s="7" t="s">
        <v>70</v>
      </c>
      <c r="O1694" s="7">
        <v>24</v>
      </c>
      <c r="P1694" s="7">
        <v>60.39</v>
      </c>
      <c r="Q1694" s="7">
        <v>34.75</v>
      </c>
      <c r="R1694" s="7">
        <v>1449.36</v>
      </c>
      <c r="S1694" s="7">
        <v>0.2</v>
      </c>
      <c r="T1694" s="7">
        <v>289.87</v>
      </c>
      <c r="U1694" s="7">
        <v>1159.49</v>
      </c>
      <c r="V1694" s="7">
        <v>833.94</v>
      </c>
      <c r="W1694" s="7">
        <v>325.55</v>
      </c>
      <c r="X1694" s="7" t="s">
        <v>45</v>
      </c>
    </row>
    <row r="1695" spans="1:24" x14ac:dyDescent="0.25">
      <c r="A1695" s="16" t="s">
        <v>2188</v>
      </c>
      <c r="B1695" s="17">
        <v>45376</v>
      </c>
      <c r="C1695" s="6" t="s">
        <v>1025</v>
      </c>
      <c r="D1695" s="6" t="s">
        <v>149</v>
      </c>
      <c r="E1695" s="6" t="s">
        <v>78</v>
      </c>
      <c r="F1695" s="6" t="s">
        <v>79</v>
      </c>
      <c r="G1695" s="6" t="s">
        <v>80</v>
      </c>
      <c r="H1695" s="6" t="s">
        <v>81</v>
      </c>
      <c r="I1695" s="6" t="s">
        <v>27</v>
      </c>
      <c r="J1695" s="6" t="s">
        <v>189</v>
      </c>
      <c r="K1695" s="6" t="s">
        <v>90</v>
      </c>
      <c r="L1695" s="6" t="s">
        <v>2666</v>
      </c>
      <c r="M1695" s="6" t="s">
        <v>153</v>
      </c>
      <c r="N1695" s="6" t="s">
        <v>44</v>
      </c>
      <c r="O1695" s="6">
        <v>64</v>
      </c>
      <c r="P1695" s="6">
        <v>149.72999999999999</v>
      </c>
      <c r="Q1695" s="6">
        <v>87.58</v>
      </c>
      <c r="R1695" s="6">
        <v>9582.7099999999991</v>
      </c>
      <c r="S1695" s="6">
        <v>0.02</v>
      </c>
      <c r="T1695" s="6">
        <v>191.65</v>
      </c>
      <c r="U1695" s="6">
        <v>9391.0499999999993</v>
      </c>
      <c r="V1695" s="6">
        <v>5605.34</v>
      </c>
      <c r="W1695" s="6">
        <v>3785.71</v>
      </c>
      <c r="X1695" s="6" t="s">
        <v>45</v>
      </c>
    </row>
    <row r="1696" spans="1:24" x14ac:dyDescent="0.25">
      <c r="A1696" s="5" t="s">
        <v>2189</v>
      </c>
      <c r="B1696" s="18">
        <v>45528</v>
      </c>
      <c r="C1696" s="7" t="s">
        <v>721</v>
      </c>
      <c r="D1696" s="7" t="s">
        <v>359</v>
      </c>
      <c r="E1696" s="7" t="s">
        <v>93</v>
      </c>
      <c r="F1696" s="7" t="s">
        <v>94</v>
      </c>
      <c r="G1696" s="7" t="s">
        <v>95</v>
      </c>
      <c r="H1696" s="7" t="s">
        <v>96</v>
      </c>
      <c r="I1696" s="7" t="s">
        <v>88</v>
      </c>
      <c r="J1696" s="7" t="s">
        <v>135</v>
      </c>
      <c r="K1696" s="7" t="s">
        <v>111</v>
      </c>
      <c r="L1696" s="7" t="s">
        <v>2667</v>
      </c>
      <c r="M1696" s="7" t="s">
        <v>30</v>
      </c>
      <c r="N1696" s="7" t="s">
        <v>84</v>
      </c>
      <c r="O1696" s="7">
        <v>58</v>
      </c>
      <c r="P1696" s="7">
        <v>53.57</v>
      </c>
      <c r="Q1696" s="7">
        <v>33.9</v>
      </c>
      <c r="R1696" s="7">
        <v>3107.04</v>
      </c>
      <c r="S1696" s="7">
        <v>0.02</v>
      </c>
      <c r="T1696" s="7">
        <v>62.14</v>
      </c>
      <c r="U1696" s="7">
        <v>3044.9</v>
      </c>
      <c r="V1696" s="7">
        <v>1966.08</v>
      </c>
      <c r="W1696" s="7">
        <v>1078.82</v>
      </c>
      <c r="X1696" s="7" t="s">
        <v>270</v>
      </c>
    </row>
    <row r="1697" spans="1:24" x14ac:dyDescent="0.25">
      <c r="A1697" s="16" t="s">
        <v>2190</v>
      </c>
      <c r="B1697" s="17">
        <v>45626</v>
      </c>
      <c r="C1697" s="6" t="s">
        <v>2191</v>
      </c>
      <c r="D1697" s="6" t="s">
        <v>22</v>
      </c>
      <c r="E1697" s="6" t="s">
        <v>165</v>
      </c>
      <c r="F1697" s="6" t="s">
        <v>166</v>
      </c>
      <c r="G1697" s="6" t="s">
        <v>95</v>
      </c>
      <c r="H1697" s="6" t="s">
        <v>167</v>
      </c>
      <c r="I1697" s="6" t="s">
        <v>88</v>
      </c>
      <c r="J1697" s="6" t="s">
        <v>135</v>
      </c>
      <c r="K1697" s="6" t="s">
        <v>69</v>
      </c>
      <c r="L1697" s="6" t="s">
        <v>2663</v>
      </c>
      <c r="M1697" s="6" t="s">
        <v>153</v>
      </c>
      <c r="N1697" s="6" t="s">
        <v>84</v>
      </c>
      <c r="O1697" s="6">
        <v>61</v>
      </c>
      <c r="P1697" s="6">
        <v>42.89</v>
      </c>
      <c r="Q1697" s="6">
        <v>24.79</v>
      </c>
      <c r="R1697" s="6">
        <v>2616.04</v>
      </c>
      <c r="S1697" s="6">
        <v>0.1</v>
      </c>
      <c r="T1697" s="6">
        <v>261.60000000000002</v>
      </c>
      <c r="U1697" s="6">
        <v>2354.44</v>
      </c>
      <c r="V1697" s="6">
        <v>1512.42</v>
      </c>
      <c r="W1697" s="6">
        <v>842.02</v>
      </c>
      <c r="X1697" s="6" t="s">
        <v>45</v>
      </c>
    </row>
    <row r="1698" spans="1:24" x14ac:dyDescent="0.25">
      <c r="A1698" s="5" t="s">
        <v>2192</v>
      </c>
      <c r="B1698" s="18">
        <v>45449</v>
      </c>
      <c r="C1698" s="7" t="s">
        <v>293</v>
      </c>
      <c r="D1698" s="7" t="s">
        <v>65</v>
      </c>
      <c r="E1698" s="7" t="s">
        <v>216</v>
      </c>
      <c r="F1698" s="7" t="s">
        <v>217</v>
      </c>
      <c r="G1698" s="7" t="s">
        <v>38</v>
      </c>
      <c r="H1698" s="7" t="s">
        <v>134</v>
      </c>
      <c r="I1698" s="7" t="s">
        <v>88</v>
      </c>
      <c r="J1698" s="7" t="s">
        <v>183</v>
      </c>
      <c r="K1698" s="7" t="s">
        <v>195</v>
      </c>
      <c r="L1698" s="7" t="s">
        <v>2673</v>
      </c>
      <c r="M1698" s="7" t="s">
        <v>43</v>
      </c>
      <c r="N1698" s="7" t="s">
        <v>70</v>
      </c>
      <c r="O1698" s="7">
        <v>75</v>
      </c>
      <c r="P1698" s="7">
        <v>112.28</v>
      </c>
      <c r="Q1698" s="7">
        <v>65.959999999999994</v>
      </c>
      <c r="R1698" s="7">
        <v>8421.36</v>
      </c>
      <c r="S1698" s="7">
        <v>0.2</v>
      </c>
      <c r="T1698" s="7">
        <v>1684.27</v>
      </c>
      <c r="U1698" s="7">
        <v>6737.09</v>
      </c>
      <c r="V1698" s="7">
        <v>4947.18</v>
      </c>
      <c r="W1698" s="7">
        <v>1789.91</v>
      </c>
      <c r="X1698" s="7" t="s">
        <v>45</v>
      </c>
    </row>
    <row r="1699" spans="1:24" x14ac:dyDescent="0.25">
      <c r="A1699" s="16" t="s">
        <v>2193</v>
      </c>
      <c r="B1699" s="17">
        <v>45498</v>
      </c>
      <c r="C1699" s="6" t="s">
        <v>1394</v>
      </c>
      <c r="D1699" s="6" t="s">
        <v>156</v>
      </c>
      <c r="E1699" s="6" t="s">
        <v>23</v>
      </c>
      <c r="F1699" s="6" t="s">
        <v>24</v>
      </c>
      <c r="G1699" s="6" t="s">
        <v>25</v>
      </c>
      <c r="H1699" s="6" t="s">
        <v>26</v>
      </c>
      <c r="I1699" s="6" t="s">
        <v>27</v>
      </c>
      <c r="J1699" s="6" t="s">
        <v>28</v>
      </c>
      <c r="K1699" s="6" t="s">
        <v>29</v>
      </c>
      <c r="L1699" s="6" t="s">
        <v>2660</v>
      </c>
      <c r="M1699" s="6" t="s">
        <v>153</v>
      </c>
      <c r="N1699" s="6" t="s">
        <v>44</v>
      </c>
      <c r="O1699" s="6">
        <v>30</v>
      </c>
      <c r="P1699" s="6">
        <v>80.27</v>
      </c>
      <c r="Q1699" s="6">
        <v>44.96</v>
      </c>
      <c r="R1699" s="6">
        <v>2408.06</v>
      </c>
      <c r="S1699" s="6">
        <v>0.2</v>
      </c>
      <c r="T1699" s="6">
        <v>481.61</v>
      </c>
      <c r="U1699" s="6">
        <v>1926.45</v>
      </c>
      <c r="V1699" s="6">
        <v>1348.8</v>
      </c>
      <c r="W1699" s="6">
        <v>577.65</v>
      </c>
      <c r="X1699" s="6" t="s">
        <v>129</v>
      </c>
    </row>
    <row r="1700" spans="1:24" x14ac:dyDescent="0.25">
      <c r="A1700" s="5" t="s">
        <v>2194</v>
      </c>
      <c r="B1700" s="18">
        <v>45386</v>
      </c>
      <c r="C1700" s="7" t="s">
        <v>662</v>
      </c>
      <c r="D1700" s="7" t="s">
        <v>156</v>
      </c>
      <c r="E1700" s="7" t="s">
        <v>49</v>
      </c>
      <c r="F1700" s="7" t="s">
        <v>50</v>
      </c>
      <c r="G1700" s="7" t="s">
        <v>51</v>
      </c>
      <c r="H1700" s="7" t="s">
        <v>52</v>
      </c>
      <c r="I1700" s="7" t="s">
        <v>88</v>
      </c>
      <c r="J1700" s="7" t="s">
        <v>173</v>
      </c>
      <c r="K1700" s="7" t="s">
        <v>195</v>
      </c>
      <c r="L1700" s="7" t="s">
        <v>2673</v>
      </c>
      <c r="M1700" s="7" t="s">
        <v>61</v>
      </c>
      <c r="N1700" s="7" t="s">
        <v>44</v>
      </c>
      <c r="O1700" s="7">
        <v>19</v>
      </c>
      <c r="P1700" s="7">
        <v>26.42</v>
      </c>
      <c r="Q1700" s="7">
        <v>13.04</v>
      </c>
      <c r="R1700" s="7">
        <v>502.03</v>
      </c>
      <c r="S1700" s="7">
        <v>0.2</v>
      </c>
      <c r="T1700" s="7">
        <v>100.41</v>
      </c>
      <c r="U1700" s="7">
        <v>401.63</v>
      </c>
      <c r="V1700" s="7">
        <v>247.85</v>
      </c>
      <c r="W1700" s="7">
        <v>153.78</v>
      </c>
      <c r="X1700" s="7" t="s">
        <v>129</v>
      </c>
    </row>
    <row r="1701" spans="1:24" x14ac:dyDescent="0.25">
      <c r="A1701" s="16" t="s">
        <v>439</v>
      </c>
      <c r="B1701" s="17">
        <v>45294</v>
      </c>
      <c r="C1701" s="6" t="s">
        <v>203</v>
      </c>
      <c r="D1701" s="6" t="s">
        <v>156</v>
      </c>
      <c r="E1701" s="6" t="s">
        <v>36</v>
      </c>
      <c r="F1701" s="6" t="s">
        <v>37</v>
      </c>
      <c r="G1701" s="6" t="s">
        <v>38</v>
      </c>
      <c r="H1701" s="6" t="s">
        <v>39</v>
      </c>
      <c r="I1701" s="6" t="s">
        <v>27</v>
      </c>
      <c r="J1701" s="6" t="s">
        <v>211</v>
      </c>
      <c r="K1701" s="6" t="s">
        <v>111</v>
      </c>
      <c r="L1701" s="6" t="s">
        <v>2667</v>
      </c>
      <c r="M1701" s="6" t="s">
        <v>43</v>
      </c>
      <c r="N1701" s="6" t="s">
        <v>946</v>
      </c>
      <c r="O1701" s="6">
        <v>47</v>
      </c>
      <c r="P1701" s="6">
        <v>151.97</v>
      </c>
      <c r="Q1701" s="6">
        <v>106.58</v>
      </c>
      <c r="R1701" s="6">
        <v>7142.52</v>
      </c>
      <c r="S1701" s="6">
        <v>0.15</v>
      </c>
      <c r="T1701" s="6">
        <v>1071.3800000000001</v>
      </c>
      <c r="U1701" s="6">
        <v>6071.14</v>
      </c>
      <c r="V1701" s="6">
        <v>5009.13</v>
      </c>
      <c r="W1701" s="6">
        <v>1062.01</v>
      </c>
      <c r="X1701" s="6" t="s">
        <v>32</v>
      </c>
    </row>
    <row r="1702" spans="1:24" x14ac:dyDescent="0.25">
      <c r="A1702" s="5" t="s">
        <v>2195</v>
      </c>
      <c r="B1702" s="18">
        <v>45429</v>
      </c>
      <c r="C1702" s="7" t="s">
        <v>322</v>
      </c>
      <c r="D1702" s="7" t="s">
        <v>65</v>
      </c>
      <c r="E1702" s="7" t="s">
        <v>114</v>
      </c>
      <c r="F1702" s="7" t="s">
        <v>115</v>
      </c>
      <c r="G1702" s="7" t="s">
        <v>95</v>
      </c>
      <c r="H1702" s="7" t="s">
        <v>116</v>
      </c>
      <c r="I1702" s="7" t="s">
        <v>58</v>
      </c>
      <c r="J1702" s="7" t="s">
        <v>73</v>
      </c>
      <c r="K1702" s="7" t="s">
        <v>83</v>
      </c>
      <c r="L1702" s="7" t="s">
        <v>2665</v>
      </c>
      <c r="M1702" s="7" t="s">
        <v>61</v>
      </c>
      <c r="N1702" s="7" t="s">
        <v>31</v>
      </c>
      <c r="O1702" s="7">
        <v>9</v>
      </c>
      <c r="P1702" s="7">
        <v>33.9</v>
      </c>
      <c r="Q1702" s="7">
        <v>21.08</v>
      </c>
      <c r="R1702" s="7">
        <v>305.13</v>
      </c>
      <c r="S1702" s="7">
        <v>0.02</v>
      </c>
      <c r="T1702" s="7">
        <v>6.1</v>
      </c>
      <c r="U1702" s="7">
        <v>299.02999999999997</v>
      </c>
      <c r="V1702" s="7">
        <v>189.75</v>
      </c>
      <c r="W1702" s="7">
        <v>109.28</v>
      </c>
      <c r="X1702" s="7" t="s">
        <v>45</v>
      </c>
    </row>
    <row r="1703" spans="1:24" x14ac:dyDescent="0.25">
      <c r="A1703" s="16" t="s">
        <v>2196</v>
      </c>
      <c r="B1703" s="17">
        <v>45319</v>
      </c>
      <c r="C1703" s="6" t="s">
        <v>985</v>
      </c>
      <c r="D1703" s="6" t="s">
        <v>393</v>
      </c>
      <c r="E1703" s="6" t="s">
        <v>209</v>
      </c>
      <c r="F1703" s="6" t="s">
        <v>210</v>
      </c>
      <c r="G1703" s="6" t="s">
        <v>51</v>
      </c>
      <c r="H1703" s="6" t="s">
        <v>116</v>
      </c>
      <c r="I1703" s="6" t="s">
        <v>53</v>
      </c>
      <c r="J1703" s="6" t="s">
        <v>54</v>
      </c>
      <c r="K1703" s="6" t="s">
        <v>265</v>
      </c>
      <c r="L1703" s="6" t="s">
        <v>2678</v>
      </c>
      <c r="M1703" s="6" t="s">
        <v>30</v>
      </c>
      <c r="N1703" s="6" t="s">
        <v>44</v>
      </c>
      <c r="O1703" s="6">
        <v>14</v>
      </c>
      <c r="P1703" s="6">
        <v>17.3</v>
      </c>
      <c r="Q1703" s="6">
        <v>10.25</v>
      </c>
      <c r="R1703" s="6">
        <v>242.18</v>
      </c>
      <c r="S1703" s="6">
        <v>0.2</v>
      </c>
      <c r="T1703" s="6">
        <v>48.44</v>
      </c>
      <c r="U1703" s="6">
        <v>193.75</v>
      </c>
      <c r="V1703" s="6">
        <v>143.44999999999999</v>
      </c>
      <c r="W1703" s="6">
        <v>50.29</v>
      </c>
      <c r="X1703" s="6" t="s">
        <v>45</v>
      </c>
    </row>
    <row r="1704" spans="1:24" x14ac:dyDescent="0.25">
      <c r="A1704" s="5" t="s">
        <v>2197</v>
      </c>
      <c r="B1704" s="18">
        <v>45489</v>
      </c>
      <c r="C1704" s="7" t="s">
        <v>1184</v>
      </c>
      <c r="D1704" s="7" t="s">
        <v>65</v>
      </c>
      <c r="E1704" s="7" t="s">
        <v>165</v>
      </c>
      <c r="F1704" s="7" t="s">
        <v>166</v>
      </c>
      <c r="G1704" s="7" t="s">
        <v>95</v>
      </c>
      <c r="H1704" s="7" t="s">
        <v>167</v>
      </c>
      <c r="I1704" s="7" t="s">
        <v>58</v>
      </c>
      <c r="J1704" s="7" t="s">
        <v>345</v>
      </c>
      <c r="K1704" s="7" t="s">
        <v>42</v>
      </c>
      <c r="L1704" s="7" t="s">
        <v>2661</v>
      </c>
      <c r="M1704" s="7" t="s">
        <v>61</v>
      </c>
      <c r="N1704" s="7" t="s">
        <v>31</v>
      </c>
      <c r="O1704" s="7">
        <v>19</v>
      </c>
      <c r="P1704" s="7">
        <v>44.88</v>
      </c>
      <c r="Q1704" s="7">
        <v>24.55</v>
      </c>
      <c r="R1704" s="7">
        <v>852.79</v>
      </c>
      <c r="S1704" s="7">
        <v>0.02</v>
      </c>
      <c r="T1704" s="7">
        <v>17.059999999999999</v>
      </c>
      <c r="U1704" s="7">
        <v>835.74</v>
      </c>
      <c r="V1704" s="7">
        <v>466.44</v>
      </c>
      <c r="W1704" s="7">
        <v>369.3</v>
      </c>
      <c r="X1704" s="7" t="s">
        <v>45</v>
      </c>
    </row>
    <row r="1705" spans="1:24" x14ac:dyDescent="0.25">
      <c r="A1705" s="16" t="s">
        <v>2198</v>
      </c>
      <c r="B1705" s="17">
        <v>45365</v>
      </c>
      <c r="C1705" s="6" t="s">
        <v>471</v>
      </c>
      <c r="D1705" s="6" t="s">
        <v>125</v>
      </c>
      <c r="E1705" s="6" t="s">
        <v>114</v>
      </c>
      <c r="F1705" s="6" t="s">
        <v>115</v>
      </c>
      <c r="G1705" s="6" t="s">
        <v>95</v>
      </c>
      <c r="H1705" s="6" t="s">
        <v>116</v>
      </c>
      <c r="I1705" s="6" t="s">
        <v>58</v>
      </c>
      <c r="J1705" s="6" t="s">
        <v>345</v>
      </c>
      <c r="K1705" s="6" t="s">
        <v>90</v>
      </c>
      <c r="L1705" s="6" t="s">
        <v>2666</v>
      </c>
      <c r="M1705" s="6" t="s">
        <v>43</v>
      </c>
      <c r="N1705" s="6" t="s">
        <v>31</v>
      </c>
      <c r="O1705" s="6">
        <v>3</v>
      </c>
      <c r="P1705" s="6">
        <v>36.700000000000003</v>
      </c>
      <c r="Q1705" s="6">
        <v>21.02</v>
      </c>
      <c r="R1705" s="6">
        <v>110.1</v>
      </c>
      <c r="S1705" s="6">
        <v>0.2</v>
      </c>
      <c r="T1705" s="6">
        <v>22.02</v>
      </c>
      <c r="U1705" s="6">
        <v>88.08</v>
      </c>
      <c r="V1705" s="6">
        <v>63.05</v>
      </c>
      <c r="W1705" s="6">
        <v>25.03</v>
      </c>
      <c r="X1705" s="6" t="s">
        <v>32</v>
      </c>
    </row>
    <row r="1706" spans="1:24" x14ac:dyDescent="0.25">
      <c r="A1706" s="5" t="s">
        <v>2199</v>
      </c>
      <c r="B1706" s="18">
        <v>45300</v>
      </c>
      <c r="C1706" s="7" t="s">
        <v>565</v>
      </c>
      <c r="D1706" s="7" t="s">
        <v>121</v>
      </c>
      <c r="E1706" s="7" t="s">
        <v>109</v>
      </c>
      <c r="F1706" s="7" t="s">
        <v>110</v>
      </c>
      <c r="G1706" s="7" t="s">
        <v>80</v>
      </c>
      <c r="H1706" s="7" t="s">
        <v>81</v>
      </c>
      <c r="I1706" s="7" t="s">
        <v>88</v>
      </c>
      <c r="J1706" s="7" t="s">
        <v>173</v>
      </c>
      <c r="K1706" s="7" t="s">
        <v>111</v>
      </c>
      <c r="L1706" s="7" t="s">
        <v>2667</v>
      </c>
      <c r="M1706" s="7" t="s">
        <v>61</v>
      </c>
      <c r="N1706" s="7" t="s">
        <v>44</v>
      </c>
      <c r="O1706" s="7">
        <v>26</v>
      </c>
      <c r="P1706" s="7">
        <v>123.43</v>
      </c>
      <c r="Q1706" s="7">
        <v>78.650000000000006</v>
      </c>
      <c r="R1706" s="7">
        <v>3209.14</v>
      </c>
      <c r="S1706" s="7">
        <v>0.15</v>
      </c>
      <c r="T1706" s="7">
        <v>481.37</v>
      </c>
      <c r="U1706" s="7">
        <v>2727.77</v>
      </c>
      <c r="V1706" s="7">
        <v>2044.88</v>
      </c>
      <c r="W1706" s="7">
        <v>682.89</v>
      </c>
      <c r="X1706" s="7" t="s">
        <v>45</v>
      </c>
    </row>
    <row r="1707" spans="1:24" x14ac:dyDescent="0.25">
      <c r="A1707" s="16" t="s">
        <v>2200</v>
      </c>
      <c r="B1707" s="17">
        <v>45500</v>
      </c>
      <c r="C1707" s="6" t="s">
        <v>578</v>
      </c>
      <c r="D1707" s="6" t="s">
        <v>221</v>
      </c>
      <c r="E1707" s="6" t="s">
        <v>114</v>
      </c>
      <c r="F1707" s="6" t="s">
        <v>115</v>
      </c>
      <c r="G1707" s="6" t="s">
        <v>95</v>
      </c>
      <c r="H1707" s="6" t="s">
        <v>116</v>
      </c>
      <c r="I1707" s="6" t="s">
        <v>53</v>
      </c>
      <c r="J1707" s="6" t="s">
        <v>143</v>
      </c>
      <c r="K1707" s="6" t="s">
        <v>152</v>
      </c>
      <c r="L1707" s="6" t="s">
        <v>2670</v>
      </c>
      <c r="M1707" s="6" t="s">
        <v>30</v>
      </c>
      <c r="N1707" s="6" t="s">
        <v>44</v>
      </c>
      <c r="O1707" s="6">
        <v>27</v>
      </c>
      <c r="P1707" s="6">
        <v>33.4</v>
      </c>
      <c r="Q1707" s="6">
        <v>20.75</v>
      </c>
      <c r="R1707" s="6">
        <v>901.89</v>
      </c>
      <c r="S1707" s="6">
        <v>0.02</v>
      </c>
      <c r="T1707" s="6">
        <v>18.04</v>
      </c>
      <c r="U1707" s="6">
        <v>883.86</v>
      </c>
      <c r="V1707" s="6">
        <v>560.17999999999995</v>
      </c>
      <c r="W1707" s="6">
        <v>323.67</v>
      </c>
      <c r="X1707" s="6" t="s">
        <v>45</v>
      </c>
    </row>
    <row r="1708" spans="1:24" x14ac:dyDescent="0.25">
      <c r="A1708" s="5" t="s">
        <v>2201</v>
      </c>
      <c r="B1708" s="18">
        <v>45336</v>
      </c>
      <c r="C1708" s="7" t="s">
        <v>1431</v>
      </c>
      <c r="D1708" s="7" t="s">
        <v>264</v>
      </c>
      <c r="E1708" s="7" t="s">
        <v>187</v>
      </c>
      <c r="F1708" s="7" t="s">
        <v>188</v>
      </c>
      <c r="G1708" s="7" t="s">
        <v>25</v>
      </c>
      <c r="H1708" s="7" t="s">
        <v>26</v>
      </c>
      <c r="I1708" s="7" t="s">
        <v>27</v>
      </c>
      <c r="J1708" s="7" t="s">
        <v>28</v>
      </c>
      <c r="K1708" s="7" t="s">
        <v>253</v>
      </c>
      <c r="L1708" s="7" t="s">
        <v>2676</v>
      </c>
      <c r="M1708" s="7" t="s">
        <v>30</v>
      </c>
      <c r="N1708" s="7" t="s">
        <v>70</v>
      </c>
      <c r="O1708" s="7">
        <v>24</v>
      </c>
      <c r="P1708" s="7">
        <v>51.16</v>
      </c>
      <c r="Q1708" s="7">
        <v>30.5</v>
      </c>
      <c r="R1708" s="7">
        <v>1227.74</v>
      </c>
      <c r="S1708" s="7">
        <v>0.1</v>
      </c>
      <c r="T1708" s="7">
        <v>122.77</v>
      </c>
      <c r="U1708" s="7">
        <v>1104.97</v>
      </c>
      <c r="V1708" s="7">
        <v>731.92</v>
      </c>
      <c r="W1708" s="7">
        <v>373.05</v>
      </c>
      <c r="X1708" s="7" t="s">
        <v>45</v>
      </c>
    </row>
    <row r="1709" spans="1:24" x14ac:dyDescent="0.25">
      <c r="A1709" s="16" t="s">
        <v>2202</v>
      </c>
      <c r="B1709" s="17">
        <v>45564</v>
      </c>
      <c r="C1709" s="6" t="s">
        <v>970</v>
      </c>
      <c r="D1709" s="6" t="s">
        <v>159</v>
      </c>
      <c r="E1709" s="6" t="s">
        <v>222</v>
      </c>
      <c r="F1709" s="6" t="s">
        <v>223</v>
      </c>
      <c r="G1709" s="6" t="s">
        <v>101</v>
      </c>
      <c r="H1709" s="6" t="s">
        <v>68</v>
      </c>
      <c r="I1709" s="6" t="s">
        <v>288</v>
      </c>
      <c r="J1709" s="6"/>
      <c r="K1709" s="6" t="s">
        <v>42</v>
      </c>
      <c r="L1709" s="6" t="s">
        <v>2661</v>
      </c>
      <c r="M1709" s="6" t="s">
        <v>30</v>
      </c>
      <c r="N1709" s="6" t="s">
        <v>44</v>
      </c>
      <c r="O1709" s="6">
        <v>21</v>
      </c>
      <c r="P1709" s="6">
        <v>125.14</v>
      </c>
      <c r="Q1709" s="6">
        <v>76.959999999999994</v>
      </c>
      <c r="R1709" s="6">
        <v>2627.88</v>
      </c>
      <c r="S1709" s="6">
        <v>0.15</v>
      </c>
      <c r="T1709" s="6">
        <v>394.18</v>
      </c>
      <c r="U1709" s="6">
        <v>2233.6999999999998</v>
      </c>
      <c r="V1709" s="6">
        <v>1616.12</v>
      </c>
      <c r="W1709" s="6">
        <v>617.58000000000004</v>
      </c>
      <c r="X1709" s="6" t="s">
        <v>129</v>
      </c>
    </row>
    <row r="1710" spans="1:24" x14ac:dyDescent="0.25">
      <c r="A1710" s="5" t="s">
        <v>2203</v>
      </c>
      <c r="B1710" s="18">
        <v>45484</v>
      </c>
      <c r="C1710" s="7" t="s">
        <v>798</v>
      </c>
      <c r="D1710" s="7" t="s">
        <v>259</v>
      </c>
      <c r="E1710" s="7" t="s">
        <v>23</v>
      </c>
      <c r="F1710" s="7" t="s">
        <v>24</v>
      </c>
      <c r="G1710" s="7" t="s">
        <v>25</v>
      </c>
      <c r="H1710" s="7" t="s">
        <v>26</v>
      </c>
      <c r="I1710" s="7" t="s">
        <v>88</v>
      </c>
      <c r="J1710" s="7" t="s">
        <v>89</v>
      </c>
      <c r="K1710" s="7" t="s">
        <v>195</v>
      </c>
      <c r="L1710" s="7" t="s">
        <v>2673</v>
      </c>
      <c r="M1710" s="7" t="s">
        <v>30</v>
      </c>
      <c r="N1710" s="7" t="s">
        <v>84</v>
      </c>
      <c r="O1710" s="7">
        <v>-5</v>
      </c>
      <c r="P1710" s="7">
        <v>75.150000000000006</v>
      </c>
      <c r="Q1710" s="7">
        <v>45.27</v>
      </c>
      <c r="R1710" s="7">
        <v>2028.96</v>
      </c>
      <c r="S1710" s="7">
        <v>0.2</v>
      </c>
      <c r="T1710" s="7">
        <v>405.79</v>
      </c>
      <c r="U1710" s="7">
        <v>1623.17</v>
      </c>
      <c r="V1710" s="7">
        <v>1222.26</v>
      </c>
      <c r="W1710" s="7">
        <v>400.91</v>
      </c>
      <c r="X1710" s="7" t="s">
        <v>45</v>
      </c>
    </row>
    <row r="1711" spans="1:24" x14ac:dyDescent="0.25">
      <c r="A1711" s="16" t="s">
        <v>2204</v>
      </c>
      <c r="B1711" s="17">
        <v>45487</v>
      </c>
      <c r="C1711" s="6" t="s">
        <v>241</v>
      </c>
      <c r="D1711" s="6" t="s">
        <v>87</v>
      </c>
      <c r="E1711" s="6" t="s">
        <v>132</v>
      </c>
      <c r="F1711" s="6" t="s">
        <v>133</v>
      </c>
      <c r="G1711" s="6" t="s">
        <v>51</v>
      </c>
      <c r="H1711" s="6" t="s">
        <v>134</v>
      </c>
      <c r="I1711" s="6" t="s">
        <v>27</v>
      </c>
      <c r="J1711" s="6" t="s">
        <v>211</v>
      </c>
      <c r="K1711" s="6" t="s">
        <v>178</v>
      </c>
      <c r="L1711" s="6" t="s">
        <v>256</v>
      </c>
      <c r="M1711" s="6" t="s">
        <v>43</v>
      </c>
      <c r="N1711" s="6" t="s">
        <v>44</v>
      </c>
      <c r="O1711" s="6">
        <v>71</v>
      </c>
      <c r="P1711" s="6">
        <v>57.83</v>
      </c>
      <c r="Q1711" s="6">
        <v>33.93</v>
      </c>
      <c r="R1711" s="6">
        <v>4105.71</v>
      </c>
      <c r="S1711" s="6">
        <v>0.02</v>
      </c>
      <c r="T1711" s="6">
        <v>82.11</v>
      </c>
      <c r="U1711" s="6">
        <v>4023.6</v>
      </c>
      <c r="V1711" s="6">
        <v>2409.3000000000002</v>
      </c>
      <c r="W1711" s="6">
        <v>1614.3</v>
      </c>
      <c r="X1711" s="6" t="s">
        <v>45</v>
      </c>
    </row>
    <row r="1712" spans="1:24" x14ac:dyDescent="0.25">
      <c r="A1712" s="5" t="s">
        <v>2205</v>
      </c>
      <c r="B1712" s="18">
        <v>45575</v>
      </c>
      <c r="C1712" s="7" t="s">
        <v>339</v>
      </c>
      <c r="D1712" s="7" t="s">
        <v>221</v>
      </c>
      <c r="E1712" s="7" t="s">
        <v>216</v>
      </c>
      <c r="F1712" s="7" t="s">
        <v>217</v>
      </c>
      <c r="G1712" s="7" t="s">
        <v>38</v>
      </c>
      <c r="H1712" s="7" t="s">
        <v>134</v>
      </c>
      <c r="I1712" s="7" t="s">
        <v>53</v>
      </c>
      <c r="J1712" s="7" t="s">
        <v>122</v>
      </c>
      <c r="K1712" s="7" t="s">
        <v>90</v>
      </c>
      <c r="L1712" s="7" t="s">
        <v>2666</v>
      </c>
      <c r="M1712" s="7" t="s">
        <v>153</v>
      </c>
      <c r="N1712" s="7" t="s">
        <v>31</v>
      </c>
      <c r="O1712" s="7">
        <v>16</v>
      </c>
      <c r="P1712" s="7">
        <v>109.2</v>
      </c>
      <c r="Q1712" s="7">
        <v>70.69</v>
      </c>
      <c r="R1712" s="7">
        <v>1747.15</v>
      </c>
      <c r="S1712" s="7">
        <v>0.05</v>
      </c>
      <c r="T1712" s="7">
        <v>87.36</v>
      </c>
      <c r="U1712" s="7">
        <v>1659.8</v>
      </c>
      <c r="V1712" s="7">
        <v>1131.06</v>
      </c>
      <c r="W1712" s="7">
        <v>528.73</v>
      </c>
      <c r="X1712" s="7" t="s">
        <v>45</v>
      </c>
    </row>
    <row r="1713" spans="1:24" x14ac:dyDescent="0.25">
      <c r="A1713" s="16" t="s">
        <v>2206</v>
      </c>
      <c r="B1713" s="17">
        <v>45332</v>
      </c>
      <c r="C1713" s="6" t="s">
        <v>384</v>
      </c>
      <c r="D1713" s="6" t="s">
        <v>57</v>
      </c>
      <c r="E1713" s="6" t="s">
        <v>93</v>
      </c>
      <c r="F1713" s="6" t="s">
        <v>94</v>
      </c>
      <c r="G1713" s="6" t="s">
        <v>95</v>
      </c>
      <c r="H1713" s="6" t="s">
        <v>96</v>
      </c>
      <c r="I1713" s="6" t="s">
        <v>88</v>
      </c>
      <c r="J1713" s="6" t="s">
        <v>173</v>
      </c>
      <c r="K1713" s="6" t="s">
        <v>60</v>
      </c>
      <c r="L1713" s="6" t="s">
        <v>2662</v>
      </c>
      <c r="M1713" s="6" t="s">
        <v>43</v>
      </c>
      <c r="N1713" s="6" t="s">
        <v>31</v>
      </c>
      <c r="O1713" s="6">
        <v>8</v>
      </c>
      <c r="P1713" s="6">
        <v>53.31</v>
      </c>
      <c r="Q1713" s="6">
        <v>34.119999999999997</v>
      </c>
      <c r="R1713" s="6">
        <v>426.47</v>
      </c>
      <c r="S1713" s="6">
        <v>0.15</v>
      </c>
      <c r="T1713" s="6">
        <v>63.97</v>
      </c>
      <c r="U1713" s="6">
        <v>362.5</v>
      </c>
      <c r="V1713" s="6">
        <v>272.95</v>
      </c>
      <c r="W1713" s="6">
        <v>89.55</v>
      </c>
      <c r="X1713" s="6" t="s">
        <v>45</v>
      </c>
    </row>
    <row r="1714" spans="1:24" x14ac:dyDescent="0.25">
      <c r="A1714" s="5" t="s">
        <v>2207</v>
      </c>
      <c r="B1714" s="18">
        <v>45447</v>
      </c>
      <c r="C1714" s="7" t="s">
        <v>471</v>
      </c>
      <c r="D1714" s="7" t="s">
        <v>125</v>
      </c>
      <c r="E1714" s="7" t="s">
        <v>23</v>
      </c>
      <c r="F1714" s="7" t="s">
        <v>24</v>
      </c>
      <c r="G1714" s="7" t="s">
        <v>25</v>
      </c>
      <c r="H1714" s="7" t="s">
        <v>26</v>
      </c>
      <c r="I1714" s="7" t="s">
        <v>40</v>
      </c>
      <c r="J1714" s="7" t="s">
        <v>41</v>
      </c>
      <c r="K1714" s="7" t="s">
        <v>90</v>
      </c>
      <c r="L1714" s="7" t="s">
        <v>2666</v>
      </c>
      <c r="M1714" s="7" t="s">
        <v>43</v>
      </c>
      <c r="N1714" s="7" t="s">
        <v>84</v>
      </c>
      <c r="O1714" s="7">
        <v>2</v>
      </c>
      <c r="P1714" s="7">
        <v>71.02</v>
      </c>
      <c r="Q1714" s="7">
        <v>46.67</v>
      </c>
      <c r="R1714" s="7">
        <v>142.04</v>
      </c>
      <c r="S1714" s="7">
        <v>0.02</v>
      </c>
      <c r="T1714" s="7">
        <v>2.84</v>
      </c>
      <c r="U1714" s="7">
        <v>139.19999999999999</v>
      </c>
      <c r="V1714" s="7">
        <v>93.34</v>
      </c>
      <c r="W1714" s="7">
        <v>45.86</v>
      </c>
      <c r="X1714" s="7" t="s">
        <v>963</v>
      </c>
    </row>
    <row r="1715" spans="1:24" x14ac:dyDescent="0.25">
      <c r="A1715" s="16" t="s">
        <v>2208</v>
      </c>
      <c r="B1715" s="17">
        <v>45329</v>
      </c>
      <c r="C1715" s="6" t="s">
        <v>309</v>
      </c>
      <c r="D1715" s="6" t="s">
        <v>65</v>
      </c>
      <c r="E1715" s="6" t="s">
        <v>187</v>
      </c>
      <c r="F1715" s="6" t="s">
        <v>188</v>
      </c>
      <c r="G1715" s="6" t="s">
        <v>25</v>
      </c>
      <c r="H1715" s="6" t="s">
        <v>26</v>
      </c>
      <c r="I1715" s="6" t="s">
        <v>27</v>
      </c>
      <c r="J1715" s="6" t="s">
        <v>189</v>
      </c>
      <c r="K1715" s="6" t="s">
        <v>248</v>
      </c>
      <c r="L1715" s="6" t="s">
        <v>2675</v>
      </c>
      <c r="M1715" s="6" t="s">
        <v>43</v>
      </c>
      <c r="N1715" s="6" t="s">
        <v>31</v>
      </c>
      <c r="O1715" s="6">
        <v>10</v>
      </c>
      <c r="P1715" s="6">
        <v>45.17</v>
      </c>
      <c r="Q1715" s="6">
        <v>26.83</v>
      </c>
      <c r="R1715" s="6">
        <v>451.68</v>
      </c>
      <c r="S1715" s="6">
        <v>0.15</v>
      </c>
      <c r="T1715" s="6">
        <v>67.75</v>
      </c>
      <c r="U1715" s="6">
        <v>383.93</v>
      </c>
      <c r="V1715" s="6">
        <v>268.31</v>
      </c>
      <c r="W1715" s="6">
        <v>115.62</v>
      </c>
      <c r="X1715" s="6" t="s">
        <v>45</v>
      </c>
    </row>
    <row r="1716" spans="1:24" x14ac:dyDescent="0.25">
      <c r="A1716" s="5" t="s">
        <v>2209</v>
      </c>
      <c r="B1716" s="18">
        <v>45319</v>
      </c>
      <c r="C1716" s="7" t="s">
        <v>468</v>
      </c>
      <c r="D1716" s="7" t="s">
        <v>65</v>
      </c>
      <c r="E1716" s="7" t="s">
        <v>165</v>
      </c>
      <c r="F1716" s="7" t="s">
        <v>166</v>
      </c>
      <c r="G1716" s="7" t="s">
        <v>95</v>
      </c>
      <c r="H1716" s="7" t="s">
        <v>167</v>
      </c>
      <c r="I1716" s="7" t="s">
        <v>53</v>
      </c>
      <c r="J1716" s="7" t="s">
        <v>232</v>
      </c>
      <c r="K1716" s="7" t="s">
        <v>265</v>
      </c>
      <c r="L1716" s="7" t="s">
        <v>2678</v>
      </c>
      <c r="M1716" s="7" t="s">
        <v>153</v>
      </c>
      <c r="N1716" s="7" t="s">
        <v>44</v>
      </c>
      <c r="O1716" s="7">
        <v>47</v>
      </c>
      <c r="P1716" s="7">
        <v>40.82</v>
      </c>
      <c r="Q1716" s="7">
        <v>24.7</v>
      </c>
      <c r="R1716" s="7">
        <v>1918.31</v>
      </c>
      <c r="S1716" s="7">
        <v>0</v>
      </c>
      <c r="T1716" s="7">
        <v>0</v>
      </c>
      <c r="U1716" s="7">
        <v>1918.31</v>
      </c>
      <c r="V1716" s="7">
        <v>1160.98</v>
      </c>
      <c r="W1716" s="7">
        <v>757.33</v>
      </c>
      <c r="X1716" s="7" t="s">
        <v>45</v>
      </c>
    </row>
    <row r="1717" spans="1:24" x14ac:dyDescent="0.25">
      <c r="A1717" s="16" t="s">
        <v>2210</v>
      </c>
      <c r="B1717" s="17">
        <v>45607</v>
      </c>
      <c r="C1717" s="6" t="s">
        <v>1137</v>
      </c>
      <c r="D1717" s="6" t="s">
        <v>163</v>
      </c>
      <c r="E1717" s="6" t="s">
        <v>165</v>
      </c>
      <c r="F1717" s="6" t="s">
        <v>166</v>
      </c>
      <c r="G1717" s="6" t="s">
        <v>95</v>
      </c>
      <c r="H1717" s="6" t="s">
        <v>167</v>
      </c>
      <c r="I1717" s="6" t="s">
        <v>88</v>
      </c>
      <c r="J1717" s="6" t="s">
        <v>173</v>
      </c>
      <c r="K1717" s="6" t="s">
        <v>265</v>
      </c>
      <c r="L1717" s="6" t="s">
        <v>2678</v>
      </c>
      <c r="M1717" s="6" t="s">
        <v>43</v>
      </c>
      <c r="N1717" s="6" t="s">
        <v>31</v>
      </c>
      <c r="O1717" s="6">
        <v>58</v>
      </c>
      <c r="P1717" s="6">
        <v>39.21</v>
      </c>
      <c r="Q1717" s="6">
        <v>25.43</v>
      </c>
      <c r="R1717" s="6">
        <v>2274.08</v>
      </c>
      <c r="S1717" s="6">
        <v>0.05</v>
      </c>
      <c r="T1717" s="6">
        <v>113.7</v>
      </c>
      <c r="U1717" s="6">
        <v>2160.38</v>
      </c>
      <c r="V1717" s="6">
        <v>1474.79</v>
      </c>
      <c r="W1717" s="6">
        <v>685.59</v>
      </c>
      <c r="X1717" s="6" t="s">
        <v>45</v>
      </c>
    </row>
    <row r="1718" spans="1:24" x14ac:dyDescent="0.25">
      <c r="A1718" s="5" t="s">
        <v>2211</v>
      </c>
      <c r="B1718" s="18">
        <v>45363</v>
      </c>
      <c r="C1718" s="7" t="s">
        <v>438</v>
      </c>
      <c r="D1718" s="7" t="s">
        <v>221</v>
      </c>
      <c r="E1718" s="7" t="s">
        <v>222</v>
      </c>
      <c r="F1718" s="7" t="s">
        <v>223</v>
      </c>
      <c r="G1718" s="7" t="s">
        <v>101</v>
      </c>
      <c r="H1718" s="7" t="s">
        <v>68</v>
      </c>
      <c r="I1718" s="7" t="s">
        <v>520</v>
      </c>
      <c r="J1718" s="7" t="s">
        <v>122</v>
      </c>
      <c r="K1718" s="7" t="s">
        <v>60</v>
      </c>
      <c r="L1718" s="7" t="s">
        <v>2662</v>
      </c>
      <c r="M1718" s="7" t="s">
        <v>30</v>
      </c>
      <c r="N1718" s="7" t="s">
        <v>31</v>
      </c>
      <c r="O1718" s="7">
        <v>39</v>
      </c>
      <c r="P1718" s="7">
        <v>126.5</v>
      </c>
      <c r="Q1718" s="7">
        <v>77.61</v>
      </c>
      <c r="R1718" s="7">
        <v>4933.34</v>
      </c>
      <c r="S1718" s="7">
        <v>0.02</v>
      </c>
      <c r="T1718" s="7">
        <v>98.67</v>
      </c>
      <c r="U1718" s="7">
        <v>4834.67</v>
      </c>
      <c r="V1718" s="7">
        <v>3026.76</v>
      </c>
      <c r="W1718" s="7">
        <v>1807.91</v>
      </c>
      <c r="X1718" s="7" t="s">
        <v>45</v>
      </c>
    </row>
    <row r="1719" spans="1:24" x14ac:dyDescent="0.25">
      <c r="A1719" s="16" t="s">
        <v>2212</v>
      </c>
      <c r="B1719" s="17">
        <v>45403</v>
      </c>
      <c r="C1719" s="6" t="s">
        <v>493</v>
      </c>
      <c r="D1719" s="6" t="s">
        <v>121</v>
      </c>
      <c r="E1719" s="6" t="s">
        <v>222</v>
      </c>
      <c r="F1719" s="6" t="s">
        <v>223</v>
      </c>
      <c r="G1719" s="6" t="s">
        <v>101</v>
      </c>
      <c r="H1719" s="6" t="s">
        <v>68</v>
      </c>
      <c r="I1719" s="6" t="s">
        <v>53</v>
      </c>
      <c r="J1719" s="6" t="s">
        <v>232</v>
      </c>
      <c r="K1719" s="6" t="s">
        <v>170</v>
      </c>
      <c r="L1719" s="6" t="s">
        <v>2671</v>
      </c>
      <c r="M1719" s="6" t="s">
        <v>61</v>
      </c>
      <c r="N1719" s="6" t="s">
        <v>70</v>
      </c>
      <c r="O1719" s="6">
        <v>36</v>
      </c>
      <c r="P1719" s="6">
        <v>122.47</v>
      </c>
      <c r="Q1719" s="6">
        <v>80.349999999999994</v>
      </c>
      <c r="R1719" s="6">
        <v>4408.7700000000004</v>
      </c>
      <c r="S1719" s="6">
        <v>0</v>
      </c>
      <c r="T1719" s="6">
        <v>0</v>
      </c>
      <c r="U1719" s="6">
        <v>4408.7700000000004</v>
      </c>
      <c r="V1719" s="6">
        <v>2892.75</v>
      </c>
      <c r="W1719" s="6">
        <v>1516.02</v>
      </c>
      <c r="X1719" s="6" t="s">
        <v>129</v>
      </c>
    </row>
    <row r="1720" spans="1:24" x14ac:dyDescent="0.25">
      <c r="A1720" s="5" t="s">
        <v>2213</v>
      </c>
      <c r="B1720" s="18">
        <v>45533</v>
      </c>
      <c r="C1720" s="7" t="s">
        <v>489</v>
      </c>
      <c r="D1720" s="7"/>
      <c r="E1720" s="7" t="s">
        <v>126</v>
      </c>
      <c r="F1720" s="7" t="s">
        <v>127</v>
      </c>
      <c r="G1720" s="7" t="s">
        <v>95</v>
      </c>
      <c r="H1720" s="7" t="s">
        <v>128</v>
      </c>
      <c r="I1720" s="7" t="s">
        <v>58</v>
      </c>
      <c r="J1720" s="7" t="s">
        <v>345</v>
      </c>
      <c r="K1720" s="7" t="s">
        <v>83</v>
      </c>
      <c r="L1720" s="7" t="s">
        <v>2665</v>
      </c>
      <c r="M1720" s="7" t="s">
        <v>30</v>
      </c>
      <c r="N1720" s="7" t="s">
        <v>75</v>
      </c>
      <c r="O1720" s="7">
        <v>18</v>
      </c>
      <c r="P1720" s="7">
        <v>94.06</v>
      </c>
      <c r="Q1720" s="7">
        <v>54.22</v>
      </c>
      <c r="R1720" s="7">
        <v>1693.05</v>
      </c>
      <c r="S1720" s="7">
        <v>0.2</v>
      </c>
      <c r="T1720" s="7">
        <v>338.61</v>
      </c>
      <c r="U1720" s="7">
        <v>1354.44</v>
      </c>
      <c r="V1720" s="7">
        <v>976</v>
      </c>
      <c r="W1720" s="7">
        <v>378.44</v>
      </c>
      <c r="X1720" s="7" t="s">
        <v>45</v>
      </c>
    </row>
    <row r="1721" spans="1:24" x14ac:dyDescent="0.25">
      <c r="A1721" s="16" t="s">
        <v>2214</v>
      </c>
      <c r="B1721" s="17">
        <v>45591</v>
      </c>
      <c r="C1721" s="6" t="s">
        <v>1431</v>
      </c>
      <c r="D1721" s="6" t="s">
        <v>264</v>
      </c>
      <c r="E1721" s="6" t="s">
        <v>99</v>
      </c>
      <c r="F1721" s="6" t="s">
        <v>100</v>
      </c>
      <c r="G1721" s="6" t="s">
        <v>101</v>
      </c>
      <c r="H1721" s="6" t="s">
        <v>102</v>
      </c>
      <c r="I1721" s="6" t="s">
        <v>58</v>
      </c>
      <c r="J1721" s="6" t="s">
        <v>73</v>
      </c>
      <c r="K1721" s="6" t="s">
        <v>170</v>
      </c>
      <c r="L1721" s="6" t="s">
        <v>2671</v>
      </c>
      <c r="M1721" s="6" t="s">
        <v>30</v>
      </c>
      <c r="N1721" s="6" t="s">
        <v>44</v>
      </c>
      <c r="O1721" s="6">
        <v>74</v>
      </c>
      <c r="P1721" s="6">
        <v>69.97</v>
      </c>
      <c r="Q1721" s="6">
        <v>39.06</v>
      </c>
      <c r="R1721" s="6">
        <v>5177.96</v>
      </c>
      <c r="S1721" s="6">
        <v>0.02</v>
      </c>
      <c r="T1721" s="6">
        <v>103.56</v>
      </c>
      <c r="U1721" s="6">
        <v>5074.3999999999996</v>
      </c>
      <c r="V1721" s="6">
        <v>2890.64</v>
      </c>
      <c r="W1721" s="6">
        <v>2183.7600000000002</v>
      </c>
      <c r="X1721" s="6" t="s">
        <v>45</v>
      </c>
    </row>
    <row r="1722" spans="1:24" x14ac:dyDescent="0.25">
      <c r="A1722" s="5" t="s">
        <v>2215</v>
      </c>
      <c r="B1722" s="18">
        <v>45343</v>
      </c>
      <c r="C1722" s="7" t="s">
        <v>832</v>
      </c>
      <c r="D1722" s="7" t="s">
        <v>159</v>
      </c>
      <c r="E1722" s="7" t="s">
        <v>93</v>
      </c>
      <c r="F1722" s="7" t="s">
        <v>94</v>
      </c>
      <c r="G1722" s="7" t="s">
        <v>95</v>
      </c>
      <c r="H1722" s="7" t="s">
        <v>96</v>
      </c>
      <c r="I1722" s="7" t="s">
        <v>27</v>
      </c>
      <c r="J1722" s="7" t="s">
        <v>106</v>
      </c>
      <c r="K1722" s="7" t="s">
        <v>118</v>
      </c>
      <c r="L1722" s="7" t="s">
        <v>2668</v>
      </c>
      <c r="M1722" s="7" t="s">
        <v>153</v>
      </c>
      <c r="N1722" s="7" t="s">
        <v>44</v>
      </c>
      <c r="O1722" s="7">
        <v>65</v>
      </c>
      <c r="P1722" s="7">
        <v>51.05</v>
      </c>
      <c r="Q1722" s="7">
        <v>32.159999999999997</v>
      </c>
      <c r="R1722" s="7">
        <v>3318.56</v>
      </c>
      <c r="S1722" s="7">
        <v>0.15</v>
      </c>
      <c r="T1722" s="7">
        <v>497.78</v>
      </c>
      <c r="U1722" s="7">
        <v>2820.78</v>
      </c>
      <c r="V1722" s="7">
        <v>2090.4299999999998</v>
      </c>
      <c r="W1722" s="7">
        <v>730.34</v>
      </c>
      <c r="X1722" s="7" t="s">
        <v>45</v>
      </c>
    </row>
    <row r="1723" spans="1:24" x14ac:dyDescent="0.25">
      <c r="A1723" s="16" t="s">
        <v>2216</v>
      </c>
      <c r="B1723" s="17">
        <v>45427</v>
      </c>
      <c r="C1723" s="6" t="s">
        <v>1293</v>
      </c>
      <c r="D1723" s="6" t="s">
        <v>264</v>
      </c>
      <c r="E1723" s="6" t="s">
        <v>216</v>
      </c>
      <c r="F1723" s="6" t="s">
        <v>217</v>
      </c>
      <c r="G1723" s="6" t="s">
        <v>38</v>
      </c>
      <c r="H1723" s="6" t="s">
        <v>134</v>
      </c>
      <c r="I1723" s="6" t="s">
        <v>88</v>
      </c>
      <c r="J1723" s="6" t="s">
        <v>89</v>
      </c>
      <c r="K1723" s="6" t="s">
        <v>195</v>
      </c>
      <c r="L1723" s="6" t="s">
        <v>2673</v>
      </c>
      <c r="M1723" s="6" t="s">
        <v>153</v>
      </c>
      <c r="N1723" s="6" t="s">
        <v>75</v>
      </c>
      <c r="O1723" s="6">
        <v>27</v>
      </c>
      <c r="P1723" s="6">
        <v>104.83</v>
      </c>
      <c r="Q1723" s="6">
        <v>61.76</v>
      </c>
      <c r="R1723" s="6">
        <v>2830.49</v>
      </c>
      <c r="S1723" s="6">
        <v>0.02</v>
      </c>
      <c r="T1723" s="6">
        <v>56.61</v>
      </c>
      <c r="U1723" s="6">
        <v>2773.88</v>
      </c>
      <c r="V1723" s="6">
        <v>1667.46</v>
      </c>
      <c r="W1723" s="6">
        <v>1106.42</v>
      </c>
      <c r="X1723" s="6" t="s">
        <v>45</v>
      </c>
    </row>
    <row r="1724" spans="1:24" x14ac:dyDescent="0.25">
      <c r="A1724" s="5" t="s">
        <v>2217</v>
      </c>
      <c r="B1724" s="18">
        <v>45352</v>
      </c>
      <c r="C1724" s="7" t="s">
        <v>1068</v>
      </c>
      <c r="D1724" s="7" t="s">
        <v>105</v>
      </c>
      <c r="E1724" s="7" t="s">
        <v>165</v>
      </c>
      <c r="F1724" s="7" t="s">
        <v>166</v>
      </c>
      <c r="G1724" s="7" t="s">
        <v>95</v>
      </c>
      <c r="H1724" s="7" t="s">
        <v>167</v>
      </c>
      <c r="I1724" s="7" t="s">
        <v>88</v>
      </c>
      <c r="J1724" s="7" t="s">
        <v>89</v>
      </c>
      <c r="K1724" s="7" t="s">
        <v>29</v>
      </c>
      <c r="L1724" s="7" t="s">
        <v>2660</v>
      </c>
      <c r="M1724" s="7" t="s">
        <v>61</v>
      </c>
      <c r="N1724" s="7" t="s">
        <v>31</v>
      </c>
      <c r="O1724" s="7">
        <v>68</v>
      </c>
      <c r="P1724" s="7">
        <v>42.79</v>
      </c>
      <c r="Q1724" s="7">
        <v>25.81</v>
      </c>
      <c r="R1724" s="7">
        <v>2909.99</v>
      </c>
      <c r="S1724" s="7">
        <v>0</v>
      </c>
      <c r="T1724" s="7">
        <v>0</v>
      </c>
      <c r="U1724" s="7">
        <v>2909.99</v>
      </c>
      <c r="V1724" s="7">
        <v>1755.07</v>
      </c>
      <c r="W1724" s="7">
        <v>1154.92</v>
      </c>
      <c r="X1724" s="7" t="s">
        <v>129</v>
      </c>
    </row>
    <row r="1725" spans="1:24" x14ac:dyDescent="0.25">
      <c r="A1725" s="16" t="s">
        <v>1274</v>
      </c>
      <c r="B1725" s="17">
        <v>45577</v>
      </c>
      <c r="C1725" s="6" t="s">
        <v>1219</v>
      </c>
      <c r="D1725" s="6" t="s">
        <v>359</v>
      </c>
      <c r="E1725" s="6" t="s">
        <v>222</v>
      </c>
      <c r="F1725" s="6" t="s">
        <v>223</v>
      </c>
      <c r="G1725" s="6" t="s">
        <v>101</v>
      </c>
      <c r="H1725" s="6" t="s">
        <v>68</v>
      </c>
      <c r="I1725" s="6" t="s">
        <v>58</v>
      </c>
      <c r="J1725" s="6" t="s">
        <v>345</v>
      </c>
      <c r="K1725" s="6" t="s">
        <v>60</v>
      </c>
      <c r="L1725" s="6" t="s">
        <v>2662</v>
      </c>
      <c r="M1725" s="6" t="s">
        <v>153</v>
      </c>
      <c r="N1725" s="6" t="s">
        <v>70</v>
      </c>
      <c r="O1725" s="6">
        <v>51</v>
      </c>
      <c r="P1725" s="6">
        <v>113.11</v>
      </c>
      <c r="Q1725" s="6">
        <v>78.88</v>
      </c>
      <c r="R1725" s="6">
        <v>5768.69</v>
      </c>
      <c r="S1725" s="6">
        <v>0.2</v>
      </c>
      <c r="T1725" s="6">
        <v>1153.74</v>
      </c>
      <c r="U1725" s="6">
        <v>4614.95</v>
      </c>
      <c r="V1725" s="6">
        <v>4023.11</v>
      </c>
      <c r="W1725" s="6">
        <v>591.84</v>
      </c>
      <c r="X1725" s="6" t="s">
        <v>32</v>
      </c>
    </row>
    <row r="1726" spans="1:24" x14ac:dyDescent="0.25">
      <c r="A1726" s="5" t="s">
        <v>2218</v>
      </c>
      <c r="B1726" s="18">
        <v>45319</v>
      </c>
      <c r="C1726" s="7" t="s">
        <v>864</v>
      </c>
      <c r="D1726" s="7" t="s">
        <v>22</v>
      </c>
      <c r="E1726" s="7" t="s">
        <v>23</v>
      </c>
      <c r="F1726" s="7" t="s">
        <v>24</v>
      </c>
      <c r="G1726" s="7" t="s">
        <v>25</v>
      </c>
      <c r="H1726" s="7" t="s">
        <v>26</v>
      </c>
      <c r="I1726" s="7" t="s">
        <v>53</v>
      </c>
      <c r="J1726" s="7" t="s">
        <v>122</v>
      </c>
      <c r="K1726" s="7" t="s">
        <v>170</v>
      </c>
      <c r="L1726" s="7" t="s">
        <v>2671</v>
      </c>
      <c r="M1726" s="7" t="s">
        <v>30</v>
      </c>
      <c r="N1726" s="7" t="s">
        <v>44</v>
      </c>
      <c r="O1726" s="7">
        <v>23</v>
      </c>
      <c r="P1726" s="7">
        <v>70.27</v>
      </c>
      <c r="Q1726" s="7">
        <v>42.98</v>
      </c>
      <c r="R1726" s="7">
        <v>1616.22</v>
      </c>
      <c r="S1726" s="7">
        <v>0.02</v>
      </c>
      <c r="T1726" s="7">
        <v>32.32</v>
      </c>
      <c r="U1726" s="7">
        <v>1583.9</v>
      </c>
      <c r="V1726" s="7">
        <v>988.51</v>
      </c>
      <c r="W1726" s="7">
        <v>595.39</v>
      </c>
      <c r="X1726" s="7" t="s">
        <v>45</v>
      </c>
    </row>
    <row r="1727" spans="1:24" x14ac:dyDescent="0.25">
      <c r="A1727" s="16" t="s">
        <v>2219</v>
      </c>
      <c r="B1727" s="17">
        <v>45396</v>
      </c>
      <c r="C1727" s="6" t="s">
        <v>418</v>
      </c>
      <c r="D1727" s="6" t="s">
        <v>159</v>
      </c>
      <c r="E1727" s="6" t="s">
        <v>49</v>
      </c>
      <c r="F1727" s="6" t="s">
        <v>50</v>
      </c>
      <c r="G1727" s="6" t="s">
        <v>51</v>
      </c>
      <c r="H1727" s="6" t="s">
        <v>52</v>
      </c>
      <c r="I1727" s="6" t="s">
        <v>88</v>
      </c>
      <c r="J1727" s="6" t="s">
        <v>89</v>
      </c>
      <c r="K1727" s="6" t="s">
        <v>152</v>
      </c>
      <c r="L1727" s="6" t="s">
        <v>2670</v>
      </c>
      <c r="M1727" s="6" t="s">
        <v>30</v>
      </c>
      <c r="N1727" s="6" t="s">
        <v>84</v>
      </c>
      <c r="O1727" s="6">
        <v>9</v>
      </c>
      <c r="P1727" s="6">
        <v>23.23</v>
      </c>
      <c r="Q1727" s="6">
        <v>13.98</v>
      </c>
      <c r="R1727" s="6">
        <v>209.08</v>
      </c>
      <c r="S1727" s="6">
        <v>1.25</v>
      </c>
      <c r="T1727" s="6">
        <v>4.18</v>
      </c>
      <c r="U1727" s="6">
        <v>204.9</v>
      </c>
      <c r="V1727" s="6">
        <v>125.78</v>
      </c>
      <c r="W1727" s="6">
        <v>79.12</v>
      </c>
      <c r="X1727" s="6" t="s">
        <v>45</v>
      </c>
    </row>
    <row r="1728" spans="1:24" x14ac:dyDescent="0.25">
      <c r="A1728" s="5" t="s">
        <v>2220</v>
      </c>
      <c r="B1728" s="18">
        <v>45393</v>
      </c>
      <c r="C1728" s="7" t="s">
        <v>418</v>
      </c>
      <c r="D1728" s="7" t="s">
        <v>159</v>
      </c>
      <c r="E1728" s="7" t="s">
        <v>176</v>
      </c>
      <c r="F1728" s="7" t="s">
        <v>177</v>
      </c>
      <c r="G1728" s="7" t="s">
        <v>101</v>
      </c>
      <c r="H1728" s="7" t="s">
        <v>39</v>
      </c>
      <c r="I1728" s="7" t="s">
        <v>88</v>
      </c>
      <c r="J1728" s="7" t="s">
        <v>173</v>
      </c>
      <c r="K1728" s="7" t="s">
        <v>90</v>
      </c>
      <c r="L1728" s="7" t="s">
        <v>2666</v>
      </c>
      <c r="M1728" s="7" t="s">
        <v>30</v>
      </c>
      <c r="N1728" s="7" t="s">
        <v>31</v>
      </c>
      <c r="O1728" s="7">
        <v>60</v>
      </c>
      <c r="P1728" s="7">
        <v>109.53</v>
      </c>
      <c r="Q1728" s="7">
        <v>61.97</v>
      </c>
      <c r="R1728" s="7">
        <v>6571.6</v>
      </c>
      <c r="S1728" s="7">
        <v>0.15</v>
      </c>
      <c r="T1728" s="7">
        <v>985.74</v>
      </c>
      <c r="U1728" s="7">
        <v>5585.86</v>
      </c>
      <c r="V1728" s="7">
        <v>3718.23</v>
      </c>
      <c r="W1728" s="7">
        <v>1867.63</v>
      </c>
      <c r="X1728" s="7" t="s">
        <v>32</v>
      </c>
    </row>
    <row r="1729" spans="1:24" x14ac:dyDescent="0.25">
      <c r="A1729" s="16" t="s">
        <v>2221</v>
      </c>
      <c r="B1729" s="17">
        <v>45585</v>
      </c>
      <c r="C1729" s="6" t="s">
        <v>86</v>
      </c>
      <c r="D1729" s="6" t="s">
        <v>87</v>
      </c>
      <c r="E1729" s="6" t="s">
        <v>99</v>
      </c>
      <c r="F1729" s="6" t="s">
        <v>100</v>
      </c>
      <c r="G1729" s="6" t="s">
        <v>101</v>
      </c>
      <c r="H1729" s="6" t="s">
        <v>102</v>
      </c>
      <c r="I1729" s="6" t="s">
        <v>88</v>
      </c>
      <c r="J1729" s="6" t="s">
        <v>173</v>
      </c>
      <c r="K1729" s="6" t="s">
        <v>178</v>
      </c>
      <c r="L1729" s="6" t="s">
        <v>256</v>
      </c>
      <c r="M1729" s="6" t="s">
        <v>43</v>
      </c>
      <c r="N1729" s="6" t="s">
        <v>84</v>
      </c>
      <c r="O1729" s="6">
        <v>48</v>
      </c>
      <c r="P1729" s="6">
        <v>72.86</v>
      </c>
      <c r="Q1729" s="6">
        <v>40.74</v>
      </c>
      <c r="R1729" s="6">
        <v>3497.11</v>
      </c>
      <c r="S1729" s="6">
        <v>0.02</v>
      </c>
      <c r="T1729" s="6">
        <v>69.94</v>
      </c>
      <c r="U1729" s="6">
        <v>3427.17</v>
      </c>
      <c r="V1729" s="6">
        <v>1955.57</v>
      </c>
      <c r="W1729" s="6">
        <v>1471.59</v>
      </c>
      <c r="X1729" s="6" t="s">
        <v>45</v>
      </c>
    </row>
    <row r="1730" spans="1:24" x14ac:dyDescent="0.25">
      <c r="A1730" s="5" t="s">
        <v>2222</v>
      </c>
      <c r="B1730" s="18">
        <v>45572</v>
      </c>
      <c r="C1730" s="7" t="s">
        <v>1171</v>
      </c>
      <c r="D1730" s="7" t="s">
        <v>1408</v>
      </c>
      <c r="E1730" s="7" t="s">
        <v>66</v>
      </c>
      <c r="F1730" s="7" t="s">
        <v>67</v>
      </c>
      <c r="G1730" s="7" t="s">
        <v>38</v>
      </c>
      <c r="H1730" s="7" t="s">
        <v>68</v>
      </c>
      <c r="I1730" s="7" t="s">
        <v>27</v>
      </c>
      <c r="J1730" s="7" t="s">
        <v>211</v>
      </c>
      <c r="K1730" s="7" t="s">
        <v>74</v>
      </c>
      <c r="L1730" s="7" t="s">
        <v>2664</v>
      </c>
      <c r="M1730" s="7" t="s">
        <v>43</v>
      </c>
      <c r="N1730" s="7" t="s">
        <v>70</v>
      </c>
      <c r="O1730" s="7">
        <v>7</v>
      </c>
      <c r="P1730" s="7">
        <v>162.43</v>
      </c>
      <c r="Q1730" s="7">
        <v>96.54</v>
      </c>
      <c r="R1730" s="7">
        <v>1137.04</v>
      </c>
      <c r="S1730" s="7">
        <v>0</v>
      </c>
      <c r="T1730" s="7">
        <v>0</v>
      </c>
      <c r="U1730" s="7">
        <v>1137.04</v>
      </c>
      <c r="V1730" s="7">
        <v>675.75</v>
      </c>
      <c r="W1730" s="7">
        <v>461.29</v>
      </c>
      <c r="X1730" s="7" t="s">
        <v>45</v>
      </c>
    </row>
    <row r="1731" spans="1:24" x14ac:dyDescent="0.25">
      <c r="A1731" s="16" t="s">
        <v>2223</v>
      </c>
      <c r="B1731" s="17">
        <v>45655</v>
      </c>
      <c r="C1731" s="6" t="s">
        <v>113</v>
      </c>
      <c r="D1731" s="6" t="s">
        <v>65</v>
      </c>
      <c r="E1731" s="6" t="s">
        <v>141</v>
      </c>
      <c r="F1731" s="6" t="s">
        <v>142</v>
      </c>
      <c r="G1731" s="6" t="s">
        <v>25</v>
      </c>
      <c r="H1731" s="6" t="s">
        <v>26</v>
      </c>
      <c r="I1731" s="6" t="s">
        <v>88</v>
      </c>
      <c r="J1731" s="6" t="s">
        <v>135</v>
      </c>
      <c r="K1731" s="6" t="s">
        <v>42</v>
      </c>
      <c r="L1731" s="6" t="s">
        <v>2661</v>
      </c>
      <c r="M1731" s="6" t="s">
        <v>153</v>
      </c>
      <c r="N1731" s="6" t="s">
        <v>84</v>
      </c>
      <c r="O1731" s="6">
        <v>17</v>
      </c>
      <c r="P1731" s="6">
        <v>94.13</v>
      </c>
      <c r="Q1731" s="6">
        <v>55.78</v>
      </c>
      <c r="R1731" s="6">
        <v>1600.22</v>
      </c>
      <c r="S1731" s="6">
        <v>0</v>
      </c>
      <c r="T1731" s="6">
        <v>0</v>
      </c>
      <c r="U1731" s="6">
        <v>1600.22</v>
      </c>
      <c r="V1731" s="6">
        <v>948.3</v>
      </c>
      <c r="W1731" s="6">
        <v>651.91999999999996</v>
      </c>
      <c r="X1731" s="6" t="s">
        <v>45</v>
      </c>
    </row>
    <row r="1732" spans="1:24" x14ac:dyDescent="0.25">
      <c r="A1732" s="5" t="s">
        <v>2224</v>
      </c>
      <c r="B1732" s="18">
        <v>45416</v>
      </c>
      <c r="C1732" s="7" t="s">
        <v>511</v>
      </c>
      <c r="D1732" s="7" t="s">
        <v>163</v>
      </c>
      <c r="E1732" s="7" t="s">
        <v>216</v>
      </c>
      <c r="F1732" s="7" t="s">
        <v>217</v>
      </c>
      <c r="G1732" s="7" t="s">
        <v>38</v>
      </c>
      <c r="H1732" s="7" t="s">
        <v>134</v>
      </c>
      <c r="I1732" s="7" t="s">
        <v>40</v>
      </c>
      <c r="J1732" s="7" t="s">
        <v>289</v>
      </c>
      <c r="K1732" s="7" t="s">
        <v>195</v>
      </c>
      <c r="L1732" s="7" t="s">
        <v>2673</v>
      </c>
      <c r="M1732" s="7" t="s">
        <v>30</v>
      </c>
      <c r="N1732" s="7" t="s">
        <v>84</v>
      </c>
      <c r="O1732" s="7">
        <v>43</v>
      </c>
      <c r="P1732" s="7">
        <v>102.61</v>
      </c>
      <c r="Q1732" s="7">
        <v>65.44</v>
      </c>
      <c r="R1732" s="7">
        <v>4412.28</v>
      </c>
      <c r="S1732" s="7">
        <v>0.02</v>
      </c>
      <c r="T1732" s="7">
        <v>88.25</v>
      </c>
      <c r="U1732" s="7">
        <v>4324.03</v>
      </c>
      <c r="V1732" s="7">
        <v>2814.06</v>
      </c>
      <c r="W1732" s="7">
        <v>1509.98</v>
      </c>
      <c r="X1732" s="7" t="s">
        <v>129</v>
      </c>
    </row>
    <row r="1733" spans="1:24" x14ac:dyDescent="0.25">
      <c r="A1733" s="16" t="s">
        <v>2225</v>
      </c>
      <c r="B1733" s="17">
        <v>45340</v>
      </c>
      <c r="C1733" s="6" t="s">
        <v>282</v>
      </c>
      <c r="D1733" s="6" t="s">
        <v>125</v>
      </c>
      <c r="E1733" s="6" t="s">
        <v>141</v>
      </c>
      <c r="F1733" s="6" t="s">
        <v>142</v>
      </c>
      <c r="G1733" s="6" t="s">
        <v>25</v>
      </c>
      <c r="H1733" s="6" t="s">
        <v>26</v>
      </c>
      <c r="I1733" s="6" t="s">
        <v>27</v>
      </c>
      <c r="J1733" s="6" t="s">
        <v>106</v>
      </c>
      <c r="K1733" s="6" t="s">
        <v>218</v>
      </c>
      <c r="L1733" s="6" t="s">
        <v>2674</v>
      </c>
      <c r="M1733" s="6" t="s">
        <v>153</v>
      </c>
      <c r="N1733" s="6" t="s">
        <v>44</v>
      </c>
      <c r="O1733" s="6">
        <v>72</v>
      </c>
      <c r="P1733" s="6">
        <v>99.9</v>
      </c>
      <c r="Q1733" s="6">
        <v>56.7</v>
      </c>
      <c r="R1733" s="6">
        <v>7193.05</v>
      </c>
      <c r="S1733" s="6">
        <v>0.2</v>
      </c>
      <c r="T1733" s="6">
        <v>1438.61</v>
      </c>
      <c r="U1733" s="6">
        <v>5754.44</v>
      </c>
      <c r="V1733" s="6">
        <v>4082.58</v>
      </c>
      <c r="W1733" s="6">
        <v>1671.86</v>
      </c>
      <c r="X1733" s="6" t="s">
        <v>45</v>
      </c>
    </row>
    <row r="1734" spans="1:24" x14ac:dyDescent="0.25">
      <c r="A1734" s="5" t="s">
        <v>2226</v>
      </c>
      <c r="B1734" s="18">
        <v>45556</v>
      </c>
      <c r="C1734" s="7" t="s">
        <v>814</v>
      </c>
      <c r="D1734" s="7" t="s">
        <v>22</v>
      </c>
      <c r="E1734" s="7" t="s">
        <v>93</v>
      </c>
      <c r="F1734" s="7" t="s">
        <v>94</v>
      </c>
      <c r="G1734" s="7" t="s">
        <v>95</v>
      </c>
      <c r="H1734" s="7" t="s">
        <v>96</v>
      </c>
      <c r="I1734" s="7" t="s">
        <v>88</v>
      </c>
      <c r="J1734" s="7" t="s">
        <v>183</v>
      </c>
      <c r="K1734" s="7" t="s">
        <v>118</v>
      </c>
      <c r="L1734" s="7" t="s">
        <v>2668</v>
      </c>
      <c r="M1734" s="7" t="s">
        <v>153</v>
      </c>
      <c r="N1734" s="7" t="s">
        <v>44</v>
      </c>
      <c r="O1734" s="7">
        <v>74</v>
      </c>
      <c r="P1734" s="7">
        <v>56.4</v>
      </c>
      <c r="Q1734" s="7">
        <v>30.52</v>
      </c>
      <c r="R1734" s="7">
        <v>4173.57</v>
      </c>
      <c r="S1734" s="7">
        <v>0.02</v>
      </c>
      <c r="T1734" s="7">
        <v>83.47</v>
      </c>
      <c r="U1734" s="7">
        <v>4090.1</v>
      </c>
      <c r="V1734" s="7">
        <v>2258.59</v>
      </c>
      <c r="W1734" s="7">
        <v>1831.51</v>
      </c>
      <c r="X1734" s="7" t="s">
        <v>45</v>
      </c>
    </row>
    <row r="1735" spans="1:24" x14ac:dyDescent="0.25">
      <c r="A1735" s="16" t="s">
        <v>2227</v>
      </c>
      <c r="B1735" s="17">
        <v>45425</v>
      </c>
      <c r="C1735" s="6" t="s">
        <v>333</v>
      </c>
      <c r="D1735" s="6" t="s">
        <v>57</v>
      </c>
      <c r="E1735" s="6" t="s">
        <v>250</v>
      </c>
      <c r="F1735" s="6" t="s">
        <v>251</v>
      </c>
      <c r="G1735" s="6" t="s">
        <v>51</v>
      </c>
      <c r="H1735" s="6" t="s">
        <v>252</v>
      </c>
      <c r="I1735" s="6" t="s">
        <v>88</v>
      </c>
      <c r="J1735" s="6" t="s">
        <v>89</v>
      </c>
      <c r="K1735" s="6" t="s">
        <v>265</v>
      </c>
      <c r="L1735" s="6" t="s">
        <v>2678</v>
      </c>
      <c r="M1735" s="6" t="s">
        <v>43</v>
      </c>
      <c r="N1735" s="6" t="s">
        <v>84</v>
      </c>
      <c r="O1735" s="6">
        <v>26</v>
      </c>
      <c r="P1735" s="6">
        <v>65.77</v>
      </c>
      <c r="Q1735" s="6">
        <v>37.35</v>
      </c>
      <c r="R1735" s="6">
        <v>1710</v>
      </c>
      <c r="S1735" s="6">
        <v>0</v>
      </c>
      <c r="T1735" s="6">
        <v>0</v>
      </c>
      <c r="U1735" s="6">
        <v>1710</v>
      </c>
      <c r="V1735" s="6">
        <v>971.07</v>
      </c>
      <c r="W1735" s="6">
        <v>738.93</v>
      </c>
      <c r="X1735" s="6" t="s">
        <v>129</v>
      </c>
    </row>
    <row r="1736" spans="1:24" x14ac:dyDescent="0.25">
      <c r="A1736" s="5" t="s">
        <v>2228</v>
      </c>
      <c r="B1736" s="18">
        <v>45629</v>
      </c>
      <c r="C1736" s="7" t="s">
        <v>938</v>
      </c>
      <c r="D1736" s="7" t="s">
        <v>156</v>
      </c>
      <c r="E1736" s="7" t="s">
        <v>126</v>
      </c>
      <c r="F1736" s="7" t="s">
        <v>127</v>
      </c>
      <c r="G1736" s="7" t="s">
        <v>95</v>
      </c>
      <c r="H1736" s="7" t="s">
        <v>128</v>
      </c>
      <c r="I1736" s="7" t="s">
        <v>27</v>
      </c>
      <c r="J1736" s="7" t="s">
        <v>189</v>
      </c>
      <c r="K1736" s="7" t="s">
        <v>29</v>
      </c>
      <c r="L1736" s="7" t="s">
        <v>2660</v>
      </c>
      <c r="M1736" s="7" t="s">
        <v>153</v>
      </c>
      <c r="N1736" s="7" t="s">
        <v>44</v>
      </c>
      <c r="O1736" s="7">
        <v>0</v>
      </c>
      <c r="P1736" s="7">
        <v>88.91</v>
      </c>
      <c r="Q1736" s="7">
        <v>55.01</v>
      </c>
      <c r="R1736" s="7">
        <v>2578.3200000000002</v>
      </c>
      <c r="S1736" s="7">
        <v>0</v>
      </c>
      <c r="T1736" s="7">
        <v>0</v>
      </c>
      <c r="U1736" s="7">
        <v>2578.3200000000002</v>
      </c>
      <c r="V1736" s="7">
        <v>1595.15</v>
      </c>
      <c r="W1736" s="7">
        <v>983.17</v>
      </c>
      <c r="X1736" s="7" t="s">
        <v>32</v>
      </c>
    </row>
    <row r="1737" spans="1:24" x14ac:dyDescent="0.25">
      <c r="A1737" s="16" t="s">
        <v>2229</v>
      </c>
      <c r="B1737" s="17">
        <v>45381</v>
      </c>
      <c r="C1737" s="6" t="s">
        <v>186</v>
      </c>
      <c r="D1737" s="6" t="s">
        <v>156</v>
      </c>
      <c r="E1737" s="6" t="s">
        <v>109</v>
      </c>
      <c r="F1737" s="6" t="s">
        <v>110</v>
      </c>
      <c r="G1737" s="6" t="s">
        <v>80</v>
      </c>
      <c r="H1737" s="6" t="s">
        <v>81</v>
      </c>
      <c r="I1737" s="6" t="s">
        <v>27</v>
      </c>
      <c r="J1737" s="6" t="s">
        <v>189</v>
      </c>
      <c r="K1737" s="6" t="s">
        <v>42</v>
      </c>
      <c r="L1737" s="6" t="s">
        <v>2661</v>
      </c>
      <c r="M1737" s="6" t="s">
        <v>30</v>
      </c>
      <c r="N1737" s="6" t="s">
        <v>70</v>
      </c>
      <c r="O1737" s="6">
        <v>68</v>
      </c>
      <c r="P1737" s="6">
        <v>121.54</v>
      </c>
      <c r="Q1737" s="6">
        <v>69.84</v>
      </c>
      <c r="R1737" s="6">
        <v>8264.6299999999992</v>
      </c>
      <c r="S1737" s="6">
        <v>0.2</v>
      </c>
      <c r="T1737" s="6">
        <v>1652.93</v>
      </c>
      <c r="U1737" s="6">
        <v>6611.7</v>
      </c>
      <c r="V1737" s="6">
        <v>4749.3100000000004</v>
      </c>
      <c r="W1737" s="6">
        <v>1862.39</v>
      </c>
      <c r="X1737" s="6" t="s">
        <v>32</v>
      </c>
    </row>
    <row r="1738" spans="1:24" x14ac:dyDescent="0.25">
      <c r="A1738" s="5" t="s">
        <v>2230</v>
      </c>
      <c r="B1738" s="18">
        <v>45382</v>
      </c>
      <c r="C1738" s="7" t="s">
        <v>817</v>
      </c>
      <c r="D1738" s="7" t="s">
        <v>121</v>
      </c>
      <c r="E1738" s="7" t="s">
        <v>36</v>
      </c>
      <c r="F1738" s="7" t="s">
        <v>37</v>
      </c>
      <c r="G1738" s="7" t="s">
        <v>38</v>
      </c>
      <c r="H1738" s="7" t="s">
        <v>39</v>
      </c>
      <c r="I1738" s="7" t="s">
        <v>88</v>
      </c>
      <c r="J1738" s="7" t="s">
        <v>183</v>
      </c>
      <c r="K1738" s="7" t="s">
        <v>218</v>
      </c>
      <c r="L1738" s="7" t="s">
        <v>2674</v>
      </c>
      <c r="M1738" s="7" t="s">
        <v>30</v>
      </c>
      <c r="N1738" s="7" t="s">
        <v>75</v>
      </c>
      <c r="O1738" s="7">
        <v>41</v>
      </c>
      <c r="P1738" s="7">
        <v>169.27</v>
      </c>
      <c r="Q1738" s="7">
        <v>92.3</v>
      </c>
      <c r="R1738" s="7">
        <v>6940.11</v>
      </c>
      <c r="S1738" s="7">
        <v>0.02</v>
      </c>
      <c r="T1738" s="7">
        <v>138.80000000000001</v>
      </c>
      <c r="U1738" s="7">
        <v>6801.31</v>
      </c>
      <c r="V1738" s="7">
        <v>3784.16</v>
      </c>
      <c r="W1738" s="7">
        <v>3017.15</v>
      </c>
      <c r="X1738" s="7" t="s">
        <v>32</v>
      </c>
    </row>
    <row r="1739" spans="1:24" x14ac:dyDescent="0.25">
      <c r="A1739" s="16" t="s">
        <v>2231</v>
      </c>
      <c r="B1739" s="17">
        <v>45433</v>
      </c>
      <c r="C1739" s="6" t="s">
        <v>146</v>
      </c>
      <c r="D1739" s="6" t="s">
        <v>105</v>
      </c>
      <c r="E1739" s="6" t="s">
        <v>78</v>
      </c>
      <c r="F1739" s="6" t="s">
        <v>79</v>
      </c>
      <c r="G1739" s="6" t="s">
        <v>80</v>
      </c>
      <c r="H1739" s="6" t="s">
        <v>81</v>
      </c>
      <c r="I1739" s="6" t="s">
        <v>58</v>
      </c>
      <c r="J1739" s="6" t="s">
        <v>73</v>
      </c>
      <c r="K1739" s="6" t="s">
        <v>29</v>
      </c>
      <c r="L1739" s="6" t="s">
        <v>2660</v>
      </c>
      <c r="M1739" s="6" t="s">
        <v>30</v>
      </c>
      <c r="N1739" s="6" t="s">
        <v>31</v>
      </c>
      <c r="O1739" s="6">
        <v>7</v>
      </c>
      <c r="P1739" s="6">
        <v>130.63</v>
      </c>
      <c r="Q1739" s="6">
        <v>76.23</v>
      </c>
      <c r="R1739" s="6">
        <v>914.4</v>
      </c>
      <c r="S1739" s="6">
        <v>0</v>
      </c>
      <c r="T1739" s="6">
        <v>0</v>
      </c>
      <c r="U1739" s="6">
        <v>914.4</v>
      </c>
      <c r="V1739" s="6">
        <v>533.62</v>
      </c>
      <c r="W1739" s="6">
        <v>380.78</v>
      </c>
      <c r="X1739" s="6" t="s">
        <v>32</v>
      </c>
    </row>
    <row r="1740" spans="1:24" x14ac:dyDescent="0.25">
      <c r="A1740" s="5" t="s">
        <v>2232</v>
      </c>
      <c r="B1740" s="18">
        <v>45525</v>
      </c>
      <c r="C1740" s="7" t="s">
        <v>613</v>
      </c>
      <c r="D1740" s="7" t="s">
        <v>87</v>
      </c>
      <c r="E1740" s="7" t="s">
        <v>23</v>
      </c>
      <c r="F1740" s="7" t="s">
        <v>24</v>
      </c>
      <c r="G1740" s="7" t="s">
        <v>25</v>
      </c>
      <c r="H1740" s="7" t="s">
        <v>26</v>
      </c>
      <c r="I1740" s="7" t="s">
        <v>53</v>
      </c>
      <c r="J1740" s="7" t="s">
        <v>143</v>
      </c>
      <c r="K1740" s="7" t="s">
        <v>29</v>
      </c>
      <c r="L1740" s="7" t="s">
        <v>2660</v>
      </c>
      <c r="M1740" s="7" t="s">
        <v>153</v>
      </c>
      <c r="N1740" s="7" t="s">
        <v>75</v>
      </c>
      <c r="O1740" s="7">
        <v>33</v>
      </c>
      <c r="P1740" s="7">
        <v>76.47</v>
      </c>
      <c r="Q1740" s="7">
        <v>45.98</v>
      </c>
      <c r="R1740" s="7">
        <v>2523.48</v>
      </c>
      <c r="S1740" s="7">
        <v>0.05</v>
      </c>
      <c r="T1740" s="7">
        <v>126.17</v>
      </c>
      <c r="U1740" s="7">
        <v>2397.3000000000002</v>
      </c>
      <c r="V1740" s="7">
        <v>1517.36</v>
      </c>
      <c r="W1740" s="7">
        <v>879.95</v>
      </c>
      <c r="X1740" s="7" t="s">
        <v>45</v>
      </c>
    </row>
    <row r="1741" spans="1:24" x14ac:dyDescent="0.25">
      <c r="A1741" s="16" t="s">
        <v>2233</v>
      </c>
      <c r="B1741" s="17">
        <v>45297</v>
      </c>
      <c r="C1741" s="6" t="s">
        <v>893</v>
      </c>
      <c r="D1741" s="6" t="s">
        <v>48</v>
      </c>
      <c r="E1741" s="6" t="s">
        <v>150</v>
      </c>
      <c r="F1741" s="6" t="s">
        <v>151</v>
      </c>
      <c r="G1741" s="6" t="s">
        <v>101</v>
      </c>
      <c r="H1741" s="6" t="s">
        <v>134</v>
      </c>
      <c r="I1741" s="6" t="s">
        <v>53</v>
      </c>
      <c r="J1741" s="6" t="s">
        <v>122</v>
      </c>
      <c r="K1741" s="6" t="s">
        <v>218</v>
      </c>
      <c r="L1741" s="6" t="s">
        <v>2674</v>
      </c>
      <c r="M1741" s="6" t="s">
        <v>61</v>
      </c>
      <c r="N1741" s="6" t="s">
        <v>70</v>
      </c>
      <c r="O1741" s="6">
        <v>26</v>
      </c>
      <c r="P1741" s="6">
        <v>81.849999999999994</v>
      </c>
      <c r="Q1741" s="6">
        <v>51.34</v>
      </c>
      <c r="R1741" s="6">
        <v>2128.1999999999998</v>
      </c>
      <c r="S1741" s="6">
        <v>0.2</v>
      </c>
      <c r="T1741" s="6">
        <v>425.64</v>
      </c>
      <c r="U1741" s="6">
        <v>1702.56</v>
      </c>
      <c r="V1741" s="6">
        <v>1334.83</v>
      </c>
      <c r="W1741" s="6">
        <v>367.73</v>
      </c>
      <c r="X1741" s="6" t="s">
        <v>32</v>
      </c>
    </row>
    <row r="1742" spans="1:24" x14ac:dyDescent="0.25">
      <c r="A1742" s="5" t="s">
        <v>2234</v>
      </c>
      <c r="B1742" s="18">
        <v>45359</v>
      </c>
      <c r="C1742" s="7" t="s">
        <v>293</v>
      </c>
      <c r="D1742" s="7" t="s">
        <v>65</v>
      </c>
      <c r="E1742" s="7" t="s">
        <v>99</v>
      </c>
      <c r="F1742" s="7" t="s">
        <v>100</v>
      </c>
      <c r="G1742" s="7" t="s">
        <v>101</v>
      </c>
      <c r="H1742" s="7" t="s">
        <v>102</v>
      </c>
      <c r="I1742" s="7" t="s">
        <v>40</v>
      </c>
      <c r="J1742" s="7" t="s">
        <v>289</v>
      </c>
      <c r="K1742" s="7" t="s">
        <v>60</v>
      </c>
      <c r="L1742" s="7" t="s">
        <v>2662</v>
      </c>
      <c r="M1742" s="7" t="s">
        <v>43</v>
      </c>
      <c r="N1742" s="7" t="s">
        <v>31</v>
      </c>
      <c r="O1742" s="7">
        <v>42</v>
      </c>
      <c r="P1742" s="7">
        <v>73.069999999999993</v>
      </c>
      <c r="Q1742" s="7">
        <v>42.79</v>
      </c>
      <c r="R1742" s="7">
        <v>3068.89</v>
      </c>
      <c r="S1742" s="7">
        <v>0.1</v>
      </c>
      <c r="T1742" s="7">
        <v>306.89</v>
      </c>
      <c r="U1742" s="7">
        <v>2762</v>
      </c>
      <c r="V1742" s="7">
        <v>1797.2</v>
      </c>
      <c r="W1742" s="7">
        <v>964.8</v>
      </c>
      <c r="X1742" s="7" t="s">
        <v>129</v>
      </c>
    </row>
    <row r="1743" spans="1:24" x14ac:dyDescent="0.25">
      <c r="A1743" s="16" t="s">
        <v>2235</v>
      </c>
      <c r="B1743" s="17">
        <v>45452</v>
      </c>
      <c r="C1743" s="6" t="s">
        <v>347</v>
      </c>
      <c r="D1743" s="6" t="s">
        <v>163</v>
      </c>
      <c r="E1743" s="6" t="s">
        <v>141</v>
      </c>
      <c r="F1743" s="6" t="s">
        <v>142</v>
      </c>
      <c r="G1743" s="6" t="s">
        <v>25</v>
      </c>
      <c r="H1743" s="6" t="s">
        <v>26</v>
      </c>
      <c r="I1743" s="6" t="s">
        <v>40</v>
      </c>
      <c r="J1743" s="6" t="s">
        <v>41</v>
      </c>
      <c r="K1743" s="6" t="s">
        <v>178</v>
      </c>
      <c r="L1743" s="6" t="s">
        <v>256</v>
      </c>
      <c r="M1743" s="6" t="s">
        <v>61</v>
      </c>
      <c r="N1743" s="6" t="s">
        <v>84</v>
      </c>
      <c r="O1743" s="6">
        <v>41</v>
      </c>
      <c r="P1743" s="6">
        <v>88.84</v>
      </c>
      <c r="Q1743" s="6">
        <v>59.7</v>
      </c>
      <c r="R1743" s="6">
        <v>3642.26</v>
      </c>
      <c r="S1743" s="6">
        <v>0.2</v>
      </c>
      <c r="T1743" s="6">
        <v>728.45</v>
      </c>
      <c r="U1743" s="6">
        <v>2913.81</v>
      </c>
      <c r="V1743" s="6">
        <v>2447.63</v>
      </c>
      <c r="W1743" s="6">
        <v>466.18</v>
      </c>
      <c r="X1743" s="6" t="s">
        <v>32</v>
      </c>
    </row>
    <row r="1744" spans="1:24" x14ac:dyDescent="0.25">
      <c r="A1744" s="5" t="s">
        <v>2236</v>
      </c>
      <c r="B1744" s="18">
        <v>45503</v>
      </c>
      <c r="C1744" s="7" t="s">
        <v>967</v>
      </c>
      <c r="D1744" s="7" t="s">
        <v>35</v>
      </c>
      <c r="E1744" s="7" t="s">
        <v>99</v>
      </c>
      <c r="F1744" s="7" t="s">
        <v>100</v>
      </c>
      <c r="G1744" s="7" t="s">
        <v>101</v>
      </c>
      <c r="H1744" s="7" t="s">
        <v>102</v>
      </c>
      <c r="I1744" s="7" t="s">
        <v>27</v>
      </c>
      <c r="J1744" s="7" t="s">
        <v>28</v>
      </c>
      <c r="K1744" s="7" t="s">
        <v>170</v>
      </c>
      <c r="L1744" s="7" t="s">
        <v>2671</v>
      </c>
      <c r="M1744" s="7" t="s">
        <v>61</v>
      </c>
      <c r="N1744" s="7" t="s">
        <v>70</v>
      </c>
      <c r="O1744" s="7">
        <v>69</v>
      </c>
      <c r="P1744" s="7">
        <v>64.459999999999994</v>
      </c>
      <c r="Q1744" s="7">
        <v>37.770000000000003</v>
      </c>
      <c r="R1744" s="7">
        <v>4447.8500000000004</v>
      </c>
      <c r="S1744" s="7">
        <v>0.15</v>
      </c>
      <c r="T1744" s="7">
        <v>667.18</v>
      </c>
      <c r="U1744" s="7">
        <v>3780.68</v>
      </c>
      <c r="V1744" s="7">
        <v>2606.15</v>
      </c>
      <c r="W1744" s="7">
        <v>1174.53</v>
      </c>
      <c r="X1744" s="7" t="s">
        <v>45</v>
      </c>
    </row>
    <row r="1745" spans="1:24" x14ac:dyDescent="0.25">
      <c r="A1745" s="16" t="s">
        <v>2237</v>
      </c>
      <c r="B1745" s="17">
        <v>45293</v>
      </c>
      <c r="C1745" s="6" t="s">
        <v>1033</v>
      </c>
      <c r="D1745" s="6" t="s">
        <v>105</v>
      </c>
      <c r="E1745" s="6" t="s">
        <v>176</v>
      </c>
      <c r="F1745" s="6" t="s">
        <v>177</v>
      </c>
      <c r="G1745" s="6" t="s">
        <v>101</v>
      </c>
      <c r="H1745" s="6" t="s">
        <v>39</v>
      </c>
      <c r="I1745" s="6" t="s">
        <v>88</v>
      </c>
      <c r="J1745" s="6" t="s">
        <v>89</v>
      </c>
      <c r="K1745" s="6" t="s">
        <v>152</v>
      </c>
      <c r="L1745" s="6" t="s">
        <v>2670</v>
      </c>
      <c r="M1745" s="6" t="s">
        <v>61</v>
      </c>
      <c r="N1745" s="6" t="s">
        <v>75</v>
      </c>
      <c r="O1745" s="6">
        <v>30</v>
      </c>
      <c r="P1745" s="6">
        <v>97.57</v>
      </c>
      <c r="Q1745" s="6">
        <v>61.41</v>
      </c>
      <c r="R1745" s="6">
        <v>2927.05</v>
      </c>
      <c r="S1745" s="6">
        <v>0.02</v>
      </c>
      <c r="T1745" s="6">
        <v>58.54</v>
      </c>
      <c r="U1745" s="6">
        <v>2868.51</v>
      </c>
      <c r="V1745" s="6">
        <v>1842.36</v>
      </c>
      <c r="W1745" s="6">
        <v>1026.1600000000001</v>
      </c>
      <c r="X1745" s="6" t="s">
        <v>45</v>
      </c>
    </row>
    <row r="1746" spans="1:24" x14ac:dyDescent="0.25">
      <c r="A1746" s="5" t="s">
        <v>2238</v>
      </c>
      <c r="B1746" s="18">
        <v>45540</v>
      </c>
      <c r="C1746" s="7" t="s">
        <v>565</v>
      </c>
      <c r="D1746" s="7" t="s">
        <v>121</v>
      </c>
      <c r="E1746" s="7" t="s">
        <v>132</v>
      </c>
      <c r="F1746" s="7" t="s">
        <v>133</v>
      </c>
      <c r="G1746" s="7" t="s">
        <v>51</v>
      </c>
      <c r="H1746" s="7" t="s">
        <v>134</v>
      </c>
      <c r="I1746" s="7" t="s">
        <v>27</v>
      </c>
      <c r="J1746" s="7" t="s">
        <v>106</v>
      </c>
      <c r="K1746" s="7" t="s">
        <v>265</v>
      </c>
      <c r="L1746" s="7" t="s">
        <v>2678</v>
      </c>
      <c r="M1746" s="7" t="s">
        <v>153</v>
      </c>
      <c r="N1746" s="7" t="s">
        <v>84</v>
      </c>
      <c r="O1746" s="7">
        <v>11</v>
      </c>
      <c r="P1746" s="7">
        <v>55.99</v>
      </c>
      <c r="Q1746" s="7">
        <v>34.979999999999997</v>
      </c>
      <c r="R1746" s="7">
        <v>615.9</v>
      </c>
      <c r="S1746" s="7">
        <v>0.02</v>
      </c>
      <c r="T1746" s="7">
        <v>12.32</v>
      </c>
      <c r="U1746" s="7">
        <v>603.58000000000004</v>
      </c>
      <c r="V1746" s="7">
        <v>384.8</v>
      </c>
      <c r="W1746" s="7">
        <v>218.78</v>
      </c>
      <c r="X1746" s="7" t="s">
        <v>45</v>
      </c>
    </row>
    <row r="1747" spans="1:24" x14ac:dyDescent="0.25">
      <c r="A1747" s="16" t="s">
        <v>2239</v>
      </c>
      <c r="B1747" s="17">
        <v>45589</v>
      </c>
      <c r="C1747" s="6" t="s">
        <v>535</v>
      </c>
      <c r="D1747" s="6" t="s">
        <v>221</v>
      </c>
      <c r="E1747" s="6" t="s">
        <v>36</v>
      </c>
      <c r="F1747" s="6" t="s">
        <v>37</v>
      </c>
      <c r="G1747" s="6" t="s">
        <v>38</v>
      </c>
      <c r="H1747" s="6" t="s">
        <v>39</v>
      </c>
      <c r="I1747" s="6" t="s">
        <v>53</v>
      </c>
      <c r="J1747" s="6" t="s">
        <v>122</v>
      </c>
      <c r="K1747" s="6" t="s">
        <v>248</v>
      </c>
      <c r="L1747" s="6" t="s">
        <v>2675</v>
      </c>
      <c r="M1747" s="6" t="s">
        <v>61</v>
      </c>
      <c r="N1747" s="6" t="s">
        <v>84</v>
      </c>
      <c r="O1747" s="6">
        <v>71</v>
      </c>
      <c r="P1747" s="6">
        <v>164.09</v>
      </c>
      <c r="Q1747" s="6">
        <v>99.68</v>
      </c>
      <c r="R1747" s="6">
        <v>11650.52</v>
      </c>
      <c r="S1747" s="6">
        <v>0.2</v>
      </c>
      <c r="T1747" s="6">
        <v>2330.1</v>
      </c>
      <c r="U1747" s="6">
        <v>9320.41</v>
      </c>
      <c r="V1747" s="6">
        <v>7076.96</v>
      </c>
      <c r="W1747" s="6">
        <v>2243.4499999999998</v>
      </c>
      <c r="X1747" s="6" t="s">
        <v>32</v>
      </c>
    </row>
    <row r="1748" spans="1:24" x14ac:dyDescent="0.25">
      <c r="A1748" s="5" t="s">
        <v>2240</v>
      </c>
      <c r="B1748" s="18">
        <v>45385</v>
      </c>
      <c r="C1748" s="7" t="s">
        <v>140</v>
      </c>
      <c r="D1748" s="7" t="s">
        <v>87</v>
      </c>
      <c r="E1748" s="7" t="s">
        <v>93</v>
      </c>
      <c r="F1748" s="7" t="s">
        <v>94</v>
      </c>
      <c r="G1748" s="7" t="s">
        <v>95</v>
      </c>
      <c r="H1748" s="7" t="s">
        <v>96</v>
      </c>
      <c r="I1748" s="7" t="s">
        <v>27</v>
      </c>
      <c r="J1748" s="7" t="s">
        <v>28</v>
      </c>
      <c r="K1748" s="7" t="s">
        <v>144</v>
      </c>
      <c r="L1748" s="7" t="s">
        <v>2669</v>
      </c>
      <c r="M1748" s="7" t="s">
        <v>30</v>
      </c>
      <c r="N1748" s="7" t="s">
        <v>31</v>
      </c>
      <c r="O1748" s="7">
        <v>5</v>
      </c>
      <c r="P1748" s="7">
        <v>50.83</v>
      </c>
      <c r="Q1748" s="7">
        <v>31.19</v>
      </c>
      <c r="R1748" s="7">
        <v>254.13</v>
      </c>
      <c r="S1748" s="7">
        <v>0.1</v>
      </c>
      <c r="T1748" s="7">
        <v>25.41</v>
      </c>
      <c r="U1748" s="7">
        <v>228.72</v>
      </c>
      <c r="V1748" s="7">
        <v>155.94</v>
      </c>
      <c r="W1748" s="7">
        <v>72.78</v>
      </c>
      <c r="X1748" s="7" t="s">
        <v>45</v>
      </c>
    </row>
    <row r="1749" spans="1:24" x14ac:dyDescent="0.25">
      <c r="A1749" s="16" t="s">
        <v>2241</v>
      </c>
      <c r="B1749" s="17">
        <v>45553</v>
      </c>
      <c r="C1749" s="6" t="s">
        <v>785</v>
      </c>
      <c r="D1749" s="6" t="s">
        <v>264</v>
      </c>
      <c r="E1749" s="6" t="s">
        <v>141</v>
      </c>
      <c r="F1749" s="6" t="s">
        <v>142</v>
      </c>
      <c r="G1749" s="6" t="s">
        <v>25</v>
      </c>
      <c r="H1749" s="6" t="s">
        <v>26</v>
      </c>
      <c r="I1749" s="6" t="s">
        <v>58</v>
      </c>
      <c r="J1749" s="6" t="s">
        <v>73</v>
      </c>
      <c r="K1749" s="6" t="s">
        <v>253</v>
      </c>
      <c r="L1749" s="6" t="s">
        <v>2676</v>
      </c>
      <c r="M1749" s="6" t="s">
        <v>61</v>
      </c>
      <c r="N1749" s="6" t="s">
        <v>31</v>
      </c>
      <c r="O1749" s="6">
        <v>63</v>
      </c>
      <c r="P1749" s="6">
        <v>91.21</v>
      </c>
      <c r="Q1749" s="6">
        <v>59.63</v>
      </c>
      <c r="R1749" s="6">
        <v>5746.46</v>
      </c>
      <c r="S1749" s="6">
        <v>0.1</v>
      </c>
      <c r="T1749" s="6">
        <v>574.65</v>
      </c>
      <c r="U1749" s="6">
        <v>5171.8100000000004</v>
      </c>
      <c r="V1749" s="6">
        <v>3756.91</v>
      </c>
      <c r="W1749" s="6">
        <v>1414.9</v>
      </c>
      <c r="X1749" s="6" t="s">
        <v>45</v>
      </c>
    </row>
    <row r="1750" spans="1:24" x14ac:dyDescent="0.25">
      <c r="A1750" s="5" t="s">
        <v>2242</v>
      </c>
      <c r="B1750" s="18">
        <v>45386</v>
      </c>
      <c r="C1750" s="7" t="s">
        <v>120</v>
      </c>
      <c r="D1750" s="7" t="s">
        <v>121</v>
      </c>
      <c r="E1750" s="7" t="s">
        <v>132</v>
      </c>
      <c r="F1750" s="7" t="s">
        <v>133</v>
      </c>
      <c r="G1750" s="7" t="s">
        <v>51</v>
      </c>
      <c r="H1750" s="7" t="s">
        <v>134</v>
      </c>
      <c r="I1750" s="7" t="s">
        <v>27</v>
      </c>
      <c r="J1750" s="7" t="s">
        <v>211</v>
      </c>
      <c r="K1750" s="7" t="s">
        <v>83</v>
      </c>
      <c r="L1750" s="7" t="s">
        <v>2665</v>
      </c>
      <c r="M1750" s="7" t="s">
        <v>153</v>
      </c>
      <c r="N1750" s="7" t="s">
        <v>70</v>
      </c>
      <c r="O1750" s="7">
        <v>33</v>
      </c>
      <c r="P1750" s="7">
        <v>63.26</v>
      </c>
      <c r="Q1750" s="7">
        <v>33.369999999999997</v>
      </c>
      <c r="R1750" s="7">
        <v>2087.65</v>
      </c>
      <c r="S1750" s="7">
        <v>0.1</v>
      </c>
      <c r="T1750" s="7">
        <v>208.76</v>
      </c>
      <c r="U1750" s="7">
        <v>1878.88</v>
      </c>
      <c r="V1750" s="7">
        <v>1101.1500000000001</v>
      </c>
      <c r="W1750" s="7">
        <v>777.74</v>
      </c>
      <c r="X1750" s="7" t="s">
        <v>45</v>
      </c>
    </row>
    <row r="1751" spans="1:24" x14ac:dyDescent="0.25">
      <c r="A1751" s="16" t="s">
        <v>2243</v>
      </c>
      <c r="B1751" s="17">
        <v>45644</v>
      </c>
      <c r="C1751" s="6" t="s">
        <v>1709</v>
      </c>
      <c r="D1751" s="6" t="s">
        <v>159</v>
      </c>
      <c r="E1751" s="6" t="s">
        <v>66</v>
      </c>
      <c r="F1751" s="6" t="s">
        <v>67</v>
      </c>
      <c r="G1751" s="6" t="s">
        <v>38</v>
      </c>
      <c r="H1751" s="6" t="s">
        <v>68</v>
      </c>
      <c r="I1751" s="6" t="s">
        <v>53</v>
      </c>
      <c r="J1751" s="6" t="s">
        <v>54</v>
      </c>
      <c r="K1751" s="6" t="s">
        <v>261</v>
      </c>
      <c r="L1751" s="6" t="s">
        <v>2677</v>
      </c>
      <c r="M1751" s="6" t="s">
        <v>61</v>
      </c>
      <c r="N1751" s="6" t="s">
        <v>70</v>
      </c>
      <c r="O1751" s="6">
        <v>4</v>
      </c>
      <c r="P1751" s="6">
        <v>155.91999999999999</v>
      </c>
      <c r="Q1751" s="6">
        <v>111.17</v>
      </c>
      <c r="R1751" s="6">
        <v>623.70000000000005</v>
      </c>
      <c r="S1751" s="6">
        <v>0.15</v>
      </c>
      <c r="T1751" s="6">
        <v>93.55</v>
      </c>
      <c r="U1751" s="6">
        <v>530.14</v>
      </c>
      <c r="V1751" s="6">
        <v>444.67</v>
      </c>
      <c r="W1751" s="6">
        <v>85.47</v>
      </c>
      <c r="X1751" s="6" t="s">
        <v>32</v>
      </c>
    </row>
    <row r="1752" spans="1:24" x14ac:dyDescent="0.25">
      <c r="A1752" s="5" t="s">
        <v>2244</v>
      </c>
      <c r="B1752" s="18">
        <v>45635</v>
      </c>
      <c r="C1752" s="7" t="s">
        <v>148</v>
      </c>
      <c r="D1752" s="7" t="s">
        <v>149</v>
      </c>
      <c r="E1752" s="7" t="s">
        <v>150</v>
      </c>
      <c r="F1752" s="7" t="s">
        <v>151</v>
      </c>
      <c r="G1752" s="7" t="s">
        <v>101</v>
      </c>
      <c r="H1752" s="7" t="s">
        <v>134</v>
      </c>
      <c r="I1752" s="7" t="s">
        <v>40</v>
      </c>
      <c r="J1752" s="7" t="s">
        <v>117</v>
      </c>
      <c r="K1752" s="7" t="s">
        <v>195</v>
      </c>
      <c r="L1752" s="7" t="s">
        <v>2673</v>
      </c>
      <c r="M1752" s="7" t="s">
        <v>61</v>
      </c>
      <c r="N1752" s="7" t="s">
        <v>70</v>
      </c>
      <c r="O1752" s="7">
        <v>32</v>
      </c>
      <c r="P1752" s="7">
        <v>84.65</v>
      </c>
      <c r="Q1752" s="7">
        <v>51.5</v>
      </c>
      <c r="R1752" s="7">
        <v>2708.8</v>
      </c>
      <c r="S1752" s="7">
        <v>0.02</v>
      </c>
      <c r="T1752" s="7">
        <v>54.18</v>
      </c>
      <c r="U1752" s="7">
        <v>2654.62</v>
      </c>
      <c r="V1752" s="7">
        <v>1647.84</v>
      </c>
      <c r="W1752" s="7">
        <v>1006.78</v>
      </c>
      <c r="X1752" s="7" t="s">
        <v>129</v>
      </c>
    </row>
    <row r="1753" spans="1:24" x14ac:dyDescent="0.25">
      <c r="A1753" s="16" t="s">
        <v>2245</v>
      </c>
      <c r="B1753" s="17">
        <v>45572</v>
      </c>
      <c r="C1753" s="6" t="s">
        <v>418</v>
      </c>
      <c r="D1753" s="6" t="s">
        <v>159</v>
      </c>
      <c r="E1753" s="6" t="s">
        <v>126</v>
      </c>
      <c r="F1753" s="6" t="s">
        <v>127</v>
      </c>
      <c r="G1753" s="6" t="s">
        <v>95</v>
      </c>
      <c r="H1753" s="6" t="s">
        <v>128</v>
      </c>
      <c r="I1753" s="6" t="s">
        <v>27</v>
      </c>
      <c r="J1753" s="6" t="s">
        <v>189</v>
      </c>
      <c r="K1753" s="6" t="s">
        <v>60</v>
      </c>
      <c r="L1753" s="6" t="s">
        <v>2662</v>
      </c>
      <c r="M1753" s="6" t="s">
        <v>30</v>
      </c>
      <c r="N1753" s="6" t="s">
        <v>84</v>
      </c>
      <c r="O1753" s="6">
        <v>32</v>
      </c>
      <c r="P1753" s="6">
        <v>93.42</v>
      </c>
      <c r="Q1753" s="6">
        <v>52.8</v>
      </c>
      <c r="R1753" s="6">
        <v>2989.37</v>
      </c>
      <c r="S1753" s="6">
        <v>0.2</v>
      </c>
      <c r="T1753" s="6">
        <v>597.87</v>
      </c>
      <c r="U1753" s="6">
        <v>2391.5</v>
      </c>
      <c r="V1753" s="6">
        <v>1689.49</v>
      </c>
      <c r="W1753" s="6">
        <v>702.01</v>
      </c>
      <c r="X1753" s="6" t="s">
        <v>45</v>
      </c>
    </row>
    <row r="1754" spans="1:24" x14ac:dyDescent="0.25">
      <c r="A1754" s="5" t="s">
        <v>2246</v>
      </c>
      <c r="B1754" s="18">
        <v>45334</v>
      </c>
      <c r="C1754" s="7" t="s">
        <v>531</v>
      </c>
      <c r="D1754" s="7" t="s">
        <v>264</v>
      </c>
      <c r="E1754" s="7" t="s">
        <v>126</v>
      </c>
      <c r="F1754" s="7" t="s">
        <v>127</v>
      </c>
      <c r="G1754" s="7" t="s">
        <v>95</v>
      </c>
      <c r="H1754" s="7" t="s">
        <v>128</v>
      </c>
      <c r="I1754" s="7" t="s">
        <v>53</v>
      </c>
      <c r="J1754" s="7" t="s">
        <v>232</v>
      </c>
      <c r="K1754" s="7" t="s">
        <v>218</v>
      </c>
      <c r="L1754" s="7" t="s">
        <v>2674</v>
      </c>
      <c r="M1754" s="7" t="s">
        <v>43</v>
      </c>
      <c r="N1754" s="7" t="s">
        <v>84</v>
      </c>
      <c r="O1754" s="7">
        <v>73</v>
      </c>
      <c r="P1754" s="7">
        <v>93.67</v>
      </c>
      <c r="Q1754" s="7">
        <v>54.02</v>
      </c>
      <c r="R1754" s="7">
        <v>6838.2</v>
      </c>
      <c r="S1754" s="7">
        <v>0</v>
      </c>
      <c r="T1754" s="7">
        <v>0</v>
      </c>
      <c r="U1754" s="7">
        <v>6838.2</v>
      </c>
      <c r="V1754" s="7">
        <v>3943.48</v>
      </c>
      <c r="W1754" s="7">
        <v>2894.72</v>
      </c>
      <c r="X1754" s="7" t="s">
        <v>45</v>
      </c>
    </row>
    <row r="1755" spans="1:24" x14ac:dyDescent="0.25">
      <c r="A1755" s="16" t="s">
        <v>2247</v>
      </c>
      <c r="B1755" s="17">
        <v>45648</v>
      </c>
      <c r="C1755" s="6" t="s">
        <v>480</v>
      </c>
      <c r="D1755" s="6" t="s">
        <v>22</v>
      </c>
      <c r="E1755" s="6" t="s">
        <v>126</v>
      </c>
      <c r="F1755" s="6" t="s">
        <v>127</v>
      </c>
      <c r="G1755" s="6" t="s">
        <v>95</v>
      </c>
      <c r="H1755" s="6" t="s">
        <v>128</v>
      </c>
      <c r="I1755" s="6" t="s">
        <v>27</v>
      </c>
      <c r="J1755" s="6" t="s">
        <v>189</v>
      </c>
      <c r="K1755" s="6" t="s">
        <v>60</v>
      </c>
      <c r="L1755" s="6" t="s">
        <v>2662</v>
      </c>
      <c r="M1755" s="6" t="s">
        <v>30</v>
      </c>
      <c r="N1755" s="6" t="s">
        <v>70</v>
      </c>
      <c r="O1755" s="6">
        <v>44</v>
      </c>
      <c r="P1755" s="6">
        <v>83.89</v>
      </c>
      <c r="Q1755" s="6">
        <v>49.85</v>
      </c>
      <c r="R1755" s="6">
        <v>3691.27</v>
      </c>
      <c r="S1755" s="6">
        <v>0</v>
      </c>
      <c r="T1755" s="6">
        <v>0</v>
      </c>
      <c r="U1755" s="6">
        <v>3691.27</v>
      </c>
      <c r="V1755" s="6">
        <v>2193.5300000000002</v>
      </c>
      <c r="W1755" s="6">
        <v>1497.74</v>
      </c>
      <c r="X1755" s="6" t="s">
        <v>45</v>
      </c>
    </row>
    <row r="1756" spans="1:24" x14ac:dyDescent="0.25">
      <c r="A1756" s="5" t="s">
        <v>2248</v>
      </c>
      <c r="B1756" s="18">
        <v>45501</v>
      </c>
      <c r="C1756" s="7" t="s">
        <v>1706</v>
      </c>
      <c r="D1756" s="7" t="s">
        <v>65</v>
      </c>
      <c r="E1756" s="7" t="s">
        <v>187</v>
      </c>
      <c r="F1756" s="7" t="s">
        <v>188</v>
      </c>
      <c r="G1756" s="7" t="s">
        <v>25</v>
      </c>
      <c r="H1756" s="7" t="s">
        <v>26</v>
      </c>
      <c r="I1756" s="7" t="s">
        <v>53</v>
      </c>
      <c r="J1756" s="7" t="s">
        <v>232</v>
      </c>
      <c r="K1756" s="7" t="s">
        <v>111</v>
      </c>
      <c r="L1756" s="7" t="s">
        <v>2667</v>
      </c>
      <c r="M1756" s="7" t="s">
        <v>43</v>
      </c>
      <c r="N1756" s="7" t="s">
        <v>75</v>
      </c>
      <c r="O1756" s="7">
        <v>34</v>
      </c>
      <c r="P1756" s="7">
        <v>49.97</v>
      </c>
      <c r="Q1756" s="7">
        <v>26.94</v>
      </c>
      <c r="R1756" s="7">
        <v>1699.12</v>
      </c>
      <c r="S1756" s="7">
        <v>0.02</v>
      </c>
      <c r="T1756" s="7">
        <v>33.979999999999997</v>
      </c>
      <c r="U1756" s="7">
        <v>1665.14</v>
      </c>
      <c r="V1756" s="7">
        <v>915.89</v>
      </c>
      <c r="W1756" s="7">
        <v>749.25</v>
      </c>
      <c r="X1756" s="7" t="s">
        <v>129</v>
      </c>
    </row>
    <row r="1757" spans="1:24" x14ac:dyDescent="0.25">
      <c r="A1757" s="16" t="s">
        <v>2249</v>
      </c>
      <c r="B1757" s="17">
        <v>45577</v>
      </c>
      <c r="C1757" s="6" t="s">
        <v>1033</v>
      </c>
      <c r="D1757" s="6" t="s">
        <v>105</v>
      </c>
      <c r="E1757" s="6" t="s">
        <v>109</v>
      </c>
      <c r="F1757" s="6" t="s">
        <v>110</v>
      </c>
      <c r="G1757" s="6" t="s">
        <v>80</v>
      </c>
      <c r="H1757" s="6" t="s">
        <v>81</v>
      </c>
      <c r="I1757" s="6" t="s">
        <v>53</v>
      </c>
      <c r="J1757" s="6" t="s">
        <v>143</v>
      </c>
      <c r="K1757" s="6" t="s">
        <v>152</v>
      </c>
      <c r="L1757" s="6" t="s">
        <v>2670</v>
      </c>
      <c r="M1757" s="6" t="s">
        <v>153</v>
      </c>
      <c r="N1757" s="6" t="s">
        <v>44</v>
      </c>
      <c r="O1757" s="6">
        <v>71</v>
      </c>
      <c r="P1757" s="6">
        <v>129.13999999999999</v>
      </c>
      <c r="Q1757" s="6">
        <v>69.89</v>
      </c>
      <c r="R1757" s="6">
        <v>9169.2800000000007</v>
      </c>
      <c r="S1757" s="6">
        <v>0</v>
      </c>
      <c r="T1757" s="6">
        <v>0</v>
      </c>
      <c r="U1757" s="6">
        <v>9169.2800000000007</v>
      </c>
      <c r="V1757" s="6">
        <v>4961.91</v>
      </c>
      <c r="W1757" s="6">
        <v>4207.37</v>
      </c>
      <c r="X1757" s="6" t="s">
        <v>32</v>
      </c>
    </row>
    <row r="1758" spans="1:24" x14ac:dyDescent="0.25">
      <c r="A1758" s="5" t="s">
        <v>2250</v>
      </c>
      <c r="B1758" s="18">
        <v>45512</v>
      </c>
      <c r="C1758" s="7" t="s">
        <v>660</v>
      </c>
      <c r="D1758" s="7" t="s">
        <v>264</v>
      </c>
      <c r="E1758" s="7" t="s">
        <v>66</v>
      </c>
      <c r="F1758" s="7" t="s">
        <v>67</v>
      </c>
      <c r="G1758" s="7" t="s">
        <v>38</v>
      </c>
      <c r="H1758" s="7" t="s">
        <v>68</v>
      </c>
      <c r="I1758" s="7" t="s">
        <v>40</v>
      </c>
      <c r="J1758" s="7" t="s">
        <v>41</v>
      </c>
      <c r="K1758" s="7" t="s">
        <v>83</v>
      </c>
      <c r="L1758" s="7" t="s">
        <v>2665</v>
      </c>
      <c r="M1758" s="7" t="s">
        <v>385</v>
      </c>
      <c r="N1758" s="7" t="s">
        <v>31</v>
      </c>
      <c r="O1758" s="7">
        <v>58</v>
      </c>
      <c r="P1758" s="7">
        <v>147.6</v>
      </c>
      <c r="Q1758" s="7">
        <v>111.13</v>
      </c>
      <c r="R1758" s="7">
        <v>8560.5499999999993</v>
      </c>
      <c r="S1758" s="7">
        <v>0.02</v>
      </c>
      <c r="T1758" s="7">
        <v>171.21</v>
      </c>
      <c r="U1758" s="7">
        <v>8389.34</v>
      </c>
      <c r="V1758" s="7">
        <v>6445.38</v>
      </c>
      <c r="W1758" s="7">
        <v>1943.96</v>
      </c>
      <c r="X1758" s="7" t="s">
        <v>45</v>
      </c>
    </row>
    <row r="1759" spans="1:24" x14ac:dyDescent="0.25">
      <c r="A1759" s="16" t="s">
        <v>2251</v>
      </c>
      <c r="B1759" s="17">
        <v>45500</v>
      </c>
      <c r="C1759" s="6" t="s">
        <v>278</v>
      </c>
      <c r="D1759" s="6" t="s">
        <v>48</v>
      </c>
      <c r="E1759" s="6" t="s">
        <v>49</v>
      </c>
      <c r="F1759" s="6" t="s">
        <v>50</v>
      </c>
      <c r="G1759" s="6" t="s">
        <v>51</v>
      </c>
      <c r="H1759" s="6" t="s">
        <v>52</v>
      </c>
      <c r="I1759" s="6" t="s">
        <v>27</v>
      </c>
      <c r="J1759" s="6" t="s">
        <v>28</v>
      </c>
      <c r="K1759" s="6" t="s">
        <v>218</v>
      </c>
      <c r="L1759" s="6" t="s">
        <v>2674</v>
      </c>
      <c r="M1759" s="6" t="s">
        <v>61</v>
      </c>
      <c r="N1759" s="6" t="s">
        <v>31</v>
      </c>
      <c r="O1759" s="6">
        <v>72</v>
      </c>
      <c r="P1759" s="6">
        <v>25.02</v>
      </c>
      <c r="Q1759" s="6">
        <v>13.97</v>
      </c>
      <c r="R1759" s="6">
        <v>1801.57</v>
      </c>
      <c r="S1759" s="6">
        <v>0.05</v>
      </c>
      <c r="T1759" s="6">
        <v>90.08</v>
      </c>
      <c r="U1759" s="6">
        <v>1711.49</v>
      </c>
      <c r="V1759" s="6">
        <v>1005.49</v>
      </c>
      <c r="W1759" s="6">
        <v>706</v>
      </c>
      <c r="X1759" s="6" t="s">
        <v>45</v>
      </c>
    </row>
    <row r="1760" spans="1:24" x14ac:dyDescent="0.25">
      <c r="A1760" s="5" t="s">
        <v>2252</v>
      </c>
      <c r="B1760" s="18">
        <v>45407</v>
      </c>
      <c r="C1760" s="7" t="s">
        <v>503</v>
      </c>
      <c r="D1760" s="7" t="s">
        <v>87</v>
      </c>
      <c r="E1760" s="7" t="s">
        <v>187</v>
      </c>
      <c r="F1760" s="7" t="s">
        <v>188</v>
      </c>
      <c r="G1760" s="7" t="s">
        <v>25</v>
      </c>
      <c r="H1760" s="7" t="s">
        <v>26</v>
      </c>
      <c r="I1760" s="7" t="s">
        <v>40</v>
      </c>
      <c r="J1760" s="7" t="s">
        <v>289</v>
      </c>
      <c r="K1760" s="7" t="s">
        <v>184</v>
      </c>
      <c r="L1760" s="7" t="s">
        <v>2672</v>
      </c>
      <c r="M1760" s="7" t="s">
        <v>153</v>
      </c>
      <c r="N1760" s="7" t="s">
        <v>31</v>
      </c>
      <c r="O1760" s="7">
        <v>39</v>
      </c>
      <c r="P1760" s="7">
        <v>46.62</v>
      </c>
      <c r="Q1760" s="7">
        <v>30.84</v>
      </c>
      <c r="R1760" s="7">
        <v>1818.1</v>
      </c>
      <c r="S1760" s="7">
        <v>0.05</v>
      </c>
      <c r="T1760" s="7">
        <v>90.91</v>
      </c>
      <c r="U1760" s="7">
        <v>1727.2</v>
      </c>
      <c r="V1760" s="7">
        <v>1202.57</v>
      </c>
      <c r="W1760" s="7">
        <v>524.62</v>
      </c>
      <c r="X1760" s="7" t="s">
        <v>45</v>
      </c>
    </row>
    <row r="1761" spans="1:24" x14ac:dyDescent="0.25">
      <c r="A1761" s="16" t="s">
        <v>2253</v>
      </c>
      <c r="B1761" s="17">
        <v>45408</v>
      </c>
      <c r="C1761" s="6" t="s">
        <v>373</v>
      </c>
      <c r="D1761" s="6" t="s">
        <v>264</v>
      </c>
      <c r="E1761" s="6" t="s">
        <v>23</v>
      </c>
      <c r="F1761" s="6" t="s">
        <v>24</v>
      </c>
      <c r="G1761" s="6" t="s">
        <v>25</v>
      </c>
      <c r="H1761" s="6" t="s">
        <v>26</v>
      </c>
      <c r="I1761" s="6" t="s">
        <v>40</v>
      </c>
      <c r="J1761" s="6" t="s">
        <v>289</v>
      </c>
      <c r="K1761" s="6" t="s">
        <v>184</v>
      </c>
      <c r="L1761" s="6" t="s">
        <v>2672</v>
      </c>
      <c r="M1761" s="6" t="s">
        <v>30</v>
      </c>
      <c r="N1761" s="6" t="s">
        <v>31</v>
      </c>
      <c r="O1761" s="6">
        <v>25</v>
      </c>
      <c r="P1761" s="6">
        <v>73.45</v>
      </c>
      <c r="Q1761" s="6">
        <v>46.83</v>
      </c>
      <c r="R1761" s="6">
        <v>1836.28</v>
      </c>
      <c r="S1761" s="6">
        <v>0.1</v>
      </c>
      <c r="T1761" s="6">
        <v>183.63</v>
      </c>
      <c r="U1761" s="6">
        <v>1652.65</v>
      </c>
      <c r="V1761" s="6">
        <v>1170.74</v>
      </c>
      <c r="W1761" s="6">
        <v>481.91</v>
      </c>
      <c r="X1761" s="6" t="s">
        <v>45</v>
      </c>
    </row>
    <row r="1762" spans="1:24" x14ac:dyDescent="0.25">
      <c r="A1762" s="5" t="s">
        <v>2254</v>
      </c>
      <c r="B1762" s="18">
        <v>45595</v>
      </c>
      <c r="C1762" s="7" t="s">
        <v>387</v>
      </c>
      <c r="D1762" s="7" t="s">
        <v>22</v>
      </c>
      <c r="E1762" s="7" t="s">
        <v>176</v>
      </c>
      <c r="F1762" s="7" t="s">
        <v>177</v>
      </c>
      <c r="G1762" s="7" t="s">
        <v>101</v>
      </c>
      <c r="H1762" s="7" t="s">
        <v>39</v>
      </c>
      <c r="I1762" s="7" t="s">
        <v>53</v>
      </c>
      <c r="J1762" s="7" t="s">
        <v>143</v>
      </c>
      <c r="K1762" s="7" t="s">
        <v>90</v>
      </c>
      <c r="L1762" s="7" t="s">
        <v>2666</v>
      </c>
      <c r="M1762" s="7" t="s">
        <v>30</v>
      </c>
      <c r="N1762" s="7" t="s">
        <v>75</v>
      </c>
      <c r="O1762" s="7">
        <v>43</v>
      </c>
      <c r="P1762" s="7">
        <v>102.99</v>
      </c>
      <c r="Q1762" s="7">
        <v>66.81</v>
      </c>
      <c r="R1762" s="7">
        <v>4428.76</v>
      </c>
      <c r="S1762" s="7">
        <v>0.05</v>
      </c>
      <c r="T1762" s="7">
        <v>221.44</v>
      </c>
      <c r="U1762" s="7">
        <v>4207.32</v>
      </c>
      <c r="V1762" s="7">
        <v>2872.83</v>
      </c>
      <c r="W1762" s="7">
        <v>1334.49</v>
      </c>
      <c r="X1762" s="7" t="s">
        <v>45</v>
      </c>
    </row>
    <row r="1763" spans="1:24" x14ac:dyDescent="0.25">
      <c r="A1763" s="16" t="s">
        <v>2255</v>
      </c>
      <c r="B1763" s="17">
        <v>45562</v>
      </c>
      <c r="C1763" s="6" t="s">
        <v>172</v>
      </c>
      <c r="D1763" s="6" t="s">
        <v>22</v>
      </c>
      <c r="E1763" s="6" t="s">
        <v>49</v>
      </c>
      <c r="F1763" s="6" t="s">
        <v>50</v>
      </c>
      <c r="G1763" s="6" t="s">
        <v>51</v>
      </c>
      <c r="H1763" s="6" t="s">
        <v>52</v>
      </c>
      <c r="I1763" s="6" t="s">
        <v>712</v>
      </c>
      <c r="J1763" s="6" t="s">
        <v>345</v>
      </c>
      <c r="K1763" s="6" t="s">
        <v>42</v>
      </c>
      <c r="L1763" s="6" t="s">
        <v>2661</v>
      </c>
      <c r="M1763" s="6" t="s">
        <v>30</v>
      </c>
      <c r="N1763" s="6" t="s">
        <v>84</v>
      </c>
      <c r="O1763" s="6">
        <v>6</v>
      </c>
      <c r="P1763" s="6">
        <v>24.11</v>
      </c>
      <c r="Q1763" s="6">
        <v>12.35</v>
      </c>
      <c r="R1763" s="6">
        <v>144.66</v>
      </c>
      <c r="S1763" s="6">
        <v>0.02</v>
      </c>
      <c r="T1763" s="6">
        <v>2.89</v>
      </c>
      <c r="U1763" s="6">
        <v>141.76</v>
      </c>
      <c r="V1763" s="6">
        <v>74.11</v>
      </c>
      <c r="W1763" s="6">
        <v>67.66</v>
      </c>
      <c r="X1763" s="6" t="s">
        <v>45</v>
      </c>
    </row>
    <row r="1764" spans="1:24" x14ac:dyDescent="0.25">
      <c r="A1764" s="5" t="s">
        <v>2256</v>
      </c>
      <c r="B1764" s="18">
        <v>45327</v>
      </c>
      <c r="C1764" s="7" t="s">
        <v>611</v>
      </c>
      <c r="D1764" s="7" t="s">
        <v>264</v>
      </c>
      <c r="E1764" s="7" t="s">
        <v>141</v>
      </c>
      <c r="F1764" s="7" t="s">
        <v>142</v>
      </c>
      <c r="G1764" s="7" t="s">
        <v>25</v>
      </c>
      <c r="H1764" s="7" t="s">
        <v>26</v>
      </c>
      <c r="I1764" s="7" t="s">
        <v>27</v>
      </c>
      <c r="J1764" s="7" t="s">
        <v>106</v>
      </c>
      <c r="K1764" s="7" t="s">
        <v>218</v>
      </c>
      <c r="L1764" s="7" t="s">
        <v>2674</v>
      </c>
      <c r="M1764" s="7" t="s">
        <v>30</v>
      </c>
      <c r="N1764" s="7" t="s">
        <v>75</v>
      </c>
      <c r="O1764" s="7">
        <v>23</v>
      </c>
      <c r="P1764" s="7">
        <v>96.39</v>
      </c>
      <c r="Q1764" s="7">
        <v>55.09</v>
      </c>
      <c r="R1764" s="7">
        <v>2216.86</v>
      </c>
      <c r="S1764" s="7">
        <v>0.02</v>
      </c>
      <c r="T1764" s="7">
        <v>44.34</v>
      </c>
      <c r="U1764" s="7">
        <v>2172.52</v>
      </c>
      <c r="V1764" s="7">
        <v>1267.01</v>
      </c>
      <c r="W1764" s="7">
        <v>905.51</v>
      </c>
      <c r="X1764" s="7" t="s">
        <v>45</v>
      </c>
    </row>
    <row r="1765" spans="1:24" x14ac:dyDescent="0.25">
      <c r="A1765" s="16" t="s">
        <v>2257</v>
      </c>
      <c r="B1765" s="17">
        <v>45425</v>
      </c>
      <c r="C1765" s="6" t="s">
        <v>750</v>
      </c>
      <c r="D1765" s="6" t="s">
        <v>121</v>
      </c>
      <c r="E1765" s="6" t="s">
        <v>150</v>
      </c>
      <c r="F1765" s="6" t="s">
        <v>151</v>
      </c>
      <c r="G1765" s="6" t="s">
        <v>101</v>
      </c>
      <c r="H1765" s="6" t="s">
        <v>134</v>
      </c>
      <c r="I1765" s="6" t="s">
        <v>27</v>
      </c>
      <c r="J1765" s="6" t="s">
        <v>28</v>
      </c>
      <c r="K1765" s="6" t="s">
        <v>42</v>
      </c>
      <c r="L1765" s="6" t="s">
        <v>2661</v>
      </c>
      <c r="M1765" s="6" t="s">
        <v>153</v>
      </c>
      <c r="N1765" s="6" t="s">
        <v>31</v>
      </c>
      <c r="O1765" s="6">
        <v>67</v>
      </c>
      <c r="P1765" s="6">
        <v>84.39</v>
      </c>
      <c r="Q1765" s="6">
        <v>52.37</v>
      </c>
      <c r="R1765" s="6">
        <v>5654.15</v>
      </c>
      <c r="S1765" s="6">
        <v>0.1</v>
      </c>
      <c r="T1765" s="6">
        <v>565.41999999999996</v>
      </c>
      <c r="U1765" s="6">
        <v>5088.74</v>
      </c>
      <c r="V1765" s="6">
        <v>3508.72</v>
      </c>
      <c r="W1765" s="6">
        <v>1580.02</v>
      </c>
      <c r="X1765" s="6" t="s">
        <v>129</v>
      </c>
    </row>
    <row r="1766" spans="1:24" x14ac:dyDescent="0.25">
      <c r="A1766" s="5" t="s">
        <v>2258</v>
      </c>
      <c r="B1766" s="18">
        <v>45442</v>
      </c>
      <c r="C1766" s="7" t="s">
        <v>658</v>
      </c>
      <c r="D1766" s="7" t="s">
        <v>264</v>
      </c>
      <c r="E1766" s="7" t="s">
        <v>132</v>
      </c>
      <c r="F1766" s="7" t="s">
        <v>133</v>
      </c>
      <c r="G1766" s="7" t="s">
        <v>51</v>
      </c>
      <c r="H1766" s="7" t="s">
        <v>134</v>
      </c>
      <c r="I1766" s="7" t="s">
        <v>88</v>
      </c>
      <c r="J1766" s="7" t="s">
        <v>173</v>
      </c>
      <c r="K1766" s="7" t="s">
        <v>178</v>
      </c>
      <c r="L1766" s="7" t="s">
        <v>256</v>
      </c>
      <c r="M1766" s="7" t="s">
        <v>153</v>
      </c>
      <c r="N1766" s="7" t="s">
        <v>75</v>
      </c>
      <c r="O1766" s="7">
        <v>74</v>
      </c>
      <c r="P1766" s="7">
        <v>57.41</v>
      </c>
      <c r="Q1766" s="7">
        <v>34.29</v>
      </c>
      <c r="R1766" s="7">
        <v>4248.07</v>
      </c>
      <c r="S1766" s="7">
        <v>0.02</v>
      </c>
      <c r="T1766" s="7">
        <v>84.96</v>
      </c>
      <c r="U1766" s="7">
        <v>3860.74</v>
      </c>
      <c r="V1766" s="7">
        <v>2537.1999999999998</v>
      </c>
      <c r="W1766" s="7">
        <v>1625.91</v>
      </c>
      <c r="X1766" s="7" t="s">
        <v>32</v>
      </c>
    </row>
    <row r="1767" spans="1:24" x14ac:dyDescent="0.25">
      <c r="A1767" s="16" t="s">
        <v>2259</v>
      </c>
      <c r="B1767" s="17">
        <v>45580</v>
      </c>
      <c r="C1767" s="6" t="s">
        <v>280</v>
      </c>
      <c r="D1767" s="6" t="s">
        <v>35</v>
      </c>
      <c r="E1767" s="6" t="s">
        <v>141</v>
      </c>
      <c r="F1767" s="6" t="s">
        <v>142</v>
      </c>
      <c r="G1767" s="6" t="s">
        <v>25</v>
      </c>
      <c r="H1767" s="6" t="s">
        <v>26</v>
      </c>
      <c r="I1767" s="6" t="s">
        <v>53</v>
      </c>
      <c r="J1767" s="6" t="s">
        <v>54</v>
      </c>
      <c r="K1767" s="6" t="s">
        <v>83</v>
      </c>
      <c r="L1767" s="6" t="s">
        <v>2665</v>
      </c>
      <c r="M1767" s="6" t="s">
        <v>61</v>
      </c>
      <c r="N1767" s="6" t="s">
        <v>70</v>
      </c>
      <c r="O1767" s="6">
        <v>72</v>
      </c>
      <c r="P1767" s="6">
        <v>101.31</v>
      </c>
      <c r="Q1767" s="6">
        <v>55.69</v>
      </c>
      <c r="R1767" s="6">
        <v>7294.24</v>
      </c>
      <c r="S1767" s="6">
        <v>0.15</v>
      </c>
      <c r="T1767" s="6">
        <v>1094.1400000000001</v>
      </c>
      <c r="U1767" s="6">
        <v>6200.11</v>
      </c>
      <c r="V1767" s="6">
        <v>4009.74</v>
      </c>
      <c r="W1767" s="6">
        <v>2190.36</v>
      </c>
      <c r="X1767" s="6" t="s">
        <v>45</v>
      </c>
    </row>
    <row r="1768" spans="1:24" x14ac:dyDescent="0.25">
      <c r="A1768" s="5" t="s">
        <v>2260</v>
      </c>
      <c r="B1768" s="18">
        <v>45337</v>
      </c>
      <c r="C1768" s="7" t="s">
        <v>267</v>
      </c>
      <c r="D1768" s="7" t="s">
        <v>65</v>
      </c>
      <c r="E1768" s="7" t="s">
        <v>109</v>
      </c>
      <c r="F1768" s="7" t="s">
        <v>110</v>
      </c>
      <c r="G1768" s="7" t="s">
        <v>80</v>
      </c>
      <c r="H1768" s="7" t="s">
        <v>81</v>
      </c>
      <c r="I1768" s="7" t="s">
        <v>58</v>
      </c>
      <c r="J1768" s="7" t="s">
        <v>73</v>
      </c>
      <c r="K1768" s="7" t="s">
        <v>253</v>
      </c>
      <c r="L1768" s="7" t="s">
        <v>2676</v>
      </c>
      <c r="M1768" s="7" t="s">
        <v>153</v>
      </c>
      <c r="N1768" s="7" t="s">
        <v>44</v>
      </c>
      <c r="O1768" s="7">
        <v>67</v>
      </c>
      <c r="P1768" s="7">
        <v>130.66999999999999</v>
      </c>
      <c r="Q1768" s="7">
        <v>74.78</v>
      </c>
      <c r="R1768" s="7">
        <v>8755.2099999999991</v>
      </c>
      <c r="S1768" s="7">
        <v>0.05</v>
      </c>
      <c r="T1768" s="7">
        <v>437.76</v>
      </c>
      <c r="U1768" s="7">
        <v>8317.4500000000007</v>
      </c>
      <c r="V1768" s="7">
        <v>5010.5</v>
      </c>
      <c r="W1768" s="7">
        <v>3306.95</v>
      </c>
      <c r="X1768" s="7" t="s">
        <v>45</v>
      </c>
    </row>
    <row r="1769" spans="1:24" x14ac:dyDescent="0.25">
      <c r="A1769" s="16" t="s">
        <v>2261</v>
      </c>
      <c r="B1769" s="17">
        <v>45458</v>
      </c>
      <c r="C1769" s="6" t="s">
        <v>814</v>
      </c>
      <c r="D1769" s="6" t="s">
        <v>22</v>
      </c>
      <c r="E1769" s="6" t="s">
        <v>114</v>
      </c>
      <c r="F1769" s="6" t="s">
        <v>115</v>
      </c>
      <c r="G1769" s="6" t="s">
        <v>95</v>
      </c>
      <c r="H1769" s="6" t="s">
        <v>116</v>
      </c>
      <c r="I1769" s="6" t="s">
        <v>40</v>
      </c>
      <c r="J1769" s="6" t="s">
        <v>289</v>
      </c>
      <c r="K1769" s="6" t="s">
        <v>218</v>
      </c>
      <c r="L1769" s="6" t="s">
        <v>2674</v>
      </c>
      <c r="M1769" s="6" t="s">
        <v>43</v>
      </c>
      <c r="N1769" s="6" t="s">
        <v>44</v>
      </c>
      <c r="O1769" s="6">
        <v>14</v>
      </c>
      <c r="P1769" s="6">
        <v>36.76</v>
      </c>
      <c r="Q1769" s="6">
        <v>21.38</v>
      </c>
      <c r="R1769" s="6">
        <v>514.66999999999996</v>
      </c>
      <c r="S1769" s="6">
        <v>0</v>
      </c>
      <c r="T1769" s="6">
        <v>0</v>
      </c>
      <c r="U1769" s="6">
        <v>514.66999999999996</v>
      </c>
      <c r="V1769" s="6">
        <v>299.26</v>
      </c>
      <c r="W1769" s="6">
        <v>215.41</v>
      </c>
      <c r="X1769" s="6" t="s">
        <v>45</v>
      </c>
    </row>
    <row r="1770" spans="1:24" x14ac:dyDescent="0.25">
      <c r="A1770" s="5" t="s">
        <v>2262</v>
      </c>
      <c r="B1770" s="18">
        <v>45302</v>
      </c>
      <c r="C1770" s="7" t="s">
        <v>891</v>
      </c>
      <c r="D1770" s="7" t="s">
        <v>156</v>
      </c>
      <c r="E1770" s="7" t="s">
        <v>126</v>
      </c>
      <c r="F1770" s="7" t="s">
        <v>127</v>
      </c>
      <c r="G1770" s="7" t="s">
        <v>95</v>
      </c>
      <c r="H1770" s="7" t="s">
        <v>128</v>
      </c>
      <c r="I1770" s="7" t="s">
        <v>53</v>
      </c>
      <c r="J1770" s="7" t="s">
        <v>143</v>
      </c>
      <c r="K1770" s="7" t="s">
        <v>261</v>
      </c>
      <c r="L1770" s="7" t="s">
        <v>2677</v>
      </c>
      <c r="M1770" s="7" t="s">
        <v>30</v>
      </c>
      <c r="N1770" s="7" t="s">
        <v>84</v>
      </c>
      <c r="O1770" s="7">
        <v>64</v>
      </c>
      <c r="P1770" s="7">
        <v>84.05</v>
      </c>
      <c r="Q1770" s="7">
        <v>53.99</v>
      </c>
      <c r="R1770" s="7">
        <v>5379.46</v>
      </c>
      <c r="S1770" s="7">
        <v>0</v>
      </c>
      <c r="T1770" s="7">
        <v>0</v>
      </c>
      <c r="U1770" s="7">
        <v>5379.46</v>
      </c>
      <c r="V1770" s="7">
        <v>3455.53</v>
      </c>
      <c r="W1770" s="7">
        <v>1923.93</v>
      </c>
      <c r="X1770" s="7" t="s">
        <v>45</v>
      </c>
    </row>
    <row r="1771" spans="1:24" x14ac:dyDescent="0.25">
      <c r="A1771" s="16" t="s">
        <v>2263</v>
      </c>
      <c r="B1771" s="17">
        <v>45338</v>
      </c>
      <c r="C1771" s="6" t="s">
        <v>1071</v>
      </c>
      <c r="D1771" s="6" t="s">
        <v>105</v>
      </c>
      <c r="E1771" s="6" t="s">
        <v>23</v>
      </c>
      <c r="F1771" s="6" t="s">
        <v>24</v>
      </c>
      <c r="G1771" s="6" t="s">
        <v>25</v>
      </c>
      <c r="H1771" s="6" t="s">
        <v>26</v>
      </c>
      <c r="I1771" s="6" t="s">
        <v>53</v>
      </c>
      <c r="J1771" s="6" t="s">
        <v>122</v>
      </c>
      <c r="K1771" s="6" t="s">
        <v>118</v>
      </c>
      <c r="L1771" s="6" t="s">
        <v>2668</v>
      </c>
      <c r="M1771" s="6" t="s">
        <v>61</v>
      </c>
      <c r="N1771" s="6" t="s">
        <v>44</v>
      </c>
      <c r="O1771" s="6">
        <v>75</v>
      </c>
      <c r="P1771" s="6">
        <v>78.2</v>
      </c>
      <c r="Q1771" s="6">
        <v>44.59</v>
      </c>
      <c r="R1771" s="6">
        <v>5864.86</v>
      </c>
      <c r="S1771" s="6">
        <v>0</v>
      </c>
      <c r="T1771" s="6">
        <v>0</v>
      </c>
      <c r="U1771" s="6">
        <v>5864.86</v>
      </c>
      <c r="V1771" s="6">
        <v>3344.2</v>
      </c>
      <c r="W1771" s="6">
        <v>2520.66</v>
      </c>
      <c r="X1771" s="6" t="s">
        <v>45</v>
      </c>
    </row>
    <row r="1772" spans="1:24" x14ac:dyDescent="0.25">
      <c r="A1772" s="5" t="s">
        <v>2264</v>
      </c>
      <c r="B1772" s="18">
        <v>45356</v>
      </c>
      <c r="C1772" s="7" t="s">
        <v>433</v>
      </c>
      <c r="D1772" s="7" t="s">
        <v>22</v>
      </c>
      <c r="E1772" s="7" t="s">
        <v>165</v>
      </c>
      <c r="F1772" s="7" t="s">
        <v>166</v>
      </c>
      <c r="G1772" s="7" t="s">
        <v>95</v>
      </c>
      <c r="H1772" s="7" t="s">
        <v>167</v>
      </c>
      <c r="I1772" s="7" t="s">
        <v>88</v>
      </c>
      <c r="J1772" s="7" t="s">
        <v>135</v>
      </c>
      <c r="K1772" s="7" t="s">
        <v>111</v>
      </c>
      <c r="L1772" s="7" t="s">
        <v>2667</v>
      </c>
      <c r="M1772" s="7" t="s">
        <v>609</v>
      </c>
      <c r="N1772" s="7" t="s">
        <v>31</v>
      </c>
      <c r="O1772" s="7">
        <v>46</v>
      </c>
      <c r="P1772" s="7">
        <v>39.93</v>
      </c>
      <c r="Q1772" s="7">
        <v>26.67</v>
      </c>
      <c r="R1772" s="7">
        <v>1836.67</v>
      </c>
      <c r="S1772" s="7">
        <v>0.02</v>
      </c>
      <c r="T1772" s="7">
        <v>36.729999999999997</v>
      </c>
      <c r="U1772" s="7">
        <v>1799.93</v>
      </c>
      <c r="V1772" s="7">
        <v>1226.96</v>
      </c>
      <c r="W1772" s="7">
        <v>572.98</v>
      </c>
      <c r="X1772" s="7" t="s">
        <v>129</v>
      </c>
    </row>
    <row r="1773" spans="1:24" x14ac:dyDescent="0.25">
      <c r="A1773" s="16" t="s">
        <v>2265</v>
      </c>
      <c r="B1773" s="17">
        <v>45572</v>
      </c>
      <c r="C1773" s="6" t="s">
        <v>519</v>
      </c>
      <c r="D1773" s="6" t="s">
        <v>121</v>
      </c>
      <c r="E1773" s="6" t="s">
        <v>126</v>
      </c>
      <c r="F1773" s="6" t="s">
        <v>127</v>
      </c>
      <c r="G1773" s="6" t="s">
        <v>95</v>
      </c>
      <c r="H1773" s="6" t="s">
        <v>128</v>
      </c>
      <c r="I1773" s="6" t="s">
        <v>53</v>
      </c>
      <c r="J1773" s="6" t="s">
        <v>143</v>
      </c>
      <c r="K1773" s="6" t="s">
        <v>69</v>
      </c>
      <c r="L1773" s="6" t="s">
        <v>2663</v>
      </c>
      <c r="M1773" s="6" t="s">
        <v>43</v>
      </c>
      <c r="N1773" s="6" t="s">
        <v>84</v>
      </c>
      <c r="O1773" s="6">
        <v>33</v>
      </c>
      <c r="P1773" s="6">
        <v>87.73</v>
      </c>
      <c r="Q1773" s="6">
        <v>55.72</v>
      </c>
      <c r="R1773" s="6">
        <v>2894.96</v>
      </c>
      <c r="S1773" s="6">
        <v>0.1</v>
      </c>
      <c r="T1773" s="6">
        <v>289.5</v>
      </c>
      <c r="U1773" s="6">
        <v>2605.46</v>
      </c>
      <c r="V1773" s="6">
        <v>1838.9</v>
      </c>
      <c r="W1773" s="6">
        <v>766.56</v>
      </c>
      <c r="X1773" s="6" t="s">
        <v>45</v>
      </c>
    </row>
    <row r="1774" spans="1:24" x14ac:dyDescent="0.25">
      <c r="A1774" s="5" t="s">
        <v>2266</v>
      </c>
      <c r="B1774" s="18">
        <v>45364</v>
      </c>
      <c r="C1774" s="7" t="s">
        <v>594</v>
      </c>
      <c r="D1774" s="7" t="s">
        <v>105</v>
      </c>
      <c r="E1774" s="7" t="s">
        <v>250</v>
      </c>
      <c r="F1774" s="7" t="s">
        <v>251</v>
      </c>
      <c r="G1774" s="7" t="s">
        <v>51</v>
      </c>
      <c r="H1774" s="7" t="s">
        <v>252</v>
      </c>
      <c r="I1774" s="7" t="s">
        <v>53</v>
      </c>
      <c r="J1774" s="7" t="s">
        <v>143</v>
      </c>
      <c r="K1774" s="7" t="s">
        <v>29</v>
      </c>
      <c r="L1774" s="7" t="s">
        <v>2660</v>
      </c>
      <c r="M1774" s="7" t="s">
        <v>153</v>
      </c>
      <c r="N1774" s="7" t="s">
        <v>44</v>
      </c>
      <c r="O1774" s="7">
        <v>36</v>
      </c>
      <c r="P1774" s="7">
        <v>68.39</v>
      </c>
      <c r="Q1774" s="7">
        <v>36.700000000000003</v>
      </c>
      <c r="R1774" s="7">
        <v>2461.9499999999998</v>
      </c>
      <c r="S1774" s="7">
        <v>0.02</v>
      </c>
      <c r="T1774" s="7">
        <v>49.24</v>
      </c>
      <c r="U1774" s="7">
        <v>2412.71</v>
      </c>
      <c r="V1774" s="7">
        <v>1321.1</v>
      </c>
      <c r="W1774" s="7">
        <v>1091.6099999999999</v>
      </c>
      <c r="X1774" s="7" t="s">
        <v>45</v>
      </c>
    </row>
    <row r="1775" spans="1:24" x14ac:dyDescent="0.25">
      <c r="A1775" s="16" t="s">
        <v>2267</v>
      </c>
      <c r="B1775" s="17">
        <v>45347</v>
      </c>
      <c r="C1775" s="6" t="s">
        <v>1293</v>
      </c>
      <c r="D1775" s="6" t="s">
        <v>264</v>
      </c>
      <c r="E1775" s="6" t="s">
        <v>141</v>
      </c>
      <c r="F1775" s="6" t="s">
        <v>142</v>
      </c>
      <c r="G1775" s="6" t="s">
        <v>25</v>
      </c>
      <c r="H1775" s="6" t="s">
        <v>26</v>
      </c>
      <c r="I1775" s="6" t="s">
        <v>58</v>
      </c>
      <c r="J1775" s="6" t="s">
        <v>73</v>
      </c>
      <c r="K1775" s="6" t="s">
        <v>90</v>
      </c>
      <c r="L1775" s="6" t="s">
        <v>2666</v>
      </c>
      <c r="M1775" s="6" t="s">
        <v>61</v>
      </c>
      <c r="N1775" s="6" t="s">
        <v>75</v>
      </c>
      <c r="O1775" s="6">
        <v>42</v>
      </c>
      <c r="P1775" s="6">
        <v>88.48</v>
      </c>
      <c r="Q1775" s="6">
        <v>55.32</v>
      </c>
      <c r="R1775" s="6">
        <v>3716.15</v>
      </c>
      <c r="S1775" s="6">
        <v>0.05</v>
      </c>
      <c r="T1775" s="6">
        <v>185.81</v>
      </c>
      <c r="U1775" s="6">
        <v>3530.34</v>
      </c>
      <c r="V1775" s="6">
        <v>2323.2800000000002</v>
      </c>
      <c r="W1775" s="6">
        <v>1207.06</v>
      </c>
      <c r="X1775" s="6" t="s">
        <v>45</v>
      </c>
    </row>
    <row r="1776" spans="1:24" x14ac:dyDescent="0.25">
      <c r="A1776" s="5" t="s">
        <v>2268</v>
      </c>
      <c r="B1776" s="18">
        <v>45315</v>
      </c>
      <c r="C1776" s="7" t="s">
        <v>1724</v>
      </c>
      <c r="D1776" s="7" t="s">
        <v>121</v>
      </c>
      <c r="E1776" s="7" t="s">
        <v>132</v>
      </c>
      <c r="F1776" s="7" t="s">
        <v>133</v>
      </c>
      <c r="G1776" s="7" t="s">
        <v>51</v>
      </c>
      <c r="H1776" s="7" t="s">
        <v>134</v>
      </c>
      <c r="I1776" s="7" t="s">
        <v>53</v>
      </c>
      <c r="J1776" s="7" t="s">
        <v>232</v>
      </c>
      <c r="K1776" s="7" t="s">
        <v>253</v>
      </c>
      <c r="L1776" s="7" t="s">
        <v>2676</v>
      </c>
      <c r="M1776" s="7" t="s">
        <v>153</v>
      </c>
      <c r="N1776" s="7" t="s">
        <v>75</v>
      </c>
      <c r="O1776" s="7">
        <v>79</v>
      </c>
      <c r="P1776" s="7">
        <v>61.15</v>
      </c>
      <c r="Q1776" s="7">
        <v>34.82</v>
      </c>
      <c r="R1776" s="7">
        <v>4830.7</v>
      </c>
      <c r="S1776" s="7">
        <v>0.15</v>
      </c>
      <c r="T1776" s="7">
        <v>724.6</v>
      </c>
      <c r="U1776" s="7">
        <v>4106.09</v>
      </c>
      <c r="V1776" s="7">
        <v>2750.55</v>
      </c>
      <c r="W1776" s="7">
        <v>1355.54</v>
      </c>
      <c r="X1776" s="7" t="s">
        <v>45</v>
      </c>
    </row>
    <row r="1777" spans="1:24" x14ac:dyDescent="0.25">
      <c r="A1777" s="16" t="s">
        <v>2269</v>
      </c>
      <c r="B1777" s="17">
        <v>45441</v>
      </c>
      <c r="C1777" s="6" t="s">
        <v>1184</v>
      </c>
      <c r="D1777" s="6" t="s">
        <v>65</v>
      </c>
      <c r="E1777" s="6" t="s">
        <v>150</v>
      </c>
      <c r="F1777" s="6" t="s">
        <v>151</v>
      </c>
      <c r="G1777" s="6" t="s">
        <v>101</v>
      </c>
      <c r="H1777" s="6" t="s">
        <v>134</v>
      </c>
      <c r="I1777" s="6" t="s">
        <v>27</v>
      </c>
      <c r="J1777" s="6" t="s">
        <v>28</v>
      </c>
      <c r="K1777" s="6" t="s">
        <v>42</v>
      </c>
      <c r="L1777" s="6" t="s">
        <v>2661</v>
      </c>
      <c r="M1777" s="6" t="s">
        <v>43</v>
      </c>
      <c r="N1777" s="6" t="s">
        <v>70</v>
      </c>
      <c r="O1777" s="6">
        <v>47</v>
      </c>
      <c r="P1777" s="6">
        <v>89.27</v>
      </c>
      <c r="Q1777" s="6">
        <v>52.51</v>
      </c>
      <c r="R1777" s="6">
        <v>4195.79</v>
      </c>
      <c r="S1777" s="6">
        <v>0.2</v>
      </c>
      <c r="T1777" s="6">
        <v>839.16</v>
      </c>
      <c r="U1777" s="6">
        <v>3356.63</v>
      </c>
      <c r="V1777" s="6">
        <v>2468</v>
      </c>
      <c r="W1777" s="6">
        <v>888.63</v>
      </c>
      <c r="X1777" s="6" t="s">
        <v>45</v>
      </c>
    </row>
    <row r="1778" spans="1:24" x14ac:dyDescent="0.25">
      <c r="A1778" s="5" t="s">
        <v>2270</v>
      </c>
      <c r="B1778" s="18">
        <v>45320</v>
      </c>
      <c r="C1778" s="7" t="s">
        <v>931</v>
      </c>
      <c r="D1778" s="7" t="s">
        <v>105</v>
      </c>
      <c r="E1778" s="7" t="s">
        <v>222</v>
      </c>
      <c r="F1778" s="7" t="s">
        <v>223</v>
      </c>
      <c r="G1778" s="7" t="s">
        <v>101</v>
      </c>
      <c r="H1778" s="7" t="s">
        <v>68</v>
      </c>
      <c r="I1778" s="7" t="s">
        <v>40</v>
      </c>
      <c r="J1778" s="7" t="s">
        <v>82</v>
      </c>
      <c r="K1778" s="7" t="s">
        <v>111</v>
      </c>
      <c r="L1778" s="7" t="s">
        <v>2667</v>
      </c>
      <c r="M1778" s="7" t="s">
        <v>30</v>
      </c>
      <c r="N1778" s="7" t="s">
        <v>44</v>
      </c>
      <c r="O1778" s="7">
        <v>59</v>
      </c>
      <c r="P1778" s="7">
        <v>123.96</v>
      </c>
      <c r="Q1778" s="7">
        <v>72.78</v>
      </c>
      <c r="R1778" s="7">
        <v>7313.63</v>
      </c>
      <c r="S1778" s="7">
        <v>0.02</v>
      </c>
      <c r="T1778" s="7">
        <v>146.27000000000001</v>
      </c>
      <c r="U1778" s="7">
        <v>7167.36</v>
      </c>
      <c r="V1778" s="7">
        <v>4293.74</v>
      </c>
      <c r="W1778" s="7">
        <v>2873.62</v>
      </c>
      <c r="X1778" s="7" t="s">
        <v>45</v>
      </c>
    </row>
    <row r="1779" spans="1:24" x14ac:dyDescent="0.25">
      <c r="A1779" s="16" t="s">
        <v>2271</v>
      </c>
      <c r="B1779" s="17">
        <v>45391</v>
      </c>
      <c r="C1779" s="6" t="s">
        <v>1709</v>
      </c>
      <c r="D1779" s="6" t="s">
        <v>159</v>
      </c>
      <c r="E1779" s="6" t="s">
        <v>216</v>
      </c>
      <c r="F1779" s="6" t="s">
        <v>217</v>
      </c>
      <c r="G1779" s="6" t="s">
        <v>38</v>
      </c>
      <c r="H1779" s="6" t="s">
        <v>134</v>
      </c>
      <c r="I1779" s="6" t="s">
        <v>58</v>
      </c>
      <c r="J1779" s="6" t="s">
        <v>345</v>
      </c>
      <c r="K1779" s="6" t="s">
        <v>184</v>
      </c>
      <c r="L1779" s="6" t="s">
        <v>2672</v>
      </c>
      <c r="M1779" s="6" t="s">
        <v>61</v>
      </c>
      <c r="N1779" s="6" t="s">
        <v>75</v>
      </c>
      <c r="O1779" s="6">
        <v>15</v>
      </c>
      <c r="P1779" s="6">
        <v>111.05</v>
      </c>
      <c r="Q1779" s="6">
        <v>61.74</v>
      </c>
      <c r="R1779" s="6">
        <v>1665.75</v>
      </c>
      <c r="S1779" s="6">
        <v>0.02</v>
      </c>
      <c r="T1779" s="6">
        <v>33.31</v>
      </c>
      <c r="U1779" s="6">
        <v>1632.43</v>
      </c>
      <c r="V1779" s="6">
        <v>926.17</v>
      </c>
      <c r="W1779" s="6">
        <v>706.26</v>
      </c>
      <c r="X1779" s="6" t="s">
        <v>129</v>
      </c>
    </row>
    <row r="1780" spans="1:24" x14ac:dyDescent="0.25">
      <c r="A1780" s="5" t="s">
        <v>2272</v>
      </c>
      <c r="B1780" s="18">
        <v>45403</v>
      </c>
      <c r="C1780" s="7" t="s">
        <v>1075</v>
      </c>
      <c r="D1780" s="7" t="s">
        <v>65</v>
      </c>
      <c r="E1780" s="7" t="s">
        <v>114</v>
      </c>
      <c r="F1780" s="7" t="s">
        <v>115</v>
      </c>
      <c r="G1780" s="7" t="s">
        <v>95</v>
      </c>
      <c r="H1780" s="7" t="s">
        <v>116</v>
      </c>
      <c r="I1780" s="7" t="s">
        <v>27</v>
      </c>
      <c r="J1780" s="7" t="s">
        <v>189</v>
      </c>
      <c r="K1780" s="7" t="s">
        <v>170</v>
      </c>
      <c r="L1780" s="7" t="s">
        <v>2671</v>
      </c>
      <c r="M1780" s="7" t="s">
        <v>61</v>
      </c>
      <c r="N1780" s="7" t="s">
        <v>44</v>
      </c>
      <c r="O1780" s="7">
        <v>30</v>
      </c>
      <c r="P1780" s="7">
        <v>36.299999999999997</v>
      </c>
      <c r="Q1780" s="7">
        <v>21.33</v>
      </c>
      <c r="R1780" s="7">
        <v>1088.97</v>
      </c>
      <c r="S1780" s="7">
        <v>0.15</v>
      </c>
      <c r="T1780" s="7">
        <v>163.35</v>
      </c>
      <c r="U1780" s="7">
        <v>925.63</v>
      </c>
      <c r="V1780" s="7">
        <v>639.94000000000005</v>
      </c>
      <c r="W1780" s="7">
        <v>285.68</v>
      </c>
      <c r="X1780" s="7" t="s">
        <v>45</v>
      </c>
    </row>
    <row r="1781" spans="1:24" x14ac:dyDescent="0.25">
      <c r="A1781" s="16" t="s">
        <v>2273</v>
      </c>
      <c r="B1781" s="17">
        <v>45542</v>
      </c>
      <c r="C1781" s="6" t="s">
        <v>945</v>
      </c>
      <c r="D1781" s="6" t="s">
        <v>159</v>
      </c>
      <c r="E1781" s="6" t="s">
        <v>93</v>
      </c>
      <c r="F1781" s="6" t="s">
        <v>94</v>
      </c>
      <c r="G1781" s="6" t="s">
        <v>95</v>
      </c>
      <c r="H1781" s="6" t="s">
        <v>96</v>
      </c>
      <c r="I1781" s="6" t="s">
        <v>53</v>
      </c>
      <c r="J1781" s="6" t="s">
        <v>143</v>
      </c>
      <c r="K1781" s="6" t="s">
        <v>118</v>
      </c>
      <c r="L1781" s="6" t="s">
        <v>2668</v>
      </c>
      <c r="M1781" s="6" t="s">
        <v>153</v>
      </c>
      <c r="N1781" s="6" t="s">
        <v>75</v>
      </c>
      <c r="O1781" s="6">
        <v>79</v>
      </c>
      <c r="P1781" s="6">
        <v>52.93</v>
      </c>
      <c r="Q1781" s="6">
        <v>30.69</v>
      </c>
      <c r="R1781" s="6">
        <v>4181.7700000000004</v>
      </c>
      <c r="S1781" s="6">
        <v>0.1</v>
      </c>
      <c r="T1781" s="6">
        <v>418.18</v>
      </c>
      <c r="U1781" s="6">
        <v>3763.59</v>
      </c>
      <c r="V1781" s="6">
        <v>2424.4499999999998</v>
      </c>
      <c r="W1781" s="6">
        <v>1339.14</v>
      </c>
      <c r="X1781" s="6" t="s">
        <v>45</v>
      </c>
    </row>
    <row r="1782" spans="1:24" x14ac:dyDescent="0.25">
      <c r="A1782" s="5" t="s">
        <v>2274</v>
      </c>
      <c r="B1782" s="18">
        <v>45334</v>
      </c>
      <c r="C1782" s="7" t="s">
        <v>1317</v>
      </c>
      <c r="D1782" s="7" t="s">
        <v>35</v>
      </c>
      <c r="E1782" s="7" t="s">
        <v>23</v>
      </c>
      <c r="F1782" s="7" t="s">
        <v>24</v>
      </c>
      <c r="G1782" s="7" t="s">
        <v>25</v>
      </c>
      <c r="H1782" s="7" t="s">
        <v>26</v>
      </c>
      <c r="I1782" s="7" t="s">
        <v>40</v>
      </c>
      <c r="J1782" s="7" t="s">
        <v>117</v>
      </c>
      <c r="K1782" s="7" t="s">
        <v>178</v>
      </c>
      <c r="L1782" s="7" t="s">
        <v>256</v>
      </c>
      <c r="M1782" s="7" t="s">
        <v>153</v>
      </c>
      <c r="N1782" s="7" t="s">
        <v>31</v>
      </c>
      <c r="O1782" s="7">
        <v>42</v>
      </c>
      <c r="P1782" s="7">
        <v>74.17</v>
      </c>
      <c r="Q1782" s="7">
        <v>42.23</v>
      </c>
      <c r="R1782" s="7">
        <v>3115.17</v>
      </c>
      <c r="S1782" s="7">
        <v>0.1</v>
      </c>
      <c r="T1782" s="7">
        <v>311.52</v>
      </c>
      <c r="U1782" s="7">
        <v>2803.65</v>
      </c>
      <c r="V1782" s="7">
        <v>1773.7</v>
      </c>
      <c r="W1782" s="7">
        <v>1029.95</v>
      </c>
      <c r="X1782" s="7" t="s">
        <v>32</v>
      </c>
    </row>
    <row r="1783" spans="1:24" x14ac:dyDescent="0.25">
      <c r="A1783" s="16" t="s">
        <v>2275</v>
      </c>
      <c r="B1783" s="17">
        <v>45306</v>
      </c>
      <c r="C1783" s="6" t="s">
        <v>358</v>
      </c>
      <c r="D1783" s="6" t="s">
        <v>359</v>
      </c>
      <c r="E1783" s="6" t="s">
        <v>36</v>
      </c>
      <c r="F1783" s="6" t="s">
        <v>37</v>
      </c>
      <c r="G1783" s="6" t="s">
        <v>38</v>
      </c>
      <c r="H1783" s="6" t="s">
        <v>39</v>
      </c>
      <c r="I1783" s="6" t="s">
        <v>88</v>
      </c>
      <c r="J1783" s="6" t="s">
        <v>173</v>
      </c>
      <c r="K1783" s="6" t="s">
        <v>261</v>
      </c>
      <c r="L1783" s="6" t="s">
        <v>2677</v>
      </c>
      <c r="M1783" s="6" t="s">
        <v>43</v>
      </c>
      <c r="N1783" s="6" t="s">
        <v>44</v>
      </c>
      <c r="O1783" s="6">
        <v>34</v>
      </c>
      <c r="P1783" s="6">
        <v>156.31</v>
      </c>
      <c r="Q1783" s="6">
        <v>97.7</v>
      </c>
      <c r="R1783" s="6">
        <v>5314.63</v>
      </c>
      <c r="S1783" s="6">
        <v>0.02</v>
      </c>
      <c r="T1783" s="6">
        <v>106.29</v>
      </c>
      <c r="U1783" s="6">
        <v>5208.34</v>
      </c>
      <c r="V1783" s="6">
        <v>3321.92</v>
      </c>
      <c r="W1783" s="6">
        <v>1886.42</v>
      </c>
      <c r="X1783" s="6" t="s">
        <v>45</v>
      </c>
    </row>
    <row r="1784" spans="1:24" x14ac:dyDescent="0.25">
      <c r="A1784" s="5" t="s">
        <v>2276</v>
      </c>
      <c r="B1784" s="18">
        <v>45506</v>
      </c>
      <c r="C1784" s="7" t="s">
        <v>852</v>
      </c>
      <c r="D1784" s="7" t="s">
        <v>57</v>
      </c>
      <c r="E1784" s="7" t="s">
        <v>36</v>
      </c>
      <c r="F1784" s="7" t="s">
        <v>37</v>
      </c>
      <c r="G1784" s="7" t="s">
        <v>38</v>
      </c>
      <c r="H1784" s="7" t="s">
        <v>39</v>
      </c>
      <c r="I1784" s="7" t="s">
        <v>40</v>
      </c>
      <c r="J1784" s="7" t="s">
        <v>41</v>
      </c>
      <c r="K1784" s="7" t="s">
        <v>178</v>
      </c>
      <c r="L1784" s="7" t="s">
        <v>256</v>
      </c>
      <c r="M1784" s="7" t="s">
        <v>43</v>
      </c>
      <c r="N1784" s="7" t="s">
        <v>44</v>
      </c>
      <c r="O1784" s="7">
        <v>20</v>
      </c>
      <c r="P1784" s="7">
        <v>171.89</v>
      </c>
      <c r="Q1784" s="7">
        <v>91.64</v>
      </c>
      <c r="R1784" s="7">
        <v>3437.8</v>
      </c>
      <c r="S1784" s="7">
        <v>0.05</v>
      </c>
      <c r="T1784" s="7">
        <v>171.89</v>
      </c>
      <c r="U1784" s="7">
        <v>3265.91</v>
      </c>
      <c r="V1784" s="7">
        <v>1832.79</v>
      </c>
      <c r="W1784" s="7">
        <v>1433.13</v>
      </c>
      <c r="X1784" s="7" t="s">
        <v>45</v>
      </c>
    </row>
    <row r="1785" spans="1:24" x14ac:dyDescent="0.25">
      <c r="A1785" s="16" t="s">
        <v>2277</v>
      </c>
      <c r="B1785" s="17">
        <v>45410</v>
      </c>
      <c r="C1785" s="6" t="s">
        <v>361</v>
      </c>
      <c r="D1785" s="6" t="s">
        <v>35</v>
      </c>
      <c r="E1785" s="6" t="s">
        <v>222</v>
      </c>
      <c r="F1785" s="6" t="s">
        <v>223</v>
      </c>
      <c r="G1785" s="6" t="s">
        <v>101</v>
      </c>
      <c r="H1785" s="6" t="s">
        <v>68</v>
      </c>
      <c r="I1785" s="6" t="s">
        <v>27</v>
      </c>
      <c r="J1785" s="6" t="s">
        <v>28</v>
      </c>
      <c r="K1785" s="6" t="s">
        <v>248</v>
      </c>
      <c r="L1785" s="6" t="s">
        <v>2675</v>
      </c>
      <c r="M1785" s="6" t="s">
        <v>30</v>
      </c>
      <c r="N1785" s="6" t="s">
        <v>44</v>
      </c>
      <c r="O1785" s="6">
        <v>53</v>
      </c>
      <c r="P1785" s="6"/>
      <c r="Q1785" s="6">
        <v>72.680000000000007</v>
      </c>
      <c r="R1785" s="6">
        <v>6510.93</v>
      </c>
      <c r="S1785" s="6">
        <v>0</v>
      </c>
      <c r="T1785" s="6">
        <v>0</v>
      </c>
      <c r="U1785" s="6">
        <v>6510.93</v>
      </c>
      <c r="V1785" s="6">
        <v>3852.3</v>
      </c>
      <c r="W1785" s="6">
        <v>2658.63</v>
      </c>
      <c r="X1785" s="6" t="s">
        <v>129</v>
      </c>
    </row>
    <row r="1786" spans="1:24" x14ac:dyDescent="0.25">
      <c r="A1786" s="5" t="s">
        <v>2278</v>
      </c>
      <c r="B1786" s="18">
        <v>45519</v>
      </c>
      <c r="C1786" s="7" t="s">
        <v>267</v>
      </c>
      <c r="D1786" s="7" t="s">
        <v>65</v>
      </c>
      <c r="E1786" s="7" t="s">
        <v>49</v>
      </c>
      <c r="F1786" s="7" t="s">
        <v>50</v>
      </c>
      <c r="G1786" s="7" t="s">
        <v>51</v>
      </c>
      <c r="H1786" s="7" t="s">
        <v>52</v>
      </c>
      <c r="I1786" s="7" t="s">
        <v>53</v>
      </c>
      <c r="J1786" s="7" t="s">
        <v>54</v>
      </c>
      <c r="K1786" s="7" t="s">
        <v>69</v>
      </c>
      <c r="L1786" s="7" t="s">
        <v>2663</v>
      </c>
      <c r="M1786" s="7" t="s">
        <v>30</v>
      </c>
      <c r="N1786" s="7" t="s">
        <v>84</v>
      </c>
      <c r="O1786" s="7">
        <v>26</v>
      </c>
      <c r="P1786" s="7">
        <v>25.89</v>
      </c>
      <c r="Q1786" s="7">
        <v>13.07</v>
      </c>
      <c r="R1786" s="7">
        <v>673.24</v>
      </c>
      <c r="S1786" s="7">
        <v>0.2</v>
      </c>
      <c r="T1786" s="7">
        <v>134.65</v>
      </c>
      <c r="U1786" s="7">
        <v>538.59</v>
      </c>
      <c r="V1786" s="7">
        <v>339.93</v>
      </c>
      <c r="W1786" s="7">
        <v>198.66</v>
      </c>
      <c r="X1786" s="7" t="s">
        <v>45</v>
      </c>
    </row>
    <row r="1787" spans="1:24" x14ac:dyDescent="0.25">
      <c r="A1787" s="16" t="s">
        <v>2279</v>
      </c>
      <c r="B1787" s="17">
        <v>45321</v>
      </c>
      <c r="C1787" s="6" t="s">
        <v>1267</v>
      </c>
      <c r="D1787" s="6" t="s">
        <v>149</v>
      </c>
      <c r="E1787" s="6" t="s">
        <v>187</v>
      </c>
      <c r="F1787" s="6" t="s">
        <v>188</v>
      </c>
      <c r="G1787" s="6" t="s">
        <v>25</v>
      </c>
      <c r="H1787" s="6" t="s">
        <v>26</v>
      </c>
      <c r="I1787" s="6" t="s">
        <v>40</v>
      </c>
      <c r="J1787" s="6" t="s">
        <v>41</v>
      </c>
      <c r="K1787" s="6" t="s">
        <v>42</v>
      </c>
      <c r="L1787" s="6" t="s">
        <v>2661</v>
      </c>
      <c r="M1787" s="6" t="s">
        <v>30</v>
      </c>
      <c r="N1787" s="6" t="s">
        <v>31</v>
      </c>
      <c r="O1787" s="6">
        <v>79</v>
      </c>
      <c r="P1787" s="6">
        <v>47.65</v>
      </c>
      <c r="Q1787" s="6">
        <v>30.22</v>
      </c>
      <c r="R1787" s="6">
        <v>3764.08</v>
      </c>
      <c r="S1787" s="6">
        <v>0.02</v>
      </c>
      <c r="T1787" s="6">
        <v>75.28</v>
      </c>
      <c r="U1787" s="6">
        <v>3688.8</v>
      </c>
      <c r="V1787" s="6">
        <v>2387.1999999999998</v>
      </c>
      <c r="W1787" s="6">
        <v>1301.5999999999999</v>
      </c>
      <c r="X1787" s="6" t="s">
        <v>45</v>
      </c>
    </row>
    <row r="1788" spans="1:24" x14ac:dyDescent="0.25">
      <c r="A1788" s="5" t="s">
        <v>2280</v>
      </c>
      <c r="B1788" s="18">
        <v>45640</v>
      </c>
      <c r="C1788" s="7" t="s">
        <v>717</v>
      </c>
      <c r="D1788" s="7" t="s">
        <v>35</v>
      </c>
      <c r="E1788" s="7" t="s">
        <v>132</v>
      </c>
      <c r="F1788" s="7" t="s">
        <v>133</v>
      </c>
      <c r="G1788" s="7" t="s">
        <v>51</v>
      </c>
      <c r="H1788" s="7" t="s">
        <v>134</v>
      </c>
      <c r="I1788" s="7" t="s">
        <v>58</v>
      </c>
      <c r="J1788" s="7" t="s">
        <v>73</v>
      </c>
      <c r="K1788" s="7" t="s">
        <v>218</v>
      </c>
      <c r="L1788" s="7" t="s">
        <v>2674</v>
      </c>
      <c r="M1788" s="7" t="s">
        <v>61</v>
      </c>
      <c r="N1788" s="7" t="s">
        <v>84</v>
      </c>
      <c r="O1788" s="7">
        <v>74</v>
      </c>
      <c r="P1788" s="7">
        <v>64.09</v>
      </c>
      <c r="Q1788" s="7">
        <v>32.520000000000003</v>
      </c>
      <c r="R1788" s="7">
        <v>4742.7700000000004</v>
      </c>
      <c r="S1788" s="7">
        <v>0.2</v>
      </c>
      <c r="T1788" s="7">
        <v>948.55</v>
      </c>
      <c r="U1788" s="7">
        <v>3794.21</v>
      </c>
      <c r="V1788" s="7">
        <v>2406.7800000000002</v>
      </c>
      <c r="W1788" s="7">
        <v>1387.44</v>
      </c>
      <c r="X1788" s="7" t="s">
        <v>45</v>
      </c>
    </row>
    <row r="1789" spans="1:24" x14ac:dyDescent="0.25">
      <c r="A1789" s="16" t="s">
        <v>2281</v>
      </c>
      <c r="B1789" s="17">
        <v>45408</v>
      </c>
      <c r="C1789" s="6" t="s">
        <v>800</v>
      </c>
      <c r="D1789" s="6" t="s">
        <v>264</v>
      </c>
      <c r="E1789" s="6" t="s">
        <v>141</v>
      </c>
      <c r="F1789" s="6" t="s">
        <v>142</v>
      </c>
      <c r="G1789" s="6" t="s">
        <v>25</v>
      </c>
      <c r="H1789" s="6" t="s">
        <v>26</v>
      </c>
      <c r="I1789" s="6" t="s">
        <v>88</v>
      </c>
      <c r="J1789" s="6" t="s">
        <v>135</v>
      </c>
      <c r="K1789" s="6"/>
      <c r="L1789" s="6"/>
      <c r="M1789" s="6" t="s">
        <v>61</v>
      </c>
      <c r="N1789" s="6" t="s">
        <v>44</v>
      </c>
      <c r="O1789" s="6">
        <v>48</v>
      </c>
      <c r="P1789" s="6">
        <v>87.54</v>
      </c>
      <c r="Q1789" s="6">
        <v>56.67</v>
      </c>
      <c r="R1789" s="6">
        <v>4201.79</v>
      </c>
      <c r="S1789" s="6">
        <v>0.1</v>
      </c>
      <c r="T1789" s="6">
        <v>420.18</v>
      </c>
      <c r="U1789" s="6">
        <v>3781.62</v>
      </c>
      <c r="V1789" s="6">
        <v>2720.32</v>
      </c>
      <c r="W1789" s="6">
        <v>1061.3</v>
      </c>
      <c r="X1789" s="6" t="s">
        <v>45</v>
      </c>
    </row>
    <row r="1790" spans="1:24" x14ac:dyDescent="0.25">
      <c r="A1790" s="5" t="s">
        <v>2282</v>
      </c>
      <c r="B1790" s="18">
        <v>45493</v>
      </c>
      <c r="C1790" s="7" t="s">
        <v>557</v>
      </c>
      <c r="D1790" s="7" t="s">
        <v>159</v>
      </c>
      <c r="E1790" s="7" t="s">
        <v>114</v>
      </c>
      <c r="F1790" s="7" t="s">
        <v>115</v>
      </c>
      <c r="G1790" s="7" t="s">
        <v>95</v>
      </c>
      <c r="H1790" s="7" t="s">
        <v>116</v>
      </c>
      <c r="I1790" s="7" t="s">
        <v>58</v>
      </c>
      <c r="J1790" s="7" t="s">
        <v>59</v>
      </c>
      <c r="K1790" s="7" t="s">
        <v>83</v>
      </c>
      <c r="L1790" s="7" t="s">
        <v>2665</v>
      </c>
      <c r="M1790" s="7" t="s">
        <v>153</v>
      </c>
      <c r="N1790" s="7" t="s">
        <v>44</v>
      </c>
      <c r="O1790" s="7">
        <v>36</v>
      </c>
      <c r="P1790" s="7">
        <v>32.28</v>
      </c>
      <c r="Q1790" s="7">
        <v>22.56</v>
      </c>
      <c r="R1790" s="7">
        <v>1162.25</v>
      </c>
      <c r="S1790" s="7">
        <v>0.1</v>
      </c>
      <c r="T1790" s="7">
        <v>116.22</v>
      </c>
      <c r="U1790" s="7">
        <v>1046.02</v>
      </c>
      <c r="V1790" s="7">
        <v>812.25</v>
      </c>
      <c r="W1790" s="7">
        <v>233.77</v>
      </c>
      <c r="X1790" s="7" t="s">
        <v>32</v>
      </c>
    </row>
    <row r="1791" spans="1:24" x14ac:dyDescent="0.25">
      <c r="A1791" s="16" t="s">
        <v>2283</v>
      </c>
      <c r="B1791" s="17">
        <v>45516</v>
      </c>
      <c r="C1791" s="6" t="s">
        <v>220</v>
      </c>
      <c r="D1791" s="6" t="s">
        <v>221</v>
      </c>
      <c r="E1791" s="6" t="s">
        <v>165</v>
      </c>
      <c r="F1791" s="6" t="s">
        <v>166</v>
      </c>
      <c r="G1791" s="6" t="s">
        <v>95</v>
      </c>
      <c r="H1791" s="6" t="s">
        <v>167</v>
      </c>
      <c r="I1791" s="6" t="s">
        <v>27</v>
      </c>
      <c r="J1791" s="6" t="s">
        <v>189</v>
      </c>
      <c r="K1791" s="6" t="s">
        <v>218</v>
      </c>
      <c r="L1791" s="6" t="s">
        <v>2674</v>
      </c>
      <c r="M1791" s="6" t="s">
        <v>30</v>
      </c>
      <c r="N1791" s="6" t="s">
        <v>70</v>
      </c>
      <c r="O1791" s="6">
        <v>62</v>
      </c>
      <c r="P1791" s="6">
        <v>42.02</v>
      </c>
      <c r="Q1791" s="6">
        <v>24.8</v>
      </c>
      <c r="R1791" s="6">
        <v>2605.2800000000002</v>
      </c>
      <c r="S1791" s="6">
        <v>0.2</v>
      </c>
      <c r="T1791" s="6">
        <v>521.05999999999995</v>
      </c>
      <c r="U1791" s="6">
        <v>2084.23</v>
      </c>
      <c r="V1791" s="6">
        <v>1537.44</v>
      </c>
      <c r="W1791" s="6">
        <v>546.79</v>
      </c>
      <c r="X1791" s="6" t="s">
        <v>45</v>
      </c>
    </row>
    <row r="1792" spans="1:24" x14ac:dyDescent="0.25">
      <c r="A1792" s="5" t="s">
        <v>2284</v>
      </c>
      <c r="B1792" s="18">
        <v>45629</v>
      </c>
      <c r="C1792" s="7" t="s">
        <v>205</v>
      </c>
      <c r="D1792" s="7" t="s">
        <v>22</v>
      </c>
      <c r="E1792" s="7" t="s">
        <v>99</v>
      </c>
      <c r="F1792" s="7" t="s">
        <v>100</v>
      </c>
      <c r="G1792" s="7" t="s">
        <v>101</v>
      </c>
      <c r="H1792" s="7" t="s">
        <v>102</v>
      </c>
      <c r="I1792" s="7" t="s">
        <v>58</v>
      </c>
      <c r="J1792" s="7" t="s">
        <v>59</v>
      </c>
      <c r="K1792" s="7" t="s">
        <v>152</v>
      </c>
      <c r="L1792" s="7" t="s">
        <v>2670</v>
      </c>
      <c r="M1792" s="7" t="s">
        <v>61</v>
      </c>
      <c r="N1792" s="7" t="s">
        <v>44</v>
      </c>
      <c r="O1792" s="7">
        <v>7</v>
      </c>
      <c r="P1792" s="7">
        <v>72.31</v>
      </c>
      <c r="Q1792" s="7">
        <v>41.8</v>
      </c>
      <c r="R1792" s="7">
        <v>506.17</v>
      </c>
      <c r="S1792" s="7">
        <v>0</v>
      </c>
      <c r="T1792" s="7">
        <v>0</v>
      </c>
      <c r="U1792" s="7">
        <v>506.17</v>
      </c>
      <c r="V1792" s="7">
        <v>292.63</v>
      </c>
      <c r="W1792" s="7">
        <v>213.54</v>
      </c>
      <c r="X1792" s="7" t="s">
        <v>129</v>
      </c>
    </row>
    <row r="1793" spans="1:24" x14ac:dyDescent="0.25">
      <c r="A1793" s="16" t="s">
        <v>2285</v>
      </c>
      <c r="B1793" s="17">
        <v>45581</v>
      </c>
      <c r="C1793" s="6" t="s">
        <v>267</v>
      </c>
      <c r="D1793" s="6" t="s">
        <v>65</v>
      </c>
      <c r="E1793" s="6" t="s">
        <v>126</v>
      </c>
      <c r="F1793" s="6" t="s">
        <v>127</v>
      </c>
      <c r="G1793" s="6" t="s">
        <v>95</v>
      </c>
      <c r="H1793" s="6" t="s">
        <v>128</v>
      </c>
      <c r="I1793" s="6" t="s">
        <v>88</v>
      </c>
      <c r="J1793" s="6" t="s">
        <v>89</v>
      </c>
      <c r="K1793" s="6" t="s">
        <v>184</v>
      </c>
      <c r="L1793" s="6" t="s">
        <v>2672</v>
      </c>
      <c r="M1793" s="6" t="s">
        <v>153</v>
      </c>
      <c r="N1793" s="6" t="s">
        <v>70</v>
      </c>
      <c r="O1793" s="6">
        <v>73</v>
      </c>
      <c r="P1793" s="6">
        <v>83.08</v>
      </c>
      <c r="Q1793" s="6">
        <v>49.64</v>
      </c>
      <c r="R1793" s="6">
        <v>6065.12</v>
      </c>
      <c r="S1793" s="6">
        <v>0.2</v>
      </c>
      <c r="T1793" s="6">
        <v>1213.02</v>
      </c>
      <c r="U1793" s="6">
        <v>4852.1000000000004</v>
      </c>
      <c r="V1793" s="6">
        <v>3623.93</v>
      </c>
      <c r="W1793" s="6">
        <v>1228.17</v>
      </c>
      <c r="X1793" s="6" t="s">
        <v>45</v>
      </c>
    </row>
    <row r="1794" spans="1:24" x14ac:dyDescent="0.25">
      <c r="A1794" s="5" t="s">
        <v>2286</v>
      </c>
      <c r="B1794" s="18">
        <v>45519</v>
      </c>
      <c r="C1794" s="7" t="s">
        <v>1236</v>
      </c>
      <c r="D1794" s="7" t="s">
        <v>156</v>
      </c>
      <c r="E1794" s="7" t="s">
        <v>99</v>
      </c>
      <c r="F1794" s="7" t="s">
        <v>100</v>
      </c>
      <c r="G1794" s="7" t="s">
        <v>101</v>
      </c>
      <c r="H1794" s="7" t="s">
        <v>102</v>
      </c>
      <c r="I1794" s="7" t="s">
        <v>53</v>
      </c>
      <c r="J1794" s="7" t="s">
        <v>232</v>
      </c>
      <c r="K1794" s="7" t="s">
        <v>60</v>
      </c>
      <c r="L1794" s="7" t="s">
        <v>2662</v>
      </c>
      <c r="M1794" s="7" t="s">
        <v>61</v>
      </c>
      <c r="N1794" s="7" t="s">
        <v>44</v>
      </c>
      <c r="O1794" s="7">
        <v>15</v>
      </c>
      <c r="P1794" s="7">
        <v>66.41</v>
      </c>
      <c r="Q1794" s="7">
        <v>44.09</v>
      </c>
      <c r="R1794" s="7">
        <v>996.13</v>
      </c>
      <c r="S1794" s="7">
        <v>0</v>
      </c>
      <c r="T1794" s="7">
        <v>0</v>
      </c>
      <c r="U1794" s="7">
        <v>996.13</v>
      </c>
      <c r="V1794" s="7">
        <v>661.31</v>
      </c>
      <c r="W1794" s="7">
        <v>334.82</v>
      </c>
      <c r="X1794" s="7" t="s">
        <v>32</v>
      </c>
    </row>
    <row r="1795" spans="1:24" x14ac:dyDescent="0.25">
      <c r="A1795" s="16" t="s">
        <v>2287</v>
      </c>
      <c r="B1795" s="17">
        <v>45474</v>
      </c>
      <c r="C1795" s="6" t="s">
        <v>404</v>
      </c>
      <c r="D1795" s="6" t="s">
        <v>87</v>
      </c>
      <c r="E1795" s="6" t="s">
        <v>99</v>
      </c>
      <c r="F1795" s="6" t="s">
        <v>100</v>
      </c>
      <c r="G1795" s="6" t="s">
        <v>101</v>
      </c>
      <c r="H1795" s="6" t="s">
        <v>102</v>
      </c>
      <c r="I1795" s="6" t="s">
        <v>53</v>
      </c>
      <c r="J1795" s="6" t="s">
        <v>54</v>
      </c>
      <c r="K1795" s="6" t="s">
        <v>265</v>
      </c>
      <c r="L1795" s="6" t="s">
        <v>2678</v>
      </c>
      <c r="M1795" s="6" t="s">
        <v>30</v>
      </c>
      <c r="N1795" s="6" t="s">
        <v>31</v>
      </c>
      <c r="O1795" s="6">
        <v>80</v>
      </c>
      <c r="P1795" s="6">
        <v>69.86</v>
      </c>
      <c r="Q1795" s="6">
        <v>42</v>
      </c>
      <c r="R1795" s="6">
        <v>5588.95</v>
      </c>
      <c r="S1795" s="6">
        <v>0.15</v>
      </c>
      <c r="T1795" s="6">
        <v>838.34</v>
      </c>
      <c r="U1795" s="6">
        <v>4750.6099999999997</v>
      </c>
      <c r="V1795" s="6">
        <v>3359.89</v>
      </c>
      <c r="W1795" s="6">
        <v>1390.72</v>
      </c>
      <c r="X1795" s="6" t="s">
        <v>129</v>
      </c>
    </row>
    <row r="1796" spans="1:24" x14ac:dyDescent="0.25">
      <c r="A1796" s="5" t="s">
        <v>2288</v>
      </c>
      <c r="B1796" s="18">
        <v>45500</v>
      </c>
      <c r="C1796" s="7" t="s">
        <v>451</v>
      </c>
      <c r="D1796" s="7" t="s">
        <v>87</v>
      </c>
      <c r="E1796" s="7" t="s">
        <v>99</v>
      </c>
      <c r="F1796" s="7" t="s">
        <v>100</v>
      </c>
      <c r="G1796" s="7" t="s">
        <v>101</v>
      </c>
      <c r="H1796" s="7" t="s">
        <v>102</v>
      </c>
      <c r="I1796" s="7" t="s">
        <v>53</v>
      </c>
      <c r="J1796" s="7" t="s">
        <v>54</v>
      </c>
      <c r="K1796" s="7" t="s">
        <v>253</v>
      </c>
      <c r="L1796" s="7" t="s">
        <v>2676</v>
      </c>
      <c r="M1796" s="7" t="s">
        <v>30</v>
      </c>
      <c r="N1796" s="7" t="s">
        <v>31</v>
      </c>
      <c r="O1796" s="7">
        <v>10</v>
      </c>
      <c r="P1796" s="7">
        <v>70.91</v>
      </c>
      <c r="Q1796" s="7">
        <v>44.22</v>
      </c>
      <c r="R1796" s="7">
        <v>709.07</v>
      </c>
      <c r="S1796" s="7">
        <v>0.02</v>
      </c>
      <c r="T1796" s="7">
        <v>14.18</v>
      </c>
      <c r="U1796" s="7">
        <v>694.89</v>
      </c>
      <c r="V1796" s="7">
        <v>442.19</v>
      </c>
      <c r="W1796" s="7">
        <v>252.7</v>
      </c>
      <c r="X1796" s="7" t="s">
        <v>45</v>
      </c>
    </row>
    <row r="1797" spans="1:24" x14ac:dyDescent="0.25">
      <c r="A1797" s="16" t="s">
        <v>2289</v>
      </c>
      <c r="B1797" s="17">
        <v>45360</v>
      </c>
      <c r="C1797" s="6" t="s">
        <v>1426</v>
      </c>
      <c r="D1797" s="6" t="s">
        <v>22</v>
      </c>
      <c r="E1797" s="6" t="s">
        <v>109</v>
      </c>
      <c r="F1797" s="6" t="s">
        <v>110</v>
      </c>
      <c r="G1797" s="6" t="s">
        <v>80</v>
      </c>
      <c r="H1797" s="6" t="s">
        <v>81</v>
      </c>
      <c r="I1797" s="6" t="s">
        <v>88</v>
      </c>
      <c r="J1797" s="6" t="s">
        <v>183</v>
      </c>
      <c r="K1797" s="6" t="s">
        <v>111</v>
      </c>
      <c r="L1797" s="6" t="s">
        <v>2667</v>
      </c>
      <c r="M1797" s="6" t="s">
        <v>30</v>
      </c>
      <c r="N1797" s="6" t="s">
        <v>44</v>
      </c>
      <c r="O1797" s="6">
        <v>52</v>
      </c>
      <c r="P1797" s="6">
        <v>123.97</v>
      </c>
      <c r="Q1797" s="6">
        <v>74.12</v>
      </c>
      <c r="R1797" s="6">
        <v>6446.25</v>
      </c>
      <c r="S1797" s="6">
        <v>0.05</v>
      </c>
      <c r="T1797" s="6">
        <v>322.31</v>
      </c>
      <c r="U1797" s="6">
        <v>6123.94</v>
      </c>
      <c r="V1797" s="6">
        <v>3854.42</v>
      </c>
      <c r="W1797" s="6">
        <v>2269.52</v>
      </c>
      <c r="X1797" s="6" t="s">
        <v>45</v>
      </c>
    </row>
    <row r="1798" spans="1:24" x14ac:dyDescent="0.25">
      <c r="A1798" s="5" t="s">
        <v>2290</v>
      </c>
      <c r="B1798" s="18">
        <v>45293</v>
      </c>
      <c r="C1798" s="7" t="s">
        <v>1071</v>
      </c>
      <c r="D1798" s="7" t="s">
        <v>105</v>
      </c>
      <c r="E1798" s="7" t="s">
        <v>141</v>
      </c>
      <c r="F1798" s="7" t="s">
        <v>142</v>
      </c>
      <c r="G1798" s="7" t="s">
        <v>25</v>
      </c>
      <c r="H1798" s="7" t="s">
        <v>26</v>
      </c>
      <c r="I1798" s="7" t="s">
        <v>53</v>
      </c>
      <c r="J1798" s="7" t="s">
        <v>232</v>
      </c>
      <c r="K1798" s="7" t="s">
        <v>29</v>
      </c>
      <c r="L1798" s="7" t="s">
        <v>2660</v>
      </c>
      <c r="M1798" s="7" t="s">
        <v>30</v>
      </c>
      <c r="N1798" s="7" t="s">
        <v>70</v>
      </c>
      <c r="O1798" s="7">
        <v>74</v>
      </c>
      <c r="P1798" s="7">
        <v>90.58</v>
      </c>
      <c r="Q1798" s="7">
        <v>54.15</v>
      </c>
      <c r="R1798" s="7">
        <v>6702.75</v>
      </c>
      <c r="S1798" s="7">
        <v>0.02</v>
      </c>
      <c r="T1798" s="7">
        <v>134.05000000000001</v>
      </c>
      <c r="U1798" s="7">
        <v>6568.69</v>
      </c>
      <c r="V1798" s="7">
        <v>4006.8</v>
      </c>
      <c r="W1798" s="7">
        <v>2561.9</v>
      </c>
      <c r="X1798" s="7" t="s">
        <v>129</v>
      </c>
    </row>
    <row r="1799" spans="1:24" x14ac:dyDescent="0.25">
      <c r="A1799" s="16" t="s">
        <v>2291</v>
      </c>
      <c r="B1799" s="17">
        <v>45594</v>
      </c>
      <c r="C1799" s="6" t="s">
        <v>866</v>
      </c>
      <c r="D1799" s="6" t="s">
        <v>156</v>
      </c>
      <c r="E1799" s="6" t="s">
        <v>78</v>
      </c>
      <c r="F1799" s="6" t="s">
        <v>79</v>
      </c>
      <c r="G1799" s="6" t="s">
        <v>80</v>
      </c>
      <c r="H1799" s="6" t="s">
        <v>81</v>
      </c>
      <c r="I1799" s="6" t="s">
        <v>88</v>
      </c>
      <c r="J1799" s="6" t="s">
        <v>135</v>
      </c>
      <c r="K1799" s="6" t="s">
        <v>261</v>
      </c>
      <c r="L1799" s="6" t="s">
        <v>2677</v>
      </c>
      <c r="M1799" s="6" t="s">
        <v>61</v>
      </c>
      <c r="N1799" s="6" t="s">
        <v>44</v>
      </c>
      <c r="O1799" s="6">
        <v>53</v>
      </c>
      <c r="P1799" s="6">
        <v>138.19</v>
      </c>
      <c r="Q1799" s="6">
        <v>75.680000000000007</v>
      </c>
      <c r="R1799" s="6">
        <v>7324.16</v>
      </c>
      <c r="S1799" s="6">
        <v>0.15</v>
      </c>
      <c r="T1799" s="6">
        <v>1098.6199999999999</v>
      </c>
      <c r="U1799" s="6">
        <v>6225.54</v>
      </c>
      <c r="V1799" s="6">
        <v>4010.92</v>
      </c>
      <c r="W1799" s="6">
        <v>2214.61</v>
      </c>
      <c r="X1799" s="6" t="s">
        <v>45</v>
      </c>
    </row>
    <row r="1800" spans="1:24" x14ac:dyDescent="0.25">
      <c r="A1800" s="5" t="s">
        <v>2292</v>
      </c>
      <c r="B1800" s="18">
        <v>45500</v>
      </c>
      <c r="C1800" s="7" t="s">
        <v>933</v>
      </c>
      <c r="D1800" s="7" t="s">
        <v>159</v>
      </c>
      <c r="E1800" s="7" t="s">
        <v>141</v>
      </c>
      <c r="F1800" s="7" t="s">
        <v>142</v>
      </c>
      <c r="G1800" s="7" t="s">
        <v>25</v>
      </c>
      <c r="H1800" s="7" t="s">
        <v>26</v>
      </c>
      <c r="I1800" s="7" t="s">
        <v>27</v>
      </c>
      <c r="J1800" s="7" t="s">
        <v>28</v>
      </c>
      <c r="K1800" s="7" t="s">
        <v>69</v>
      </c>
      <c r="L1800" s="7" t="s">
        <v>2663</v>
      </c>
      <c r="M1800" s="7" t="s">
        <v>61</v>
      </c>
      <c r="N1800" s="7" t="s">
        <v>70</v>
      </c>
      <c r="O1800" s="7">
        <v>25</v>
      </c>
      <c r="P1800" s="7">
        <v>92.31</v>
      </c>
      <c r="Q1800" s="7">
        <v>61.69</v>
      </c>
      <c r="R1800" s="7">
        <v>2307.75</v>
      </c>
      <c r="S1800" s="7">
        <v>0.02</v>
      </c>
      <c r="T1800" s="7">
        <v>46.16</v>
      </c>
      <c r="U1800" s="7">
        <v>2261.6</v>
      </c>
      <c r="V1800" s="7">
        <v>1542.32</v>
      </c>
      <c r="W1800" s="7">
        <v>719.28</v>
      </c>
      <c r="X1800" s="7" t="s">
        <v>45</v>
      </c>
    </row>
    <row r="1801" spans="1:24" x14ac:dyDescent="0.25">
      <c r="A1801" s="16" t="s">
        <v>2293</v>
      </c>
      <c r="B1801" s="17">
        <v>45653</v>
      </c>
      <c r="C1801" s="6" t="s">
        <v>924</v>
      </c>
      <c r="D1801" s="6" t="s">
        <v>48</v>
      </c>
      <c r="E1801" s="6" t="s">
        <v>99</v>
      </c>
      <c r="F1801" s="6" t="s">
        <v>100</v>
      </c>
      <c r="G1801" s="6" t="s">
        <v>101</v>
      </c>
      <c r="H1801" s="6" t="s">
        <v>102</v>
      </c>
      <c r="I1801" s="6" t="s">
        <v>88</v>
      </c>
      <c r="J1801" s="6" t="s">
        <v>135</v>
      </c>
      <c r="K1801" s="6" t="s">
        <v>248</v>
      </c>
      <c r="L1801" s="6" t="s">
        <v>2675</v>
      </c>
      <c r="M1801" s="6" t="s">
        <v>43</v>
      </c>
      <c r="N1801" s="6" t="s">
        <v>44</v>
      </c>
      <c r="O1801" s="6">
        <v>23</v>
      </c>
      <c r="P1801" s="6">
        <v>69.290000000000006</v>
      </c>
      <c r="Q1801" s="6">
        <v>41.61</v>
      </c>
      <c r="R1801" s="6">
        <v>1593.77</v>
      </c>
      <c r="S1801" s="6">
        <v>0.15</v>
      </c>
      <c r="T1801" s="6">
        <v>239.07</v>
      </c>
      <c r="U1801" s="6">
        <v>1354.7</v>
      </c>
      <c r="V1801" s="6">
        <v>957.12</v>
      </c>
      <c r="W1801" s="6">
        <v>397.59</v>
      </c>
      <c r="X1801" s="6" t="s">
        <v>45</v>
      </c>
    </row>
    <row r="1802" spans="1:24" x14ac:dyDescent="0.25">
      <c r="A1802" s="5" t="s">
        <v>2294</v>
      </c>
      <c r="B1802" s="18">
        <v>45469</v>
      </c>
      <c r="C1802" s="7" t="s">
        <v>1028</v>
      </c>
      <c r="D1802" s="7" t="s">
        <v>57</v>
      </c>
      <c r="E1802" s="7" t="s">
        <v>165</v>
      </c>
      <c r="F1802" s="7" t="s">
        <v>166</v>
      </c>
      <c r="G1802" s="7" t="s">
        <v>95</v>
      </c>
      <c r="H1802" s="7" t="s">
        <v>167</v>
      </c>
      <c r="I1802" s="7" t="s">
        <v>88</v>
      </c>
      <c r="J1802" s="7" t="s">
        <v>135</v>
      </c>
      <c r="K1802" s="7" t="s">
        <v>170</v>
      </c>
      <c r="L1802" s="7" t="s">
        <v>2671</v>
      </c>
      <c r="M1802" s="7" t="s">
        <v>153</v>
      </c>
      <c r="N1802" s="7" t="s">
        <v>75</v>
      </c>
      <c r="O1802" s="7">
        <v>54</v>
      </c>
      <c r="P1802" s="7">
        <v>39.86</v>
      </c>
      <c r="Q1802" s="7">
        <v>26.16</v>
      </c>
      <c r="R1802" s="7">
        <v>2152.65</v>
      </c>
      <c r="S1802" s="7">
        <v>0.1</v>
      </c>
      <c r="T1802" s="7">
        <v>215.26</v>
      </c>
      <c r="U1802" s="7">
        <v>1937.38</v>
      </c>
      <c r="V1802" s="7">
        <v>1412.57</v>
      </c>
      <c r="W1802" s="7">
        <v>524.80999999999995</v>
      </c>
      <c r="X1802" s="7" t="s">
        <v>45</v>
      </c>
    </row>
    <row r="1803" spans="1:24" x14ac:dyDescent="0.25">
      <c r="A1803" s="16" t="s">
        <v>2295</v>
      </c>
      <c r="B1803" s="17">
        <v>45510</v>
      </c>
      <c r="C1803" s="6" t="s">
        <v>1122</v>
      </c>
      <c r="D1803" s="6" t="s">
        <v>159</v>
      </c>
      <c r="E1803" s="6" t="s">
        <v>78</v>
      </c>
      <c r="F1803" s="6" t="s">
        <v>79</v>
      </c>
      <c r="G1803" s="6" t="s">
        <v>80</v>
      </c>
      <c r="H1803" s="6" t="s">
        <v>81</v>
      </c>
      <c r="I1803" s="6" t="s">
        <v>58</v>
      </c>
      <c r="J1803" s="6" t="s">
        <v>59</v>
      </c>
      <c r="K1803" s="6" t="s">
        <v>253</v>
      </c>
      <c r="L1803" s="6" t="s">
        <v>2676</v>
      </c>
      <c r="M1803" s="6" t="s">
        <v>153</v>
      </c>
      <c r="N1803" s="6" t="s">
        <v>70</v>
      </c>
      <c r="O1803" s="6">
        <v>7</v>
      </c>
      <c r="P1803" s="6">
        <v>142.15</v>
      </c>
      <c r="Q1803" s="6">
        <v>81.13</v>
      </c>
      <c r="R1803" s="6">
        <v>995.07</v>
      </c>
      <c r="S1803" s="6">
        <v>0.15</v>
      </c>
      <c r="T1803" s="6">
        <v>149.26</v>
      </c>
      <c r="U1803" s="6">
        <v>845.81</v>
      </c>
      <c r="V1803" s="6">
        <v>567.91999999999996</v>
      </c>
      <c r="W1803" s="6">
        <v>277.88</v>
      </c>
      <c r="X1803" s="6" t="s">
        <v>45</v>
      </c>
    </row>
    <row r="1804" spans="1:24" x14ac:dyDescent="0.25">
      <c r="A1804" s="5" t="s">
        <v>2296</v>
      </c>
      <c r="B1804" s="18">
        <v>45405</v>
      </c>
      <c r="C1804" s="7" t="s">
        <v>276</v>
      </c>
      <c r="D1804" s="7" t="s">
        <v>221</v>
      </c>
      <c r="E1804" s="7" t="s">
        <v>78</v>
      </c>
      <c r="F1804" s="7" t="s">
        <v>79</v>
      </c>
      <c r="G1804" s="7" t="s">
        <v>80</v>
      </c>
      <c r="H1804" s="7" t="s">
        <v>81</v>
      </c>
      <c r="I1804" s="7" t="s">
        <v>53</v>
      </c>
      <c r="J1804" s="7" t="s">
        <v>143</v>
      </c>
      <c r="K1804" s="7" t="s">
        <v>29</v>
      </c>
      <c r="L1804" s="7" t="s">
        <v>2660</v>
      </c>
      <c r="M1804" s="7" t="s">
        <v>153</v>
      </c>
      <c r="N1804" s="7" t="s">
        <v>84</v>
      </c>
      <c r="O1804" s="7">
        <v>78</v>
      </c>
      <c r="P1804" s="7">
        <v>142.84</v>
      </c>
      <c r="Q1804" s="7">
        <v>87.59</v>
      </c>
      <c r="R1804" s="7">
        <v>11141.18</v>
      </c>
      <c r="S1804" s="7">
        <v>0.02</v>
      </c>
      <c r="T1804" s="7">
        <v>222.82</v>
      </c>
      <c r="U1804" s="7">
        <v>10918.36</v>
      </c>
      <c r="V1804" s="7">
        <v>6832.34</v>
      </c>
      <c r="W1804" s="7">
        <v>4086.02</v>
      </c>
      <c r="X1804" s="7" t="s">
        <v>32</v>
      </c>
    </row>
    <row r="1805" spans="1:24" x14ac:dyDescent="0.25">
      <c r="A1805" s="16" t="s">
        <v>2297</v>
      </c>
      <c r="B1805" s="17">
        <v>45510</v>
      </c>
      <c r="C1805" s="6" t="s">
        <v>723</v>
      </c>
      <c r="D1805" s="6" t="s">
        <v>156</v>
      </c>
      <c r="E1805" s="6" t="s">
        <v>49</v>
      </c>
      <c r="F1805" s="6" t="s">
        <v>50</v>
      </c>
      <c r="G1805" s="6" t="s">
        <v>51</v>
      </c>
      <c r="H1805" s="6" t="s">
        <v>52</v>
      </c>
      <c r="I1805" s="6" t="s">
        <v>27</v>
      </c>
      <c r="J1805" s="6" t="s">
        <v>106</v>
      </c>
      <c r="K1805" s="6" t="s">
        <v>195</v>
      </c>
      <c r="L1805" s="6" t="s">
        <v>2673</v>
      </c>
      <c r="M1805" s="6" t="s">
        <v>61</v>
      </c>
      <c r="N1805" s="6" t="s">
        <v>31</v>
      </c>
      <c r="O1805" s="6">
        <v>6</v>
      </c>
      <c r="P1805" s="6"/>
      <c r="Q1805" s="6">
        <v>12.78</v>
      </c>
      <c r="R1805" s="6">
        <v>157.22999999999999</v>
      </c>
      <c r="S1805" s="6">
        <v>0.1</v>
      </c>
      <c r="T1805" s="6">
        <v>15.72</v>
      </c>
      <c r="U1805" s="6">
        <v>141.51</v>
      </c>
      <c r="V1805" s="6">
        <v>76.650000000000006</v>
      </c>
      <c r="W1805" s="6">
        <v>64.86</v>
      </c>
      <c r="X1805" s="6" t="s">
        <v>45</v>
      </c>
    </row>
    <row r="1806" spans="1:24" x14ac:dyDescent="0.25">
      <c r="A1806" s="5" t="s">
        <v>2298</v>
      </c>
      <c r="B1806" s="18">
        <v>45400</v>
      </c>
      <c r="C1806" s="7" t="s">
        <v>375</v>
      </c>
      <c r="D1806" s="7" t="s">
        <v>221</v>
      </c>
      <c r="E1806" s="7" t="s">
        <v>126</v>
      </c>
      <c r="F1806" s="7" t="s">
        <v>127</v>
      </c>
      <c r="G1806" s="7" t="s">
        <v>95</v>
      </c>
      <c r="H1806" s="7" t="s">
        <v>128</v>
      </c>
      <c r="I1806" s="7" t="s">
        <v>27</v>
      </c>
      <c r="J1806" s="7" t="s">
        <v>106</v>
      </c>
      <c r="K1806" s="7" t="s">
        <v>261</v>
      </c>
      <c r="L1806" s="7" t="s">
        <v>2677</v>
      </c>
      <c r="M1806" s="7" t="s">
        <v>153</v>
      </c>
      <c r="N1806" s="7" t="s">
        <v>84</v>
      </c>
      <c r="O1806" s="7">
        <v>13</v>
      </c>
      <c r="P1806" s="7">
        <v>83.77</v>
      </c>
      <c r="Q1806" s="7">
        <v>49.56</v>
      </c>
      <c r="R1806" s="7">
        <v>1088.99</v>
      </c>
      <c r="S1806" s="7">
        <v>0.02</v>
      </c>
      <c r="T1806" s="7">
        <v>21.78</v>
      </c>
      <c r="U1806" s="7">
        <v>1067.21</v>
      </c>
      <c r="V1806" s="7">
        <v>644.34</v>
      </c>
      <c r="W1806" s="7">
        <v>422.87</v>
      </c>
      <c r="X1806" s="7" t="s">
        <v>45</v>
      </c>
    </row>
    <row r="1807" spans="1:24" x14ac:dyDescent="0.25">
      <c r="A1807" s="16" t="s">
        <v>2299</v>
      </c>
      <c r="B1807" s="17">
        <v>45431</v>
      </c>
      <c r="C1807" s="6" t="s">
        <v>1293</v>
      </c>
      <c r="D1807" s="6" t="s">
        <v>264</v>
      </c>
      <c r="E1807" s="6" t="s">
        <v>141</v>
      </c>
      <c r="F1807" s="6" t="s">
        <v>142</v>
      </c>
      <c r="G1807" s="6" t="s">
        <v>25</v>
      </c>
      <c r="H1807" s="6" t="s">
        <v>26</v>
      </c>
      <c r="I1807" s="6" t="s">
        <v>58</v>
      </c>
      <c r="J1807" s="6" t="s">
        <v>73</v>
      </c>
      <c r="K1807" s="6" t="s">
        <v>60</v>
      </c>
      <c r="L1807" s="6" t="s">
        <v>2662</v>
      </c>
      <c r="M1807" s="6" t="s">
        <v>43</v>
      </c>
      <c r="N1807" s="6" t="s">
        <v>75</v>
      </c>
      <c r="O1807" s="6">
        <v>30</v>
      </c>
      <c r="P1807" s="6">
        <v>89.03</v>
      </c>
      <c r="Q1807" s="6">
        <v>57.51</v>
      </c>
      <c r="R1807" s="6">
        <v>2670.87</v>
      </c>
      <c r="S1807" s="6">
        <v>0</v>
      </c>
      <c r="T1807" s="6">
        <v>0</v>
      </c>
      <c r="U1807" s="6">
        <v>2670.87</v>
      </c>
      <c r="V1807" s="6">
        <v>1725.36</v>
      </c>
      <c r="W1807" s="6">
        <v>945.51</v>
      </c>
      <c r="X1807" s="6" t="s">
        <v>45</v>
      </c>
    </row>
    <row r="1808" spans="1:24" x14ac:dyDescent="0.25">
      <c r="A1808" s="5" t="s">
        <v>2300</v>
      </c>
      <c r="B1808" s="18">
        <v>45506</v>
      </c>
      <c r="C1808" s="7" t="s">
        <v>531</v>
      </c>
      <c r="D1808" s="7" t="s">
        <v>264</v>
      </c>
      <c r="E1808" s="7" t="s">
        <v>66</v>
      </c>
      <c r="F1808" s="7" t="s">
        <v>67</v>
      </c>
      <c r="G1808" s="7" t="s">
        <v>38</v>
      </c>
      <c r="H1808" s="7" t="s">
        <v>68</v>
      </c>
      <c r="I1808" s="7" t="s">
        <v>53</v>
      </c>
      <c r="J1808" s="7" t="s">
        <v>122</v>
      </c>
      <c r="K1808" s="7" t="s">
        <v>218</v>
      </c>
      <c r="L1808" s="7" t="s">
        <v>2674</v>
      </c>
      <c r="M1808" s="7" t="s">
        <v>61</v>
      </c>
      <c r="N1808" s="7" t="s">
        <v>44</v>
      </c>
      <c r="O1808" s="7">
        <v>22</v>
      </c>
      <c r="P1808" s="7">
        <v>151.49</v>
      </c>
      <c r="Q1808" s="7">
        <v>97.42</v>
      </c>
      <c r="R1808" s="7">
        <v>3332.73</v>
      </c>
      <c r="S1808" s="7">
        <v>0.05</v>
      </c>
      <c r="T1808" s="7">
        <v>166.64</v>
      </c>
      <c r="U1808" s="7">
        <v>3166.09</v>
      </c>
      <c r="V1808" s="7">
        <v>2143.2399999999998</v>
      </c>
      <c r="W1808" s="7">
        <v>1022.85</v>
      </c>
      <c r="X1808" s="7" t="s">
        <v>45</v>
      </c>
    </row>
    <row r="1809" spans="1:24" x14ac:dyDescent="0.25">
      <c r="A1809" s="16" t="s">
        <v>2301</v>
      </c>
      <c r="B1809" s="17">
        <v>45401</v>
      </c>
      <c r="C1809" s="6" t="s">
        <v>511</v>
      </c>
      <c r="D1809" s="6" t="s">
        <v>163</v>
      </c>
      <c r="E1809" s="6" t="s">
        <v>78</v>
      </c>
      <c r="F1809" s="6" t="s">
        <v>79</v>
      </c>
      <c r="G1809" s="6" t="s">
        <v>80</v>
      </c>
      <c r="H1809" s="6" t="s">
        <v>81</v>
      </c>
      <c r="I1809" s="6" t="s">
        <v>88</v>
      </c>
      <c r="J1809" s="6"/>
      <c r="K1809" s="6" t="s">
        <v>152</v>
      </c>
      <c r="L1809" s="6" t="s">
        <v>2670</v>
      </c>
      <c r="M1809" s="6" t="s">
        <v>153</v>
      </c>
      <c r="N1809" s="6" t="s">
        <v>368</v>
      </c>
      <c r="O1809" s="6">
        <v>40</v>
      </c>
      <c r="P1809" s="6">
        <v>135.13</v>
      </c>
      <c r="Q1809" s="6">
        <v>80.069999999999993</v>
      </c>
      <c r="R1809" s="6">
        <v>5405.12</v>
      </c>
      <c r="S1809" s="6">
        <v>0</v>
      </c>
      <c r="T1809" s="6">
        <v>0</v>
      </c>
      <c r="U1809" s="6">
        <v>5405.12</v>
      </c>
      <c r="V1809" s="6">
        <v>3202.88</v>
      </c>
      <c r="W1809" s="6">
        <v>2202.2399999999998</v>
      </c>
      <c r="X1809" s="6" t="s">
        <v>45</v>
      </c>
    </row>
    <row r="1810" spans="1:24" x14ac:dyDescent="0.25">
      <c r="A1810" s="5" t="s">
        <v>2302</v>
      </c>
      <c r="B1810" s="18">
        <v>45359</v>
      </c>
      <c r="C1810" s="7" t="s">
        <v>823</v>
      </c>
      <c r="D1810" s="7" t="s">
        <v>87</v>
      </c>
      <c r="E1810" s="7" t="s">
        <v>114</v>
      </c>
      <c r="F1810" s="7" t="s">
        <v>115</v>
      </c>
      <c r="G1810" s="7" t="s">
        <v>95</v>
      </c>
      <c r="H1810" s="7" t="s">
        <v>116</v>
      </c>
      <c r="I1810" s="7" t="s">
        <v>40</v>
      </c>
      <c r="J1810" s="7" t="s">
        <v>117</v>
      </c>
      <c r="K1810" s="7" t="s">
        <v>60</v>
      </c>
      <c r="L1810" s="7" t="s">
        <v>2662</v>
      </c>
      <c r="M1810" s="7" t="s">
        <v>61</v>
      </c>
      <c r="N1810" s="7" t="s">
        <v>70</v>
      </c>
      <c r="O1810" s="7">
        <v>64</v>
      </c>
      <c r="P1810" s="7">
        <v>33.729999999999997</v>
      </c>
      <c r="Q1810" s="7">
        <v>22.03</v>
      </c>
      <c r="R1810" s="7">
        <v>2159.0300000000002</v>
      </c>
      <c r="S1810" s="7">
        <v>0</v>
      </c>
      <c r="T1810" s="7">
        <v>0</v>
      </c>
      <c r="U1810" s="7">
        <v>2159.0300000000002</v>
      </c>
      <c r="V1810" s="7">
        <v>1410.03</v>
      </c>
      <c r="W1810" s="7">
        <v>748.99</v>
      </c>
      <c r="X1810" s="7" t="s">
        <v>550</v>
      </c>
    </row>
    <row r="1811" spans="1:24" x14ac:dyDescent="0.25">
      <c r="A1811" s="16" t="s">
        <v>2303</v>
      </c>
      <c r="B1811" s="17">
        <v>45491</v>
      </c>
      <c r="C1811" s="6" t="s">
        <v>316</v>
      </c>
      <c r="D1811" s="6" t="s">
        <v>156</v>
      </c>
      <c r="E1811" s="6" t="s">
        <v>49</v>
      </c>
      <c r="F1811" s="6" t="s">
        <v>50</v>
      </c>
      <c r="G1811" s="6" t="s">
        <v>51</v>
      </c>
      <c r="H1811" s="6" t="s">
        <v>52</v>
      </c>
      <c r="I1811" s="6" t="s">
        <v>88</v>
      </c>
      <c r="J1811" s="6" t="s">
        <v>183</v>
      </c>
      <c r="K1811" s="6" t="s">
        <v>184</v>
      </c>
      <c r="L1811" s="6" t="s">
        <v>2672</v>
      </c>
      <c r="M1811" s="6" t="s">
        <v>30</v>
      </c>
      <c r="N1811" s="6" t="s">
        <v>31</v>
      </c>
      <c r="O1811" s="6">
        <v>63</v>
      </c>
      <c r="P1811" s="6">
        <v>24.81</v>
      </c>
      <c r="Q1811" s="6">
        <v>13.9</v>
      </c>
      <c r="R1811" s="6">
        <v>1562.95</v>
      </c>
      <c r="S1811" s="6">
        <v>0</v>
      </c>
      <c r="T1811" s="6">
        <v>0</v>
      </c>
      <c r="U1811" s="6">
        <v>1562.95</v>
      </c>
      <c r="V1811" s="6">
        <v>875.85</v>
      </c>
      <c r="W1811" s="6">
        <v>687.1</v>
      </c>
      <c r="X1811" s="6" t="s">
        <v>32</v>
      </c>
    </row>
    <row r="1812" spans="1:24" x14ac:dyDescent="0.25">
      <c r="A1812" s="5" t="s">
        <v>2304</v>
      </c>
      <c r="B1812" s="18">
        <v>45503</v>
      </c>
      <c r="C1812" s="7" t="s">
        <v>985</v>
      </c>
      <c r="D1812" s="7" t="s">
        <v>393</v>
      </c>
      <c r="E1812" s="7" t="s">
        <v>165</v>
      </c>
      <c r="F1812" s="7" t="s">
        <v>166</v>
      </c>
      <c r="G1812" s="7" t="s">
        <v>95</v>
      </c>
      <c r="H1812" s="7" t="s">
        <v>167</v>
      </c>
      <c r="I1812" s="7" t="s">
        <v>40</v>
      </c>
      <c r="J1812" s="7" t="s">
        <v>41</v>
      </c>
      <c r="K1812" s="7" t="s">
        <v>178</v>
      </c>
      <c r="L1812" s="7" t="s">
        <v>256</v>
      </c>
      <c r="M1812" s="7" t="s">
        <v>30</v>
      </c>
      <c r="N1812" s="7" t="s">
        <v>84</v>
      </c>
      <c r="O1812" s="7">
        <v>24</v>
      </c>
      <c r="P1812" s="7">
        <v>39.54</v>
      </c>
      <c r="Q1812" s="7">
        <v>26.83</v>
      </c>
      <c r="R1812" s="7">
        <v>949.02</v>
      </c>
      <c r="S1812" s="7">
        <v>0.15</v>
      </c>
      <c r="T1812" s="7">
        <v>142.35</v>
      </c>
      <c r="U1812" s="7">
        <v>806.66</v>
      </c>
      <c r="V1812" s="7">
        <v>643.96</v>
      </c>
      <c r="W1812" s="7">
        <v>162.69999999999999</v>
      </c>
      <c r="X1812" s="7" t="s">
        <v>129</v>
      </c>
    </row>
    <row r="1813" spans="1:24" x14ac:dyDescent="0.25">
      <c r="A1813" s="16" t="s">
        <v>2305</v>
      </c>
      <c r="B1813" s="17">
        <v>45632</v>
      </c>
      <c r="C1813" s="6" t="s">
        <v>331</v>
      </c>
      <c r="D1813" s="6" t="s">
        <v>48</v>
      </c>
      <c r="E1813" s="6" t="s">
        <v>141</v>
      </c>
      <c r="F1813" s="6" t="s">
        <v>142</v>
      </c>
      <c r="G1813" s="6" t="s">
        <v>25</v>
      </c>
      <c r="H1813" s="6" t="s">
        <v>26</v>
      </c>
      <c r="I1813" s="6" t="s">
        <v>58</v>
      </c>
      <c r="J1813" s="6" t="s">
        <v>345</v>
      </c>
      <c r="K1813" s="6" t="s">
        <v>253</v>
      </c>
      <c r="L1813" s="6" t="s">
        <v>2676</v>
      </c>
      <c r="M1813" s="6" t="s">
        <v>30</v>
      </c>
      <c r="N1813" s="6" t="s">
        <v>75</v>
      </c>
      <c r="O1813" s="6">
        <v>41</v>
      </c>
      <c r="P1813" s="6">
        <v>93.52</v>
      </c>
      <c r="Q1813" s="6">
        <v>56.1</v>
      </c>
      <c r="R1813" s="6">
        <v>3834.47</v>
      </c>
      <c r="S1813" s="6">
        <v>0.15</v>
      </c>
      <c r="T1813" s="6">
        <v>575.16999999999996</v>
      </c>
      <c r="U1813" s="6">
        <v>3259.3</v>
      </c>
      <c r="V1813" s="6">
        <v>2300.11</v>
      </c>
      <c r="W1813" s="6">
        <v>959.19</v>
      </c>
      <c r="X1813" s="6" t="s">
        <v>45</v>
      </c>
    </row>
    <row r="1814" spans="1:24" x14ac:dyDescent="0.25">
      <c r="A1814" s="5" t="s">
        <v>2306</v>
      </c>
      <c r="B1814" s="18">
        <v>45619</v>
      </c>
      <c r="C1814" s="7" t="s">
        <v>600</v>
      </c>
      <c r="D1814" s="7" t="s">
        <v>87</v>
      </c>
      <c r="E1814" s="7" t="s">
        <v>93</v>
      </c>
      <c r="F1814" s="7" t="s">
        <v>94</v>
      </c>
      <c r="G1814" s="7" t="s">
        <v>95</v>
      </c>
      <c r="H1814" s="7" t="s">
        <v>96</v>
      </c>
      <c r="I1814" s="7" t="s">
        <v>58</v>
      </c>
      <c r="J1814" s="7" t="s">
        <v>59</v>
      </c>
      <c r="K1814" s="7" t="s">
        <v>195</v>
      </c>
      <c r="L1814" s="7" t="s">
        <v>2673</v>
      </c>
      <c r="M1814" s="7" t="s">
        <v>43</v>
      </c>
      <c r="N1814" s="7" t="s">
        <v>75</v>
      </c>
      <c r="O1814" s="7">
        <v>30</v>
      </c>
      <c r="P1814" s="7">
        <v>52.86</v>
      </c>
      <c r="Q1814" s="7">
        <v>31.26</v>
      </c>
      <c r="R1814" s="7">
        <v>1585.71</v>
      </c>
      <c r="S1814" s="7">
        <v>0.15</v>
      </c>
      <c r="T1814" s="7">
        <v>237.86</v>
      </c>
      <c r="U1814" s="7">
        <v>1347.85</v>
      </c>
      <c r="V1814" s="7">
        <v>937.78</v>
      </c>
      <c r="W1814" s="7">
        <v>410.07</v>
      </c>
      <c r="X1814" s="7" t="s">
        <v>45</v>
      </c>
    </row>
    <row r="1815" spans="1:24" x14ac:dyDescent="0.25">
      <c r="A1815" s="16" t="s">
        <v>2307</v>
      </c>
      <c r="B1815" s="17">
        <v>45458</v>
      </c>
      <c r="C1815" s="6" t="s">
        <v>258</v>
      </c>
      <c r="D1815" s="6" t="s">
        <v>259</v>
      </c>
      <c r="E1815" s="6" t="s">
        <v>165</v>
      </c>
      <c r="F1815" s="6" t="s">
        <v>166</v>
      </c>
      <c r="G1815" s="6" t="s">
        <v>95</v>
      </c>
      <c r="H1815" s="6" t="s">
        <v>167</v>
      </c>
      <c r="I1815" s="6" t="s">
        <v>53</v>
      </c>
      <c r="J1815" s="6" t="s">
        <v>232</v>
      </c>
      <c r="K1815" s="6" t="s">
        <v>60</v>
      </c>
      <c r="L1815" s="6" t="s">
        <v>2662</v>
      </c>
      <c r="M1815" s="6" t="s">
        <v>43</v>
      </c>
      <c r="N1815" s="6" t="s">
        <v>70</v>
      </c>
      <c r="O1815" s="6">
        <v>52</v>
      </c>
      <c r="P1815" s="6">
        <v>43.94</v>
      </c>
      <c r="Q1815" s="6">
        <v>25.07</v>
      </c>
      <c r="R1815" s="6">
        <v>2284.85</v>
      </c>
      <c r="S1815" s="6">
        <v>0.15</v>
      </c>
      <c r="T1815" s="6">
        <v>342.73</v>
      </c>
      <c r="U1815" s="6">
        <v>1942.13</v>
      </c>
      <c r="V1815" s="6">
        <v>1303.5899999999999</v>
      </c>
      <c r="W1815" s="6">
        <v>638.53</v>
      </c>
      <c r="X1815" s="6" t="s">
        <v>45</v>
      </c>
    </row>
    <row r="1816" spans="1:24" x14ac:dyDescent="0.25">
      <c r="A1816" s="5" t="s">
        <v>2308</v>
      </c>
      <c r="B1816" s="18">
        <v>45623</v>
      </c>
      <c r="C1816" s="7" t="s">
        <v>447</v>
      </c>
      <c r="D1816" s="7" t="s">
        <v>48</v>
      </c>
      <c r="E1816" s="7" t="s">
        <v>222</v>
      </c>
      <c r="F1816" s="7" t="s">
        <v>223</v>
      </c>
      <c r="G1816" s="7" t="s">
        <v>101</v>
      </c>
      <c r="H1816" s="7" t="s">
        <v>68</v>
      </c>
      <c r="I1816" s="7" t="s">
        <v>53</v>
      </c>
      <c r="J1816" s="7" t="s">
        <v>54</v>
      </c>
      <c r="K1816" s="7" t="s">
        <v>118</v>
      </c>
      <c r="L1816" s="7" t="s">
        <v>2668</v>
      </c>
      <c r="M1816" s="7" t="s">
        <v>30</v>
      </c>
      <c r="N1816" s="7" t="s">
        <v>75</v>
      </c>
      <c r="O1816" s="7">
        <v>26</v>
      </c>
      <c r="P1816" s="7">
        <v>123.56</v>
      </c>
      <c r="Q1816" s="7">
        <v>77.13</v>
      </c>
      <c r="R1816" s="7">
        <v>3212.63</v>
      </c>
      <c r="S1816" s="7">
        <v>0.02</v>
      </c>
      <c r="T1816" s="7">
        <v>64.25</v>
      </c>
      <c r="U1816" s="7">
        <v>3148.38</v>
      </c>
      <c r="V1816" s="7">
        <v>2005.39</v>
      </c>
      <c r="W1816" s="7">
        <v>1143</v>
      </c>
      <c r="X1816" s="7" t="s">
        <v>45</v>
      </c>
    </row>
    <row r="1817" spans="1:24" x14ac:dyDescent="0.25">
      <c r="A1817" s="16" t="s">
        <v>918</v>
      </c>
      <c r="B1817" s="17">
        <v>45651</v>
      </c>
      <c r="C1817" s="6" t="s">
        <v>537</v>
      </c>
      <c r="D1817" s="6" t="s">
        <v>359</v>
      </c>
      <c r="E1817" s="6" t="s">
        <v>132</v>
      </c>
      <c r="F1817" s="6" t="s">
        <v>133</v>
      </c>
      <c r="G1817" s="6" t="s">
        <v>51</v>
      </c>
      <c r="H1817" s="6" t="s">
        <v>134</v>
      </c>
      <c r="I1817" s="6" t="s">
        <v>27</v>
      </c>
      <c r="J1817" s="6" t="s">
        <v>28</v>
      </c>
      <c r="K1817" s="6" t="s">
        <v>118</v>
      </c>
      <c r="L1817" s="6" t="s">
        <v>2668</v>
      </c>
      <c r="M1817" s="6" t="s">
        <v>153</v>
      </c>
      <c r="N1817" s="6" t="s">
        <v>70</v>
      </c>
      <c r="O1817" s="6">
        <v>17</v>
      </c>
      <c r="P1817" s="6">
        <v>55.31</v>
      </c>
      <c r="Q1817" s="6">
        <v>31.67</v>
      </c>
      <c r="R1817" s="6">
        <v>940.3</v>
      </c>
      <c r="S1817" s="6">
        <v>0</v>
      </c>
      <c r="T1817" s="6">
        <v>0</v>
      </c>
      <c r="U1817" s="6">
        <v>940.3</v>
      </c>
      <c r="V1817" s="6">
        <v>538.46</v>
      </c>
      <c r="W1817" s="6">
        <v>401.84</v>
      </c>
      <c r="X1817" s="6" t="s">
        <v>45</v>
      </c>
    </row>
    <row r="1818" spans="1:24" x14ac:dyDescent="0.25">
      <c r="A1818" s="5" t="s">
        <v>2309</v>
      </c>
      <c r="B1818" s="18">
        <v>45342</v>
      </c>
      <c r="C1818" s="7" t="s">
        <v>679</v>
      </c>
      <c r="D1818" s="7" t="s">
        <v>105</v>
      </c>
      <c r="E1818" s="7" t="s">
        <v>99</v>
      </c>
      <c r="F1818" s="7" t="s">
        <v>100</v>
      </c>
      <c r="G1818" s="7" t="s">
        <v>101</v>
      </c>
      <c r="H1818" s="7" t="s">
        <v>102</v>
      </c>
      <c r="I1818" s="7" t="s">
        <v>53</v>
      </c>
      <c r="J1818" s="7" t="s">
        <v>122</v>
      </c>
      <c r="K1818" s="7" t="s">
        <v>265</v>
      </c>
      <c r="L1818" s="7" t="s">
        <v>2678</v>
      </c>
      <c r="M1818" s="7" t="s">
        <v>61</v>
      </c>
      <c r="N1818" s="7" t="s">
        <v>31</v>
      </c>
      <c r="O1818" s="7">
        <v>69</v>
      </c>
      <c r="P1818" s="7">
        <v>67.16</v>
      </c>
      <c r="Q1818" s="7">
        <v>42.58</v>
      </c>
      <c r="R1818" s="7">
        <v>4634.3500000000004</v>
      </c>
      <c r="S1818" s="7">
        <v>0</v>
      </c>
      <c r="T1818" s="7">
        <v>0</v>
      </c>
      <c r="U1818" s="7">
        <v>4634.3500000000004</v>
      </c>
      <c r="V1818" s="7">
        <v>2938.04</v>
      </c>
      <c r="W1818" s="7">
        <v>1696.3</v>
      </c>
      <c r="X1818" s="7" t="s">
        <v>550</v>
      </c>
    </row>
    <row r="1819" spans="1:24" x14ac:dyDescent="0.25">
      <c r="A1819" s="16" t="s">
        <v>2310</v>
      </c>
      <c r="B1819" s="17">
        <v>45418</v>
      </c>
      <c r="C1819" s="6" t="s">
        <v>243</v>
      </c>
      <c r="D1819" s="6" t="s">
        <v>35</v>
      </c>
      <c r="E1819" s="6" t="s">
        <v>165</v>
      </c>
      <c r="F1819" s="6" t="s">
        <v>166</v>
      </c>
      <c r="G1819" s="6" t="s">
        <v>95</v>
      </c>
      <c r="H1819" s="6" t="s">
        <v>167</v>
      </c>
      <c r="I1819" s="6" t="s">
        <v>27</v>
      </c>
      <c r="J1819" s="6" t="s">
        <v>106</v>
      </c>
      <c r="K1819" s="6" t="s">
        <v>184</v>
      </c>
      <c r="L1819" s="6" t="s">
        <v>2672</v>
      </c>
      <c r="M1819" s="6" t="s">
        <v>138</v>
      </c>
      <c r="N1819" s="6" t="s">
        <v>31</v>
      </c>
      <c r="O1819" s="6">
        <v>47</v>
      </c>
      <c r="P1819" s="6">
        <v>43.97</v>
      </c>
      <c r="Q1819" s="6">
        <v>26.63</v>
      </c>
      <c r="R1819" s="6">
        <v>2066.41</v>
      </c>
      <c r="S1819" s="6">
        <v>0.02</v>
      </c>
      <c r="T1819" s="6">
        <v>41.33</v>
      </c>
      <c r="U1819" s="6">
        <v>2025.08</v>
      </c>
      <c r="V1819" s="6">
        <v>1251.68</v>
      </c>
      <c r="W1819" s="6">
        <v>773.4</v>
      </c>
      <c r="X1819" s="6" t="s">
        <v>45</v>
      </c>
    </row>
    <row r="1820" spans="1:24" x14ac:dyDescent="0.25">
      <c r="A1820" s="5" t="s">
        <v>2311</v>
      </c>
      <c r="B1820" s="18">
        <v>45315</v>
      </c>
      <c r="C1820" s="7" t="s">
        <v>1317</v>
      </c>
      <c r="D1820" s="7" t="s">
        <v>35</v>
      </c>
      <c r="E1820" s="7" t="s">
        <v>99</v>
      </c>
      <c r="F1820" s="7" t="s">
        <v>100</v>
      </c>
      <c r="G1820" s="7" t="s">
        <v>101</v>
      </c>
      <c r="H1820" s="7" t="s">
        <v>102</v>
      </c>
      <c r="I1820" s="7" t="s">
        <v>40</v>
      </c>
      <c r="J1820" s="7" t="s">
        <v>117</v>
      </c>
      <c r="K1820" s="7" t="s">
        <v>218</v>
      </c>
      <c r="L1820" s="7" t="s">
        <v>2674</v>
      </c>
      <c r="M1820" s="7" t="s">
        <v>43</v>
      </c>
      <c r="N1820" s="7" t="s">
        <v>75</v>
      </c>
      <c r="O1820" s="7">
        <v>49</v>
      </c>
      <c r="P1820" s="7">
        <v>69.989999999999995</v>
      </c>
      <c r="Q1820" s="7">
        <v>37.799999999999997</v>
      </c>
      <c r="R1820" s="7">
        <v>3429.39</v>
      </c>
      <c r="S1820" s="7">
        <v>0.02</v>
      </c>
      <c r="T1820" s="7">
        <v>68.59</v>
      </c>
      <c r="U1820" s="7">
        <v>3360.81</v>
      </c>
      <c r="V1820" s="7">
        <v>1852.17</v>
      </c>
      <c r="W1820" s="7">
        <v>1508.64</v>
      </c>
      <c r="X1820" s="7" t="s">
        <v>129</v>
      </c>
    </row>
    <row r="1821" spans="1:24" x14ac:dyDescent="0.25">
      <c r="A1821" s="16" t="s">
        <v>2312</v>
      </c>
      <c r="B1821" s="17">
        <v>45571</v>
      </c>
      <c r="C1821" s="6" t="s">
        <v>418</v>
      </c>
      <c r="D1821" s="6" t="s">
        <v>159</v>
      </c>
      <c r="E1821" s="6" t="s">
        <v>23</v>
      </c>
      <c r="F1821" s="6" t="s">
        <v>24</v>
      </c>
      <c r="G1821" s="6" t="s">
        <v>25</v>
      </c>
      <c r="H1821" s="6" t="s">
        <v>26</v>
      </c>
      <c r="I1821" s="6" t="s">
        <v>88</v>
      </c>
      <c r="J1821" s="6" t="s">
        <v>135</v>
      </c>
      <c r="K1821" s="6" t="s">
        <v>152</v>
      </c>
      <c r="L1821" s="6" t="s">
        <v>2670</v>
      </c>
      <c r="M1821" s="6" t="s">
        <v>30</v>
      </c>
      <c r="N1821" s="6" t="s">
        <v>44</v>
      </c>
      <c r="O1821" s="6">
        <v>24</v>
      </c>
      <c r="P1821" s="6">
        <v>75.930000000000007</v>
      </c>
      <c r="Q1821" s="6">
        <v>46.57</v>
      </c>
      <c r="R1821" s="6">
        <v>1822.26</v>
      </c>
      <c r="S1821" s="6">
        <v>0</v>
      </c>
      <c r="T1821" s="6">
        <v>0</v>
      </c>
      <c r="U1821" s="6">
        <v>1822.26</v>
      </c>
      <c r="V1821" s="6">
        <v>1117.77</v>
      </c>
      <c r="W1821" s="6">
        <v>704.49</v>
      </c>
      <c r="X1821" s="6" t="s">
        <v>32</v>
      </c>
    </row>
    <row r="1822" spans="1:24" x14ac:dyDescent="0.25">
      <c r="A1822" s="5" t="s">
        <v>1460</v>
      </c>
      <c r="B1822" s="18">
        <v>45520</v>
      </c>
      <c r="C1822" s="7" t="s">
        <v>617</v>
      </c>
      <c r="D1822" s="7" t="s">
        <v>22</v>
      </c>
      <c r="E1822" s="7" t="s">
        <v>109</v>
      </c>
      <c r="F1822" s="7" t="s">
        <v>110</v>
      </c>
      <c r="G1822" s="7" t="s">
        <v>80</v>
      </c>
      <c r="H1822" s="7" t="s">
        <v>81</v>
      </c>
      <c r="I1822" s="7" t="s">
        <v>58</v>
      </c>
      <c r="J1822" s="7" t="s">
        <v>323</v>
      </c>
      <c r="K1822" s="7" t="s">
        <v>248</v>
      </c>
      <c r="L1822" s="7" t="s">
        <v>2675</v>
      </c>
      <c r="M1822" s="7" t="s">
        <v>153</v>
      </c>
      <c r="N1822" s="7" t="s">
        <v>75</v>
      </c>
      <c r="O1822" s="7">
        <v>6</v>
      </c>
      <c r="P1822" s="7">
        <v>120.77</v>
      </c>
      <c r="Q1822" s="7">
        <v>74.959999999999994</v>
      </c>
      <c r="R1822" s="7">
        <v>724.64</v>
      </c>
      <c r="S1822" s="7">
        <v>0.05</v>
      </c>
      <c r="T1822" s="7">
        <v>36.229999999999997</v>
      </c>
      <c r="U1822" s="7">
        <v>688.4</v>
      </c>
      <c r="V1822" s="7">
        <v>449.77</v>
      </c>
      <c r="W1822" s="7">
        <v>238.63</v>
      </c>
      <c r="X1822" s="7" t="s">
        <v>45</v>
      </c>
    </row>
    <row r="1823" spans="1:24" x14ac:dyDescent="0.25">
      <c r="A1823" s="16" t="s">
        <v>2313</v>
      </c>
      <c r="B1823" s="17">
        <v>45642</v>
      </c>
      <c r="C1823" s="6" t="s">
        <v>1267</v>
      </c>
      <c r="D1823" s="6" t="s">
        <v>149</v>
      </c>
      <c r="E1823" s="6" t="s">
        <v>222</v>
      </c>
      <c r="F1823" s="6" t="s">
        <v>223</v>
      </c>
      <c r="G1823" s="6" t="s">
        <v>101</v>
      </c>
      <c r="H1823" s="6" t="s">
        <v>68</v>
      </c>
      <c r="I1823" s="6" t="s">
        <v>88</v>
      </c>
      <c r="J1823" s="6" t="s">
        <v>2112</v>
      </c>
      <c r="K1823" s="6" t="s">
        <v>184</v>
      </c>
      <c r="L1823" s="6" t="s">
        <v>2672</v>
      </c>
      <c r="M1823" s="6" t="s">
        <v>61</v>
      </c>
      <c r="N1823" s="6" t="s">
        <v>84</v>
      </c>
      <c r="O1823" s="6">
        <v>72</v>
      </c>
      <c r="P1823" s="6">
        <v>126.66</v>
      </c>
      <c r="Q1823" s="6">
        <v>82.91</v>
      </c>
      <c r="R1823" s="6">
        <v>9119.65</v>
      </c>
      <c r="S1823" s="6">
        <v>0.05</v>
      </c>
      <c r="T1823" s="6">
        <v>455.98</v>
      </c>
      <c r="U1823" s="6">
        <v>8663.67</v>
      </c>
      <c r="V1823" s="6">
        <v>5969.22</v>
      </c>
      <c r="W1823" s="6">
        <v>2694.45</v>
      </c>
      <c r="X1823" s="6" t="s">
        <v>45</v>
      </c>
    </row>
    <row r="1824" spans="1:24" x14ac:dyDescent="0.25">
      <c r="A1824" s="5" t="s">
        <v>2314</v>
      </c>
      <c r="B1824" s="18">
        <v>45299</v>
      </c>
      <c r="C1824" s="7" t="s">
        <v>276</v>
      </c>
      <c r="D1824" s="7" t="s">
        <v>221</v>
      </c>
      <c r="E1824" s="7" t="s">
        <v>209</v>
      </c>
      <c r="F1824" s="7" t="s">
        <v>210</v>
      </c>
      <c r="G1824" s="7" t="s">
        <v>51</v>
      </c>
      <c r="H1824" s="7" t="s">
        <v>116</v>
      </c>
      <c r="I1824" s="7" t="s">
        <v>53</v>
      </c>
      <c r="J1824" s="7"/>
      <c r="K1824" s="7" t="s">
        <v>248</v>
      </c>
      <c r="L1824" s="7" t="s">
        <v>2675</v>
      </c>
      <c r="M1824" s="7" t="s">
        <v>153</v>
      </c>
      <c r="N1824" s="7" t="s">
        <v>84</v>
      </c>
      <c r="O1824" s="7">
        <v>15</v>
      </c>
      <c r="P1824" s="7">
        <v>18.149999999999999</v>
      </c>
      <c r="Q1824" s="7">
        <v>9.83</v>
      </c>
      <c r="R1824" s="7">
        <v>272.27999999999997</v>
      </c>
      <c r="S1824" s="7">
        <v>0</v>
      </c>
      <c r="T1824" s="7">
        <v>0</v>
      </c>
      <c r="U1824" s="7">
        <v>272.27999999999997</v>
      </c>
      <c r="V1824" s="7">
        <v>147.52000000000001</v>
      </c>
      <c r="W1824" s="7">
        <v>124.76</v>
      </c>
      <c r="X1824" s="7" t="s">
        <v>45</v>
      </c>
    </row>
    <row r="1825" spans="1:24" x14ac:dyDescent="0.25">
      <c r="A1825" s="16" t="s">
        <v>2315</v>
      </c>
      <c r="B1825" s="17">
        <v>45634</v>
      </c>
      <c r="C1825" s="6" t="s">
        <v>322</v>
      </c>
      <c r="D1825" s="6" t="s">
        <v>65</v>
      </c>
      <c r="E1825" s="6" t="s">
        <v>114</v>
      </c>
      <c r="F1825" s="6" t="s">
        <v>115</v>
      </c>
      <c r="G1825" s="6" t="s">
        <v>95</v>
      </c>
      <c r="H1825" s="6" t="s">
        <v>116</v>
      </c>
      <c r="I1825" s="6" t="s">
        <v>53</v>
      </c>
      <c r="J1825" s="6" t="s">
        <v>122</v>
      </c>
      <c r="K1825" s="6" t="s">
        <v>144</v>
      </c>
      <c r="L1825" s="6" t="s">
        <v>2669</v>
      </c>
      <c r="M1825" s="6" t="s">
        <v>43</v>
      </c>
      <c r="N1825" s="6" t="s">
        <v>84</v>
      </c>
      <c r="O1825" s="6">
        <v>4</v>
      </c>
      <c r="P1825" s="6">
        <v>33.299999999999997</v>
      </c>
      <c r="Q1825" s="6">
        <v>19.79</v>
      </c>
      <c r="R1825" s="6">
        <v>133.19</v>
      </c>
      <c r="S1825" s="6">
        <v>0.02</v>
      </c>
      <c r="T1825" s="6">
        <v>2.66</v>
      </c>
      <c r="U1825" s="6">
        <v>130.52000000000001</v>
      </c>
      <c r="V1825" s="6">
        <v>79.17</v>
      </c>
      <c r="W1825" s="6">
        <v>51.35</v>
      </c>
      <c r="X1825" s="6" t="s">
        <v>45</v>
      </c>
    </row>
    <row r="1826" spans="1:24" x14ac:dyDescent="0.25">
      <c r="A1826" s="5" t="s">
        <v>2316</v>
      </c>
      <c r="B1826" s="18">
        <v>45612</v>
      </c>
      <c r="C1826" s="7" t="s">
        <v>511</v>
      </c>
      <c r="D1826" s="7" t="s">
        <v>163</v>
      </c>
      <c r="E1826" s="7" t="s">
        <v>99</v>
      </c>
      <c r="F1826" s="7" t="s">
        <v>100</v>
      </c>
      <c r="G1826" s="7" t="s">
        <v>101</v>
      </c>
      <c r="H1826" s="7" t="s">
        <v>102</v>
      </c>
      <c r="I1826" s="7" t="s">
        <v>88</v>
      </c>
      <c r="J1826" s="7" t="s">
        <v>89</v>
      </c>
      <c r="K1826" s="7" t="s">
        <v>195</v>
      </c>
      <c r="L1826" s="7" t="s">
        <v>2673</v>
      </c>
      <c r="M1826" s="7" t="s">
        <v>153</v>
      </c>
      <c r="N1826" s="7" t="s">
        <v>31</v>
      </c>
      <c r="O1826" s="7">
        <v>53</v>
      </c>
      <c r="P1826" s="7">
        <v>65.25</v>
      </c>
      <c r="Q1826" s="7">
        <v>43.96</v>
      </c>
      <c r="R1826" s="7">
        <v>3458.07</v>
      </c>
      <c r="S1826" s="7"/>
      <c r="T1826" s="7">
        <v>691.61</v>
      </c>
      <c r="U1826" s="7">
        <v>2766.45</v>
      </c>
      <c r="V1826" s="7">
        <v>2329.9499999999998</v>
      </c>
      <c r="W1826" s="7">
        <v>436.5</v>
      </c>
      <c r="X1826" s="7" t="s">
        <v>45</v>
      </c>
    </row>
    <row r="1827" spans="1:24" x14ac:dyDescent="0.25">
      <c r="A1827" s="16" t="s">
        <v>2317</v>
      </c>
      <c r="B1827" s="17">
        <v>45552</v>
      </c>
      <c r="C1827" s="6" t="s">
        <v>489</v>
      </c>
      <c r="D1827" s="6" t="s">
        <v>105</v>
      </c>
      <c r="E1827" s="6" t="s">
        <v>93</v>
      </c>
      <c r="F1827" s="6" t="s">
        <v>94</v>
      </c>
      <c r="G1827" s="6" t="s">
        <v>95</v>
      </c>
      <c r="H1827" s="6" t="s">
        <v>96</v>
      </c>
      <c r="I1827" s="6" t="s">
        <v>88</v>
      </c>
      <c r="J1827" s="6" t="s">
        <v>1213</v>
      </c>
      <c r="K1827" s="6" t="s">
        <v>195</v>
      </c>
      <c r="L1827" s="6" t="s">
        <v>2673</v>
      </c>
      <c r="M1827" s="6" t="s">
        <v>43</v>
      </c>
      <c r="N1827" s="6" t="s">
        <v>84</v>
      </c>
      <c r="O1827" s="6">
        <v>78</v>
      </c>
      <c r="P1827" s="6">
        <v>57.67</v>
      </c>
      <c r="Q1827" s="6">
        <v>32.090000000000003</v>
      </c>
      <c r="R1827" s="6">
        <v>4497.9799999999996</v>
      </c>
      <c r="S1827" s="6">
        <v>0.15</v>
      </c>
      <c r="T1827" s="6">
        <v>674.7</v>
      </c>
      <c r="U1827" s="6">
        <v>3823.28</v>
      </c>
      <c r="V1827" s="6">
        <v>2503.19</v>
      </c>
      <c r="W1827" s="6">
        <v>1320.09</v>
      </c>
      <c r="X1827" s="6" t="s">
        <v>32</v>
      </c>
    </row>
    <row r="1828" spans="1:24" x14ac:dyDescent="0.25">
      <c r="A1828" s="5" t="s">
        <v>2318</v>
      </c>
      <c r="B1828" s="18">
        <v>45340</v>
      </c>
      <c r="C1828" s="7" t="s">
        <v>878</v>
      </c>
      <c r="D1828" s="7" t="s">
        <v>65</v>
      </c>
      <c r="E1828" s="7" t="s">
        <v>49</v>
      </c>
      <c r="F1828" s="7" t="s">
        <v>50</v>
      </c>
      <c r="G1828" s="7" t="s">
        <v>51</v>
      </c>
      <c r="H1828" s="7" t="s">
        <v>52</v>
      </c>
      <c r="I1828" s="7" t="s">
        <v>27</v>
      </c>
      <c r="J1828" s="7" t="s">
        <v>28</v>
      </c>
      <c r="K1828" s="7" t="s">
        <v>90</v>
      </c>
      <c r="L1828" s="7" t="s">
        <v>2666</v>
      </c>
      <c r="M1828" s="7" t="s">
        <v>385</v>
      </c>
      <c r="N1828" s="7" t="s">
        <v>75</v>
      </c>
      <c r="O1828" s="7">
        <v>30</v>
      </c>
      <c r="P1828" s="7">
        <v>23.07</v>
      </c>
      <c r="Q1828" s="7">
        <v>12.57</v>
      </c>
      <c r="R1828" s="7">
        <v>692.11</v>
      </c>
      <c r="S1828" s="7">
        <v>0.1</v>
      </c>
      <c r="T1828" s="7">
        <v>69.209999999999994</v>
      </c>
      <c r="U1828" s="7">
        <v>622.9</v>
      </c>
      <c r="V1828" s="7">
        <v>377.1</v>
      </c>
      <c r="W1828" s="7">
        <v>245.79</v>
      </c>
      <c r="X1828" s="7" t="s">
        <v>45</v>
      </c>
    </row>
    <row r="1829" spans="1:24" x14ac:dyDescent="0.25">
      <c r="A1829" s="16" t="s">
        <v>2319</v>
      </c>
      <c r="B1829" s="17">
        <v>45326</v>
      </c>
      <c r="C1829" s="6" t="s">
        <v>420</v>
      </c>
      <c r="D1829" s="6" t="s">
        <v>156</v>
      </c>
      <c r="E1829" s="6" t="s">
        <v>141</v>
      </c>
      <c r="F1829" s="6" t="s">
        <v>142</v>
      </c>
      <c r="G1829" s="6" t="s">
        <v>25</v>
      </c>
      <c r="H1829" s="6" t="s">
        <v>26</v>
      </c>
      <c r="I1829" s="6" t="s">
        <v>40</v>
      </c>
      <c r="J1829" s="6" t="s">
        <v>117</v>
      </c>
      <c r="K1829" s="6" t="s">
        <v>42</v>
      </c>
      <c r="L1829" s="6" t="s">
        <v>2661</v>
      </c>
      <c r="M1829" s="6" t="s">
        <v>30</v>
      </c>
      <c r="N1829" s="6" t="s">
        <v>31</v>
      </c>
      <c r="O1829" s="6">
        <v>15</v>
      </c>
      <c r="P1829" s="6">
        <v>94.51</v>
      </c>
      <c r="Q1829" s="6">
        <v>57.69</v>
      </c>
      <c r="R1829" s="6">
        <v>1417.72</v>
      </c>
      <c r="S1829" s="6">
        <v>0</v>
      </c>
      <c r="T1829" s="6">
        <v>0</v>
      </c>
      <c r="U1829" s="6">
        <v>1417.72</v>
      </c>
      <c r="V1829" s="6">
        <v>865.31</v>
      </c>
      <c r="W1829" s="6">
        <v>552.41</v>
      </c>
      <c r="X1829" s="6" t="s">
        <v>45</v>
      </c>
    </row>
    <row r="1830" spans="1:24" x14ac:dyDescent="0.25">
      <c r="A1830" s="5" t="s">
        <v>2320</v>
      </c>
      <c r="B1830" s="18">
        <v>45565</v>
      </c>
      <c r="C1830" s="7" t="s">
        <v>1068</v>
      </c>
      <c r="D1830" s="7" t="s">
        <v>105</v>
      </c>
      <c r="E1830" s="7" t="s">
        <v>36</v>
      </c>
      <c r="F1830" s="7" t="s">
        <v>37</v>
      </c>
      <c r="G1830" s="7" t="s">
        <v>38</v>
      </c>
      <c r="H1830" s="7" t="s">
        <v>39</v>
      </c>
      <c r="I1830" s="7" t="s">
        <v>40</v>
      </c>
      <c r="J1830" s="7" t="s">
        <v>117</v>
      </c>
      <c r="K1830" s="7" t="s">
        <v>90</v>
      </c>
      <c r="L1830" s="7" t="s">
        <v>2666</v>
      </c>
      <c r="M1830" s="7" t="s">
        <v>30</v>
      </c>
      <c r="N1830" s="7" t="s">
        <v>75</v>
      </c>
      <c r="O1830" s="7">
        <v>64</v>
      </c>
      <c r="P1830" s="7">
        <v>157.91</v>
      </c>
      <c r="Q1830" s="7">
        <v>104.84</v>
      </c>
      <c r="R1830" s="7">
        <v>10106.299999999999</v>
      </c>
      <c r="S1830" s="7">
        <v>0.15</v>
      </c>
      <c r="T1830" s="7">
        <v>1515.95</v>
      </c>
      <c r="U1830" s="7">
        <v>8590.36</v>
      </c>
      <c r="V1830" s="7">
        <v>6709.48</v>
      </c>
      <c r="W1830" s="7">
        <v>1880.88</v>
      </c>
      <c r="X1830" s="7" t="s">
        <v>129</v>
      </c>
    </row>
    <row r="1831" spans="1:24" x14ac:dyDescent="0.25">
      <c r="A1831" s="16" t="s">
        <v>2321</v>
      </c>
      <c r="B1831" s="17">
        <v>45488</v>
      </c>
      <c r="C1831" s="6" t="s">
        <v>531</v>
      </c>
      <c r="D1831" s="6" t="s">
        <v>264</v>
      </c>
      <c r="E1831" s="6" t="s">
        <v>93</v>
      </c>
      <c r="F1831" s="6" t="s">
        <v>94</v>
      </c>
      <c r="G1831" s="6" t="s">
        <v>95</v>
      </c>
      <c r="H1831" s="6" t="s">
        <v>96</v>
      </c>
      <c r="I1831" s="6" t="s">
        <v>27</v>
      </c>
      <c r="J1831" s="6" t="s">
        <v>189</v>
      </c>
      <c r="K1831" s="6" t="s">
        <v>60</v>
      </c>
      <c r="L1831" s="6" t="s">
        <v>2662</v>
      </c>
      <c r="M1831" s="6" t="s">
        <v>43</v>
      </c>
      <c r="N1831" s="6" t="s">
        <v>84</v>
      </c>
      <c r="O1831" s="6">
        <v>51</v>
      </c>
      <c r="P1831" s="6">
        <v>54.4</v>
      </c>
      <c r="Q1831" s="6">
        <v>31.38</v>
      </c>
      <c r="R1831" s="6">
        <v>2774.17</v>
      </c>
      <c r="S1831" s="6">
        <v>0.1</v>
      </c>
      <c r="T1831" s="6">
        <v>277.42</v>
      </c>
      <c r="U1831" s="6">
        <v>2496.75</v>
      </c>
      <c r="V1831" s="6">
        <v>1600.42</v>
      </c>
      <c r="W1831" s="6">
        <v>896.34</v>
      </c>
      <c r="X1831" s="6" t="s">
        <v>129</v>
      </c>
    </row>
    <row r="1832" spans="1:24" x14ac:dyDescent="0.25">
      <c r="A1832" s="5" t="s">
        <v>2322</v>
      </c>
      <c r="B1832" s="18">
        <v>45415</v>
      </c>
      <c r="C1832" s="7" t="s">
        <v>1159</v>
      </c>
      <c r="D1832" s="7" t="s">
        <v>159</v>
      </c>
      <c r="E1832" s="7" t="s">
        <v>222</v>
      </c>
      <c r="F1832" s="7" t="s">
        <v>223</v>
      </c>
      <c r="G1832" s="7" t="s">
        <v>101</v>
      </c>
      <c r="H1832" s="7" t="s">
        <v>68</v>
      </c>
      <c r="I1832" s="7" t="s">
        <v>40</v>
      </c>
      <c r="J1832" s="7" t="s">
        <v>117</v>
      </c>
      <c r="K1832" s="7" t="s">
        <v>253</v>
      </c>
      <c r="L1832" s="7" t="s">
        <v>2676</v>
      </c>
      <c r="M1832" s="7" t="s">
        <v>61</v>
      </c>
      <c r="N1832" s="7" t="s">
        <v>31</v>
      </c>
      <c r="O1832" s="7">
        <v>37</v>
      </c>
      <c r="P1832" s="7">
        <v>117.85</v>
      </c>
      <c r="Q1832" s="7">
        <v>81.790000000000006</v>
      </c>
      <c r="R1832" s="7">
        <v>4360.3100000000004</v>
      </c>
      <c r="S1832" s="7">
        <v>0.05</v>
      </c>
      <c r="T1832" s="7">
        <v>218.02</v>
      </c>
      <c r="U1832" s="7">
        <v>4142.3</v>
      </c>
      <c r="V1832" s="7">
        <v>3026.16</v>
      </c>
      <c r="W1832" s="7">
        <v>1116.1300000000001</v>
      </c>
      <c r="X1832" s="7" t="s">
        <v>32</v>
      </c>
    </row>
    <row r="1833" spans="1:24" x14ac:dyDescent="0.25">
      <c r="A1833" s="16" t="s">
        <v>2323</v>
      </c>
      <c r="B1833" s="17">
        <v>45434</v>
      </c>
      <c r="C1833" s="6" t="s">
        <v>785</v>
      </c>
      <c r="D1833" s="6" t="s">
        <v>264</v>
      </c>
      <c r="E1833" s="6" t="s">
        <v>150</v>
      </c>
      <c r="F1833" s="6" t="s">
        <v>151</v>
      </c>
      <c r="G1833" s="6" t="s">
        <v>101</v>
      </c>
      <c r="H1833" s="6" t="s">
        <v>134</v>
      </c>
      <c r="I1833" s="6" t="s">
        <v>27</v>
      </c>
      <c r="J1833" s="6" t="s">
        <v>106</v>
      </c>
      <c r="K1833" s="6" t="s">
        <v>178</v>
      </c>
      <c r="L1833" s="6" t="s">
        <v>256</v>
      </c>
      <c r="M1833" s="6" t="s">
        <v>30</v>
      </c>
      <c r="N1833" s="6" t="s">
        <v>70</v>
      </c>
      <c r="O1833" s="6">
        <v>43</v>
      </c>
      <c r="P1833" s="6">
        <v>78.64</v>
      </c>
      <c r="Q1833" s="6">
        <v>52.3</v>
      </c>
      <c r="R1833" s="6">
        <v>3381.57</v>
      </c>
      <c r="S1833" s="6">
        <v>0.2</v>
      </c>
      <c r="T1833" s="6">
        <v>676.31</v>
      </c>
      <c r="U1833" s="6">
        <v>2705.26</v>
      </c>
      <c r="V1833" s="6">
        <v>2248.69</v>
      </c>
      <c r="W1833" s="6">
        <v>456.57</v>
      </c>
      <c r="X1833" s="6" t="s">
        <v>270</v>
      </c>
    </row>
    <row r="1834" spans="1:24" x14ac:dyDescent="0.25">
      <c r="A1834" s="5" t="s">
        <v>2324</v>
      </c>
      <c r="B1834" s="18">
        <v>45355</v>
      </c>
      <c r="C1834" s="7" t="s">
        <v>205</v>
      </c>
      <c r="D1834" s="7" t="s">
        <v>22</v>
      </c>
      <c r="E1834" s="7" t="s">
        <v>187</v>
      </c>
      <c r="F1834" s="7" t="s">
        <v>188</v>
      </c>
      <c r="G1834" s="7" t="s">
        <v>25</v>
      </c>
      <c r="H1834" s="7" t="s">
        <v>26</v>
      </c>
      <c r="I1834" s="7" t="s">
        <v>40</v>
      </c>
      <c r="J1834" s="7" t="s">
        <v>289</v>
      </c>
      <c r="K1834" s="7" t="s">
        <v>248</v>
      </c>
      <c r="L1834" s="7" t="s">
        <v>2675</v>
      </c>
      <c r="M1834" s="7" t="s">
        <v>153</v>
      </c>
      <c r="N1834" s="7" t="s">
        <v>44</v>
      </c>
      <c r="O1834" s="7">
        <v>7</v>
      </c>
      <c r="P1834" s="7">
        <v>49.48</v>
      </c>
      <c r="Q1834" s="7">
        <v>31.28</v>
      </c>
      <c r="R1834" s="7">
        <v>346.35</v>
      </c>
      <c r="S1834" s="7">
        <v>0.2</v>
      </c>
      <c r="T1834" s="7">
        <v>69.27</v>
      </c>
      <c r="U1834" s="7">
        <v>277.08</v>
      </c>
      <c r="V1834" s="7">
        <v>218.96</v>
      </c>
      <c r="W1834" s="7">
        <v>58.12</v>
      </c>
      <c r="X1834" s="7" t="s">
        <v>129</v>
      </c>
    </row>
    <row r="1835" spans="1:24" x14ac:dyDescent="0.25">
      <c r="A1835" s="16" t="s">
        <v>2325</v>
      </c>
      <c r="B1835" s="17">
        <v>45503</v>
      </c>
      <c r="C1835" s="6" t="s">
        <v>531</v>
      </c>
      <c r="D1835" s="6" t="s">
        <v>264</v>
      </c>
      <c r="E1835" s="6" t="s">
        <v>250</v>
      </c>
      <c r="F1835" s="6" t="s">
        <v>251</v>
      </c>
      <c r="G1835" s="6" t="s">
        <v>51</v>
      </c>
      <c r="H1835" s="6" t="s">
        <v>252</v>
      </c>
      <c r="I1835" s="6" t="s">
        <v>27</v>
      </c>
      <c r="J1835" s="6" t="s">
        <v>28</v>
      </c>
      <c r="K1835" s="6" t="s">
        <v>265</v>
      </c>
      <c r="L1835" s="6" t="s">
        <v>2678</v>
      </c>
      <c r="M1835" s="6" t="s">
        <v>30</v>
      </c>
      <c r="N1835" s="6" t="s">
        <v>44</v>
      </c>
      <c r="O1835" s="6">
        <v>26</v>
      </c>
      <c r="P1835" s="6">
        <v>63.93</v>
      </c>
      <c r="Q1835" s="6">
        <v>35.770000000000003</v>
      </c>
      <c r="R1835" s="6">
        <v>1662.13</v>
      </c>
      <c r="S1835" s="6">
        <v>0.1</v>
      </c>
      <c r="T1835" s="6">
        <v>166.21</v>
      </c>
      <c r="U1835" s="6">
        <v>1495.92</v>
      </c>
      <c r="V1835" s="6">
        <v>929.94</v>
      </c>
      <c r="W1835" s="6">
        <v>565.98</v>
      </c>
      <c r="X1835" s="6" t="s">
        <v>45</v>
      </c>
    </row>
    <row r="1836" spans="1:24" x14ac:dyDescent="0.25">
      <c r="A1836" s="5" t="s">
        <v>2326</v>
      </c>
      <c r="B1836" s="18">
        <v>45348</v>
      </c>
      <c r="C1836" s="7" t="s">
        <v>515</v>
      </c>
      <c r="D1836" s="7" t="s">
        <v>48</v>
      </c>
      <c r="E1836" s="7" t="s">
        <v>165</v>
      </c>
      <c r="F1836" s="7" t="s">
        <v>166</v>
      </c>
      <c r="G1836" s="7" t="s">
        <v>95</v>
      </c>
      <c r="H1836" s="7" t="s">
        <v>167</v>
      </c>
      <c r="I1836" s="7" t="s">
        <v>53</v>
      </c>
      <c r="J1836" s="7" t="s">
        <v>232</v>
      </c>
      <c r="K1836" s="7" t="s">
        <v>60</v>
      </c>
      <c r="L1836" s="7" t="s">
        <v>2662</v>
      </c>
      <c r="M1836" s="7" t="s">
        <v>153</v>
      </c>
      <c r="N1836" s="7" t="s">
        <v>31</v>
      </c>
      <c r="O1836" s="7">
        <v>8</v>
      </c>
      <c r="P1836" s="7">
        <v>41.45</v>
      </c>
      <c r="Q1836" s="7">
        <v>24.04</v>
      </c>
      <c r="R1836" s="7">
        <v>331.63</v>
      </c>
      <c r="S1836" s="7">
        <v>0.05</v>
      </c>
      <c r="T1836" s="7">
        <v>16.579999999999998</v>
      </c>
      <c r="U1836" s="7">
        <v>315.05</v>
      </c>
      <c r="V1836" s="7">
        <v>192.33</v>
      </c>
      <c r="W1836" s="7">
        <v>122.73</v>
      </c>
      <c r="X1836" s="7" t="s">
        <v>45</v>
      </c>
    </row>
    <row r="1837" spans="1:24" x14ac:dyDescent="0.25">
      <c r="A1837" s="16" t="s">
        <v>2327</v>
      </c>
      <c r="B1837" s="17">
        <v>45432</v>
      </c>
      <c r="C1837" s="6" t="s">
        <v>404</v>
      </c>
      <c r="D1837" s="6" t="s">
        <v>87</v>
      </c>
      <c r="E1837" s="6" t="s">
        <v>93</v>
      </c>
      <c r="F1837" s="6" t="s">
        <v>94</v>
      </c>
      <c r="G1837" s="6" t="s">
        <v>95</v>
      </c>
      <c r="H1837" s="6" t="s">
        <v>96</v>
      </c>
      <c r="I1837" s="6" t="s">
        <v>520</v>
      </c>
      <c r="J1837" s="6" t="s">
        <v>143</v>
      </c>
      <c r="K1837" s="6" t="s">
        <v>261</v>
      </c>
      <c r="L1837" s="6" t="s">
        <v>2677</v>
      </c>
      <c r="M1837" s="6" t="s">
        <v>30</v>
      </c>
      <c r="N1837" s="6" t="s">
        <v>75</v>
      </c>
      <c r="O1837" s="6">
        <v>58</v>
      </c>
      <c r="P1837" s="6">
        <v>56.4</v>
      </c>
      <c r="Q1837" s="6">
        <v>34.21</v>
      </c>
      <c r="R1837" s="6">
        <v>3270.98</v>
      </c>
      <c r="S1837" s="6">
        <v>0.2</v>
      </c>
      <c r="T1837" s="6">
        <v>654.20000000000005</v>
      </c>
      <c r="U1837" s="6">
        <v>2616.7800000000002</v>
      </c>
      <c r="V1837" s="6">
        <v>1984.15</v>
      </c>
      <c r="W1837" s="6">
        <v>632.63</v>
      </c>
      <c r="X1837" s="6" t="s">
        <v>45</v>
      </c>
    </row>
    <row r="1838" spans="1:24" x14ac:dyDescent="0.25">
      <c r="A1838" s="5" t="s">
        <v>2328</v>
      </c>
      <c r="B1838" s="18">
        <v>45524</v>
      </c>
      <c r="C1838" s="7" t="s">
        <v>454</v>
      </c>
      <c r="D1838" s="7" t="s">
        <v>156</v>
      </c>
      <c r="E1838" s="7" t="s">
        <v>150</v>
      </c>
      <c r="F1838" s="7" t="s">
        <v>151</v>
      </c>
      <c r="G1838" s="7" t="s">
        <v>101</v>
      </c>
      <c r="H1838" s="7" t="s">
        <v>134</v>
      </c>
      <c r="I1838" s="7" t="s">
        <v>53</v>
      </c>
      <c r="J1838" s="7" t="s">
        <v>232</v>
      </c>
      <c r="K1838" s="7" t="s">
        <v>144</v>
      </c>
      <c r="L1838" s="7" t="s">
        <v>2669</v>
      </c>
      <c r="M1838" s="7" t="s">
        <v>43</v>
      </c>
      <c r="N1838" s="7" t="s">
        <v>70</v>
      </c>
      <c r="O1838" s="7">
        <v>12</v>
      </c>
      <c r="P1838" s="7">
        <v>81.239999999999995</v>
      </c>
      <c r="Q1838" s="7">
        <v>51.3</v>
      </c>
      <c r="R1838" s="7">
        <v>974.93</v>
      </c>
      <c r="S1838" s="7">
        <v>0.05</v>
      </c>
      <c r="T1838" s="7">
        <v>48.75</v>
      </c>
      <c r="U1838" s="7">
        <v>926.18</v>
      </c>
      <c r="V1838" s="7">
        <v>615.62</v>
      </c>
      <c r="W1838" s="7">
        <v>310.56</v>
      </c>
      <c r="X1838" s="7" t="s">
        <v>45</v>
      </c>
    </row>
    <row r="1839" spans="1:24" x14ac:dyDescent="0.25">
      <c r="A1839" s="16" t="s">
        <v>2329</v>
      </c>
      <c r="B1839" s="17">
        <v>45306</v>
      </c>
      <c r="C1839" s="6" t="s">
        <v>814</v>
      </c>
      <c r="D1839" s="6" t="s">
        <v>22</v>
      </c>
      <c r="E1839" s="6" t="s">
        <v>150</v>
      </c>
      <c r="F1839" s="6" t="s">
        <v>151</v>
      </c>
      <c r="G1839" s="6" t="s">
        <v>101</v>
      </c>
      <c r="H1839" s="6" t="s">
        <v>134</v>
      </c>
      <c r="I1839" s="6" t="s">
        <v>53</v>
      </c>
      <c r="J1839" s="6" t="s">
        <v>232</v>
      </c>
      <c r="K1839" s="6" t="s">
        <v>265</v>
      </c>
      <c r="L1839" s="6" t="s">
        <v>2678</v>
      </c>
      <c r="M1839" s="6" t="s">
        <v>153</v>
      </c>
      <c r="N1839" s="6" t="s">
        <v>44</v>
      </c>
      <c r="O1839" s="6">
        <v>16</v>
      </c>
      <c r="P1839" s="6">
        <v>86.67</v>
      </c>
      <c r="Q1839" s="6">
        <v>52.07</v>
      </c>
      <c r="R1839" s="6">
        <v>1386.76</v>
      </c>
      <c r="S1839" s="6">
        <v>0.05</v>
      </c>
      <c r="T1839" s="6">
        <v>69.34</v>
      </c>
      <c r="U1839" s="6">
        <v>1317.42</v>
      </c>
      <c r="V1839" s="6">
        <v>833.18</v>
      </c>
      <c r="W1839" s="6">
        <v>484.24</v>
      </c>
      <c r="X1839" s="6" t="s">
        <v>45</v>
      </c>
    </row>
    <row r="1840" spans="1:24" x14ac:dyDescent="0.25">
      <c r="A1840" s="5" t="s">
        <v>2330</v>
      </c>
      <c r="B1840" s="18">
        <v>45551</v>
      </c>
      <c r="C1840" s="7" t="s">
        <v>92</v>
      </c>
      <c r="D1840" s="7" t="s">
        <v>48</v>
      </c>
      <c r="E1840" s="7" t="s">
        <v>216</v>
      </c>
      <c r="F1840" s="7" t="s">
        <v>217</v>
      </c>
      <c r="G1840" s="7" t="s">
        <v>38</v>
      </c>
      <c r="H1840" s="7" t="s">
        <v>134</v>
      </c>
      <c r="I1840" s="7" t="s">
        <v>27</v>
      </c>
      <c r="J1840" s="7" t="s">
        <v>211</v>
      </c>
      <c r="K1840" s="7" t="s">
        <v>60</v>
      </c>
      <c r="L1840" s="7" t="s">
        <v>2662</v>
      </c>
      <c r="M1840" s="7" t="s">
        <v>61</v>
      </c>
      <c r="N1840" s="7" t="s">
        <v>84</v>
      </c>
      <c r="O1840" s="7">
        <v>4</v>
      </c>
      <c r="P1840" s="7">
        <v>112.09</v>
      </c>
      <c r="Q1840" s="7">
        <v>69.709999999999994</v>
      </c>
      <c r="R1840" s="7">
        <v>448.35</v>
      </c>
      <c r="S1840" s="7">
        <v>0.1</v>
      </c>
      <c r="T1840" s="7">
        <v>44.84</v>
      </c>
      <c r="U1840" s="7">
        <v>403.52</v>
      </c>
      <c r="V1840" s="7">
        <v>278.83999999999997</v>
      </c>
      <c r="W1840" s="7">
        <v>124.68</v>
      </c>
      <c r="X1840" s="7" t="s">
        <v>45</v>
      </c>
    </row>
    <row r="1841" spans="1:24" x14ac:dyDescent="0.25">
      <c r="A1841" s="16" t="s">
        <v>2331</v>
      </c>
      <c r="B1841" s="17">
        <v>45515</v>
      </c>
      <c r="C1841" s="6" t="s">
        <v>77</v>
      </c>
      <c r="D1841" s="6"/>
      <c r="E1841" s="6" t="s">
        <v>187</v>
      </c>
      <c r="F1841" s="6" t="s">
        <v>188</v>
      </c>
      <c r="G1841" s="6" t="s">
        <v>25</v>
      </c>
      <c r="H1841" s="6" t="s">
        <v>26</v>
      </c>
      <c r="I1841" s="6" t="s">
        <v>53</v>
      </c>
      <c r="J1841" s="6" t="s">
        <v>122</v>
      </c>
      <c r="K1841" s="6" t="s">
        <v>42</v>
      </c>
      <c r="L1841" s="6" t="s">
        <v>2661</v>
      </c>
      <c r="M1841" s="6" t="s">
        <v>43</v>
      </c>
      <c r="N1841" s="6" t="s">
        <v>44</v>
      </c>
      <c r="O1841" s="6">
        <v>20</v>
      </c>
      <c r="P1841" s="6">
        <v>46.4</v>
      </c>
      <c r="Q1841" s="6">
        <v>27.64</v>
      </c>
      <c r="R1841" s="6">
        <v>927.97</v>
      </c>
      <c r="S1841" s="6">
        <v>0</v>
      </c>
      <c r="T1841" s="6">
        <v>0</v>
      </c>
      <c r="U1841" s="6">
        <v>927.97</v>
      </c>
      <c r="V1841" s="6">
        <v>552.86</v>
      </c>
      <c r="W1841" s="6">
        <v>375.11</v>
      </c>
      <c r="X1841" s="6" t="s">
        <v>45</v>
      </c>
    </row>
    <row r="1842" spans="1:24" x14ac:dyDescent="0.25">
      <c r="A1842" s="5" t="s">
        <v>2332</v>
      </c>
      <c r="B1842" s="18">
        <v>45430</v>
      </c>
      <c r="C1842" s="7" t="s">
        <v>1131</v>
      </c>
      <c r="D1842" s="7" t="s">
        <v>259</v>
      </c>
      <c r="E1842" s="7" t="s">
        <v>165</v>
      </c>
      <c r="F1842" s="7" t="s">
        <v>166</v>
      </c>
      <c r="G1842" s="7" t="s">
        <v>95</v>
      </c>
      <c r="H1842" s="7" t="s">
        <v>167</v>
      </c>
      <c r="I1842" s="7" t="s">
        <v>88</v>
      </c>
      <c r="J1842" s="7" t="s">
        <v>173</v>
      </c>
      <c r="K1842" s="7"/>
      <c r="L1842" s="7"/>
      <c r="M1842" s="7" t="s">
        <v>43</v>
      </c>
      <c r="N1842" s="7" t="s">
        <v>84</v>
      </c>
      <c r="O1842" s="7">
        <v>19</v>
      </c>
      <c r="P1842" s="7">
        <v>44.5</v>
      </c>
      <c r="Q1842" s="7">
        <v>23.45</v>
      </c>
      <c r="R1842" s="7">
        <v>845.59</v>
      </c>
      <c r="S1842" s="7">
        <v>0.2</v>
      </c>
      <c r="T1842" s="7">
        <v>169.12</v>
      </c>
      <c r="U1842" s="7">
        <v>676.47</v>
      </c>
      <c r="V1842" s="7">
        <v>445.56</v>
      </c>
      <c r="W1842" s="7">
        <v>230.92</v>
      </c>
      <c r="X1842" s="7" t="s">
        <v>45</v>
      </c>
    </row>
    <row r="1843" spans="1:24" x14ac:dyDescent="0.25">
      <c r="A1843" s="16" t="s">
        <v>2333</v>
      </c>
      <c r="B1843" s="17">
        <v>45383</v>
      </c>
      <c r="C1843" s="6" t="s">
        <v>312</v>
      </c>
      <c r="D1843" s="6" t="s">
        <v>57</v>
      </c>
      <c r="E1843" s="6" t="s">
        <v>23</v>
      </c>
      <c r="F1843" s="6" t="s">
        <v>24</v>
      </c>
      <c r="G1843" s="6" t="s">
        <v>25</v>
      </c>
      <c r="H1843" s="6" t="s">
        <v>26</v>
      </c>
      <c r="I1843" s="6" t="s">
        <v>27</v>
      </c>
      <c r="J1843" s="6" t="s">
        <v>106</v>
      </c>
      <c r="K1843" s="6" t="s">
        <v>170</v>
      </c>
      <c r="L1843" s="6" t="s">
        <v>2671</v>
      </c>
      <c r="M1843" s="6" t="s">
        <v>30</v>
      </c>
      <c r="N1843" s="6" t="s">
        <v>84</v>
      </c>
      <c r="O1843" s="6">
        <v>38</v>
      </c>
      <c r="P1843" s="6">
        <v>72.540000000000006</v>
      </c>
      <c r="Q1843" s="6">
        <v>40.58</v>
      </c>
      <c r="R1843" s="6">
        <v>2756.35</v>
      </c>
      <c r="S1843" s="6">
        <v>0.05</v>
      </c>
      <c r="T1843" s="6">
        <v>137.82</v>
      </c>
      <c r="U1843" s="6">
        <v>2618.5300000000002</v>
      </c>
      <c r="V1843" s="6">
        <v>1542.07</v>
      </c>
      <c r="W1843" s="6">
        <v>1076.46</v>
      </c>
      <c r="X1843" s="6" t="s">
        <v>45</v>
      </c>
    </row>
    <row r="1844" spans="1:24" x14ac:dyDescent="0.25">
      <c r="A1844" s="5" t="s">
        <v>2334</v>
      </c>
      <c r="B1844" s="18">
        <v>45545</v>
      </c>
      <c r="C1844" s="7" t="s">
        <v>1036</v>
      </c>
      <c r="D1844" s="7" t="s">
        <v>22</v>
      </c>
      <c r="E1844" s="7" t="s">
        <v>187</v>
      </c>
      <c r="F1844" s="7" t="s">
        <v>188</v>
      </c>
      <c r="G1844" s="7" t="s">
        <v>25</v>
      </c>
      <c r="H1844" s="7" t="s">
        <v>26</v>
      </c>
      <c r="I1844" s="7" t="s">
        <v>58</v>
      </c>
      <c r="J1844" s="7" t="s">
        <v>345</v>
      </c>
      <c r="K1844" s="7" t="s">
        <v>218</v>
      </c>
      <c r="L1844" s="7" t="s">
        <v>2674</v>
      </c>
      <c r="M1844" s="7" t="s">
        <v>30</v>
      </c>
      <c r="N1844" s="7" t="s">
        <v>75</v>
      </c>
      <c r="O1844" s="7">
        <v>57</v>
      </c>
      <c r="P1844" s="7">
        <v>51.69</v>
      </c>
      <c r="Q1844" s="7">
        <v>29.69</v>
      </c>
      <c r="R1844" s="7">
        <v>2946.61</v>
      </c>
      <c r="S1844" s="7">
        <v>0.1</v>
      </c>
      <c r="T1844" s="7">
        <v>294.66000000000003</v>
      </c>
      <c r="U1844" s="7">
        <v>2651.95</v>
      </c>
      <c r="V1844" s="7">
        <v>1692.54</v>
      </c>
      <c r="W1844" s="7">
        <v>959.41</v>
      </c>
      <c r="X1844" s="7" t="s">
        <v>45</v>
      </c>
    </row>
    <row r="1845" spans="1:24" x14ac:dyDescent="0.25">
      <c r="A1845" s="16" t="s">
        <v>2335</v>
      </c>
      <c r="B1845" s="17">
        <v>45437</v>
      </c>
      <c r="C1845" s="6" t="s">
        <v>866</v>
      </c>
      <c r="D1845" s="6" t="s">
        <v>156</v>
      </c>
      <c r="E1845" s="6" t="s">
        <v>141</v>
      </c>
      <c r="F1845" s="6" t="s">
        <v>142</v>
      </c>
      <c r="G1845" s="6" t="s">
        <v>25</v>
      </c>
      <c r="H1845" s="6" t="s">
        <v>26</v>
      </c>
      <c r="I1845" s="6" t="s">
        <v>27</v>
      </c>
      <c r="J1845" s="6" t="s">
        <v>106</v>
      </c>
      <c r="K1845" s="6" t="s">
        <v>261</v>
      </c>
      <c r="L1845" s="6" t="s">
        <v>2677</v>
      </c>
      <c r="M1845" s="6" t="s">
        <v>30</v>
      </c>
      <c r="N1845" s="6" t="s">
        <v>31</v>
      </c>
      <c r="O1845" s="6">
        <v>22</v>
      </c>
      <c r="P1845" s="6">
        <v>89.27</v>
      </c>
      <c r="Q1845" s="6">
        <v>58.54</v>
      </c>
      <c r="R1845" s="6">
        <v>1963.93</v>
      </c>
      <c r="S1845" s="6">
        <v>0</v>
      </c>
      <c r="T1845" s="6">
        <v>0</v>
      </c>
      <c r="U1845" s="6">
        <v>1963.93</v>
      </c>
      <c r="V1845" s="6">
        <v>1287.97</v>
      </c>
      <c r="W1845" s="6">
        <v>675.96</v>
      </c>
      <c r="X1845" s="6" t="s">
        <v>45</v>
      </c>
    </row>
    <row r="1846" spans="1:24" x14ac:dyDescent="0.25">
      <c r="A1846" s="5" t="s">
        <v>2336</v>
      </c>
      <c r="B1846" s="18">
        <v>45362</v>
      </c>
      <c r="C1846" s="7" t="s">
        <v>596</v>
      </c>
      <c r="D1846" s="7" t="s">
        <v>597</v>
      </c>
      <c r="E1846" s="7" t="s">
        <v>126</v>
      </c>
      <c r="F1846" s="7" t="s">
        <v>127</v>
      </c>
      <c r="G1846" s="7" t="s">
        <v>95</v>
      </c>
      <c r="H1846" s="7" t="s">
        <v>128</v>
      </c>
      <c r="I1846" s="7" t="s">
        <v>58</v>
      </c>
      <c r="J1846" s="7" t="s">
        <v>323</v>
      </c>
      <c r="K1846" s="7" t="s">
        <v>195</v>
      </c>
      <c r="L1846" s="7" t="s">
        <v>2673</v>
      </c>
      <c r="M1846" s="7" t="s">
        <v>61</v>
      </c>
      <c r="N1846" s="7" t="s">
        <v>84</v>
      </c>
      <c r="O1846" s="7">
        <v>34</v>
      </c>
      <c r="P1846" s="7">
        <v>95.33</v>
      </c>
      <c r="Q1846" s="7">
        <v>48.94</v>
      </c>
      <c r="R1846" s="7">
        <v>3241.2</v>
      </c>
      <c r="S1846" s="7">
        <v>0.05</v>
      </c>
      <c r="T1846" s="7">
        <v>162.06</v>
      </c>
      <c r="U1846" s="7">
        <v>3079.14</v>
      </c>
      <c r="V1846" s="7">
        <v>1663.97</v>
      </c>
      <c r="W1846" s="7">
        <v>1415.17</v>
      </c>
      <c r="X1846" s="7" t="s">
        <v>45</v>
      </c>
    </row>
    <row r="1847" spans="1:24" x14ac:dyDescent="0.25">
      <c r="A1847" s="16" t="s">
        <v>2337</v>
      </c>
      <c r="B1847" s="17">
        <v>45626</v>
      </c>
      <c r="C1847" s="6" t="s">
        <v>1831</v>
      </c>
      <c r="D1847" s="6" t="s">
        <v>256</v>
      </c>
      <c r="E1847" s="6" t="s">
        <v>78</v>
      </c>
      <c r="F1847" s="6" t="s">
        <v>79</v>
      </c>
      <c r="G1847" s="6" t="s">
        <v>80</v>
      </c>
      <c r="H1847" s="6" t="s">
        <v>81</v>
      </c>
      <c r="I1847" s="6" t="s">
        <v>88</v>
      </c>
      <c r="J1847" s="6" t="s">
        <v>89</v>
      </c>
      <c r="K1847" s="6" t="s">
        <v>253</v>
      </c>
      <c r="L1847" s="6" t="s">
        <v>2676</v>
      </c>
      <c r="M1847" s="6" t="s">
        <v>61</v>
      </c>
      <c r="N1847" s="6" t="s">
        <v>31</v>
      </c>
      <c r="O1847" s="6">
        <v>29</v>
      </c>
      <c r="P1847" s="6">
        <v>130.66999999999999</v>
      </c>
      <c r="Q1847" s="6">
        <v>87.02</v>
      </c>
      <c r="R1847" s="6">
        <v>3789.42</v>
      </c>
      <c r="S1847" s="6">
        <v>0.05</v>
      </c>
      <c r="T1847" s="6">
        <v>189.47</v>
      </c>
      <c r="U1847" s="6">
        <v>3599.95</v>
      </c>
      <c r="V1847" s="6">
        <v>2523.5</v>
      </c>
      <c r="W1847" s="6">
        <v>1076.45</v>
      </c>
      <c r="X1847" s="6" t="s">
        <v>45</v>
      </c>
    </row>
    <row r="1848" spans="1:24" x14ac:dyDescent="0.25">
      <c r="A1848" s="5" t="s">
        <v>2338</v>
      </c>
      <c r="B1848" s="18">
        <v>45312</v>
      </c>
      <c r="C1848" s="7" t="s">
        <v>186</v>
      </c>
      <c r="D1848" s="7" t="s">
        <v>156</v>
      </c>
      <c r="E1848" s="7" t="s">
        <v>36</v>
      </c>
      <c r="F1848" s="7" t="s">
        <v>37</v>
      </c>
      <c r="G1848" s="7" t="s">
        <v>38</v>
      </c>
      <c r="H1848" s="7" t="s">
        <v>39</v>
      </c>
      <c r="I1848" s="7" t="s">
        <v>53</v>
      </c>
      <c r="J1848" s="7" t="s">
        <v>143</v>
      </c>
      <c r="K1848" s="7" t="s">
        <v>83</v>
      </c>
      <c r="L1848" s="7" t="s">
        <v>2665</v>
      </c>
      <c r="M1848" s="7" t="s">
        <v>30</v>
      </c>
      <c r="N1848" s="7" t="s">
        <v>31</v>
      </c>
      <c r="O1848" s="7">
        <v>32</v>
      </c>
      <c r="P1848" s="7">
        <v>172.56</v>
      </c>
      <c r="Q1848" s="7">
        <v>92.5</v>
      </c>
      <c r="R1848" s="7">
        <v>5521.9</v>
      </c>
      <c r="S1848" s="7">
        <v>0.15</v>
      </c>
      <c r="T1848" s="7">
        <v>828.29</v>
      </c>
      <c r="U1848" s="7">
        <v>4693.62</v>
      </c>
      <c r="V1848" s="7">
        <v>2959.88</v>
      </c>
      <c r="W1848" s="7">
        <v>1733.74</v>
      </c>
      <c r="X1848" s="7" t="s">
        <v>129</v>
      </c>
    </row>
    <row r="1849" spans="1:24" x14ac:dyDescent="0.25">
      <c r="A1849" s="16" t="s">
        <v>2339</v>
      </c>
      <c r="B1849" s="17">
        <v>45443</v>
      </c>
      <c r="C1849" s="6" t="s">
        <v>335</v>
      </c>
      <c r="D1849" s="6" t="s">
        <v>156</v>
      </c>
      <c r="E1849" s="6" t="s">
        <v>78</v>
      </c>
      <c r="F1849" s="6" t="s">
        <v>79</v>
      </c>
      <c r="G1849" s="6" t="s">
        <v>80</v>
      </c>
      <c r="H1849" s="6" t="s">
        <v>81</v>
      </c>
      <c r="I1849" s="6" t="s">
        <v>40</v>
      </c>
      <c r="J1849" s="6" t="s">
        <v>82</v>
      </c>
      <c r="K1849" s="6" t="s">
        <v>218</v>
      </c>
      <c r="L1849" s="6" t="s">
        <v>2674</v>
      </c>
      <c r="M1849" s="6" t="s">
        <v>30</v>
      </c>
      <c r="N1849" s="6" t="s">
        <v>31</v>
      </c>
      <c r="O1849" s="6">
        <v>13</v>
      </c>
      <c r="P1849" s="6">
        <v>144.61000000000001</v>
      </c>
      <c r="Q1849" s="6">
        <v>84.47</v>
      </c>
      <c r="R1849" s="6">
        <v>1879.87</v>
      </c>
      <c r="S1849" s="6">
        <v>0.02</v>
      </c>
      <c r="T1849" s="6">
        <v>37.6</v>
      </c>
      <c r="U1849" s="6">
        <v>1842.27</v>
      </c>
      <c r="V1849" s="6">
        <v>1098.1300000000001</v>
      </c>
      <c r="W1849" s="6">
        <v>744.13</v>
      </c>
      <c r="X1849" s="6" t="s">
        <v>45</v>
      </c>
    </row>
    <row r="1850" spans="1:24" x14ac:dyDescent="0.25">
      <c r="A1850" s="5" t="s">
        <v>2340</v>
      </c>
      <c r="B1850" s="18">
        <v>45388</v>
      </c>
      <c r="C1850" s="7" t="s">
        <v>208</v>
      </c>
      <c r="D1850" s="7" t="s">
        <v>35</v>
      </c>
      <c r="E1850" s="7" t="s">
        <v>36</v>
      </c>
      <c r="F1850" s="7" t="s">
        <v>37</v>
      </c>
      <c r="G1850" s="7" t="s">
        <v>38</v>
      </c>
      <c r="H1850" s="7" t="s">
        <v>39</v>
      </c>
      <c r="I1850" s="7" t="s">
        <v>88</v>
      </c>
      <c r="J1850" s="7" t="s">
        <v>135</v>
      </c>
      <c r="K1850" s="7" t="s">
        <v>178</v>
      </c>
      <c r="L1850" s="7" t="s">
        <v>256</v>
      </c>
      <c r="M1850" s="7" t="s">
        <v>153</v>
      </c>
      <c r="N1850" s="7" t="s">
        <v>75</v>
      </c>
      <c r="O1850" s="7">
        <v>68</v>
      </c>
      <c r="P1850" s="7">
        <v>170.18</v>
      </c>
      <c r="Q1850" s="7">
        <v>97.14</v>
      </c>
      <c r="R1850" s="7">
        <v>11572.14</v>
      </c>
      <c r="S1850" s="7">
        <v>0.2</v>
      </c>
      <c r="T1850" s="7">
        <v>2314.4299999999998</v>
      </c>
      <c r="U1850" s="7">
        <v>9257.7099999999991</v>
      </c>
      <c r="V1850" s="7">
        <v>6605.76</v>
      </c>
      <c r="W1850" s="7">
        <v>2651.95</v>
      </c>
      <c r="X1850" s="7" t="s">
        <v>45</v>
      </c>
    </row>
    <row r="1851" spans="1:24" x14ac:dyDescent="0.25">
      <c r="A1851" s="16" t="s">
        <v>2341</v>
      </c>
      <c r="B1851" s="17">
        <v>45465</v>
      </c>
      <c r="C1851" s="6" t="s">
        <v>350</v>
      </c>
      <c r="D1851" s="6" t="s">
        <v>22</v>
      </c>
      <c r="E1851" s="6" t="s">
        <v>187</v>
      </c>
      <c r="F1851" s="6" t="s">
        <v>188</v>
      </c>
      <c r="G1851" s="6" t="s">
        <v>25</v>
      </c>
      <c r="H1851" s="6" t="s">
        <v>26</v>
      </c>
      <c r="I1851" s="6" t="s">
        <v>88</v>
      </c>
      <c r="J1851" s="6" t="s">
        <v>135</v>
      </c>
      <c r="K1851" s="6" t="s">
        <v>83</v>
      </c>
      <c r="L1851" s="6" t="s">
        <v>2665</v>
      </c>
      <c r="M1851" s="6" t="s">
        <v>30</v>
      </c>
      <c r="N1851" s="6" t="s">
        <v>75</v>
      </c>
      <c r="O1851" s="6">
        <v>60</v>
      </c>
      <c r="P1851" s="6">
        <v>48.92</v>
      </c>
      <c r="Q1851" s="6">
        <v>28.83</v>
      </c>
      <c r="R1851" s="6">
        <v>2935.06</v>
      </c>
      <c r="S1851" s="6">
        <v>0.02</v>
      </c>
      <c r="T1851" s="6">
        <v>58.7</v>
      </c>
      <c r="U1851" s="6">
        <v>2876.36</v>
      </c>
      <c r="V1851" s="6">
        <v>1729.84</v>
      </c>
      <c r="W1851" s="6">
        <v>1146.52</v>
      </c>
      <c r="X1851" s="6" t="s">
        <v>45</v>
      </c>
    </row>
    <row r="1852" spans="1:24" x14ac:dyDescent="0.25">
      <c r="A1852" s="5" t="s">
        <v>2342</v>
      </c>
      <c r="B1852" s="18">
        <v>45606</v>
      </c>
      <c r="C1852" s="7" t="s">
        <v>1068</v>
      </c>
      <c r="D1852" s="7" t="s">
        <v>105</v>
      </c>
      <c r="E1852" s="7" t="s">
        <v>141</v>
      </c>
      <c r="F1852" s="7" t="s">
        <v>142</v>
      </c>
      <c r="G1852" s="7" t="s">
        <v>25</v>
      </c>
      <c r="H1852" s="7" t="s">
        <v>26</v>
      </c>
      <c r="I1852" s="7" t="s">
        <v>27</v>
      </c>
      <c r="J1852" s="7" t="s">
        <v>211</v>
      </c>
      <c r="K1852" s="7" t="s">
        <v>184</v>
      </c>
      <c r="L1852" s="7" t="s">
        <v>2672</v>
      </c>
      <c r="M1852" s="7" t="s">
        <v>43</v>
      </c>
      <c r="N1852" s="7" t="s">
        <v>44</v>
      </c>
      <c r="O1852" s="7">
        <v>76</v>
      </c>
      <c r="P1852" s="7">
        <v>91.9</v>
      </c>
      <c r="Q1852" s="7">
        <v>62.07</v>
      </c>
      <c r="R1852" s="7">
        <v>6984.75</v>
      </c>
      <c r="S1852" s="7">
        <v>0.05</v>
      </c>
      <c r="T1852" s="7">
        <v>349.24</v>
      </c>
      <c r="U1852" s="7">
        <v>6635.51</v>
      </c>
      <c r="V1852" s="7">
        <v>4717.1400000000003</v>
      </c>
      <c r="W1852" s="7">
        <v>1918.38</v>
      </c>
      <c r="X1852" s="7" t="s">
        <v>32</v>
      </c>
    </row>
    <row r="1853" spans="1:24" x14ac:dyDescent="0.25">
      <c r="A1853" s="16" t="s">
        <v>2343</v>
      </c>
      <c r="B1853" s="17">
        <v>45403</v>
      </c>
      <c r="C1853" s="6" t="s">
        <v>933</v>
      </c>
      <c r="D1853" s="6" t="s">
        <v>159</v>
      </c>
      <c r="E1853" s="6" t="s">
        <v>49</v>
      </c>
      <c r="F1853" s="6" t="s">
        <v>50</v>
      </c>
      <c r="G1853" s="6" t="s">
        <v>51</v>
      </c>
      <c r="H1853" s="6" t="s">
        <v>52</v>
      </c>
      <c r="I1853" s="6" t="s">
        <v>27</v>
      </c>
      <c r="J1853" s="6" t="s">
        <v>28</v>
      </c>
      <c r="K1853" s="6" t="s">
        <v>178</v>
      </c>
      <c r="L1853" s="6" t="s">
        <v>256</v>
      </c>
      <c r="M1853" s="6" t="s">
        <v>30</v>
      </c>
      <c r="N1853" s="6" t="s">
        <v>75</v>
      </c>
      <c r="O1853" s="6">
        <v>44</v>
      </c>
      <c r="P1853" s="6">
        <v>26.47</v>
      </c>
      <c r="Q1853" s="6">
        <v>12.55</v>
      </c>
      <c r="R1853" s="6">
        <v>1164.55</v>
      </c>
      <c r="S1853" s="6">
        <v>0.15</v>
      </c>
      <c r="T1853" s="6">
        <v>174.68</v>
      </c>
      <c r="U1853" s="6">
        <v>989.87</v>
      </c>
      <c r="V1853" s="6">
        <v>552.09</v>
      </c>
      <c r="W1853" s="6">
        <v>437.78</v>
      </c>
      <c r="X1853" s="6" t="s">
        <v>45</v>
      </c>
    </row>
    <row r="1854" spans="1:24" x14ac:dyDescent="0.25">
      <c r="A1854" s="5" t="s">
        <v>2344</v>
      </c>
      <c r="B1854" s="18">
        <v>45520</v>
      </c>
      <c r="C1854" s="7" t="s">
        <v>1493</v>
      </c>
      <c r="D1854" s="7" t="s">
        <v>159</v>
      </c>
      <c r="E1854" s="7" t="s">
        <v>141</v>
      </c>
      <c r="F1854" s="7" t="s">
        <v>142</v>
      </c>
      <c r="G1854" s="7" t="s">
        <v>25</v>
      </c>
      <c r="H1854" s="7" t="s">
        <v>26</v>
      </c>
      <c r="I1854" s="7" t="s">
        <v>40</v>
      </c>
      <c r="J1854" s="7" t="s">
        <v>82</v>
      </c>
      <c r="K1854" s="7" t="s">
        <v>218</v>
      </c>
      <c r="L1854" s="7" t="s">
        <v>2674</v>
      </c>
      <c r="M1854" s="7" t="s">
        <v>30</v>
      </c>
      <c r="N1854" s="7" t="s">
        <v>190</v>
      </c>
      <c r="O1854" s="7">
        <v>11</v>
      </c>
      <c r="P1854" s="7">
        <v>96.01</v>
      </c>
      <c r="Q1854" s="7">
        <v>57.78</v>
      </c>
      <c r="R1854" s="7">
        <v>1056.0999999999999</v>
      </c>
      <c r="S1854" s="7">
        <v>0.1</v>
      </c>
      <c r="T1854" s="7">
        <v>105.61</v>
      </c>
      <c r="U1854" s="7">
        <v>950.49</v>
      </c>
      <c r="V1854" s="7">
        <v>635.55999999999995</v>
      </c>
      <c r="W1854" s="7">
        <v>314.94</v>
      </c>
      <c r="X1854" s="7" t="s">
        <v>45</v>
      </c>
    </row>
    <row r="1855" spans="1:24" x14ac:dyDescent="0.25">
      <c r="A1855" s="16" t="s">
        <v>2345</v>
      </c>
      <c r="B1855" s="17">
        <v>45349</v>
      </c>
      <c r="C1855" s="6" t="s">
        <v>278</v>
      </c>
      <c r="D1855" s="6" t="s">
        <v>48</v>
      </c>
      <c r="E1855" s="6" t="s">
        <v>132</v>
      </c>
      <c r="F1855" s="6" t="s">
        <v>133</v>
      </c>
      <c r="G1855" s="6" t="s">
        <v>51</v>
      </c>
      <c r="H1855" s="6" t="s">
        <v>134</v>
      </c>
      <c r="I1855" s="6" t="s">
        <v>27</v>
      </c>
      <c r="J1855" s="6" t="s">
        <v>189</v>
      </c>
      <c r="K1855" s="6" t="s">
        <v>144</v>
      </c>
      <c r="L1855" s="6" t="s">
        <v>2669</v>
      </c>
      <c r="M1855" s="6" t="s">
        <v>43</v>
      </c>
      <c r="N1855" s="6" t="s">
        <v>75</v>
      </c>
      <c r="O1855" s="6">
        <v>62</v>
      </c>
      <c r="P1855" s="6">
        <v>63.38</v>
      </c>
      <c r="Q1855" s="6">
        <v>36.380000000000003</v>
      </c>
      <c r="R1855" s="6">
        <v>3929.84</v>
      </c>
      <c r="S1855" s="6"/>
      <c r="T1855" s="6">
        <v>589.48</v>
      </c>
      <c r="U1855" s="6">
        <v>3340.36</v>
      </c>
      <c r="V1855" s="6">
        <v>2255.7199999999998</v>
      </c>
      <c r="W1855" s="6">
        <v>1084.6400000000001</v>
      </c>
      <c r="X1855" s="6" t="s">
        <v>32</v>
      </c>
    </row>
    <row r="1856" spans="1:24" x14ac:dyDescent="0.25">
      <c r="A1856" s="5" t="s">
        <v>896</v>
      </c>
      <c r="B1856" s="18">
        <v>45299</v>
      </c>
      <c r="C1856" s="7" t="s">
        <v>897</v>
      </c>
      <c r="D1856" s="7" t="s">
        <v>65</v>
      </c>
      <c r="E1856" s="7" t="s">
        <v>66</v>
      </c>
      <c r="F1856" s="7" t="s">
        <v>67</v>
      </c>
      <c r="G1856" s="7" t="s">
        <v>38</v>
      </c>
      <c r="H1856" s="7" t="s">
        <v>68</v>
      </c>
      <c r="I1856" s="7" t="s">
        <v>40</v>
      </c>
      <c r="J1856" s="7" t="s">
        <v>82</v>
      </c>
      <c r="K1856" s="7" t="s">
        <v>60</v>
      </c>
      <c r="L1856" s="7" t="s">
        <v>2662</v>
      </c>
      <c r="M1856" s="7" t="s">
        <v>43</v>
      </c>
      <c r="N1856" s="7" t="s">
        <v>31</v>
      </c>
      <c r="O1856" s="7">
        <v>19</v>
      </c>
      <c r="P1856" s="7">
        <v>149.58000000000001</v>
      </c>
      <c r="Q1856" s="7">
        <v>110.61</v>
      </c>
      <c r="R1856" s="7">
        <v>2842.09</v>
      </c>
      <c r="S1856" s="7">
        <v>0.1</v>
      </c>
      <c r="T1856" s="7">
        <v>284.20999999999998</v>
      </c>
      <c r="U1856" s="7">
        <v>2557.88</v>
      </c>
      <c r="V1856" s="7">
        <v>2101.58</v>
      </c>
      <c r="W1856" s="7">
        <v>456.29</v>
      </c>
      <c r="X1856" s="7" t="s">
        <v>45</v>
      </c>
    </row>
    <row r="1857" spans="1:24" x14ac:dyDescent="0.25">
      <c r="A1857" s="16" t="s">
        <v>2346</v>
      </c>
      <c r="B1857" s="17">
        <v>45646</v>
      </c>
      <c r="C1857" s="6" t="s">
        <v>86</v>
      </c>
      <c r="D1857" s="6" t="s">
        <v>87</v>
      </c>
      <c r="E1857" s="6" t="s">
        <v>165</v>
      </c>
      <c r="F1857" s="6" t="s">
        <v>166</v>
      </c>
      <c r="G1857" s="6" t="s">
        <v>95</v>
      </c>
      <c r="H1857" s="6" t="s">
        <v>167</v>
      </c>
      <c r="I1857" s="6" t="s">
        <v>40</v>
      </c>
      <c r="J1857" s="6" t="s">
        <v>117</v>
      </c>
      <c r="K1857" s="6" t="s">
        <v>178</v>
      </c>
      <c r="L1857" s="6" t="s">
        <v>256</v>
      </c>
      <c r="M1857" s="6" t="s">
        <v>30</v>
      </c>
      <c r="N1857" s="6" t="s">
        <v>75</v>
      </c>
      <c r="O1857" s="6">
        <v>60</v>
      </c>
      <c r="P1857" s="6">
        <v>44.36</v>
      </c>
      <c r="Q1857" s="6">
        <v>25.24</v>
      </c>
      <c r="R1857" s="6">
        <v>2661.37</v>
      </c>
      <c r="S1857" s="6">
        <v>0.1</v>
      </c>
      <c r="T1857" s="6">
        <v>266.14</v>
      </c>
      <c r="U1857" s="6">
        <v>2395.23</v>
      </c>
      <c r="V1857" s="6">
        <v>1514.69</v>
      </c>
      <c r="W1857" s="6">
        <v>880.54</v>
      </c>
      <c r="X1857" s="6" t="s">
        <v>45</v>
      </c>
    </row>
    <row r="1858" spans="1:24" x14ac:dyDescent="0.25">
      <c r="A1858" s="5" t="s">
        <v>2347</v>
      </c>
      <c r="B1858" s="18">
        <v>45461</v>
      </c>
      <c r="C1858" s="7" t="s">
        <v>199</v>
      </c>
      <c r="D1858" s="7" t="s">
        <v>105</v>
      </c>
      <c r="E1858" s="7" t="s">
        <v>99</v>
      </c>
      <c r="F1858" s="7" t="s">
        <v>100</v>
      </c>
      <c r="G1858" s="7" t="s">
        <v>101</v>
      </c>
      <c r="H1858" s="7" t="s">
        <v>102</v>
      </c>
      <c r="I1858" s="7" t="s">
        <v>40</v>
      </c>
      <c r="J1858" s="7" t="s">
        <v>289</v>
      </c>
      <c r="K1858" s="7" t="s">
        <v>111</v>
      </c>
      <c r="L1858" s="7" t="s">
        <v>2667</v>
      </c>
      <c r="M1858" s="7" t="s">
        <v>61</v>
      </c>
      <c r="N1858" s="7" t="s">
        <v>75</v>
      </c>
      <c r="O1858" s="7">
        <v>12</v>
      </c>
      <c r="P1858" s="7">
        <v>65.37</v>
      </c>
      <c r="Q1858" s="7">
        <v>40.4</v>
      </c>
      <c r="R1858" s="7">
        <v>784.49</v>
      </c>
      <c r="S1858" s="7">
        <v>0</v>
      </c>
      <c r="T1858" s="7">
        <v>0</v>
      </c>
      <c r="U1858" s="7">
        <v>784.49</v>
      </c>
      <c r="V1858" s="7">
        <v>484.79</v>
      </c>
      <c r="W1858" s="7">
        <v>299.7</v>
      </c>
      <c r="X1858" s="7" t="s">
        <v>129</v>
      </c>
    </row>
    <row r="1859" spans="1:24" x14ac:dyDescent="0.25">
      <c r="A1859" s="16" t="s">
        <v>2348</v>
      </c>
      <c r="B1859" s="17">
        <v>45393</v>
      </c>
      <c r="C1859" s="6" t="s">
        <v>337</v>
      </c>
      <c r="D1859" s="6" t="s">
        <v>87</v>
      </c>
      <c r="E1859" s="6" t="s">
        <v>141</v>
      </c>
      <c r="F1859" s="6" t="s">
        <v>142</v>
      </c>
      <c r="G1859" s="6" t="s">
        <v>25</v>
      </c>
      <c r="H1859" s="6" t="s">
        <v>26</v>
      </c>
      <c r="I1859" s="6" t="s">
        <v>40</v>
      </c>
      <c r="J1859" s="6" t="s">
        <v>289</v>
      </c>
      <c r="K1859" s="6" t="s">
        <v>111</v>
      </c>
      <c r="L1859" s="6" t="s">
        <v>2667</v>
      </c>
      <c r="M1859" s="6" t="s">
        <v>43</v>
      </c>
      <c r="N1859" s="6" t="s">
        <v>31</v>
      </c>
      <c r="O1859" s="6">
        <v>66</v>
      </c>
      <c r="P1859" s="6">
        <v>87.53</v>
      </c>
      <c r="Q1859" s="6">
        <v>62.62</v>
      </c>
      <c r="R1859" s="6">
        <v>5777.29</v>
      </c>
      <c r="S1859" s="6">
        <v>0.15</v>
      </c>
      <c r="T1859" s="6">
        <v>866.59</v>
      </c>
      <c r="U1859" s="6">
        <v>4910.7</v>
      </c>
      <c r="V1859" s="6">
        <v>4132.91</v>
      </c>
      <c r="W1859" s="6">
        <v>777.79</v>
      </c>
      <c r="X1859" s="6" t="s">
        <v>45</v>
      </c>
    </row>
    <row r="1860" spans="1:24" x14ac:dyDescent="0.25">
      <c r="A1860" s="5" t="s">
        <v>2349</v>
      </c>
      <c r="B1860" s="18">
        <v>45439</v>
      </c>
      <c r="C1860" s="7" t="s">
        <v>430</v>
      </c>
      <c r="D1860" s="7" t="s">
        <v>156</v>
      </c>
      <c r="E1860" s="7" t="s">
        <v>216</v>
      </c>
      <c r="F1860" s="7" t="s">
        <v>217</v>
      </c>
      <c r="G1860" s="7" t="s">
        <v>38</v>
      </c>
      <c r="H1860" s="7" t="s">
        <v>134</v>
      </c>
      <c r="I1860" s="7" t="s">
        <v>88</v>
      </c>
      <c r="J1860" s="7" t="s">
        <v>183</v>
      </c>
      <c r="K1860" s="7" t="s">
        <v>111</v>
      </c>
      <c r="L1860" s="7" t="s">
        <v>2667</v>
      </c>
      <c r="M1860" s="7" t="s">
        <v>61</v>
      </c>
      <c r="N1860" s="7" t="s">
        <v>44</v>
      </c>
      <c r="O1860" s="7">
        <v>64</v>
      </c>
      <c r="P1860" s="7">
        <v>106.91</v>
      </c>
      <c r="Q1860" s="7">
        <v>65.569999999999993</v>
      </c>
      <c r="R1860" s="7">
        <v>6842.41</v>
      </c>
      <c r="S1860" s="7">
        <v>0.1</v>
      </c>
      <c r="T1860" s="7">
        <v>684.24</v>
      </c>
      <c r="U1860" s="7">
        <v>6158.17</v>
      </c>
      <c r="V1860" s="7">
        <v>4196.38</v>
      </c>
      <c r="W1860" s="7">
        <v>1961.79</v>
      </c>
      <c r="X1860" s="7" t="s">
        <v>45</v>
      </c>
    </row>
    <row r="1861" spans="1:24" x14ac:dyDescent="0.25">
      <c r="A1861" s="16" t="s">
        <v>2350</v>
      </c>
      <c r="B1861" s="17">
        <v>45476</v>
      </c>
      <c r="C1861" s="6" t="s">
        <v>559</v>
      </c>
      <c r="D1861" s="6" t="s">
        <v>221</v>
      </c>
      <c r="E1861" s="6" t="s">
        <v>66</v>
      </c>
      <c r="F1861" s="6" t="s">
        <v>67</v>
      </c>
      <c r="G1861" s="6" t="s">
        <v>38</v>
      </c>
      <c r="H1861" s="6" t="s">
        <v>68</v>
      </c>
      <c r="I1861" s="6" t="s">
        <v>452</v>
      </c>
      <c r="J1861" s="6" t="s">
        <v>189</v>
      </c>
      <c r="K1861" s="6" t="s">
        <v>83</v>
      </c>
      <c r="L1861" s="6" t="s">
        <v>2665</v>
      </c>
      <c r="M1861" s="6" t="s">
        <v>61</v>
      </c>
      <c r="N1861" s="6" t="s">
        <v>84</v>
      </c>
      <c r="O1861" s="6">
        <v>5</v>
      </c>
      <c r="P1861" s="6">
        <v>160.24</v>
      </c>
      <c r="Q1861" s="6">
        <v>112.27</v>
      </c>
      <c r="R1861" s="6">
        <v>801.21</v>
      </c>
      <c r="S1861" s="6">
        <v>0.15</v>
      </c>
      <c r="T1861" s="6">
        <v>120.18</v>
      </c>
      <c r="U1861" s="6">
        <v>681.03</v>
      </c>
      <c r="V1861" s="6">
        <v>561.33000000000004</v>
      </c>
      <c r="W1861" s="6">
        <v>119.7</v>
      </c>
      <c r="X1861" s="6" t="s">
        <v>45</v>
      </c>
    </row>
    <row r="1862" spans="1:24" x14ac:dyDescent="0.25">
      <c r="A1862" s="5" t="s">
        <v>2351</v>
      </c>
      <c r="B1862" s="18">
        <v>45317</v>
      </c>
      <c r="C1862" s="7" t="s">
        <v>258</v>
      </c>
      <c r="D1862" s="7" t="s">
        <v>259</v>
      </c>
      <c r="E1862" s="7" t="s">
        <v>216</v>
      </c>
      <c r="F1862" s="7" t="s">
        <v>217</v>
      </c>
      <c r="G1862" s="7" t="s">
        <v>38</v>
      </c>
      <c r="H1862" s="7" t="s">
        <v>134</v>
      </c>
      <c r="I1862" s="7" t="s">
        <v>712</v>
      </c>
      <c r="J1862" s="7" t="s">
        <v>345</v>
      </c>
      <c r="K1862" s="7" t="s">
        <v>144</v>
      </c>
      <c r="L1862" s="7" t="s">
        <v>2669</v>
      </c>
      <c r="M1862" s="7" t="s">
        <v>30</v>
      </c>
      <c r="N1862" s="7" t="s">
        <v>31</v>
      </c>
      <c r="O1862" s="7">
        <v>5</v>
      </c>
      <c r="P1862" s="7">
        <v>117.76</v>
      </c>
      <c r="Q1862" s="7">
        <v>71.03</v>
      </c>
      <c r="R1862" s="7">
        <v>588.82000000000005</v>
      </c>
      <c r="S1862" s="7">
        <v>0.05</v>
      </c>
      <c r="T1862" s="7">
        <v>29.44</v>
      </c>
      <c r="U1862" s="7">
        <v>559.38</v>
      </c>
      <c r="V1862" s="7">
        <v>355.17</v>
      </c>
      <c r="W1862" s="7">
        <v>204.21</v>
      </c>
      <c r="X1862" s="7" t="s">
        <v>129</v>
      </c>
    </row>
    <row r="1863" spans="1:24" x14ac:dyDescent="0.25">
      <c r="A1863" s="16" t="s">
        <v>2352</v>
      </c>
      <c r="B1863" s="17">
        <v>45570</v>
      </c>
      <c r="C1863" s="6" t="s">
        <v>194</v>
      </c>
      <c r="D1863" s="6" t="s">
        <v>163</v>
      </c>
      <c r="E1863" s="6" t="s">
        <v>109</v>
      </c>
      <c r="F1863" s="6" t="s">
        <v>110</v>
      </c>
      <c r="G1863" s="6" t="s">
        <v>80</v>
      </c>
      <c r="H1863" s="6" t="s">
        <v>81</v>
      </c>
      <c r="I1863" s="6" t="s">
        <v>40</v>
      </c>
      <c r="J1863" s="6" t="s">
        <v>289</v>
      </c>
      <c r="K1863" s="6" t="s">
        <v>261</v>
      </c>
      <c r="L1863" s="6" t="s">
        <v>2677</v>
      </c>
      <c r="M1863" s="6" t="s">
        <v>43</v>
      </c>
      <c r="N1863" s="6" t="s">
        <v>44</v>
      </c>
      <c r="O1863" s="6">
        <v>19</v>
      </c>
      <c r="P1863" s="6">
        <v>132.29</v>
      </c>
      <c r="Q1863" s="6">
        <v>75.03</v>
      </c>
      <c r="R1863" s="6">
        <v>2513.48</v>
      </c>
      <c r="S1863" s="6">
        <v>0.1</v>
      </c>
      <c r="T1863" s="6">
        <v>251.35</v>
      </c>
      <c r="U1863" s="6">
        <v>2262.14</v>
      </c>
      <c r="V1863" s="6">
        <v>1425.56</v>
      </c>
      <c r="W1863" s="6">
        <v>836.58</v>
      </c>
      <c r="X1863" s="6" t="s">
        <v>45</v>
      </c>
    </row>
    <row r="1864" spans="1:24" x14ac:dyDescent="0.25">
      <c r="A1864" s="5" t="s">
        <v>2353</v>
      </c>
      <c r="B1864" s="18">
        <v>45544</v>
      </c>
      <c r="C1864" s="7" t="s">
        <v>1617</v>
      </c>
      <c r="D1864" s="7" t="s">
        <v>35</v>
      </c>
      <c r="E1864" s="7" t="s">
        <v>109</v>
      </c>
      <c r="F1864" s="7" t="s">
        <v>110</v>
      </c>
      <c r="G1864" s="7" t="s">
        <v>80</v>
      </c>
      <c r="H1864" s="7" t="s">
        <v>81</v>
      </c>
      <c r="I1864" s="7" t="s">
        <v>27</v>
      </c>
      <c r="J1864" s="7" t="s">
        <v>106</v>
      </c>
      <c r="K1864" s="7" t="s">
        <v>253</v>
      </c>
      <c r="L1864" s="7" t="s">
        <v>2676</v>
      </c>
      <c r="M1864" s="7" t="s">
        <v>43</v>
      </c>
      <c r="N1864" s="7" t="s">
        <v>70</v>
      </c>
      <c r="O1864" s="7">
        <v>4</v>
      </c>
      <c r="P1864" s="7">
        <v>133.94</v>
      </c>
      <c r="Q1864" s="7">
        <v>73.959999999999994</v>
      </c>
      <c r="R1864" s="7">
        <v>535.77</v>
      </c>
      <c r="S1864" s="7">
        <v>0.2</v>
      </c>
      <c r="T1864" s="7">
        <v>107.15</v>
      </c>
      <c r="U1864" s="7">
        <v>428.61</v>
      </c>
      <c r="V1864" s="7">
        <v>295.82</v>
      </c>
      <c r="W1864" s="7">
        <v>132.79</v>
      </c>
      <c r="X1864" s="7" t="s">
        <v>45</v>
      </c>
    </row>
    <row r="1865" spans="1:24" x14ac:dyDescent="0.25">
      <c r="A1865" s="16" t="s">
        <v>2354</v>
      </c>
      <c r="B1865" s="17">
        <v>45628</v>
      </c>
      <c r="C1865" s="6" t="s">
        <v>611</v>
      </c>
      <c r="D1865" s="6" t="s">
        <v>264</v>
      </c>
      <c r="E1865" s="6" t="s">
        <v>126</v>
      </c>
      <c r="F1865" s="6" t="s">
        <v>127</v>
      </c>
      <c r="G1865" s="6" t="s">
        <v>95</v>
      </c>
      <c r="H1865" s="6" t="s">
        <v>128</v>
      </c>
      <c r="I1865" s="6" t="s">
        <v>88</v>
      </c>
      <c r="J1865" s="6" t="s">
        <v>173</v>
      </c>
      <c r="K1865" s="6" t="s">
        <v>29</v>
      </c>
      <c r="L1865" s="6" t="s">
        <v>2660</v>
      </c>
      <c r="M1865" s="6" t="s">
        <v>43</v>
      </c>
      <c r="N1865" s="6" t="s">
        <v>70</v>
      </c>
      <c r="O1865" s="6">
        <v>36</v>
      </c>
      <c r="P1865" s="6">
        <v>89.45</v>
      </c>
      <c r="Q1865" s="6">
        <v>54.16</v>
      </c>
      <c r="R1865" s="6">
        <v>3220.03</v>
      </c>
      <c r="S1865" s="6">
        <v>0.2</v>
      </c>
      <c r="T1865" s="6">
        <v>644.01</v>
      </c>
      <c r="U1865" s="6">
        <v>2576.02</v>
      </c>
      <c r="V1865" s="6">
        <v>1949.88</v>
      </c>
      <c r="W1865" s="6">
        <v>626.14</v>
      </c>
      <c r="X1865" s="6" t="s">
        <v>45</v>
      </c>
    </row>
    <row r="1866" spans="1:24" x14ac:dyDescent="0.25">
      <c r="A1866" s="5" t="s">
        <v>2355</v>
      </c>
      <c r="B1866" s="18">
        <v>45447</v>
      </c>
      <c r="C1866" s="7" t="s">
        <v>1831</v>
      </c>
      <c r="D1866" s="7" t="s">
        <v>256</v>
      </c>
      <c r="E1866" s="7" t="s">
        <v>250</v>
      </c>
      <c r="F1866" s="7" t="s">
        <v>251</v>
      </c>
      <c r="G1866" s="7" t="s">
        <v>51</v>
      </c>
      <c r="H1866" s="7" t="s">
        <v>252</v>
      </c>
      <c r="I1866" s="7" t="s">
        <v>27</v>
      </c>
      <c r="J1866" s="7" t="s">
        <v>189</v>
      </c>
      <c r="K1866" s="7" t="s">
        <v>111</v>
      </c>
      <c r="L1866" s="7" t="s">
        <v>2667</v>
      </c>
      <c r="M1866" s="7" t="s">
        <v>61</v>
      </c>
      <c r="N1866" s="7" t="s">
        <v>31</v>
      </c>
      <c r="O1866" s="7">
        <v>2</v>
      </c>
      <c r="P1866" s="7">
        <v>64.400000000000006</v>
      </c>
      <c r="Q1866" s="7">
        <v>38.909999999999997</v>
      </c>
      <c r="R1866" s="7">
        <v>128.80000000000001</v>
      </c>
      <c r="S1866" s="7">
        <v>0.02</v>
      </c>
      <c r="T1866" s="7">
        <v>2.58</v>
      </c>
      <c r="U1866" s="7">
        <v>126.23</v>
      </c>
      <c r="V1866" s="7">
        <v>77.819999999999993</v>
      </c>
      <c r="W1866" s="7">
        <v>48.41</v>
      </c>
      <c r="X1866" s="7" t="s">
        <v>45</v>
      </c>
    </row>
    <row r="1867" spans="1:24" x14ac:dyDescent="0.25">
      <c r="A1867" s="16" t="s">
        <v>2356</v>
      </c>
      <c r="B1867" s="17">
        <v>45532</v>
      </c>
      <c r="C1867" s="6" t="s">
        <v>301</v>
      </c>
      <c r="D1867" s="6" t="s">
        <v>259</v>
      </c>
      <c r="E1867" s="6" t="s">
        <v>114</v>
      </c>
      <c r="F1867" s="6" t="s">
        <v>115</v>
      </c>
      <c r="G1867" s="6" t="s">
        <v>95</v>
      </c>
      <c r="H1867" s="6" t="s">
        <v>116</v>
      </c>
      <c r="I1867" s="6" t="s">
        <v>40</v>
      </c>
      <c r="J1867" s="6" t="s">
        <v>41</v>
      </c>
      <c r="K1867" s="6" t="s">
        <v>83</v>
      </c>
      <c r="L1867" s="6" t="s">
        <v>2665</v>
      </c>
      <c r="M1867" s="6" t="s">
        <v>43</v>
      </c>
      <c r="N1867" s="6" t="s">
        <v>44</v>
      </c>
      <c r="O1867" s="6">
        <v>19</v>
      </c>
      <c r="P1867" s="6">
        <v>33.54</v>
      </c>
      <c r="Q1867" s="6">
        <v>20.84</v>
      </c>
      <c r="R1867" s="6">
        <v>637.21</v>
      </c>
      <c r="S1867" s="6">
        <v>0.2</v>
      </c>
      <c r="T1867" s="6">
        <v>127.44</v>
      </c>
      <c r="U1867" s="6">
        <v>509.77</v>
      </c>
      <c r="V1867" s="6">
        <v>395.89</v>
      </c>
      <c r="W1867" s="6">
        <v>113.88</v>
      </c>
      <c r="X1867" s="6" t="s">
        <v>45</v>
      </c>
    </row>
    <row r="1868" spans="1:24" x14ac:dyDescent="0.25">
      <c r="A1868" s="5" t="s">
        <v>2357</v>
      </c>
      <c r="B1868" s="18">
        <v>45318</v>
      </c>
      <c r="C1868" s="7" t="s">
        <v>305</v>
      </c>
      <c r="D1868" s="7" t="s">
        <v>87</v>
      </c>
      <c r="E1868" s="7" t="s">
        <v>36</v>
      </c>
      <c r="F1868" s="7" t="s">
        <v>37</v>
      </c>
      <c r="G1868" s="7" t="s">
        <v>38</v>
      </c>
      <c r="H1868" s="7" t="s">
        <v>39</v>
      </c>
      <c r="I1868" s="7" t="s">
        <v>431</v>
      </c>
      <c r="J1868" s="7" t="s">
        <v>89</v>
      </c>
      <c r="K1868" s="7" t="s">
        <v>184</v>
      </c>
      <c r="L1868" s="7" t="s">
        <v>2672</v>
      </c>
      <c r="M1868" s="7" t="s">
        <v>43</v>
      </c>
      <c r="N1868" s="7" t="s">
        <v>75</v>
      </c>
      <c r="O1868" s="7">
        <v>13</v>
      </c>
      <c r="P1868" s="7">
        <v>176.9</v>
      </c>
      <c r="Q1868" s="7">
        <v>100.16</v>
      </c>
      <c r="R1868" s="7">
        <v>2299.65</v>
      </c>
      <c r="S1868" s="7">
        <v>0.1</v>
      </c>
      <c r="T1868" s="7">
        <v>229.96</v>
      </c>
      <c r="U1868" s="7">
        <v>2069.6799999999998</v>
      </c>
      <c r="V1868" s="7">
        <v>1302.1199999999999</v>
      </c>
      <c r="W1868" s="7">
        <v>767.56</v>
      </c>
      <c r="X1868" s="7" t="s">
        <v>45</v>
      </c>
    </row>
    <row r="1869" spans="1:24" x14ac:dyDescent="0.25">
      <c r="A1869" s="16" t="s">
        <v>2358</v>
      </c>
      <c r="B1869" s="17">
        <v>45431</v>
      </c>
      <c r="C1869" s="6" t="s">
        <v>763</v>
      </c>
      <c r="D1869" s="6" t="s">
        <v>105</v>
      </c>
      <c r="E1869" s="6" t="s">
        <v>109</v>
      </c>
      <c r="F1869" s="6" t="s">
        <v>110</v>
      </c>
      <c r="G1869" s="6" t="s">
        <v>80</v>
      </c>
      <c r="H1869" s="6" t="s">
        <v>81</v>
      </c>
      <c r="I1869" s="6" t="s">
        <v>53</v>
      </c>
      <c r="J1869" s="6" t="s">
        <v>122</v>
      </c>
      <c r="K1869" s="6" t="s">
        <v>111</v>
      </c>
      <c r="L1869" s="6" t="s">
        <v>2667</v>
      </c>
      <c r="M1869" s="6" t="s">
        <v>61</v>
      </c>
      <c r="N1869" s="6" t="s">
        <v>70</v>
      </c>
      <c r="O1869" s="6">
        <v>50</v>
      </c>
      <c r="P1869" s="6">
        <v>118.63</v>
      </c>
      <c r="Q1869" s="6">
        <v>78.84</v>
      </c>
      <c r="R1869" s="6">
        <v>5931.6</v>
      </c>
      <c r="S1869" s="6">
        <v>0.2</v>
      </c>
      <c r="T1869" s="6">
        <v>1186.32</v>
      </c>
      <c r="U1869" s="6">
        <v>4745.28</v>
      </c>
      <c r="V1869" s="6">
        <v>3941.8</v>
      </c>
      <c r="W1869" s="6">
        <v>803.48</v>
      </c>
      <c r="X1869" s="6" t="s">
        <v>45</v>
      </c>
    </row>
    <row r="1870" spans="1:24" x14ac:dyDescent="0.25">
      <c r="A1870" s="5" t="s">
        <v>2359</v>
      </c>
      <c r="B1870" s="18">
        <v>45415</v>
      </c>
      <c r="C1870" s="7" t="s">
        <v>480</v>
      </c>
      <c r="D1870" s="7" t="s">
        <v>22</v>
      </c>
      <c r="E1870" s="7" t="s">
        <v>165</v>
      </c>
      <c r="F1870" s="7" t="s">
        <v>166</v>
      </c>
      <c r="G1870" s="7" t="s">
        <v>95</v>
      </c>
      <c r="H1870" s="7" t="s">
        <v>167</v>
      </c>
      <c r="I1870" s="7" t="s">
        <v>40</v>
      </c>
      <c r="J1870" s="7" t="s">
        <v>289</v>
      </c>
      <c r="K1870" s="7" t="s">
        <v>74</v>
      </c>
      <c r="L1870" s="7" t="s">
        <v>2664</v>
      </c>
      <c r="M1870" s="7" t="s">
        <v>43</v>
      </c>
      <c r="N1870" s="7" t="s">
        <v>70</v>
      </c>
      <c r="O1870" s="7">
        <v>39</v>
      </c>
      <c r="P1870" s="7">
        <v>41.52</v>
      </c>
      <c r="Q1870" s="7">
        <v>25.87</v>
      </c>
      <c r="R1870" s="7">
        <v>1619.18</v>
      </c>
      <c r="S1870" s="7">
        <v>0.2</v>
      </c>
      <c r="T1870" s="7">
        <v>323.83999999999997</v>
      </c>
      <c r="U1870" s="7">
        <v>1295.3499999999999</v>
      </c>
      <c r="V1870" s="7">
        <v>1008.95</v>
      </c>
      <c r="W1870" s="7">
        <v>286.39999999999998</v>
      </c>
      <c r="X1870" s="7" t="s">
        <v>45</v>
      </c>
    </row>
    <row r="1871" spans="1:24" x14ac:dyDescent="0.25">
      <c r="A1871" s="16" t="s">
        <v>2360</v>
      </c>
      <c r="B1871" s="17">
        <v>45487</v>
      </c>
      <c r="C1871" s="6" t="s">
        <v>208</v>
      </c>
      <c r="D1871" s="6" t="s">
        <v>35</v>
      </c>
      <c r="E1871" s="6" t="s">
        <v>99</v>
      </c>
      <c r="F1871" s="6" t="s">
        <v>100</v>
      </c>
      <c r="G1871" s="6" t="s">
        <v>101</v>
      </c>
      <c r="H1871" s="6" t="s">
        <v>102</v>
      </c>
      <c r="I1871" s="6" t="s">
        <v>40</v>
      </c>
      <c r="J1871" s="6" t="s">
        <v>82</v>
      </c>
      <c r="K1871" s="6" t="s">
        <v>253</v>
      </c>
      <c r="L1871" s="6" t="s">
        <v>2676</v>
      </c>
      <c r="M1871" s="6" t="s">
        <v>30</v>
      </c>
      <c r="N1871" s="6" t="s">
        <v>75</v>
      </c>
      <c r="O1871" s="6">
        <v>27</v>
      </c>
      <c r="P1871" s="6">
        <v>73.67</v>
      </c>
      <c r="Q1871" s="6">
        <v>42.53</v>
      </c>
      <c r="R1871" s="6">
        <v>1989.05</v>
      </c>
      <c r="S1871" s="6">
        <v>0.1</v>
      </c>
      <c r="T1871" s="6">
        <v>198.9</v>
      </c>
      <c r="U1871" s="6">
        <v>1790.14</v>
      </c>
      <c r="V1871" s="6">
        <v>1148.3800000000001</v>
      </c>
      <c r="W1871" s="6">
        <v>641.76</v>
      </c>
      <c r="X1871" s="6" t="s">
        <v>45</v>
      </c>
    </row>
    <row r="1872" spans="1:24" x14ac:dyDescent="0.25">
      <c r="A1872" s="5" t="s">
        <v>2361</v>
      </c>
      <c r="B1872" s="18">
        <v>45550</v>
      </c>
      <c r="C1872" s="7" t="s">
        <v>1236</v>
      </c>
      <c r="D1872" s="7" t="s">
        <v>156</v>
      </c>
      <c r="E1872" s="7" t="s">
        <v>114</v>
      </c>
      <c r="F1872" s="7" t="s">
        <v>115</v>
      </c>
      <c r="G1872" s="7" t="s">
        <v>95</v>
      </c>
      <c r="H1872" s="7" t="s">
        <v>116</v>
      </c>
      <c r="I1872" s="7" t="s">
        <v>27</v>
      </c>
      <c r="J1872" s="7" t="s">
        <v>28</v>
      </c>
      <c r="K1872" s="7" t="s">
        <v>265</v>
      </c>
      <c r="L1872" s="7" t="s">
        <v>2678</v>
      </c>
      <c r="M1872" s="7" t="s">
        <v>30</v>
      </c>
      <c r="N1872" s="7" t="s">
        <v>84</v>
      </c>
      <c r="O1872" s="7">
        <v>61</v>
      </c>
      <c r="P1872" s="7">
        <v>32.299999999999997</v>
      </c>
      <c r="Q1872" s="7">
        <v>22.25</v>
      </c>
      <c r="R1872" s="7">
        <v>1970.39</v>
      </c>
      <c r="S1872" s="7">
        <v>0.1</v>
      </c>
      <c r="T1872" s="7">
        <v>197.04</v>
      </c>
      <c r="U1872" s="7">
        <v>1773.35</v>
      </c>
      <c r="V1872" s="7">
        <v>1357.27</v>
      </c>
      <c r="W1872" s="7">
        <v>416.08</v>
      </c>
      <c r="X1872" s="7" t="s">
        <v>45</v>
      </c>
    </row>
    <row r="1873" spans="1:24" x14ac:dyDescent="0.25">
      <c r="A1873" s="16" t="s">
        <v>2362</v>
      </c>
      <c r="B1873" s="17">
        <v>45334</v>
      </c>
      <c r="C1873" s="6" t="s">
        <v>1887</v>
      </c>
      <c r="D1873" s="6" t="s">
        <v>159</v>
      </c>
      <c r="E1873" s="6" t="s">
        <v>150</v>
      </c>
      <c r="F1873" s="6" t="s">
        <v>151</v>
      </c>
      <c r="G1873" s="6" t="s">
        <v>101</v>
      </c>
      <c r="H1873" s="6" t="s">
        <v>134</v>
      </c>
      <c r="I1873" s="6" t="s">
        <v>53</v>
      </c>
      <c r="J1873" s="6" t="s">
        <v>143</v>
      </c>
      <c r="K1873" s="6" t="s">
        <v>83</v>
      </c>
      <c r="L1873" s="6" t="s">
        <v>2665</v>
      </c>
      <c r="M1873" s="6" t="s">
        <v>30</v>
      </c>
      <c r="N1873" s="6" t="s">
        <v>31</v>
      </c>
      <c r="O1873" s="6">
        <v>54</v>
      </c>
      <c r="P1873" s="6">
        <v>87.94</v>
      </c>
      <c r="Q1873" s="6">
        <v>49.14</v>
      </c>
      <c r="R1873" s="6">
        <v>4748.74</v>
      </c>
      <c r="S1873" s="6">
        <v>0.2</v>
      </c>
      <c r="T1873" s="6">
        <v>949.75</v>
      </c>
      <c r="U1873" s="6">
        <v>3798.99</v>
      </c>
      <c r="V1873" s="6">
        <v>2653.81</v>
      </c>
      <c r="W1873" s="6">
        <v>1145.18</v>
      </c>
      <c r="X1873" s="6" t="s">
        <v>32</v>
      </c>
    </row>
    <row r="1874" spans="1:24" x14ac:dyDescent="0.25">
      <c r="A1874" s="5" t="s">
        <v>2363</v>
      </c>
      <c r="B1874" s="18">
        <v>45375</v>
      </c>
      <c r="C1874" s="7" t="s">
        <v>674</v>
      </c>
      <c r="D1874" s="7" t="s">
        <v>264</v>
      </c>
      <c r="E1874" s="7" t="s">
        <v>250</v>
      </c>
      <c r="F1874" s="7" t="s">
        <v>251</v>
      </c>
      <c r="G1874" s="7" t="s">
        <v>51</v>
      </c>
      <c r="H1874" s="7" t="s">
        <v>252</v>
      </c>
      <c r="I1874" s="7" t="s">
        <v>40</v>
      </c>
      <c r="J1874" s="7" t="s">
        <v>82</v>
      </c>
      <c r="K1874" s="7" t="s">
        <v>42</v>
      </c>
      <c r="L1874" s="7" t="s">
        <v>2661</v>
      </c>
      <c r="M1874" s="7" t="s">
        <v>43</v>
      </c>
      <c r="N1874" s="7" t="s">
        <v>75</v>
      </c>
      <c r="O1874" s="7">
        <v>67</v>
      </c>
      <c r="P1874" s="7">
        <v>66.63</v>
      </c>
      <c r="Q1874" s="7">
        <v>40.42</v>
      </c>
      <c r="R1874" s="7">
        <v>4464.42</v>
      </c>
      <c r="S1874" s="7">
        <v>0.02</v>
      </c>
      <c r="T1874" s="7">
        <v>89.29</v>
      </c>
      <c r="U1874" s="7">
        <v>4375.13</v>
      </c>
      <c r="V1874" s="7">
        <v>2708.29</v>
      </c>
      <c r="W1874" s="7">
        <v>1666.84</v>
      </c>
      <c r="X1874" s="7" t="s">
        <v>45</v>
      </c>
    </row>
    <row r="1875" spans="1:24" x14ac:dyDescent="0.25">
      <c r="A1875" s="16" t="s">
        <v>2364</v>
      </c>
      <c r="B1875" s="17">
        <v>45434</v>
      </c>
      <c r="C1875" s="6" t="s">
        <v>888</v>
      </c>
      <c r="D1875" s="6" t="s">
        <v>159</v>
      </c>
      <c r="E1875" s="6" t="s">
        <v>109</v>
      </c>
      <c r="F1875" s="6" t="s">
        <v>110</v>
      </c>
      <c r="G1875" s="6" t="s">
        <v>80</v>
      </c>
      <c r="H1875" s="6" t="s">
        <v>81</v>
      </c>
      <c r="I1875" s="6" t="s">
        <v>58</v>
      </c>
      <c r="J1875" s="6" t="s">
        <v>323</v>
      </c>
      <c r="K1875" s="6" t="s">
        <v>111</v>
      </c>
      <c r="L1875" s="6" t="s">
        <v>2667</v>
      </c>
      <c r="M1875" s="6" t="s">
        <v>61</v>
      </c>
      <c r="N1875" s="6" t="s">
        <v>75</v>
      </c>
      <c r="O1875" s="6">
        <v>18</v>
      </c>
      <c r="P1875" s="6">
        <v>133.88</v>
      </c>
      <c r="Q1875" s="6">
        <v>69.84</v>
      </c>
      <c r="R1875" s="6">
        <v>2409.86</v>
      </c>
      <c r="S1875" s="6">
        <v>0.15</v>
      </c>
      <c r="T1875" s="6">
        <v>361.48</v>
      </c>
      <c r="U1875" s="6">
        <v>2048.38</v>
      </c>
      <c r="V1875" s="6">
        <v>1257.1500000000001</v>
      </c>
      <c r="W1875" s="6">
        <v>791.23</v>
      </c>
      <c r="X1875" s="6" t="s">
        <v>45</v>
      </c>
    </row>
    <row r="1876" spans="1:24" x14ac:dyDescent="0.25">
      <c r="A1876" s="5" t="s">
        <v>2365</v>
      </c>
      <c r="B1876" s="18">
        <v>45611</v>
      </c>
      <c r="C1876" s="7" t="s">
        <v>613</v>
      </c>
      <c r="D1876" s="7" t="s">
        <v>87</v>
      </c>
      <c r="E1876" s="7" t="s">
        <v>141</v>
      </c>
      <c r="F1876" s="7" t="s">
        <v>142</v>
      </c>
      <c r="G1876" s="7" t="s">
        <v>25</v>
      </c>
      <c r="H1876" s="7" t="s">
        <v>26</v>
      </c>
      <c r="I1876" s="7" t="s">
        <v>58</v>
      </c>
      <c r="J1876" s="7" t="s">
        <v>59</v>
      </c>
      <c r="K1876" s="7" t="s">
        <v>178</v>
      </c>
      <c r="L1876" s="7" t="s">
        <v>256</v>
      </c>
      <c r="M1876" s="7" t="s">
        <v>61</v>
      </c>
      <c r="N1876" s="7" t="s">
        <v>75</v>
      </c>
      <c r="O1876" s="7">
        <v>56</v>
      </c>
      <c r="P1876" s="7">
        <v>94.43</v>
      </c>
      <c r="Q1876" s="7">
        <v>57.18</v>
      </c>
      <c r="R1876" s="7">
        <v>5287.91</v>
      </c>
      <c r="S1876" s="7">
        <v>0</v>
      </c>
      <c r="T1876" s="7">
        <v>0</v>
      </c>
      <c r="U1876" s="7">
        <v>5287.91</v>
      </c>
      <c r="V1876" s="7">
        <v>3202.15</v>
      </c>
      <c r="W1876" s="7">
        <v>2085.7600000000002</v>
      </c>
      <c r="X1876" s="7" t="s">
        <v>32</v>
      </c>
    </row>
    <row r="1877" spans="1:24" x14ac:dyDescent="0.25">
      <c r="A1877" s="16" t="s">
        <v>2366</v>
      </c>
      <c r="B1877" s="17">
        <v>45592</v>
      </c>
      <c r="C1877" s="6" t="s">
        <v>477</v>
      </c>
      <c r="D1877" s="6" t="s">
        <v>221</v>
      </c>
      <c r="E1877" s="6" t="s">
        <v>209</v>
      </c>
      <c r="F1877" s="6" t="s">
        <v>210</v>
      </c>
      <c r="G1877" s="6" t="s">
        <v>51</v>
      </c>
      <c r="H1877" s="6" t="s">
        <v>116</v>
      </c>
      <c r="I1877" s="6" t="s">
        <v>88</v>
      </c>
      <c r="J1877" s="6" t="s">
        <v>89</v>
      </c>
      <c r="K1877" s="6" t="s">
        <v>265</v>
      </c>
      <c r="L1877" s="6" t="s">
        <v>2678</v>
      </c>
      <c r="M1877" s="6" t="s">
        <v>153</v>
      </c>
      <c r="N1877" s="6" t="s">
        <v>75</v>
      </c>
      <c r="O1877" s="6">
        <v>45</v>
      </c>
      <c r="P1877" s="6">
        <v>17.73</v>
      </c>
      <c r="Q1877" s="6">
        <v>9.73</v>
      </c>
      <c r="R1877" s="6">
        <v>797.92</v>
      </c>
      <c r="S1877" s="6">
        <v>0.2</v>
      </c>
      <c r="T1877" s="6">
        <v>159.58000000000001</v>
      </c>
      <c r="U1877" s="6">
        <v>638.34</v>
      </c>
      <c r="V1877" s="6">
        <v>437.63</v>
      </c>
      <c r="W1877" s="6">
        <v>200.7</v>
      </c>
      <c r="X1877" s="6" t="s">
        <v>45</v>
      </c>
    </row>
    <row r="1878" spans="1:24" x14ac:dyDescent="0.25">
      <c r="A1878" s="5" t="s">
        <v>2367</v>
      </c>
      <c r="B1878" s="18">
        <v>45437</v>
      </c>
      <c r="C1878" s="7" t="s">
        <v>309</v>
      </c>
      <c r="D1878" s="7" t="s">
        <v>65</v>
      </c>
      <c r="E1878" s="7" t="s">
        <v>114</v>
      </c>
      <c r="F1878" s="7" t="s">
        <v>115</v>
      </c>
      <c r="G1878" s="7" t="s">
        <v>95</v>
      </c>
      <c r="H1878" s="7" t="s">
        <v>116</v>
      </c>
      <c r="I1878" s="7" t="s">
        <v>27</v>
      </c>
      <c r="J1878" s="7" t="s">
        <v>106</v>
      </c>
      <c r="K1878" s="7" t="s">
        <v>83</v>
      </c>
      <c r="L1878" s="7" t="s">
        <v>2665</v>
      </c>
      <c r="M1878" s="7" t="s">
        <v>30</v>
      </c>
      <c r="N1878" s="7" t="s">
        <v>70</v>
      </c>
      <c r="O1878" s="7">
        <v>27</v>
      </c>
      <c r="P1878" s="7">
        <v>34.03</v>
      </c>
      <c r="Q1878" s="7">
        <v>21.06</v>
      </c>
      <c r="R1878" s="7">
        <v>918.76</v>
      </c>
      <c r="S1878" s="7">
        <v>0.1</v>
      </c>
      <c r="T1878" s="7">
        <v>91.88</v>
      </c>
      <c r="U1878" s="7">
        <v>826.88</v>
      </c>
      <c r="V1878" s="7">
        <v>568.61</v>
      </c>
      <c r="W1878" s="7">
        <v>258.27999999999997</v>
      </c>
      <c r="X1878" s="7" t="s">
        <v>45</v>
      </c>
    </row>
    <row r="1879" spans="1:24" x14ac:dyDescent="0.25">
      <c r="A1879" s="16" t="s">
        <v>2368</v>
      </c>
      <c r="B1879" s="17">
        <v>45367</v>
      </c>
      <c r="C1879" s="6" t="s">
        <v>392</v>
      </c>
      <c r="D1879" s="6" t="s">
        <v>393</v>
      </c>
      <c r="E1879" s="6" t="s">
        <v>78</v>
      </c>
      <c r="F1879" s="6" t="s">
        <v>79</v>
      </c>
      <c r="G1879" s="6" t="s">
        <v>80</v>
      </c>
      <c r="H1879" s="6" t="s">
        <v>81</v>
      </c>
      <c r="I1879" s="6" t="s">
        <v>40</v>
      </c>
      <c r="J1879" s="6" t="s">
        <v>289</v>
      </c>
      <c r="K1879" s="6" t="s">
        <v>265</v>
      </c>
      <c r="L1879" s="6" t="s">
        <v>2678</v>
      </c>
      <c r="M1879" s="6" t="s">
        <v>43</v>
      </c>
      <c r="N1879" s="6" t="s">
        <v>70</v>
      </c>
      <c r="O1879" s="6">
        <v>6</v>
      </c>
      <c r="P1879" s="6">
        <v>150.26</v>
      </c>
      <c r="Q1879" s="6">
        <v>78.33</v>
      </c>
      <c r="R1879" s="6">
        <v>901.57</v>
      </c>
      <c r="S1879" s="6">
        <v>0.05</v>
      </c>
      <c r="T1879" s="6">
        <v>45.08</v>
      </c>
      <c r="U1879" s="6">
        <v>856.49</v>
      </c>
      <c r="V1879" s="6">
        <v>469.99</v>
      </c>
      <c r="W1879" s="6">
        <v>386.5</v>
      </c>
      <c r="X1879" s="6" t="s">
        <v>45</v>
      </c>
    </row>
    <row r="1880" spans="1:24" x14ac:dyDescent="0.25">
      <c r="A1880" s="5" t="s">
        <v>2369</v>
      </c>
      <c r="B1880" s="18">
        <v>45319</v>
      </c>
      <c r="C1880" s="7" t="s">
        <v>1112</v>
      </c>
      <c r="D1880" s="7" t="s">
        <v>159</v>
      </c>
      <c r="E1880" s="7" t="s">
        <v>150</v>
      </c>
      <c r="F1880" s="7" t="s">
        <v>151</v>
      </c>
      <c r="G1880" s="7" t="s">
        <v>101</v>
      </c>
      <c r="H1880" s="7" t="s">
        <v>134</v>
      </c>
      <c r="I1880" s="7" t="s">
        <v>88</v>
      </c>
      <c r="J1880" s="7" t="s">
        <v>183</v>
      </c>
      <c r="K1880" s="7" t="s">
        <v>144</v>
      </c>
      <c r="L1880" s="7" t="s">
        <v>2669</v>
      </c>
      <c r="M1880" s="7" t="s">
        <v>30</v>
      </c>
      <c r="N1880" s="7" t="s">
        <v>31</v>
      </c>
      <c r="O1880" s="7">
        <v>34</v>
      </c>
      <c r="P1880" s="7">
        <v>83.91</v>
      </c>
      <c r="Q1880" s="7">
        <v>52.13</v>
      </c>
      <c r="R1880" s="7">
        <v>2852.88</v>
      </c>
      <c r="S1880" s="7">
        <v>0</v>
      </c>
      <c r="T1880" s="7">
        <v>0</v>
      </c>
      <c r="U1880" s="7">
        <v>2852.88</v>
      </c>
      <c r="V1880" s="7">
        <v>1772.43</v>
      </c>
      <c r="W1880" s="7">
        <v>1080.45</v>
      </c>
      <c r="X1880" s="7" t="s">
        <v>45</v>
      </c>
    </row>
    <row r="1881" spans="1:24" x14ac:dyDescent="0.25">
      <c r="A1881" s="16" t="s">
        <v>2370</v>
      </c>
      <c r="B1881" s="17">
        <v>45648</v>
      </c>
      <c r="C1881" s="6" t="s">
        <v>1709</v>
      </c>
      <c r="D1881" s="6" t="s">
        <v>159</v>
      </c>
      <c r="E1881" s="6" t="s">
        <v>109</v>
      </c>
      <c r="F1881" s="6" t="s">
        <v>110</v>
      </c>
      <c r="G1881" s="6" t="s">
        <v>80</v>
      </c>
      <c r="H1881" s="6" t="s">
        <v>81</v>
      </c>
      <c r="I1881" s="6" t="s">
        <v>40</v>
      </c>
      <c r="J1881" s="6" t="s">
        <v>117</v>
      </c>
      <c r="K1881" s="6" t="s">
        <v>253</v>
      </c>
      <c r="L1881" s="6" t="s">
        <v>2676</v>
      </c>
      <c r="M1881" s="6" t="s">
        <v>43</v>
      </c>
      <c r="N1881" s="6" t="s">
        <v>44</v>
      </c>
      <c r="O1881" s="6">
        <v>76</v>
      </c>
      <c r="P1881" s="6">
        <v>118.35</v>
      </c>
      <c r="Q1881" s="6">
        <v>69.819999999999993</v>
      </c>
      <c r="R1881" s="6">
        <v>8994.59</v>
      </c>
      <c r="S1881" s="6">
        <v>0.15</v>
      </c>
      <c r="T1881" s="6">
        <v>1349.19</v>
      </c>
      <c r="U1881" s="6">
        <v>7645.4</v>
      </c>
      <c r="V1881" s="6">
        <v>5306.6</v>
      </c>
      <c r="W1881" s="6">
        <v>2338.79</v>
      </c>
      <c r="X1881" s="6" t="s">
        <v>129</v>
      </c>
    </row>
    <row r="1882" spans="1:24" x14ac:dyDescent="0.25">
      <c r="A1882" s="5" t="s">
        <v>2371</v>
      </c>
      <c r="B1882" s="18">
        <v>45438</v>
      </c>
      <c r="C1882" s="7" t="s">
        <v>182</v>
      </c>
      <c r="D1882" s="7" t="s">
        <v>35</v>
      </c>
      <c r="E1882" s="7" t="s">
        <v>99</v>
      </c>
      <c r="F1882" s="7" t="s">
        <v>100</v>
      </c>
      <c r="G1882" s="7" t="s">
        <v>101</v>
      </c>
      <c r="H1882" s="7" t="s">
        <v>102</v>
      </c>
      <c r="I1882" s="7" t="s">
        <v>27</v>
      </c>
      <c r="J1882" s="7" t="s">
        <v>189</v>
      </c>
      <c r="K1882" s="7" t="s">
        <v>111</v>
      </c>
      <c r="L1882" s="7" t="s">
        <v>2667</v>
      </c>
      <c r="M1882" s="7" t="s">
        <v>61</v>
      </c>
      <c r="N1882" s="7" t="s">
        <v>31</v>
      </c>
      <c r="O1882" s="7">
        <v>71</v>
      </c>
      <c r="P1882" s="7">
        <v>72.19</v>
      </c>
      <c r="Q1882" s="7">
        <v>37.74</v>
      </c>
      <c r="R1882" s="7">
        <v>5125.5600000000004</v>
      </c>
      <c r="S1882" s="7">
        <v>0.1</v>
      </c>
      <c r="T1882" s="7">
        <v>512.55999999999995</v>
      </c>
      <c r="U1882" s="7">
        <v>4613</v>
      </c>
      <c r="V1882" s="7">
        <v>2679.62</v>
      </c>
      <c r="W1882" s="7">
        <v>1933.38</v>
      </c>
      <c r="X1882" s="7" t="s">
        <v>45</v>
      </c>
    </row>
    <row r="1883" spans="1:24" x14ac:dyDescent="0.25">
      <c r="A1883" s="16" t="s">
        <v>2372</v>
      </c>
      <c r="B1883" s="17">
        <v>45396</v>
      </c>
      <c r="C1883" s="6" t="s">
        <v>1617</v>
      </c>
      <c r="D1883" s="6" t="s">
        <v>35</v>
      </c>
      <c r="E1883" s="6" t="s">
        <v>126</v>
      </c>
      <c r="F1883" s="6" t="s">
        <v>127</v>
      </c>
      <c r="G1883" s="6" t="s">
        <v>95</v>
      </c>
      <c r="H1883" s="6" t="s">
        <v>128</v>
      </c>
      <c r="I1883" s="6" t="s">
        <v>53</v>
      </c>
      <c r="J1883" s="6" t="s">
        <v>54</v>
      </c>
      <c r="K1883" s="6" t="s">
        <v>118</v>
      </c>
      <c r="L1883" s="6" t="s">
        <v>2668</v>
      </c>
      <c r="M1883" s="6" t="s">
        <v>61</v>
      </c>
      <c r="N1883" s="6" t="s">
        <v>75</v>
      </c>
      <c r="O1883" s="6">
        <v>60</v>
      </c>
      <c r="P1883" s="6">
        <v>88.14</v>
      </c>
      <c r="Q1883" s="6">
        <v>56.57</v>
      </c>
      <c r="R1883" s="6">
        <v>5288.64</v>
      </c>
      <c r="S1883" s="6">
        <v>0.02</v>
      </c>
      <c r="T1883" s="6">
        <v>105.77</v>
      </c>
      <c r="U1883" s="6">
        <v>5182.87</v>
      </c>
      <c r="V1883" s="6">
        <v>3394.09</v>
      </c>
      <c r="W1883" s="6">
        <v>1788.78</v>
      </c>
      <c r="X1883" s="6" t="s">
        <v>129</v>
      </c>
    </row>
    <row r="1884" spans="1:24" x14ac:dyDescent="0.25">
      <c r="A1884" s="5" t="s">
        <v>2373</v>
      </c>
      <c r="B1884" s="18">
        <v>45431</v>
      </c>
      <c r="C1884" s="7" t="s">
        <v>201</v>
      </c>
      <c r="D1884" s="7" t="s">
        <v>57</v>
      </c>
      <c r="E1884" s="7" t="s">
        <v>114</v>
      </c>
      <c r="F1884" s="7" t="s">
        <v>115</v>
      </c>
      <c r="G1884" s="7" t="s">
        <v>95</v>
      </c>
      <c r="H1884" s="7" t="s">
        <v>116</v>
      </c>
      <c r="I1884" s="7" t="s">
        <v>88</v>
      </c>
      <c r="J1884" s="7" t="s">
        <v>89</v>
      </c>
      <c r="K1884" s="7" t="s">
        <v>261</v>
      </c>
      <c r="L1884" s="7" t="s">
        <v>2677</v>
      </c>
      <c r="M1884" s="7" t="s">
        <v>61</v>
      </c>
      <c r="N1884" s="7" t="s">
        <v>70</v>
      </c>
      <c r="O1884" s="7">
        <v>18</v>
      </c>
      <c r="P1884" s="7">
        <v>34.979999999999997</v>
      </c>
      <c r="Q1884" s="7">
        <v>21.4</v>
      </c>
      <c r="R1884" s="7">
        <v>629.72</v>
      </c>
      <c r="S1884" s="7">
        <v>0</v>
      </c>
      <c r="T1884" s="7">
        <v>0</v>
      </c>
      <c r="U1884" s="7">
        <v>629.72</v>
      </c>
      <c r="V1884" s="7">
        <v>385.13</v>
      </c>
      <c r="W1884" s="7">
        <v>244.59</v>
      </c>
      <c r="X1884" s="7" t="s">
        <v>129</v>
      </c>
    </row>
    <row r="1885" spans="1:24" x14ac:dyDescent="0.25">
      <c r="A1885" s="16" t="s">
        <v>2374</v>
      </c>
      <c r="B1885" s="17">
        <v>45455</v>
      </c>
      <c r="C1885" s="6" t="s">
        <v>711</v>
      </c>
      <c r="D1885" s="6" t="s">
        <v>57</v>
      </c>
      <c r="E1885" s="6" t="s">
        <v>99</v>
      </c>
      <c r="F1885" s="6" t="s">
        <v>100</v>
      </c>
      <c r="G1885" s="6" t="s">
        <v>101</v>
      </c>
      <c r="H1885" s="6" t="s">
        <v>102</v>
      </c>
      <c r="I1885" s="6" t="s">
        <v>27</v>
      </c>
      <c r="J1885" s="6" t="s">
        <v>28</v>
      </c>
      <c r="K1885" s="6" t="s">
        <v>29</v>
      </c>
      <c r="L1885" s="6" t="s">
        <v>2660</v>
      </c>
      <c r="M1885" s="6" t="s">
        <v>61</v>
      </c>
      <c r="N1885" s="6" t="s">
        <v>70</v>
      </c>
      <c r="O1885" s="6">
        <v>60</v>
      </c>
      <c r="P1885" s="6">
        <v>72.42</v>
      </c>
      <c r="Q1885" s="6">
        <v>43.68</v>
      </c>
      <c r="R1885" s="6">
        <v>4345.03</v>
      </c>
      <c r="S1885" s="6">
        <v>0.2</v>
      </c>
      <c r="T1885" s="6">
        <v>869.01</v>
      </c>
      <c r="U1885" s="6">
        <v>3476.03</v>
      </c>
      <c r="V1885" s="6">
        <v>2621</v>
      </c>
      <c r="W1885" s="6">
        <v>855.03</v>
      </c>
      <c r="X1885" s="6" t="s">
        <v>45</v>
      </c>
    </row>
    <row r="1886" spans="1:24" x14ac:dyDescent="0.25">
      <c r="A1886" s="5" t="s">
        <v>2375</v>
      </c>
      <c r="B1886" s="18">
        <v>45377</v>
      </c>
      <c r="C1886" s="7" t="s">
        <v>967</v>
      </c>
      <c r="D1886" s="7" t="s">
        <v>35</v>
      </c>
      <c r="E1886" s="7" t="s">
        <v>66</v>
      </c>
      <c r="F1886" s="7" t="s">
        <v>67</v>
      </c>
      <c r="G1886" s="7" t="s">
        <v>38</v>
      </c>
      <c r="H1886" s="7" t="s">
        <v>68</v>
      </c>
      <c r="I1886" s="7" t="s">
        <v>27</v>
      </c>
      <c r="J1886" s="7" t="s">
        <v>211</v>
      </c>
      <c r="K1886" s="7" t="s">
        <v>83</v>
      </c>
      <c r="L1886" s="7" t="s">
        <v>2665</v>
      </c>
      <c r="M1886" s="7" t="s">
        <v>43</v>
      </c>
      <c r="N1886" s="7" t="s">
        <v>84</v>
      </c>
      <c r="O1886" s="7">
        <v>39</v>
      </c>
      <c r="P1886" s="7">
        <v>165.78</v>
      </c>
      <c r="Q1886" s="7">
        <v>110.61</v>
      </c>
      <c r="R1886" s="7">
        <v>6465.59</v>
      </c>
      <c r="S1886" s="7">
        <v>0</v>
      </c>
      <c r="T1886" s="7">
        <v>0</v>
      </c>
      <c r="U1886" s="7">
        <v>6465.59</v>
      </c>
      <c r="V1886" s="7">
        <v>4313.71</v>
      </c>
      <c r="W1886" s="7">
        <v>2151.89</v>
      </c>
      <c r="X1886" s="7" t="s">
        <v>45</v>
      </c>
    </row>
    <row r="1887" spans="1:24" x14ac:dyDescent="0.25">
      <c r="A1887" s="16" t="s">
        <v>2376</v>
      </c>
      <c r="B1887" s="17">
        <v>45364</v>
      </c>
      <c r="C1887" s="6" t="s">
        <v>1879</v>
      </c>
      <c r="D1887" s="6" t="s">
        <v>57</v>
      </c>
      <c r="E1887" s="6" t="s">
        <v>176</v>
      </c>
      <c r="F1887" s="6" t="s">
        <v>177</v>
      </c>
      <c r="G1887" s="6" t="s">
        <v>101</v>
      </c>
      <c r="H1887" s="6" t="s">
        <v>39</v>
      </c>
      <c r="I1887" s="6" t="s">
        <v>27</v>
      </c>
      <c r="J1887" s="6" t="s">
        <v>28</v>
      </c>
      <c r="K1887" s="6" t="s">
        <v>218</v>
      </c>
      <c r="L1887" s="6" t="s">
        <v>2674</v>
      </c>
      <c r="M1887" s="6" t="s">
        <v>153</v>
      </c>
      <c r="N1887" s="6" t="s">
        <v>75</v>
      </c>
      <c r="O1887" s="6">
        <v>76</v>
      </c>
      <c r="P1887" s="6">
        <v>100.53</v>
      </c>
      <c r="Q1887" s="6">
        <v>63.4</v>
      </c>
      <c r="R1887" s="6">
        <v>7640</v>
      </c>
      <c r="S1887" s="6">
        <v>0.1</v>
      </c>
      <c r="T1887" s="6">
        <v>764</v>
      </c>
      <c r="U1887" s="6">
        <v>6876</v>
      </c>
      <c r="V1887" s="6">
        <v>4818.6499999999996</v>
      </c>
      <c r="W1887" s="6">
        <v>2057.35</v>
      </c>
      <c r="X1887" s="6" t="s">
        <v>45</v>
      </c>
    </row>
    <row r="1888" spans="1:24" x14ac:dyDescent="0.25">
      <c r="A1888" s="5" t="s">
        <v>2377</v>
      </c>
      <c r="B1888" s="18">
        <v>45605</v>
      </c>
      <c r="C1888" s="7" t="s">
        <v>1706</v>
      </c>
      <c r="D1888" s="7" t="s">
        <v>65</v>
      </c>
      <c r="E1888" s="7" t="s">
        <v>216</v>
      </c>
      <c r="F1888" s="7" t="s">
        <v>217</v>
      </c>
      <c r="G1888" s="7" t="s">
        <v>38</v>
      </c>
      <c r="H1888" s="7" t="s">
        <v>134</v>
      </c>
      <c r="I1888" s="7" t="s">
        <v>88</v>
      </c>
      <c r="J1888" s="7" t="s">
        <v>183</v>
      </c>
      <c r="K1888" s="7" t="s">
        <v>195</v>
      </c>
      <c r="L1888" s="7" t="s">
        <v>2673</v>
      </c>
      <c r="M1888" s="7" t="s">
        <v>609</v>
      </c>
      <c r="N1888" s="7" t="s">
        <v>44</v>
      </c>
      <c r="O1888" s="7">
        <v>38</v>
      </c>
      <c r="P1888" s="7">
        <v>118.75</v>
      </c>
      <c r="Q1888" s="7">
        <v>61.96</v>
      </c>
      <c r="R1888" s="7">
        <v>4512.55</v>
      </c>
      <c r="S1888" s="7">
        <v>0.02</v>
      </c>
      <c r="T1888" s="7">
        <v>90.25</v>
      </c>
      <c r="U1888" s="7">
        <v>4422.3</v>
      </c>
      <c r="V1888" s="7">
        <v>2354.5500000000002</v>
      </c>
      <c r="W1888" s="7">
        <v>2067.75</v>
      </c>
      <c r="X1888" s="7" t="s">
        <v>129</v>
      </c>
    </row>
    <row r="1889" spans="1:24" x14ac:dyDescent="0.25">
      <c r="A1889" s="16" t="s">
        <v>2378</v>
      </c>
      <c r="B1889" s="17">
        <v>45655</v>
      </c>
      <c r="C1889" s="6" t="s">
        <v>897</v>
      </c>
      <c r="D1889" s="6" t="s">
        <v>65</v>
      </c>
      <c r="E1889" s="6" t="s">
        <v>165</v>
      </c>
      <c r="F1889" s="6" t="s">
        <v>166</v>
      </c>
      <c r="G1889" s="6" t="s">
        <v>95</v>
      </c>
      <c r="H1889" s="6" t="s">
        <v>167</v>
      </c>
      <c r="I1889" s="6" t="s">
        <v>40</v>
      </c>
      <c r="J1889" s="6" t="s">
        <v>289</v>
      </c>
      <c r="K1889" s="6" t="s">
        <v>118</v>
      </c>
      <c r="L1889" s="6" t="s">
        <v>2668</v>
      </c>
      <c r="M1889" s="6" t="s">
        <v>153</v>
      </c>
      <c r="N1889" s="6" t="s">
        <v>75</v>
      </c>
      <c r="O1889" s="6">
        <v>27</v>
      </c>
      <c r="P1889" s="6">
        <v>41.02</v>
      </c>
      <c r="Q1889" s="6">
        <v>25.02</v>
      </c>
      <c r="R1889" s="6">
        <v>1107.5899999999999</v>
      </c>
      <c r="S1889" s="6">
        <v>0.1</v>
      </c>
      <c r="T1889" s="6">
        <v>110.76</v>
      </c>
      <c r="U1889" s="6">
        <v>996.83</v>
      </c>
      <c r="V1889" s="6">
        <v>675.61</v>
      </c>
      <c r="W1889" s="6">
        <v>321.22000000000003</v>
      </c>
      <c r="X1889" s="6" t="s">
        <v>45</v>
      </c>
    </row>
    <row r="1890" spans="1:24" x14ac:dyDescent="0.25">
      <c r="A1890" s="5" t="s">
        <v>2379</v>
      </c>
      <c r="B1890" s="18">
        <v>45591</v>
      </c>
      <c r="C1890" s="7" t="s">
        <v>737</v>
      </c>
      <c r="D1890" s="7" t="s">
        <v>22</v>
      </c>
      <c r="E1890" s="7" t="s">
        <v>114</v>
      </c>
      <c r="F1890" s="7" t="s">
        <v>115</v>
      </c>
      <c r="G1890" s="7" t="s">
        <v>95</v>
      </c>
      <c r="H1890" s="7" t="s">
        <v>116</v>
      </c>
      <c r="I1890" s="7" t="s">
        <v>40</v>
      </c>
      <c r="J1890" s="7" t="s">
        <v>82</v>
      </c>
      <c r="K1890" s="7" t="s">
        <v>42</v>
      </c>
      <c r="L1890" s="7" t="s">
        <v>2661</v>
      </c>
      <c r="M1890" s="7" t="s">
        <v>61</v>
      </c>
      <c r="N1890" s="7" t="s">
        <v>75</v>
      </c>
      <c r="O1890" s="7">
        <v>62</v>
      </c>
      <c r="P1890" s="7">
        <v>32.9</v>
      </c>
      <c r="Q1890" s="7">
        <v>22.41</v>
      </c>
      <c r="R1890" s="7">
        <v>2039.68</v>
      </c>
      <c r="S1890" s="7">
        <v>0.15</v>
      </c>
      <c r="T1890" s="7">
        <v>305.95</v>
      </c>
      <c r="U1890" s="7">
        <v>1733.73</v>
      </c>
      <c r="V1890" s="7">
        <v>1389.67</v>
      </c>
      <c r="W1890" s="7">
        <v>344.06</v>
      </c>
      <c r="X1890" s="7" t="s">
        <v>45</v>
      </c>
    </row>
    <row r="1891" spans="1:24" x14ac:dyDescent="0.25">
      <c r="A1891" s="16" t="s">
        <v>2380</v>
      </c>
      <c r="B1891" s="17">
        <v>45418</v>
      </c>
      <c r="C1891" s="6" t="s">
        <v>704</v>
      </c>
      <c r="D1891" s="6" t="s">
        <v>105</v>
      </c>
      <c r="E1891" s="6" t="s">
        <v>250</v>
      </c>
      <c r="F1891" s="6" t="s">
        <v>251</v>
      </c>
      <c r="G1891" s="6" t="s">
        <v>51</v>
      </c>
      <c r="H1891" s="6" t="s">
        <v>252</v>
      </c>
      <c r="I1891" s="6" t="s">
        <v>53</v>
      </c>
      <c r="J1891" s="6" t="s">
        <v>122</v>
      </c>
      <c r="K1891" s="6" t="s">
        <v>90</v>
      </c>
      <c r="L1891" s="6" t="s">
        <v>2666</v>
      </c>
      <c r="M1891" s="6" t="s">
        <v>61</v>
      </c>
      <c r="N1891" s="6" t="s">
        <v>31</v>
      </c>
      <c r="O1891" s="6">
        <v>5</v>
      </c>
      <c r="P1891" s="6">
        <v>68.19</v>
      </c>
      <c r="Q1891" s="6">
        <v>38.97</v>
      </c>
      <c r="R1891" s="6">
        <v>340.94</v>
      </c>
      <c r="S1891" s="6">
        <v>0.02</v>
      </c>
      <c r="T1891" s="6">
        <v>6.82</v>
      </c>
      <c r="U1891" s="6">
        <v>334.12</v>
      </c>
      <c r="V1891" s="6">
        <v>194.83</v>
      </c>
      <c r="W1891" s="6">
        <v>139.30000000000001</v>
      </c>
      <c r="X1891" s="6" t="s">
        <v>45</v>
      </c>
    </row>
    <row r="1892" spans="1:24" x14ac:dyDescent="0.25">
      <c r="A1892" s="5" t="s">
        <v>2381</v>
      </c>
      <c r="B1892" s="18">
        <v>45511</v>
      </c>
      <c r="C1892" s="7" t="s">
        <v>1159</v>
      </c>
      <c r="D1892" s="7" t="s">
        <v>159</v>
      </c>
      <c r="E1892" s="7" t="s">
        <v>66</v>
      </c>
      <c r="F1892" s="7" t="s">
        <v>67</v>
      </c>
      <c r="G1892" s="7" t="s">
        <v>38</v>
      </c>
      <c r="H1892" s="7" t="s">
        <v>68</v>
      </c>
      <c r="I1892" s="7" t="s">
        <v>88</v>
      </c>
      <c r="J1892" s="7" t="s">
        <v>183</v>
      </c>
      <c r="K1892" s="7" t="s">
        <v>265</v>
      </c>
      <c r="L1892" s="7" t="s">
        <v>2678</v>
      </c>
      <c r="M1892" s="7" t="s">
        <v>61</v>
      </c>
      <c r="N1892" s="7" t="s">
        <v>84</v>
      </c>
      <c r="O1892" s="7">
        <v>24</v>
      </c>
      <c r="P1892" s="7">
        <v>165.38</v>
      </c>
      <c r="Q1892" s="7">
        <v>100.91</v>
      </c>
      <c r="R1892" s="7">
        <v>3969.17</v>
      </c>
      <c r="S1892" s="7">
        <v>0.05</v>
      </c>
      <c r="T1892" s="7">
        <v>198.46</v>
      </c>
      <c r="U1892" s="7">
        <v>3770.71</v>
      </c>
      <c r="V1892" s="7">
        <v>2421.86</v>
      </c>
      <c r="W1892" s="7">
        <v>1348.86</v>
      </c>
      <c r="X1892" s="7" t="s">
        <v>45</v>
      </c>
    </row>
    <row r="1893" spans="1:24" x14ac:dyDescent="0.25">
      <c r="A1893" s="16" t="s">
        <v>2382</v>
      </c>
      <c r="B1893" s="17">
        <v>45410</v>
      </c>
      <c r="C1893" s="6" t="s">
        <v>1071</v>
      </c>
      <c r="D1893" s="6" t="s">
        <v>105</v>
      </c>
      <c r="E1893" s="6" t="s">
        <v>36</v>
      </c>
      <c r="F1893" s="6" t="s">
        <v>37</v>
      </c>
      <c r="G1893" s="6" t="s">
        <v>38</v>
      </c>
      <c r="H1893" s="6" t="s">
        <v>39</v>
      </c>
      <c r="I1893" s="6" t="s">
        <v>88</v>
      </c>
      <c r="J1893" s="6" t="s">
        <v>135</v>
      </c>
      <c r="K1893" s="6" t="s">
        <v>74</v>
      </c>
      <c r="L1893" s="6" t="s">
        <v>2664</v>
      </c>
      <c r="M1893" s="6" t="s">
        <v>43</v>
      </c>
      <c r="N1893" s="6" t="s">
        <v>44</v>
      </c>
      <c r="O1893" s="6">
        <v>13</v>
      </c>
      <c r="P1893" s="6">
        <v>156.66</v>
      </c>
      <c r="Q1893" s="6">
        <v>105.24</v>
      </c>
      <c r="R1893" s="6">
        <v>2036.63</v>
      </c>
      <c r="S1893" s="6">
        <v>0.2</v>
      </c>
      <c r="T1893" s="6">
        <v>407.33</v>
      </c>
      <c r="U1893" s="6">
        <v>1629.3</v>
      </c>
      <c r="V1893" s="6">
        <v>1368.13</v>
      </c>
      <c r="W1893" s="6">
        <v>261.17</v>
      </c>
      <c r="X1893" s="6" t="s">
        <v>45</v>
      </c>
    </row>
    <row r="1894" spans="1:24" x14ac:dyDescent="0.25">
      <c r="A1894" s="5" t="s">
        <v>2383</v>
      </c>
      <c r="B1894" s="18">
        <v>45490</v>
      </c>
      <c r="C1894" s="7" t="s">
        <v>120</v>
      </c>
      <c r="D1894" s="7" t="s">
        <v>121</v>
      </c>
      <c r="E1894" s="7" t="s">
        <v>99</v>
      </c>
      <c r="F1894" s="7" t="s">
        <v>100</v>
      </c>
      <c r="G1894" s="7" t="s">
        <v>101</v>
      </c>
      <c r="H1894" s="7" t="s">
        <v>102</v>
      </c>
      <c r="I1894" s="7" t="s">
        <v>40</v>
      </c>
      <c r="J1894" s="7" t="s">
        <v>41</v>
      </c>
      <c r="K1894" s="7" t="s">
        <v>60</v>
      </c>
      <c r="L1894" s="7" t="s">
        <v>2662</v>
      </c>
      <c r="M1894" s="7" t="s">
        <v>61</v>
      </c>
      <c r="N1894" s="7" t="s">
        <v>70</v>
      </c>
      <c r="O1894" s="7">
        <v>55</v>
      </c>
      <c r="P1894" s="7">
        <v>73.83</v>
      </c>
      <c r="Q1894" s="7">
        <v>42.5</v>
      </c>
      <c r="R1894" s="7">
        <v>4060.67</v>
      </c>
      <c r="S1894" s="7">
        <v>0.05</v>
      </c>
      <c r="T1894" s="7">
        <v>203.03</v>
      </c>
      <c r="U1894" s="7">
        <v>3857.64</v>
      </c>
      <c r="V1894" s="7">
        <v>2337.44</v>
      </c>
      <c r="W1894" s="7">
        <v>1520.2</v>
      </c>
      <c r="X1894" s="7" t="s">
        <v>45</v>
      </c>
    </row>
    <row r="1895" spans="1:24" x14ac:dyDescent="0.25">
      <c r="A1895" s="16" t="s">
        <v>2384</v>
      </c>
      <c r="B1895" s="17">
        <v>45645</v>
      </c>
      <c r="C1895" s="6" t="s">
        <v>278</v>
      </c>
      <c r="D1895" s="6" t="s">
        <v>48</v>
      </c>
      <c r="E1895" s="6" t="s">
        <v>132</v>
      </c>
      <c r="F1895" s="6" t="s">
        <v>133</v>
      </c>
      <c r="G1895" s="6" t="s">
        <v>51</v>
      </c>
      <c r="H1895" s="6" t="s">
        <v>134</v>
      </c>
      <c r="I1895" s="6" t="s">
        <v>88</v>
      </c>
      <c r="J1895" s="6" t="s">
        <v>183</v>
      </c>
      <c r="K1895" s="6" t="s">
        <v>60</v>
      </c>
      <c r="L1895" s="6" t="s">
        <v>2662</v>
      </c>
      <c r="M1895" s="6" t="s">
        <v>61</v>
      </c>
      <c r="N1895" s="6" t="s">
        <v>75</v>
      </c>
      <c r="O1895" s="6">
        <v>12</v>
      </c>
      <c r="P1895" s="6">
        <v>63.26</v>
      </c>
      <c r="Q1895" s="6">
        <v>36.18</v>
      </c>
      <c r="R1895" s="6">
        <v>759.15</v>
      </c>
      <c r="S1895" s="6">
        <v>0.2</v>
      </c>
      <c r="T1895" s="6">
        <v>151.83000000000001</v>
      </c>
      <c r="U1895" s="6">
        <v>607.32000000000005</v>
      </c>
      <c r="V1895" s="6">
        <v>434.11</v>
      </c>
      <c r="W1895" s="6">
        <v>173.21</v>
      </c>
      <c r="X1895" s="6" t="s">
        <v>45</v>
      </c>
    </row>
    <row r="1896" spans="1:24" x14ac:dyDescent="0.25">
      <c r="A1896" s="5" t="s">
        <v>2385</v>
      </c>
      <c r="B1896" s="18">
        <v>45542</v>
      </c>
      <c r="C1896" s="7" t="s">
        <v>1215</v>
      </c>
      <c r="D1896" s="7" t="s">
        <v>163</v>
      </c>
      <c r="E1896" s="7" t="s">
        <v>141</v>
      </c>
      <c r="F1896" s="7" t="s">
        <v>142</v>
      </c>
      <c r="G1896" s="7" t="s">
        <v>25</v>
      </c>
      <c r="H1896" s="7" t="s">
        <v>26</v>
      </c>
      <c r="I1896" s="7" t="s">
        <v>53</v>
      </c>
      <c r="J1896" s="7" t="s">
        <v>54</v>
      </c>
      <c r="K1896" s="7" t="s">
        <v>170</v>
      </c>
      <c r="L1896" s="7" t="s">
        <v>2671</v>
      </c>
      <c r="M1896" s="7" t="s">
        <v>30</v>
      </c>
      <c r="N1896" s="7" t="s">
        <v>190</v>
      </c>
      <c r="O1896" s="7">
        <v>57</v>
      </c>
      <c r="P1896" s="7">
        <v>88.34</v>
      </c>
      <c r="Q1896" s="7">
        <v>54.22</v>
      </c>
      <c r="R1896" s="7">
        <v>5035.3500000000004</v>
      </c>
      <c r="S1896" s="7">
        <v>0.05</v>
      </c>
      <c r="T1896" s="7">
        <v>251.77</v>
      </c>
      <c r="U1896" s="7">
        <v>4783.58</v>
      </c>
      <c r="V1896" s="7">
        <v>3090.38</v>
      </c>
      <c r="W1896" s="7">
        <v>1693.21</v>
      </c>
      <c r="X1896" s="7" t="s">
        <v>45</v>
      </c>
    </row>
    <row r="1897" spans="1:24" x14ac:dyDescent="0.25">
      <c r="A1897" s="16" t="s">
        <v>2386</v>
      </c>
      <c r="B1897" s="17">
        <v>45579</v>
      </c>
      <c r="C1897" s="6" t="s">
        <v>763</v>
      </c>
      <c r="D1897" s="6" t="s">
        <v>105</v>
      </c>
      <c r="E1897" s="6" t="s">
        <v>93</v>
      </c>
      <c r="F1897" s="6" t="s">
        <v>94</v>
      </c>
      <c r="G1897" s="6" t="s">
        <v>95</v>
      </c>
      <c r="H1897" s="6" t="s">
        <v>96</v>
      </c>
      <c r="I1897" s="6" t="s">
        <v>40</v>
      </c>
      <c r="J1897" s="6" t="s">
        <v>41</v>
      </c>
      <c r="K1897" s="6" t="s">
        <v>74</v>
      </c>
      <c r="L1897" s="6" t="s">
        <v>2664</v>
      </c>
      <c r="M1897" s="6" t="s">
        <v>30</v>
      </c>
      <c r="N1897" s="6" t="s">
        <v>84</v>
      </c>
      <c r="O1897" s="6">
        <v>42</v>
      </c>
      <c r="P1897" s="6">
        <v>51.51</v>
      </c>
      <c r="Q1897" s="6">
        <v>34.06</v>
      </c>
      <c r="R1897" s="6">
        <v>2163.31</v>
      </c>
      <c r="S1897" s="6">
        <v>0.2</v>
      </c>
      <c r="T1897" s="6">
        <v>432.66</v>
      </c>
      <c r="U1897" s="6">
        <v>1730.65</v>
      </c>
      <c r="V1897" s="6">
        <v>1430.56</v>
      </c>
      <c r="W1897" s="6">
        <v>300.08999999999997</v>
      </c>
      <c r="X1897" s="6" t="s">
        <v>45</v>
      </c>
    </row>
    <row r="1898" spans="1:24" x14ac:dyDescent="0.25">
      <c r="A1898" s="5" t="s">
        <v>2387</v>
      </c>
      <c r="B1898" s="18">
        <v>45328</v>
      </c>
      <c r="C1898" s="7" t="s">
        <v>535</v>
      </c>
      <c r="D1898" s="7" t="s">
        <v>221</v>
      </c>
      <c r="E1898" s="7" t="s">
        <v>165</v>
      </c>
      <c r="F1898" s="7" t="s">
        <v>166</v>
      </c>
      <c r="G1898" s="7" t="s">
        <v>95</v>
      </c>
      <c r="H1898" s="7" t="s">
        <v>167</v>
      </c>
      <c r="I1898" s="7" t="s">
        <v>88</v>
      </c>
      <c r="J1898" s="7" t="s">
        <v>183</v>
      </c>
      <c r="K1898" s="7" t="s">
        <v>111</v>
      </c>
      <c r="L1898" s="7" t="s">
        <v>2667</v>
      </c>
      <c r="M1898" s="7" t="s">
        <v>43</v>
      </c>
      <c r="N1898" s="7" t="s">
        <v>31</v>
      </c>
      <c r="O1898" s="7">
        <v>51</v>
      </c>
      <c r="P1898" s="7">
        <v>41.06</v>
      </c>
      <c r="Q1898" s="7">
        <v>24.17</v>
      </c>
      <c r="R1898" s="7">
        <v>2093.84</v>
      </c>
      <c r="S1898" s="7">
        <v>0.2</v>
      </c>
      <c r="T1898" s="7">
        <v>418.77</v>
      </c>
      <c r="U1898" s="7">
        <v>1675.08</v>
      </c>
      <c r="V1898" s="7">
        <v>1232.8900000000001</v>
      </c>
      <c r="W1898" s="7">
        <v>442.18</v>
      </c>
      <c r="X1898" s="7" t="s">
        <v>45</v>
      </c>
    </row>
    <row r="1899" spans="1:24" x14ac:dyDescent="0.25">
      <c r="A1899" s="16" t="s">
        <v>2388</v>
      </c>
      <c r="B1899" s="17">
        <v>45507</v>
      </c>
      <c r="C1899" s="6" t="s">
        <v>337</v>
      </c>
      <c r="D1899" s="6" t="s">
        <v>87</v>
      </c>
      <c r="E1899" s="6" t="s">
        <v>99</v>
      </c>
      <c r="F1899" s="6" t="s">
        <v>100</v>
      </c>
      <c r="G1899" s="6" t="s">
        <v>101</v>
      </c>
      <c r="H1899" s="6" t="s">
        <v>102</v>
      </c>
      <c r="I1899" s="6" t="s">
        <v>27</v>
      </c>
      <c r="J1899" s="6" t="s">
        <v>106</v>
      </c>
      <c r="K1899" s="6" t="s">
        <v>253</v>
      </c>
      <c r="L1899" s="6" t="s">
        <v>2676</v>
      </c>
      <c r="M1899" s="6" t="s">
        <v>30</v>
      </c>
      <c r="N1899" s="6" t="s">
        <v>70</v>
      </c>
      <c r="O1899" s="6">
        <v>28</v>
      </c>
      <c r="P1899" s="6">
        <v>66.17</v>
      </c>
      <c r="Q1899" s="6">
        <v>42.29</v>
      </c>
      <c r="R1899" s="6">
        <v>1852.73</v>
      </c>
      <c r="S1899" s="6">
        <v>0.02</v>
      </c>
      <c r="T1899" s="6">
        <v>37.049999999999997</v>
      </c>
      <c r="U1899" s="6">
        <v>1815.68</v>
      </c>
      <c r="V1899" s="6">
        <v>1183.98</v>
      </c>
      <c r="W1899" s="6">
        <v>631.70000000000005</v>
      </c>
      <c r="X1899" s="6" t="s">
        <v>45</v>
      </c>
    </row>
    <row r="1900" spans="1:24" x14ac:dyDescent="0.25">
      <c r="A1900" s="5" t="s">
        <v>2389</v>
      </c>
      <c r="B1900" s="18">
        <v>45311</v>
      </c>
      <c r="C1900" s="7" t="s">
        <v>852</v>
      </c>
      <c r="D1900" s="7" t="s">
        <v>57</v>
      </c>
      <c r="E1900" s="7" t="s">
        <v>187</v>
      </c>
      <c r="F1900" s="7" t="s">
        <v>188</v>
      </c>
      <c r="G1900" s="7" t="s">
        <v>25</v>
      </c>
      <c r="H1900" s="7" t="s">
        <v>26</v>
      </c>
      <c r="I1900" s="7" t="s">
        <v>88</v>
      </c>
      <c r="J1900" s="7" t="s">
        <v>183</v>
      </c>
      <c r="K1900" s="7" t="s">
        <v>29</v>
      </c>
      <c r="L1900" s="7" t="s">
        <v>2660</v>
      </c>
      <c r="M1900" s="7" t="s">
        <v>547</v>
      </c>
      <c r="N1900" s="7" t="s">
        <v>31</v>
      </c>
      <c r="O1900" s="7">
        <v>14</v>
      </c>
      <c r="P1900" s="7">
        <v>50.79</v>
      </c>
      <c r="Q1900" s="7">
        <v>29.57</v>
      </c>
      <c r="R1900" s="7">
        <v>711.04</v>
      </c>
      <c r="S1900" s="7">
        <v>0.15</v>
      </c>
      <c r="T1900" s="7">
        <v>106.66</v>
      </c>
      <c r="U1900" s="7">
        <v>604.38</v>
      </c>
      <c r="V1900" s="7">
        <v>414.01</v>
      </c>
      <c r="W1900" s="7">
        <v>190.38</v>
      </c>
      <c r="X1900" s="7" t="s">
        <v>32</v>
      </c>
    </row>
    <row r="1901" spans="1:24" x14ac:dyDescent="0.25">
      <c r="A1901" s="16" t="s">
        <v>2390</v>
      </c>
      <c r="B1901" s="17">
        <v>45601</v>
      </c>
      <c r="C1901" s="6" t="s">
        <v>631</v>
      </c>
      <c r="D1901" s="6" t="s">
        <v>105</v>
      </c>
      <c r="E1901" s="6" t="s">
        <v>93</v>
      </c>
      <c r="F1901" s="6" t="s">
        <v>94</v>
      </c>
      <c r="G1901" s="6" t="s">
        <v>95</v>
      </c>
      <c r="H1901" s="6" t="s">
        <v>96</v>
      </c>
      <c r="I1901" s="6" t="s">
        <v>27</v>
      </c>
      <c r="J1901" s="6" t="s">
        <v>189</v>
      </c>
      <c r="K1901" s="6" t="s">
        <v>170</v>
      </c>
      <c r="L1901" s="6" t="s">
        <v>2671</v>
      </c>
      <c r="M1901" s="6" t="s">
        <v>30</v>
      </c>
      <c r="N1901" s="6" t="s">
        <v>31</v>
      </c>
      <c r="O1901" s="6">
        <v>23</v>
      </c>
      <c r="P1901" s="6">
        <v>55.96</v>
      </c>
      <c r="Q1901" s="6">
        <v>31.23</v>
      </c>
      <c r="R1901" s="6">
        <v>1286.97</v>
      </c>
      <c r="S1901" s="6">
        <v>0.15</v>
      </c>
      <c r="T1901" s="6">
        <v>193.04</v>
      </c>
      <c r="U1901" s="6">
        <v>1093.92</v>
      </c>
      <c r="V1901" s="6">
        <v>718.28</v>
      </c>
      <c r="W1901" s="6">
        <v>375.64</v>
      </c>
      <c r="X1901" s="6" t="s">
        <v>129</v>
      </c>
    </row>
    <row r="1902" spans="1:24" x14ac:dyDescent="0.25">
      <c r="A1902" s="5" t="s">
        <v>2391</v>
      </c>
      <c r="B1902" s="18">
        <v>45415</v>
      </c>
      <c r="C1902" s="7" t="s">
        <v>464</v>
      </c>
      <c r="D1902" s="7" t="s">
        <v>105</v>
      </c>
      <c r="E1902" s="7" t="s">
        <v>109</v>
      </c>
      <c r="F1902" s="7" t="s">
        <v>110</v>
      </c>
      <c r="G1902" s="7" t="s">
        <v>80</v>
      </c>
      <c r="H1902" s="7" t="s">
        <v>81</v>
      </c>
      <c r="I1902" s="7" t="s">
        <v>88</v>
      </c>
      <c r="J1902" s="7" t="s">
        <v>135</v>
      </c>
      <c r="K1902" s="7" t="s">
        <v>248</v>
      </c>
      <c r="L1902" s="7" t="s">
        <v>2675</v>
      </c>
      <c r="M1902" s="7" t="s">
        <v>43</v>
      </c>
      <c r="N1902" s="7" t="s">
        <v>44</v>
      </c>
      <c r="O1902" s="7">
        <v>29</v>
      </c>
      <c r="P1902" s="7">
        <v>117.35</v>
      </c>
      <c r="Q1902" s="7">
        <v>75.77</v>
      </c>
      <c r="R1902" s="7">
        <v>3403.17</v>
      </c>
      <c r="S1902" s="7">
        <v>0.05</v>
      </c>
      <c r="T1902" s="7">
        <v>170.16</v>
      </c>
      <c r="U1902" s="7">
        <v>3233.01</v>
      </c>
      <c r="V1902" s="7">
        <v>2197.23</v>
      </c>
      <c r="W1902" s="7">
        <v>1035.77</v>
      </c>
      <c r="X1902" s="7" t="s">
        <v>45</v>
      </c>
    </row>
    <row r="1903" spans="1:24" x14ac:dyDescent="0.25">
      <c r="A1903" s="16" t="s">
        <v>2392</v>
      </c>
      <c r="B1903" s="17">
        <v>45642</v>
      </c>
      <c r="C1903" s="6" t="s">
        <v>1137</v>
      </c>
      <c r="D1903" s="6" t="s">
        <v>163</v>
      </c>
      <c r="E1903" s="6" t="s">
        <v>66</v>
      </c>
      <c r="F1903" s="6" t="s">
        <v>67</v>
      </c>
      <c r="G1903" s="6" t="s">
        <v>38</v>
      </c>
      <c r="H1903" s="6" t="s">
        <v>68</v>
      </c>
      <c r="I1903" s="6" t="s">
        <v>53</v>
      </c>
      <c r="J1903" s="6" t="s">
        <v>54</v>
      </c>
      <c r="K1903" s="6" t="s">
        <v>118</v>
      </c>
      <c r="L1903" s="6" t="s">
        <v>2668</v>
      </c>
      <c r="M1903" s="6" t="s">
        <v>30</v>
      </c>
      <c r="N1903" s="6" t="s">
        <v>70</v>
      </c>
      <c r="O1903" s="6">
        <v>63</v>
      </c>
      <c r="P1903" s="6">
        <v>171.38</v>
      </c>
      <c r="Q1903" s="6">
        <v>106.36</v>
      </c>
      <c r="R1903" s="6">
        <v>10796.81</v>
      </c>
      <c r="S1903" s="6">
        <v>0</v>
      </c>
      <c r="T1903" s="6">
        <v>0</v>
      </c>
      <c r="U1903" s="6">
        <v>10796.81</v>
      </c>
      <c r="V1903" s="6">
        <v>6700.58</v>
      </c>
      <c r="W1903" s="6">
        <v>4096.22</v>
      </c>
      <c r="X1903" s="6" t="s">
        <v>1042</v>
      </c>
    </row>
    <row r="1904" spans="1:24" x14ac:dyDescent="0.25">
      <c r="A1904" s="5" t="s">
        <v>2393</v>
      </c>
      <c r="B1904" s="18">
        <v>45351</v>
      </c>
      <c r="C1904" s="7" t="s">
        <v>526</v>
      </c>
      <c r="D1904" s="7" t="s">
        <v>159</v>
      </c>
      <c r="E1904" s="7" t="s">
        <v>66</v>
      </c>
      <c r="F1904" s="7" t="s">
        <v>67</v>
      </c>
      <c r="G1904" s="7" t="s">
        <v>38</v>
      </c>
      <c r="H1904" s="7" t="s">
        <v>68</v>
      </c>
      <c r="I1904" s="7" t="s">
        <v>40</v>
      </c>
      <c r="J1904" s="7" t="s">
        <v>117</v>
      </c>
      <c r="K1904" s="7" t="s">
        <v>90</v>
      </c>
      <c r="L1904" s="7" t="s">
        <v>2666</v>
      </c>
      <c r="M1904" s="7" t="s">
        <v>61</v>
      </c>
      <c r="N1904" s="7" t="s">
        <v>75</v>
      </c>
      <c r="O1904" s="7">
        <v>15</v>
      </c>
      <c r="P1904" s="7">
        <v>161.72999999999999</v>
      </c>
      <c r="Q1904" s="7">
        <v>105.32</v>
      </c>
      <c r="R1904" s="7">
        <v>2426.0100000000002</v>
      </c>
      <c r="S1904" s="7">
        <v>0.1</v>
      </c>
      <c r="T1904" s="7">
        <v>242.6</v>
      </c>
      <c r="U1904" s="7">
        <v>2183.41</v>
      </c>
      <c r="V1904" s="7">
        <v>1579.8</v>
      </c>
      <c r="W1904" s="7">
        <v>603.61</v>
      </c>
      <c r="X1904" s="7" t="s">
        <v>45</v>
      </c>
    </row>
    <row r="1905" spans="1:24" x14ac:dyDescent="0.25">
      <c r="A1905" s="16" t="s">
        <v>2394</v>
      </c>
      <c r="B1905" s="17">
        <v>45565</v>
      </c>
      <c r="C1905" s="6" t="s">
        <v>293</v>
      </c>
      <c r="D1905" s="6" t="s">
        <v>65</v>
      </c>
      <c r="E1905" s="6" t="s">
        <v>109</v>
      </c>
      <c r="F1905" s="6" t="s">
        <v>110</v>
      </c>
      <c r="G1905" s="6" t="s">
        <v>80</v>
      </c>
      <c r="H1905" s="6" t="s">
        <v>81</v>
      </c>
      <c r="I1905" s="6" t="s">
        <v>27</v>
      </c>
      <c r="J1905" s="6" t="s">
        <v>189</v>
      </c>
      <c r="K1905" s="6" t="s">
        <v>170</v>
      </c>
      <c r="L1905" s="6" t="s">
        <v>2671</v>
      </c>
      <c r="M1905" s="6" t="s">
        <v>153</v>
      </c>
      <c r="N1905" s="6" t="s">
        <v>44</v>
      </c>
      <c r="O1905" s="6">
        <v>26</v>
      </c>
      <c r="P1905" s="6">
        <v>127.4</v>
      </c>
      <c r="Q1905" s="6">
        <v>74.400000000000006</v>
      </c>
      <c r="R1905" s="6">
        <v>3312.44</v>
      </c>
      <c r="S1905" s="6">
        <v>0.2</v>
      </c>
      <c r="T1905" s="6">
        <v>662.49</v>
      </c>
      <c r="U1905" s="6">
        <v>2649.95</v>
      </c>
      <c r="V1905" s="6">
        <v>1934.3</v>
      </c>
      <c r="W1905" s="6">
        <v>715.65</v>
      </c>
      <c r="X1905" s="6" t="s">
        <v>45</v>
      </c>
    </row>
    <row r="1906" spans="1:24" x14ac:dyDescent="0.25">
      <c r="A1906" s="5" t="s">
        <v>2395</v>
      </c>
      <c r="B1906" s="18">
        <v>45511</v>
      </c>
      <c r="C1906" s="7" t="s">
        <v>287</v>
      </c>
      <c r="D1906" s="7" t="s">
        <v>65</v>
      </c>
      <c r="E1906" s="7" t="s">
        <v>165</v>
      </c>
      <c r="F1906" s="7" t="s">
        <v>166</v>
      </c>
      <c r="G1906" s="7" t="s">
        <v>95</v>
      </c>
      <c r="H1906" s="7" t="s">
        <v>167</v>
      </c>
      <c r="I1906" s="7" t="s">
        <v>53</v>
      </c>
      <c r="J1906" s="7" t="s">
        <v>232</v>
      </c>
      <c r="K1906" s="7" t="s">
        <v>83</v>
      </c>
      <c r="L1906" s="7" t="s">
        <v>2665</v>
      </c>
      <c r="M1906" s="7" t="s">
        <v>153</v>
      </c>
      <c r="N1906" s="7" t="s">
        <v>84</v>
      </c>
      <c r="O1906" s="7">
        <v>28</v>
      </c>
      <c r="P1906" s="7">
        <v>39.630000000000003</v>
      </c>
      <c r="Q1906" s="7">
        <v>26.71</v>
      </c>
      <c r="R1906" s="7">
        <v>1109.5899999999999</v>
      </c>
      <c r="S1906" s="7">
        <v>0.1</v>
      </c>
      <c r="T1906" s="7">
        <v>110.96</v>
      </c>
      <c r="U1906" s="7">
        <v>998.63</v>
      </c>
      <c r="V1906" s="7">
        <v>747.78</v>
      </c>
      <c r="W1906" s="7">
        <v>250.86</v>
      </c>
      <c r="X1906" s="7" t="s">
        <v>32</v>
      </c>
    </row>
    <row r="1907" spans="1:24" x14ac:dyDescent="0.25">
      <c r="A1907" s="16" t="s">
        <v>2396</v>
      </c>
      <c r="B1907" s="17">
        <v>45329</v>
      </c>
      <c r="C1907" s="6" t="s">
        <v>531</v>
      </c>
      <c r="D1907" s="6" t="s">
        <v>264</v>
      </c>
      <c r="E1907" s="6" t="s">
        <v>23</v>
      </c>
      <c r="F1907" s="6" t="s">
        <v>24</v>
      </c>
      <c r="G1907" s="6" t="s">
        <v>25</v>
      </c>
      <c r="H1907" s="6" t="s">
        <v>26</v>
      </c>
      <c r="I1907" s="6" t="s">
        <v>53</v>
      </c>
      <c r="J1907" s="6" t="s">
        <v>54</v>
      </c>
      <c r="K1907" s="6" t="s">
        <v>144</v>
      </c>
      <c r="L1907" s="6" t="s">
        <v>2669</v>
      </c>
      <c r="M1907" s="6" t="s">
        <v>43</v>
      </c>
      <c r="N1907" s="6" t="s">
        <v>44</v>
      </c>
      <c r="O1907" s="6">
        <v>41</v>
      </c>
      <c r="P1907" s="6">
        <v>79.98</v>
      </c>
      <c r="Q1907" s="6">
        <v>43.03</v>
      </c>
      <c r="R1907" s="6">
        <v>3279.1</v>
      </c>
      <c r="S1907" s="6">
        <v>0.15</v>
      </c>
      <c r="T1907" s="6">
        <v>491.87</v>
      </c>
      <c r="U1907" s="6">
        <v>2787.24</v>
      </c>
      <c r="V1907" s="6">
        <v>1764.28</v>
      </c>
      <c r="W1907" s="6">
        <v>1022.96</v>
      </c>
      <c r="X1907" s="6" t="s">
        <v>45</v>
      </c>
    </row>
    <row r="1908" spans="1:24" x14ac:dyDescent="0.25">
      <c r="A1908" s="5" t="s">
        <v>2397</v>
      </c>
      <c r="B1908" s="18">
        <v>45557</v>
      </c>
      <c r="C1908" s="7"/>
      <c r="D1908" s="7"/>
      <c r="E1908" s="7" t="s">
        <v>49</v>
      </c>
      <c r="F1908" s="7" t="s">
        <v>50</v>
      </c>
      <c r="G1908" s="7" t="s">
        <v>51</v>
      </c>
      <c r="H1908" s="7" t="s">
        <v>52</v>
      </c>
      <c r="I1908" s="7" t="s">
        <v>53</v>
      </c>
      <c r="J1908" s="7" t="s">
        <v>143</v>
      </c>
      <c r="K1908" s="7" t="s">
        <v>111</v>
      </c>
      <c r="L1908" s="7" t="s">
        <v>2667</v>
      </c>
      <c r="M1908" s="7" t="s">
        <v>43</v>
      </c>
      <c r="N1908" s="7" t="s">
        <v>70</v>
      </c>
      <c r="O1908" s="7">
        <v>13</v>
      </c>
      <c r="P1908" s="7">
        <v>26.3</v>
      </c>
      <c r="Q1908" s="7">
        <v>13.72</v>
      </c>
      <c r="R1908" s="7">
        <v>341.92</v>
      </c>
      <c r="S1908" s="7">
        <v>0</v>
      </c>
      <c r="T1908" s="7">
        <v>0</v>
      </c>
      <c r="U1908" s="7">
        <v>341.92</v>
      </c>
      <c r="V1908" s="7">
        <v>178.33</v>
      </c>
      <c r="W1908" s="7">
        <v>163.6</v>
      </c>
      <c r="X1908" s="7" t="s">
        <v>45</v>
      </c>
    </row>
    <row r="1909" spans="1:24" x14ac:dyDescent="0.25">
      <c r="A1909" s="16" t="s">
        <v>2398</v>
      </c>
      <c r="B1909" s="17">
        <v>45516</v>
      </c>
      <c r="C1909" s="6" t="s">
        <v>239</v>
      </c>
      <c r="D1909" s="6" t="s">
        <v>65</v>
      </c>
      <c r="E1909" s="6" t="s">
        <v>150</v>
      </c>
      <c r="F1909" s="6" t="s">
        <v>151</v>
      </c>
      <c r="G1909" s="6" t="s">
        <v>101</v>
      </c>
      <c r="H1909" s="6" t="s">
        <v>134</v>
      </c>
      <c r="I1909" s="6" t="s">
        <v>58</v>
      </c>
      <c r="J1909" s="6" t="s">
        <v>59</v>
      </c>
      <c r="K1909" s="6" t="s">
        <v>29</v>
      </c>
      <c r="L1909" s="6" t="s">
        <v>2660</v>
      </c>
      <c r="M1909" s="6" t="s">
        <v>153</v>
      </c>
      <c r="N1909" s="6" t="s">
        <v>75</v>
      </c>
      <c r="O1909" s="6">
        <v>80</v>
      </c>
      <c r="P1909" s="6">
        <v>81.62</v>
      </c>
      <c r="Q1909" s="6">
        <v>49.74</v>
      </c>
      <c r="R1909" s="6">
        <v>6529.96</v>
      </c>
      <c r="S1909" s="6">
        <v>0.05</v>
      </c>
      <c r="T1909" s="6">
        <v>326.5</v>
      </c>
      <c r="U1909" s="6">
        <v>6203.46</v>
      </c>
      <c r="V1909" s="6">
        <v>3979.27</v>
      </c>
      <c r="W1909" s="6">
        <v>2224.19</v>
      </c>
      <c r="X1909" s="6" t="s">
        <v>45</v>
      </c>
    </row>
    <row r="1910" spans="1:24" x14ac:dyDescent="0.25">
      <c r="A1910" s="5" t="s">
        <v>2399</v>
      </c>
      <c r="B1910" s="18">
        <v>45595</v>
      </c>
      <c r="C1910" s="7" t="s">
        <v>356</v>
      </c>
      <c r="D1910" s="7" t="s">
        <v>48</v>
      </c>
      <c r="E1910" s="7" t="s">
        <v>99</v>
      </c>
      <c r="F1910" s="7" t="s">
        <v>100</v>
      </c>
      <c r="G1910" s="7" t="s">
        <v>101</v>
      </c>
      <c r="H1910" s="7" t="s">
        <v>102</v>
      </c>
      <c r="I1910" s="7" t="s">
        <v>53</v>
      </c>
      <c r="J1910" s="7" t="s">
        <v>143</v>
      </c>
      <c r="K1910" s="7" t="s">
        <v>253</v>
      </c>
      <c r="L1910" s="7" t="s">
        <v>2676</v>
      </c>
      <c r="M1910" s="7" t="s">
        <v>43</v>
      </c>
      <c r="N1910" s="7" t="s">
        <v>31</v>
      </c>
      <c r="O1910" s="7">
        <v>77</v>
      </c>
      <c r="P1910" s="7">
        <v>65.55</v>
      </c>
      <c r="Q1910" s="7">
        <v>43.87</v>
      </c>
      <c r="R1910" s="7">
        <v>5047.2</v>
      </c>
      <c r="S1910" s="7">
        <v>0.1</v>
      </c>
      <c r="T1910" s="7">
        <v>504.72</v>
      </c>
      <c r="U1910" s="7">
        <v>4542.4799999999996</v>
      </c>
      <c r="V1910" s="7">
        <v>3377.85</v>
      </c>
      <c r="W1910" s="7">
        <v>1164.6300000000001</v>
      </c>
      <c r="X1910" s="7" t="s">
        <v>45</v>
      </c>
    </row>
    <row r="1911" spans="1:24" x14ac:dyDescent="0.25">
      <c r="A1911" s="16" t="s">
        <v>2400</v>
      </c>
      <c r="B1911" s="17">
        <v>45577</v>
      </c>
      <c r="C1911" s="6" t="s">
        <v>776</v>
      </c>
      <c r="D1911" s="6" t="s">
        <v>57</v>
      </c>
      <c r="E1911" s="6" t="s">
        <v>114</v>
      </c>
      <c r="F1911" s="6" t="s">
        <v>115</v>
      </c>
      <c r="G1911" s="6" t="s">
        <v>95</v>
      </c>
      <c r="H1911" s="6" t="s">
        <v>116</v>
      </c>
      <c r="I1911" s="6" t="s">
        <v>58</v>
      </c>
      <c r="J1911" s="6" t="s">
        <v>73</v>
      </c>
      <c r="K1911" s="6" t="s">
        <v>265</v>
      </c>
      <c r="L1911" s="6" t="s">
        <v>2678</v>
      </c>
      <c r="M1911" s="6" t="s">
        <v>153</v>
      </c>
      <c r="N1911" s="6" t="s">
        <v>84</v>
      </c>
      <c r="O1911" s="6">
        <v>55</v>
      </c>
      <c r="P1911" s="6">
        <v>36.33</v>
      </c>
      <c r="Q1911" s="6">
        <v>21.69</v>
      </c>
      <c r="R1911" s="6">
        <v>1998.27</v>
      </c>
      <c r="S1911" s="6">
        <v>0</v>
      </c>
      <c r="T1911" s="6">
        <v>0</v>
      </c>
      <c r="U1911" s="6">
        <v>1998.27</v>
      </c>
      <c r="V1911" s="6">
        <v>1192.8</v>
      </c>
      <c r="W1911" s="6">
        <v>805.47</v>
      </c>
      <c r="X1911" s="6" t="s">
        <v>45</v>
      </c>
    </row>
    <row r="1912" spans="1:24" x14ac:dyDescent="0.25">
      <c r="A1912" s="5" t="s">
        <v>2401</v>
      </c>
      <c r="B1912" s="18">
        <v>45517</v>
      </c>
      <c r="C1912" s="7" t="s">
        <v>426</v>
      </c>
      <c r="D1912" s="7" t="s">
        <v>57</v>
      </c>
      <c r="E1912" s="7" t="s">
        <v>165</v>
      </c>
      <c r="F1912" s="7" t="s">
        <v>166</v>
      </c>
      <c r="G1912" s="7" t="s">
        <v>95</v>
      </c>
      <c r="H1912" s="7" t="s">
        <v>167</v>
      </c>
      <c r="I1912" s="7" t="s">
        <v>58</v>
      </c>
      <c r="J1912" s="7" t="s">
        <v>345</v>
      </c>
      <c r="K1912" s="7" t="s">
        <v>261</v>
      </c>
      <c r="L1912" s="7" t="s">
        <v>2677</v>
      </c>
      <c r="M1912" s="7" t="s">
        <v>30</v>
      </c>
      <c r="N1912" s="7" t="s">
        <v>75</v>
      </c>
      <c r="O1912" s="7">
        <v>24</v>
      </c>
      <c r="P1912" s="7">
        <v>44.18</v>
      </c>
      <c r="Q1912" s="7">
        <v>26.82</v>
      </c>
      <c r="R1912" s="7">
        <v>1060.22</v>
      </c>
      <c r="S1912" s="7">
        <v>0.05</v>
      </c>
      <c r="T1912" s="7">
        <v>53.01</v>
      </c>
      <c r="U1912" s="7">
        <v>1007.21</v>
      </c>
      <c r="V1912" s="7">
        <v>643.69000000000005</v>
      </c>
      <c r="W1912" s="7">
        <v>363.52</v>
      </c>
      <c r="X1912" s="7" t="s">
        <v>45</v>
      </c>
    </row>
    <row r="1913" spans="1:24" x14ac:dyDescent="0.25">
      <c r="A1913" s="16" t="s">
        <v>2402</v>
      </c>
      <c r="B1913" s="17">
        <v>45466</v>
      </c>
      <c r="C1913" s="6" t="s">
        <v>802</v>
      </c>
      <c r="D1913" s="6" t="s">
        <v>22</v>
      </c>
      <c r="E1913" s="6" t="s">
        <v>216</v>
      </c>
      <c r="F1913" s="6" t="s">
        <v>217</v>
      </c>
      <c r="G1913" s="6" t="s">
        <v>38</v>
      </c>
      <c r="H1913" s="6" t="s">
        <v>134</v>
      </c>
      <c r="I1913" s="6" t="s">
        <v>53</v>
      </c>
      <c r="J1913" s="6" t="s">
        <v>143</v>
      </c>
      <c r="K1913" s="6" t="s">
        <v>74</v>
      </c>
      <c r="L1913" s="6" t="s">
        <v>2664</v>
      </c>
      <c r="M1913" s="6" t="s">
        <v>153</v>
      </c>
      <c r="N1913" s="6" t="s">
        <v>84</v>
      </c>
      <c r="O1913" s="6">
        <v>27</v>
      </c>
      <c r="P1913" s="6">
        <v>104.28</v>
      </c>
      <c r="Q1913" s="6">
        <v>70.81</v>
      </c>
      <c r="R1913" s="6">
        <v>2815.5</v>
      </c>
      <c r="S1913" s="6">
        <v>0.15</v>
      </c>
      <c r="T1913" s="6">
        <v>422.33</v>
      </c>
      <c r="U1913" s="6">
        <v>2393.1799999999998</v>
      </c>
      <c r="V1913" s="6">
        <v>1911.96</v>
      </c>
      <c r="W1913" s="6">
        <v>481.21</v>
      </c>
      <c r="X1913" s="6" t="s">
        <v>129</v>
      </c>
    </row>
    <row r="1914" spans="1:24" x14ac:dyDescent="0.25">
      <c r="A1914" s="5" t="s">
        <v>2403</v>
      </c>
      <c r="B1914" s="18">
        <v>45353</v>
      </c>
      <c r="C1914" s="7" t="s">
        <v>989</v>
      </c>
      <c r="D1914" s="7" t="s">
        <v>159</v>
      </c>
      <c r="E1914" s="7" t="s">
        <v>209</v>
      </c>
      <c r="F1914" s="7" t="s">
        <v>210</v>
      </c>
      <c r="G1914" s="7" t="s">
        <v>51</v>
      </c>
      <c r="H1914" s="7" t="s">
        <v>116</v>
      </c>
      <c r="I1914" s="7" t="s">
        <v>58</v>
      </c>
      <c r="J1914" s="7" t="s">
        <v>345</v>
      </c>
      <c r="K1914" s="7" t="s">
        <v>248</v>
      </c>
      <c r="L1914" s="7" t="s">
        <v>2675</v>
      </c>
      <c r="M1914" s="7" t="s">
        <v>61</v>
      </c>
      <c r="N1914" s="7" t="s">
        <v>70</v>
      </c>
      <c r="O1914" s="7">
        <v>39</v>
      </c>
      <c r="P1914" s="7">
        <v>17.079999999999998</v>
      </c>
      <c r="Q1914" s="7">
        <v>10.48</v>
      </c>
      <c r="R1914" s="7">
        <v>665.97</v>
      </c>
      <c r="S1914" s="7">
        <v>0.02</v>
      </c>
      <c r="T1914" s="7">
        <v>13.32</v>
      </c>
      <c r="U1914" s="7">
        <v>652.65</v>
      </c>
      <c r="V1914" s="7">
        <v>408.72</v>
      </c>
      <c r="W1914" s="7">
        <v>243.93</v>
      </c>
      <c r="X1914" s="7" t="s">
        <v>129</v>
      </c>
    </row>
    <row r="1915" spans="1:24" x14ac:dyDescent="0.25">
      <c r="A1915" s="16" t="s">
        <v>2404</v>
      </c>
      <c r="B1915" s="17">
        <v>45395</v>
      </c>
      <c r="C1915" s="6" t="s">
        <v>297</v>
      </c>
      <c r="D1915" s="6" t="s">
        <v>87</v>
      </c>
      <c r="E1915" s="6" t="s">
        <v>216</v>
      </c>
      <c r="F1915" s="6" t="s">
        <v>217</v>
      </c>
      <c r="G1915" s="6" t="s">
        <v>38</v>
      </c>
      <c r="H1915" s="6" t="s">
        <v>134</v>
      </c>
      <c r="I1915" s="6" t="s">
        <v>58</v>
      </c>
      <c r="J1915" s="6" t="s">
        <v>59</v>
      </c>
      <c r="K1915" s="6" t="s">
        <v>42</v>
      </c>
      <c r="L1915" s="6" t="s">
        <v>2661</v>
      </c>
      <c r="M1915" s="6" t="s">
        <v>43</v>
      </c>
      <c r="N1915" s="6" t="s">
        <v>84</v>
      </c>
      <c r="O1915" s="6">
        <v>43</v>
      </c>
      <c r="P1915" s="6">
        <v>115.29</v>
      </c>
      <c r="Q1915" s="6">
        <v>63.79</v>
      </c>
      <c r="R1915" s="6">
        <v>4957.4799999999996</v>
      </c>
      <c r="S1915" s="6">
        <v>0.02</v>
      </c>
      <c r="T1915" s="6">
        <v>99.15</v>
      </c>
      <c r="U1915" s="6">
        <v>4858.33</v>
      </c>
      <c r="V1915" s="6">
        <v>2742.78</v>
      </c>
      <c r="W1915" s="6">
        <v>2115.5500000000002</v>
      </c>
      <c r="X1915" s="6" t="s">
        <v>45</v>
      </c>
    </row>
    <row r="1916" spans="1:24" x14ac:dyDescent="0.25">
      <c r="A1916" s="5" t="s">
        <v>2405</v>
      </c>
      <c r="B1916" s="18">
        <v>45448</v>
      </c>
      <c r="C1916" s="7" t="s">
        <v>371</v>
      </c>
      <c r="D1916" s="7" t="s">
        <v>159</v>
      </c>
      <c r="E1916" s="7" t="s">
        <v>93</v>
      </c>
      <c r="F1916" s="7" t="s">
        <v>94</v>
      </c>
      <c r="G1916" s="7" t="s">
        <v>95</v>
      </c>
      <c r="H1916" s="7" t="s">
        <v>96</v>
      </c>
      <c r="I1916" s="7" t="s">
        <v>40</v>
      </c>
      <c r="J1916" s="7" t="s">
        <v>41</v>
      </c>
      <c r="K1916" s="7" t="s">
        <v>29</v>
      </c>
      <c r="L1916" s="7" t="s">
        <v>2660</v>
      </c>
      <c r="M1916" s="7" t="s">
        <v>61</v>
      </c>
      <c r="N1916" s="7" t="s">
        <v>70</v>
      </c>
      <c r="O1916" s="7">
        <v>71</v>
      </c>
      <c r="P1916" s="7">
        <v>58.8</v>
      </c>
      <c r="Q1916" s="7">
        <v>31.47</v>
      </c>
      <c r="R1916" s="7">
        <v>4174.76</v>
      </c>
      <c r="S1916" s="7">
        <v>0.02</v>
      </c>
      <c r="T1916" s="7">
        <v>83.5</v>
      </c>
      <c r="U1916" s="7">
        <v>4091.26</v>
      </c>
      <c r="V1916" s="7">
        <v>2234.56</v>
      </c>
      <c r="W1916" s="7">
        <v>1856.7</v>
      </c>
      <c r="X1916" s="7" t="s">
        <v>45</v>
      </c>
    </row>
    <row r="1917" spans="1:24" x14ac:dyDescent="0.25">
      <c r="A1917" s="16" t="s">
        <v>2406</v>
      </c>
      <c r="B1917" s="17">
        <v>45506</v>
      </c>
      <c r="C1917" s="6" t="s">
        <v>284</v>
      </c>
      <c r="D1917" s="6" t="s">
        <v>57</v>
      </c>
      <c r="E1917" s="6" t="s">
        <v>187</v>
      </c>
      <c r="F1917" s="6" t="s">
        <v>188</v>
      </c>
      <c r="G1917" s="6" t="s">
        <v>25</v>
      </c>
      <c r="H1917" s="6" t="s">
        <v>26</v>
      </c>
      <c r="I1917" s="6" t="s">
        <v>58</v>
      </c>
      <c r="J1917" s="6" t="s">
        <v>59</v>
      </c>
      <c r="K1917" s="6" t="s">
        <v>170</v>
      </c>
      <c r="L1917" s="6" t="s">
        <v>2671</v>
      </c>
      <c r="M1917" s="6" t="s">
        <v>43</v>
      </c>
      <c r="N1917" s="6" t="s">
        <v>368</v>
      </c>
      <c r="O1917" s="6">
        <v>33</v>
      </c>
      <c r="P1917" s="6">
        <v>51.4</v>
      </c>
      <c r="Q1917" s="6">
        <v>30.32</v>
      </c>
      <c r="R1917" s="6">
        <v>1696.2</v>
      </c>
      <c r="S1917" s="6">
        <v>0.05</v>
      </c>
      <c r="T1917" s="6">
        <v>84.81</v>
      </c>
      <c r="U1917" s="6">
        <v>1611.39</v>
      </c>
      <c r="V1917" s="6">
        <v>1000.67</v>
      </c>
      <c r="W1917" s="6">
        <v>610.73</v>
      </c>
      <c r="X1917" s="6" t="s">
        <v>45</v>
      </c>
    </row>
    <row r="1918" spans="1:24" x14ac:dyDescent="0.25">
      <c r="A1918" s="5" t="s">
        <v>2407</v>
      </c>
      <c r="B1918" s="18">
        <v>45573</v>
      </c>
      <c r="C1918" s="7" t="s">
        <v>660</v>
      </c>
      <c r="D1918" s="7" t="s">
        <v>264</v>
      </c>
      <c r="E1918" s="7" t="s">
        <v>126</v>
      </c>
      <c r="F1918" s="7" t="s">
        <v>127</v>
      </c>
      <c r="G1918" s="7" t="s">
        <v>95</v>
      </c>
      <c r="H1918" s="7" t="s">
        <v>128</v>
      </c>
      <c r="I1918" s="7" t="s">
        <v>58</v>
      </c>
      <c r="J1918" s="7" t="s">
        <v>59</v>
      </c>
      <c r="K1918" s="7" t="s">
        <v>111</v>
      </c>
      <c r="L1918" s="7" t="s">
        <v>2667</v>
      </c>
      <c r="M1918" s="7" t="s">
        <v>153</v>
      </c>
      <c r="N1918" s="7" t="s">
        <v>44</v>
      </c>
      <c r="O1918" s="7">
        <v>42</v>
      </c>
      <c r="P1918" s="7">
        <v>90.57</v>
      </c>
      <c r="Q1918" s="7">
        <v>55.47</v>
      </c>
      <c r="R1918" s="7">
        <v>3803.88</v>
      </c>
      <c r="S1918" s="7">
        <v>0.05</v>
      </c>
      <c r="T1918" s="7">
        <v>190.19</v>
      </c>
      <c r="U1918" s="7">
        <v>3613.69</v>
      </c>
      <c r="V1918" s="7">
        <v>2329.54</v>
      </c>
      <c r="W1918" s="7">
        <v>1284.1500000000001</v>
      </c>
      <c r="X1918" s="7" t="s">
        <v>45</v>
      </c>
    </row>
    <row r="1919" spans="1:24" x14ac:dyDescent="0.25">
      <c r="A1919" s="16" t="s">
        <v>2408</v>
      </c>
      <c r="B1919" s="17">
        <v>45502</v>
      </c>
      <c r="C1919" s="6" t="s">
        <v>961</v>
      </c>
      <c r="D1919" s="6" t="s">
        <v>87</v>
      </c>
      <c r="E1919" s="6" t="s">
        <v>49</v>
      </c>
      <c r="F1919" s="6" t="s">
        <v>50</v>
      </c>
      <c r="G1919" s="6" t="s">
        <v>51</v>
      </c>
      <c r="H1919" s="6" t="s">
        <v>52</v>
      </c>
      <c r="I1919" s="6" t="s">
        <v>53</v>
      </c>
      <c r="J1919" s="6" t="s">
        <v>122</v>
      </c>
      <c r="K1919" s="6" t="s">
        <v>261</v>
      </c>
      <c r="L1919" s="6" t="s">
        <v>2677</v>
      </c>
      <c r="M1919" s="6" t="s">
        <v>61</v>
      </c>
      <c r="N1919" s="6" t="s">
        <v>70</v>
      </c>
      <c r="O1919" s="6">
        <v>7</v>
      </c>
      <c r="P1919" s="6">
        <v>24.49</v>
      </c>
      <c r="Q1919" s="6">
        <v>13.89</v>
      </c>
      <c r="R1919" s="6">
        <v>171.43</v>
      </c>
      <c r="S1919" s="6">
        <v>0.05</v>
      </c>
      <c r="T1919" s="6">
        <v>8.57</v>
      </c>
      <c r="U1919" s="6">
        <v>162.86000000000001</v>
      </c>
      <c r="V1919" s="6">
        <v>97.24</v>
      </c>
      <c r="W1919" s="6">
        <v>65.62</v>
      </c>
      <c r="X1919" s="6" t="s">
        <v>45</v>
      </c>
    </row>
    <row r="1920" spans="1:24" x14ac:dyDescent="0.25">
      <c r="A1920" s="5" t="s">
        <v>2409</v>
      </c>
      <c r="B1920" s="18">
        <v>45603</v>
      </c>
      <c r="C1920" s="7" t="s">
        <v>456</v>
      </c>
      <c r="D1920" s="7" t="s">
        <v>22</v>
      </c>
      <c r="E1920" s="7" t="s">
        <v>216</v>
      </c>
      <c r="F1920" s="7" t="s">
        <v>217</v>
      </c>
      <c r="G1920" s="7" t="s">
        <v>38</v>
      </c>
      <c r="H1920" s="7" t="s">
        <v>134</v>
      </c>
      <c r="I1920" s="7" t="s">
        <v>27</v>
      </c>
      <c r="J1920" s="7" t="s">
        <v>211</v>
      </c>
      <c r="K1920" s="7" t="s">
        <v>74</v>
      </c>
      <c r="L1920" s="7" t="s">
        <v>2664</v>
      </c>
      <c r="M1920" s="7" t="s">
        <v>61</v>
      </c>
      <c r="N1920" s="7" t="s">
        <v>84</v>
      </c>
      <c r="O1920" s="7">
        <v>30</v>
      </c>
      <c r="P1920" s="7">
        <v>103.31</v>
      </c>
      <c r="Q1920" s="7">
        <v>69.52</v>
      </c>
      <c r="R1920" s="7">
        <v>3099.3</v>
      </c>
      <c r="S1920" s="7">
        <v>0.05</v>
      </c>
      <c r="T1920" s="7">
        <v>154.97</v>
      </c>
      <c r="U1920" s="7">
        <v>2944.34</v>
      </c>
      <c r="V1920" s="7">
        <v>2085.5500000000002</v>
      </c>
      <c r="W1920" s="7">
        <v>858.79</v>
      </c>
      <c r="X1920" s="7" t="s">
        <v>32</v>
      </c>
    </row>
    <row r="1921" spans="1:24" x14ac:dyDescent="0.25">
      <c r="A1921" s="16" t="s">
        <v>2410</v>
      </c>
      <c r="B1921" s="17">
        <v>45559</v>
      </c>
      <c r="C1921" s="6" t="s">
        <v>1215</v>
      </c>
      <c r="D1921" s="6" t="s">
        <v>163</v>
      </c>
      <c r="E1921" s="6" t="s">
        <v>93</v>
      </c>
      <c r="F1921" s="6" t="s">
        <v>94</v>
      </c>
      <c r="G1921" s="6" t="s">
        <v>95</v>
      </c>
      <c r="H1921" s="6" t="s">
        <v>96</v>
      </c>
      <c r="I1921" s="6" t="s">
        <v>53</v>
      </c>
      <c r="J1921" s="6" t="s">
        <v>232</v>
      </c>
      <c r="K1921" s="6" t="s">
        <v>184</v>
      </c>
      <c r="L1921" s="6" t="s">
        <v>2672</v>
      </c>
      <c r="M1921" s="6" t="s">
        <v>30</v>
      </c>
      <c r="N1921" s="6" t="s">
        <v>31</v>
      </c>
      <c r="O1921" s="6">
        <v>35</v>
      </c>
      <c r="P1921" s="6">
        <v>50.66</v>
      </c>
      <c r="Q1921" s="6">
        <v>32.06</v>
      </c>
      <c r="R1921" s="6">
        <v>1773.14</v>
      </c>
      <c r="S1921" s="6">
        <v>0.15</v>
      </c>
      <c r="T1921" s="6">
        <v>265.97000000000003</v>
      </c>
      <c r="U1921" s="6">
        <v>1507.17</v>
      </c>
      <c r="V1921" s="6">
        <v>1121.93</v>
      </c>
      <c r="W1921" s="6">
        <v>385.24</v>
      </c>
      <c r="X1921" s="6" t="s">
        <v>129</v>
      </c>
    </row>
    <row r="1922" spans="1:24" x14ac:dyDescent="0.25">
      <c r="A1922" s="5" t="s">
        <v>2411</v>
      </c>
      <c r="B1922" s="18">
        <v>45596</v>
      </c>
      <c r="C1922" s="7" t="s">
        <v>600</v>
      </c>
      <c r="D1922" s="7" t="s">
        <v>87</v>
      </c>
      <c r="E1922" s="7" t="s">
        <v>99</v>
      </c>
      <c r="F1922" s="7" t="s">
        <v>100</v>
      </c>
      <c r="G1922" s="7" t="s">
        <v>101</v>
      </c>
      <c r="H1922" s="7" t="s">
        <v>102</v>
      </c>
      <c r="I1922" s="7" t="s">
        <v>27</v>
      </c>
      <c r="J1922" s="7" t="s">
        <v>106</v>
      </c>
      <c r="K1922" s="7" t="s">
        <v>265</v>
      </c>
      <c r="L1922" s="7" t="s">
        <v>2678</v>
      </c>
      <c r="M1922" s="7" t="s">
        <v>61</v>
      </c>
      <c r="N1922" s="7" t="s">
        <v>44</v>
      </c>
      <c r="O1922" s="7">
        <v>52</v>
      </c>
      <c r="P1922" s="7">
        <v>72.52</v>
      </c>
      <c r="Q1922" s="7">
        <v>38.450000000000003</v>
      </c>
      <c r="R1922" s="7">
        <v>3770.81</v>
      </c>
      <c r="S1922" s="7">
        <v>0</v>
      </c>
      <c r="T1922" s="7">
        <v>0</v>
      </c>
      <c r="U1922" s="7">
        <v>3770.81</v>
      </c>
      <c r="V1922" s="7">
        <v>1999.51</v>
      </c>
      <c r="W1922" s="7">
        <v>1771.3</v>
      </c>
      <c r="X1922" s="7" t="s">
        <v>45</v>
      </c>
    </row>
    <row r="1923" spans="1:24" x14ac:dyDescent="0.25">
      <c r="A1923" s="16" t="s">
        <v>2412</v>
      </c>
      <c r="B1923" s="17">
        <v>45598</v>
      </c>
      <c r="C1923" s="6" t="s">
        <v>529</v>
      </c>
      <c r="D1923" s="6" t="s">
        <v>256</v>
      </c>
      <c r="E1923" s="6" t="s">
        <v>150</v>
      </c>
      <c r="F1923" s="6" t="s">
        <v>151</v>
      </c>
      <c r="G1923" s="6" t="s">
        <v>101</v>
      </c>
      <c r="H1923" s="6" t="s">
        <v>134</v>
      </c>
      <c r="I1923" s="6" t="s">
        <v>40</v>
      </c>
      <c r="J1923" s="6" t="s">
        <v>117</v>
      </c>
      <c r="K1923" s="6" t="s">
        <v>90</v>
      </c>
      <c r="L1923" s="6" t="s">
        <v>2666</v>
      </c>
      <c r="M1923" s="6" t="s">
        <v>153</v>
      </c>
      <c r="N1923" s="6" t="s">
        <v>84</v>
      </c>
      <c r="O1923" s="6">
        <v>42</v>
      </c>
      <c r="P1923" s="6">
        <v>86.26</v>
      </c>
      <c r="Q1923" s="6">
        <v>47.3</v>
      </c>
      <c r="R1923" s="6">
        <v>3622.79</v>
      </c>
      <c r="S1923" s="6">
        <v>0.1</v>
      </c>
      <c r="T1923" s="6">
        <v>362.28</v>
      </c>
      <c r="U1923" s="6">
        <v>3260.51</v>
      </c>
      <c r="V1923" s="6">
        <v>1986.56</v>
      </c>
      <c r="W1923" s="6">
        <v>1273.95</v>
      </c>
      <c r="X1923" s="6" t="s">
        <v>45</v>
      </c>
    </row>
    <row r="1924" spans="1:24" x14ac:dyDescent="0.25">
      <c r="A1924" s="5" t="s">
        <v>2413</v>
      </c>
      <c r="B1924" s="18">
        <v>45637</v>
      </c>
      <c r="C1924" s="7" t="s">
        <v>727</v>
      </c>
      <c r="D1924" s="7" t="s">
        <v>65</v>
      </c>
      <c r="E1924" s="7" t="s">
        <v>99</v>
      </c>
      <c r="F1924" s="7" t="s">
        <v>100</v>
      </c>
      <c r="G1924" s="7" t="s">
        <v>101</v>
      </c>
      <c r="H1924" s="7" t="s">
        <v>102</v>
      </c>
      <c r="I1924" s="7" t="s">
        <v>288</v>
      </c>
      <c r="J1924" s="7" t="s">
        <v>289</v>
      </c>
      <c r="K1924" s="7" t="s">
        <v>248</v>
      </c>
      <c r="L1924" s="7" t="s">
        <v>2675</v>
      </c>
      <c r="M1924" s="7" t="s">
        <v>61</v>
      </c>
      <c r="N1924" s="7" t="s">
        <v>44</v>
      </c>
      <c r="O1924" s="7">
        <v>59</v>
      </c>
      <c r="P1924" s="7">
        <v>64.53</v>
      </c>
      <c r="Q1924" s="7">
        <v>40.49</v>
      </c>
      <c r="R1924" s="7">
        <v>3807.34</v>
      </c>
      <c r="S1924" s="7">
        <v>0.1</v>
      </c>
      <c r="T1924" s="7">
        <v>380.73</v>
      </c>
      <c r="U1924" s="7">
        <v>3426.6</v>
      </c>
      <c r="V1924" s="7">
        <v>2388.8200000000002</v>
      </c>
      <c r="W1924" s="7">
        <v>1037.78</v>
      </c>
      <c r="X1924" s="7" t="s">
        <v>129</v>
      </c>
    </row>
    <row r="1925" spans="1:24" x14ac:dyDescent="0.25">
      <c r="A1925" s="16" t="s">
        <v>2414</v>
      </c>
      <c r="B1925" s="17">
        <v>45373</v>
      </c>
      <c r="C1925" s="6" t="s">
        <v>1310</v>
      </c>
      <c r="D1925" s="6" t="s">
        <v>264</v>
      </c>
      <c r="E1925" s="6" t="s">
        <v>78</v>
      </c>
      <c r="F1925" s="6" t="s">
        <v>79</v>
      </c>
      <c r="G1925" s="6" t="s">
        <v>80</v>
      </c>
      <c r="H1925" s="6" t="s">
        <v>81</v>
      </c>
      <c r="I1925" s="6" t="s">
        <v>53</v>
      </c>
      <c r="J1925" s="6" t="s">
        <v>143</v>
      </c>
      <c r="K1925" s="6" t="s">
        <v>90</v>
      </c>
      <c r="L1925" s="6" t="s">
        <v>2666</v>
      </c>
      <c r="M1925" s="6" t="s">
        <v>61</v>
      </c>
      <c r="N1925" s="6" t="s">
        <v>44</v>
      </c>
      <c r="O1925" s="6">
        <v>67</v>
      </c>
      <c r="P1925" s="6">
        <v>148.56</v>
      </c>
      <c r="Q1925" s="6">
        <v>81.05</v>
      </c>
      <c r="R1925" s="6">
        <v>9953.2000000000007</v>
      </c>
      <c r="S1925" s="6">
        <v>0.2</v>
      </c>
      <c r="T1925" s="6">
        <v>1990.64</v>
      </c>
      <c r="U1925" s="6">
        <v>7962.56</v>
      </c>
      <c r="V1925" s="6">
        <v>5430.26</v>
      </c>
      <c r="W1925" s="6">
        <v>2532.3000000000002</v>
      </c>
      <c r="X1925" s="6" t="s">
        <v>45</v>
      </c>
    </row>
    <row r="1926" spans="1:24" x14ac:dyDescent="0.25">
      <c r="A1926" s="5" t="s">
        <v>2415</v>
      </c>
      <c r="B1926" s="18">
        <v>45469</v>
      </c>
      <c r="C1926" s="7" t="s">
        <v>483</v>
      </c>
      <c r="D1926" s="7" t="s">
        <v>159</v>
      </c>
      <c r="E1926" s="7" t="s">
        <v>36</v>
      </c>
      <c r="F1926" s="7" t="s">
        <v>37</v>
      </c>
      <c r="G1926" s="7" t="s">
        <v>38</v>
      </c>
      <c r="H1926" s="7" t="s">
        <v>39</v>
      </c>
      <c r="I1926" s="7" t="s">
        <v>40</v>
      </c>
      <c r="J1926" s="7" t="s">
        <v>289</v>
      </c>
      <c r="K1926" s="7" t="s">
        <v>265</v>
      </c>
      <c r="L1926" s="7" t="s">
        <v>2678</v>
      </c>
      <c r="M1926" s="7" t="s">
        <v>30</v>
      </c>
      <c r="N1926" s="7" t="s">
        <v>84</v>
      </c>
      <c r="O1926" s="7">
        <v>62</v>
      </c>
      <c r="P1926" s="7">
        <v>171.02</v>
      </c>
      <c r="Q1926" s="7">
        <v>98.93</v>
      </c>
      <c r="R1926" s="7">
        <v>10603.5</v>
      </c>
      <c r="S1926" s="7">
        <v>0.15</v>
      </c>
      <c r="T1926" s="7">
        <v>1590.52</v>
      </c>
      <c r="U1926" s="7">
        <v>9012.9699999999993</v>
      </c>
      <c r="V1926" s="7">
        <v>6133.57</v>
      </c>
      <c r="W1926" s="7">
        <v>2879.4</v>
      </c>
      <c r="X1926" s="7" t="s">
        <v>45</v>
      </c>
    </row>
    <row r="1927" spans="1:24" x14ac:dyDescent="0.25">
      <c r="A1927" s="16" t="s">
        <v>2416</v>
      </c>
      <c r="B1927" s="17">
        <v>45407</v>
      </c>
      <c r="C1927" s="6" t="s">
        <v>430</v>
      </c>
      <c r="D1927" s="6" t="s">
        <v>156</v>
      </c>
      <c r="E1927" s="6" t="s">
        <v>209</v>
      </c>
      <c r="F1927" s="6" t="s">
        <v>210</v>
      </c>
      <c r="G1927" s="6" t="s">
        <v>51</v>
      </c>
      <c r="H1927" s="6" t="s">
        <v>116</v>
      </c>
      <c r="I1927" s="6" t="s">
        <v>27</v>
      </c>
      <c r="J1927" s="6" t="s">
        <v>28</v>
      </c>
      <c r="K1927" s="6" t="s">
        <v>90</v>
      </c>
      <c r="L1927" s="6" t="s">
        <v>2666</v>
      </c>
      <c r="M1927" s="6" t="s">
        <v>30</v>
      </c>
      <c r="N1927" s="6" t="s">
        <v>44</v>
      </c>
      <c r="O1927" s="6">
        <v>45</v>
      </c>
      <c r="P1927" s="6">
        <v>19.13</v>
      </c>
      <c r="Q1927" s="6">
        <v>10.46</v>
      </c>
      <c r="R1927" s="6">
        <v>861.05</v>
      </c>
      <c r="S1927" s="6">
        <v>0.05</v>
      </c>
      <c r="T1927" s="6">
        <v>43.05</v>
      </c>
      <c r="U1927" s="6">
        <v>818</v>
      </c>
      <c r="V1927" s="6">
        <v>470.78</v>
      </c>
      <c r="W1927" s="6">
        <v>347.22</v>
      </c>
      <c r="X1927" s="6" t="s">
        <v>32</v>
      </c>
    </row>
    <row r="1928" spans="1:24" x14ac:dyDescent="0.25">
      <c r="A1928" s="5" t="s">
        <v>2417</v>
      </c>
      <c r="B1928" s="18">
        <v>45415</v>
      </c>
      <c r="C1928" s="7" t="s">
        <v>584</v>
      </c>
      <c r="D1928" s="7" t="s">
        <v>105</v>
      </c>
      <c r="E1928" s="7" t="s">
        <v>165</v>
      </c>
      <c r="F1928" s="7" t="s">
        <v>166</v>
      </c>
      <c r="G1928" s="7" t="s">
        <v>95</v>
      </c>
      <c r="H1928" s="7" t="s">
        <v>167</v>
      </c>
      <c r="I1928" s="7" t="s">
        <v>27</v>
      </c>
      <c r="J1928" s="7" t="s">
        <v>106</v>
      </c>
      <c r="K1928" s="7" t="s">
        <v>248</v>
      </c>
      <c r="L1928" s="7" t="s">
        <v>2675</v>
      </c>
      <c r="M1928" s="7" t="s">
        <v>61</v>
      </c>
      <c r="N1928" s="7" t="s">
        <v>75</v>
      </c>
      <c r="O1928" s="7">
        <v>60</v>
      </c>
      <c r="P1928" s="7">
        <v>39.119999999999997</v>
      </c>
      <c r="Q1928" s="7">
        <v>24.28</v>
      </c>
      <c r="R1928" s="7">
        <v>2347.1</v>
      </c>
      <c r="S1928" s="7">
        <v>0</v>
      </c>
      <c r="T1928" s="7">
        <v>0</v>
      </c>
      <c r="U1928" s="7">
        <v>2347.1</v>
      </c>
      <c r="V1928" s="7">
        <v>1456.55</v>
      </c>
      <c r="W1928" s="7">
        <v>890.55</v>
      </c>
      <c r="X1928" s="7" t="s">
        <v>45</v>
      </c>
    </row>
    <row r="1929" spans="1:24" x14ac:dyDescent="0.25">
      <c r="A1929" s="16" t="s">
        <v>2418</v>
      </c>
      <c r="B1929" s="17">
        <v>45642</v>
      </c>
      <c r="C1929" s="6" t="s">
        <v>569</v>
      </c>
      <c r="D1929" s="6" t="s">
        <v>121</v>
      </c>
      <c r="E1929" s="6" t="s">
        <v>23</v>
      </c>
      <c r="F1929" s="6" t="s">
        <v>24</v>
      </c>
      <c r="G1929" s="6" t="s">
        <v>25</v>
      </c>
      <c r="H1929" s="6" t="s">
        <v>26</v>
      </c>
      <c r="I1929" s="6" t="s">
        <v>88</v>
      </c>
      <c r="J1929" s="6" t="s">
        <v>89</v>
      </c>
      <c r="K1929" s="6" t="s">
        <v>111</v>
      </c>
      <c r="L1929" s="6" t="s">
        <v>2667</v>
      </c>
      <c r="M1929" s="6" t="s">
        <v>153</v>
      </c>
      <c r="N1929" s="6" t="s">
        <v>44</v>
      </c>
      <c r="O1929" s="6">
        <v>39</v>
      </c>
      <c r="P1929" s="6">
        <v>72.42</v>
      </c>
      <c r="Q1929" s="6">
        <v>42.64</v>
      </c>
      <c r="R1929" s="6">
        <v>2824.32</v>
      </c>
      <c r="S1929" s="6">
        <v>0.02</v>
      </c>
      <c r="T1929" s="6">
        <v>56.49</v>
      </c>
      <c r="U1929" s="6">
        <v>2767.83</v>
      </c>
      <c r="V1929" s="6">
        <v>1663.09</v>
      </c>
      <c r="W1929" s="6">
        <v>1104.74</v>
      </c>
      <c r="X1929" s="6" t="s">
        <v>45</v>
      </c>
    </row>
    <row r="1930" spans="1:24" x14ac:dyDescent="0.25">
      <c r="A1930" s="5" t="s">
        <v>2419</v>
      </c>
      <c r="B1930" s="18">
        <v>45602</v>
      </c>
      <c r="C1930" s="7" t="s">
        <v>192</v>
      </c>
      <c r="D1930" s="7" t="s">
        <v>65</v>
      </c>
      <c r="E1930" s="7" t="s">
        <v>176</v>
      </c>
      <c r="F1930" s="7" t="s">
        <v>177</v>
      </c>
      <c r="G1930" s="7" t="s">
        <v>101</v>
      </c>
      <c r="H1930" s="7" t="s">
        <v>39</v>
      </c>
      <c r="I1930" s="7" t="s">
        <v>88</v>
      </c>
      <c r="J1930" s="7" t="s">
        <v>135</v>
      </c>
      <c r="K1930" s="7" t="s">
        <v>184</v>
      </c>
      <c r="L1930" s="7" t="s">
        <v>2672</v>
      </c>
      <c r="M1930" s="7" t="s">
        <v>61</v>
      </c>
      <c r="N1930" s="7" t="s">
        <v>75</v>
      </c>
      <c r="O1930" s="7">
        <v>48</v>
      </c>
      <c r="P1930" s="7">
        <v>106.99</v>
      </c>
      <c r="Q1930" s="7">
        <v>58.98</v>
      </c>
      <c r="R1930" s="7">
        <v>5135.33</v>
      </c>
      <c r="S1930" s="7">
        <v>0.1</v>
      </c>
      <c r="T1930" s="7">
        <v>513.53</v>
      </c>
      <c r="U1930" s="7">
        <v>4621.8</v>
      </c>
      <c r="V1930" s="7">
        <v>2831.01</v>
      </c>
      <c r="W1930" s="7">
        <v>1790.79</v>
      </c>
      <c r="X1930" s="7" t="s">
        <v>129</v>
      </c>
    </row>
    <row r="1931" spans="1:24" x14ac:dyDescent="0.25">
      <c r="A1931" s="16" t="s">
        <v>2420</v>
      </c>
      <c r="B1931" s="17">
        <v>45650</v>
      </c>
      <c r="C1931" s="6" t="s">
        <v>902</v>
      </c>
      <c r="D1931" s="6" t="s">
        <v>35</v>
      </c>
      <c r="E1931" s="6" t="s">
        <v>187</v>
      </c>
      <c r="F1931" s="6" t="s">
        <v>188</v>
      </c>
      <c r="G1931" s="6" t="s">
        <v>25</v>
      </c>
      <c r="H1931" s="6" t="s">
        <v>26</v>
      </c>
      <c r="I1931" s="6" t="s">
        <v>40</v>
      </c>
      <c r="J1931" s="6" t="s">
        <v>41</v>
      </c>
      <c r="K1931" s="6" t="s">
        <v>69</v>
      </c>
      <c r="L1931" s="6" t="s">
        <v>2663</v>
      </c>
      <c r="M1931" s="6" t="s">
        <v>30</v>
      </c>
      <c r="N1931" s="6" t="s">
        <v>84</v>
      </c>
      <c r="O1931" s="6">
        <v>52</v>
      </c>
      <c r="P1931" s="6">
        <v>48.73</v>
      </c>
      <c r="Q1931" s="6">
        <v>28.98</v>
      </c>
      <c r="R1931" s="6">
        <v>2533.73</v>
      </c>
      <c r="S1931" s="6">
        <v>0.1</v>
      </c>
      <c r="T1931" s="6">
        <v>253.37</v>
      </c>
      <c r="U1931" s="6">
        <v>2280.36</v>
      </c>
      <c r="V1931" s="6">
        <v>1507.22</v>
      </c>
      <c r="W1931" s="6">
        <v>773.14</v>
      </c>
      <c r="X1931" s="6" t="s">
        <v>129</v>
      </c>
    </row>
    <row r="1932" spans="1:24" x14ac:dyDescent="0.25">
      <c r="A1932" s="5" t="s">
        <v>2421</v>
      </c>
      <c r="B1932" s="18">
        <v>45413</v>
      </c>
      <c r="C1932" s="7" t="s">
        <v>992</v>
      </c>
      <c r="D1932" s="7" t="s">
        <v>105</v>
      </c>
      <c r="E1932" s="7" t="s">
        <v>141</v>
      </c>
      <c r="F1932" s="7" t="s">
        <v>142</v>
      </c>
      <c r="G1932" s="7" t="s">
        <v>25</v>
      </c>
      <c r="H1932" s="7" t="s">
        <v>26</v>
      </c>
      <c r="I1932" s="7" t="s">
        <v>40</v>
      </c>
      <c r="J1932" s="7" t="s">
        <v>82</v>
      </c>
      <c r="K1932" s="7" t="s">
        <v>170</v>
      </c>
      <c r="L1932" s="7" t="s">
        <v>2671</v>
      </c>
      <c r="M1932" s="7" t="s">
        <v>43</v>
      </c>
      <c r="N1932" s="7" t="s">
        <v>31</v>
      </c>
      <c r="O1932" s="7">
        <v>74</v>
      </c>
      <c r="P1932" s="7">
        <v>98.22</v>
      </c>
      <c r="Q1932" s="7">
        <v>61.03</v>
      </c>
      <c r="R1932" s="7">
        <v>7268.47</v>
      </c>
      <c r="S1932" s="7">
        <v>0</v>
      </c>
      <c r="T1932" s="7">
        <v>0</v>
      </c>
      <c r="U1932" s="7">
        <v>7268.47</v>
      </c>
      <c r="V1932" s="7">
        <v>4515.8599999999997</v>
      </c>
      <c r="W1932" s="7">
        <v>2752.62</v>
      </c>
      <c r="X1932" s="7" t="s">
        <v>45</v>
      </c>
    </row>
    <row r="1933" spans="1:24" x14ac:dyDescent="0.25">
      <c r="A1933" s="16" t="s">
        <v>2422</v>
      </c>
      <c r="B1933" s="17">
        <v>45504</v>
      </c>
      <c r="C1933" s="6" t="s">
        <v>1068</v>
      </c>
      <c r="D1933" s="6" t="s">
        <v>105</v>
      </c>
      <c r="E1933" s="6" t="s">
        <v>23</v>
      </c>
      <c r="F1933" s="6" t="s">
        <v>24</v>
      </c>
      <c r="G1933" s="6" t="s">
        <v>25</v>
      </c>
      <c r="H1933" s="6" t="s">
        <v>26</v>
      </c>
      <c r="I1933" s="6" t="s">
        <v>53</v>
      </c>
      <c r="J1933" s="6" t="s">
        <v>232</v>
      </c>
      <c r="K1933" s="6" t="s">
        <v>111</v>
      </c>
      <c r="L1933" s="6" t="s">
        <v>2667</v>
      </c>
      <c r="M1933" s="6" t="s">
        <v>30</v>
      </c>
      <c r="N1933" s="6" t="s">
        <v>31</v>
      </c>
      <c r="O1933" s="6">
        <v>32</v>
      </c>
      <c r="P1933" s="6">
        <v>80.510000000000005</v>
      </c>
      <c r="Q1933" s="6">
        <v>43.91</v>
      </c>
      <c r="R1933" s="6">
        <v>2576.48</v>
      </c>
      <c r="S1933" s="6">
        <v>0.02</v>
      </c>
      <c r="T1933" s="6">
        <v>51.53</v>
      </c>
      <c r="U1933" s="6">
        <v>2524.9499999999998</v>
      </c>
      <c r="V1933" s="6">
        <v>1405.26</v>
      </c>
      <c r="W1933" s="6">
        <v>1119.68</v>
      </c>
      <c r="X1933" s="6" t="s">
        <v>129</v>
      </c>
    </row>
    <row r="1934" spans="1:24" x14ac:dyDescent="0.25">
      <c r="A1934" s="5" t="s">
        <v>2423</v>
      </c>
      <c r="B1934" s="18">
        <v>45605</v>
      </c>
      <c r="C1934" s="7" t="s">
        <v>367</v>
      </c>
      <c r="D1934" s="7" t="s">
        <v>105</v>
      </c>
      <c r="E1934" s="7" t="s">
        <v>150</v>
      </c>
      <c r="F1934" s="7" t="s">
        <v>151</v>
      </c>
      <c r="G1934" s="7" t="s">
        <v>101</v>
      </c>
      <c r="H1934" s="7" t="s">
        <v>134</v>
      </c>
      <c r="I1934" s="7" t="s">
        <v>40</v>
      </c>
      <c r="J1934" s="7" t="s">
        <v>289</v>
      </c>
      <c r="K1934" s="7" t="s">
        <v>90</v>
      </c>
      <c r="L1934" s="7" t="s">
        <v>2666</v>
      </c>
      <c r="M1934" s="7" t="s">
        <v>30</v>
      </c>
      <c r="N1934" s="7" t="s">
        <v>75</v>
      </c>
      <c r="O1934" s="7">
        <v>29</v>
      </c>
      <c r="P1934" s="7">
        <v>83.78</v>
      </c>
      <c r="Q1934" s="7">
        <v>54.94</v>
      </c>
      <c r="R1934" s="7">
        <v>2429.66</v>
      </c>
      <c r="S1934" s="7">
        <v>0.2</v>
      </c>
      <c r="T1934" s="7">
        <v>485.93</v>
      </c>
      <c r="U1934" s="7">
        <v>1943.73</v>
      </c>
      <c r="V1934" s="7">
        <v>1593.15</v>
      </c>
      <c r="W1934" s="7">
        <v>350.58</v>
      </c>
      <c r="X1934" s="7" t="s">
        <v>45</v>
      </c>
    </row>
    <row r="1935" spans="1:24" x14ac:dyDescent="0.25">
      <c r="A1935" s="16" t="s">
        <v>2424</v>
      </c>
      <c r="B1935" s="17">
        <v>45555</v>
      </c>
      <c r="C1935" s="6" t="s">
        <v>866</v>
      </c>
      <c r="D1935" s="6" t="s">
        <v>156</v>
      </c>
      <c r="E1935" s="6" t="s">
        <v>209</v>
      </c>
      <c r="F1935" s="6" t="s">
        <v>210</v>
      </c>
      <c r="G1935" s="6" t="s">
        <v>51</v>
      </c>
      <c r="H1935" s="6" t="s">
        <v>116</v>
      </c>
      <c r="I1935" s="6" t="s">
        <v>88</v>
      </c>
      <c r="J1935" s="6" t="s">
        <v>183</v>
      </c>
      <c r="K1935" s="6" t="s">
        <v>69</v>
      </c>
      <c r="L1935" s="6" t="s">
        <v>2663</v>
      </c>
      <c r="M1935" s="6" t="s">
        <v>43</v>
      </c>
      <c r="N1935" s="6" t="s">
        <v>44</v>
      </c>
      <c r="O1935" s="6">
        <v>22</v>
      </c>
      <c r="P1935" s="6">
        <v>19.05</v>
      </c>
      <c r="Q1935" s="6">
        <v>9.4499999999999993</v>
      </c>
      <c r="R1935" s="6">
        <v>419.1</v>
      </c>
      <c r="S1935" s="6">
        <v>0.05</v>
      </c>
      <c r="T1935" s="6">
        <v>20.96</v>
      </c>
      <c r="U1935" s="6">
        <v>398.15</v>
      </c>
      <c r="V1935" s="6">
        <v>207.85</v>
      </c>
      <c r="W1935" s="6">
        <v>190.3</v>
      </c>
      <c r="X1935" s="6" t="s">
        <v>45</v>
      </c>
    </row>
    <row r="1936" spans="1:24" x14ac:dyDescent="0.25">
      <c r="A1936" s="5" t="s">
        <v>2425</v>
      </c>
      <c r="B1936" s="18">
        <v>45550</v>
      </c>
      <c r="C1936" s="7" t="s">
        <v>169</v>
      </c>
      <c r="D1936" s="7" t="s">
        <v>57</v>
      </c>
      <c r="E1936" s="7" t="s">
        <v>78</v>
      </c>
      <c r="F1936" s="7" t="s">
        <v>79</v>
      </c>
      <c r="G1936" s="7" t="s">
        <v>80</v>
      </c>
      <c r="H1936" s="7" t="s">
        <v>81</v>
      </c>
      <c r="I1936" s="7" t="s">
        <v>27</v>
      </c>
      <c r="J1936" s="7" t="s">
        <v>106</v>
      </c>
      <c r="K1936" s="7" t="s">
        <v>253</v>
      </c>
      <c r="L1936" s="7" t="s">
        <v>2676</v>
      </c>
      <c r="M1936" s="7" t="s">
        <v>153</v>
      </c>
      <c r="N1936" s="7" t="s">
        <v>75</v>
      </c>
      <c r="O1936" s="7">
        <v>39</v>
      </c>
      <c r="P1936" s="7">
        <v>133.32</v>
      </c>
      <c r="Q1936" s="7">
        <v>84.28</v>
      </c>
      <c r="R1936" s="7">
        <v>5199.54</v>
      </c>
      <c r="S1936" s="7">
        <v>0.1</v>
      </c>
      <c r="T1936" s="7">
        <v>519.95000000000005</v>
      </c>
      <c r="U1936" s="7">
        <v>4679.59</v>
      </c>
      <c r="V1936" s="7">
        <v>3286.74</v>
      </c>
      <c r="W1936" s="7">
        <v>1392.84</v>
      </c>
      <c r="X1936" s="7" t="s">
        <v>45</v>
      </c>
    </row>
    <row r="1937" spans="1:24" x14ac:dyDescent="0.25">
      <c r="A1937" s="16" t="s">
        <v>2426</v>
      </c>
      <c r="B1937" s="17">
        <v>45480</v>
      </c>
      <c r="C1937" s="6" t="s">
        <v>287</v>
      </c>
      <c r="D1937" s="6" t="s">
        <v>65</v>
      </c>
      <c r="E1937" s="6" t="s">
        <v>109</v>
      </c>
      <c r="F1937" s="6" t="s">
        <v>110</v>
      </c>
      <c r="G1937" s="6" t="s">
        <v>80</v>
      </c>
      <c r="H1937" s="6" t="s">
        <v>81</v>
      </c>
      <c r="I1937" s="6" t="s">
        <v>88</v>
      </c>
      <c r="J1937" s="6" t="s">
        <v>89</v>
      </c>
      <c r="K1937" s="6" t="s">
        <v>170</v>
      </c>
      <c r="L1937" s="6" t="s">
        <v>2671</v>
      </c>
      <c r="M1937" s="6" t="s">
        <v>153</v>
      </c>
      <c r="N1937" s="6" t="s">
        <v>31</v>
      </c>
      <c r="O1937" s="6">
        <v>7</v>
      </c>
      <c r="P1937" s="6">
        <v>132.26</v>
      </c>
      <c r="Q1937" s="6">
        <v>78.569999999999993</v>
      </c>
      <c r="R1937" s="6">
        <v>925.82</v>
      </c>
      <c r="S1937" s="6">
        <v>0.2</v>
      </c>
      <c r="T1937" s="6">
        <v>185.16</v>
      </c>
      <c r="U1937" s="6">
        <v>740.66</v>
      </c>
      <c r="V1937" s="6">
        <v>550</v>
      </c>
      <c r="W1937" s="6">
        <v>190.66</v>
      </c>
      <c r="X1937" s="6" t="s">
        <v>45</v>
      </c>
    </row>
    <row r="1938" spans="1:24" x14ac:dyDescent="0.25">
      <c r="A1938" s="5" t="s">
        <v>2427</v>
      </c>
      <c r="B1938" s="18">
        <v>45604</v>
      </c>
      <c r="C1938" s="7" t="s">
        <v>647</v>
      </c>
      <c r="D1938" s="7" t="s">
        <v>159</v>
      </c>
      <c r="E1938" s="7" t="s">
        <v>93</v>
      </c>
      <c r="F1938" s="7" t="s">
        <v>94</v>
      </c>
      <c r="G1938" s="7" t="s">
        <v>95</v>
      </c>
      <c r="H1938" s="7" t="s">
        <v>96</v>
      </c>
      <c r="I1938" s="7" t="s">
        <v>27</v>
      </c>
      <c r="J1938" s="7" t="s">
        <v>189</v>
      </c>
      <c r="K1938" s="7" t="s">
        <v>69</v>
      </c>
      <c r="L1938" s="7" t="s">
        <v>2663</v>
      </c>
      <c r="M1938" s="7" t="s">
        <v>61</v>
      </c>
      <c r="N1938" s="7"/>
      <c r="O1938" s="7">
        <v>22</v>
      </c>
      <c r="P1938" s="7">
        <v>51.82</v>
      </c>
      <c r="Q1938" s="7">
        <v>32.72</v>
      </c>
      <c r="R1938" s="7">
        <v>1140.08</v>
      </c>
      <c r="S1938" s="7">
        <v>0.1</v>
      </c>
      <c r="T1938" s="7">
        <v>114.01</v>
      </c>
      <c r="U1938" s="7">
        <v>1026.07</v>
      </c>
      <c r="V1938" s="7">
        <v>719.87</v>
      </c>
      <c r="W1938" s="7">
        <v>306.2</v>
      </c>
      <c r="X1938" s="7" t="s">
        <v>32</v>
      </c>
    </row>
    <row r="1939" spans="1:24" x14ac:dyDescent="0.25">
      <c r="A1939" s="16" t="s">
        <v>2428</v>
      </c>
      <c r="B1939" s="17">
        <v>45326</v>
      </c>
      <c r="C1939" s="6" t="s">
        <v>1293</v>
      </c>
      <c r="D1939" s="6" t="s">
        <v>264</v>
      </c>
      <c r="E1939" s="6" t="s">
        <v>36</v>
      </c>
      <c r="F1939" s="6" t="s">
        <v>37</v>
      </c>
      <c r="G1939" s="6" t="s">
        <v>38</v>
      </c>
      <c r="H1939" s="6" t="s">
        <v>39</v>
      </c>
      <c r="I1939" s="6" t="s">
        <v>40</v>
      </c>
      <c r="J1939" s="6" t="s">
        <v>289</v>
      </c>
      <c r="K1939" s="6" t="s">
        <v>248</v>
      </c>
      <c r="L1939" s="6" t="s">
        <v>2675</v>
      </c>
      <c r="M1939" s="6" t="s">
        <v>61</v>
      </c>
      <c r="N1939" s="6" t="s">
        <v>70</v>
      </c>
      <c r="O1939" s="6">
        <v>25</v>
      </c>
      <c r="P1939" s="6">
        <v>163.81</v>
      </c>
      <c r="Q1939" s="6">
        <v>101.77</v>
      </c>
      <c r="R1939" s="6">
        <v>4095.14</v>
      </c>
      <c r="S1939" s="6">
        <v>0.02</v>
      </c>
      <c r="T1939" s="6">
        <v>81.900000000000006</v>
      </c>
      <c r="U1939" s="6">
        <v>4013.24</v>
      </c>
      <c r="V1939" s="6">
        <v>2544.2199999999998</v>
      </c>
      <c r="W1939" s="6">
        <v>1469.03</v>
      </c>
      <c r="X1939" s="6" t="s">
        <v>45</v>
      </c>
    </row>
    <row r="1940" spans="1:24" x14ac:dyDescent="0.25">
      <c r="A1940" s="5" t="s">
        <v>2429</v>
      </c>
      <c r="B1940" s="18">
        <v>45532</v>
      </c>
      <c r="C1940" s="7" t="s">
        <v>108</v>
      </c>
      <c r="D1940" s="7" t="s">
        <v>105</v>
      </c>
      <c r="E1940" s="7" t="s">
        <v>176</v>
      </c>
      <c r="F1940" s="7" t="s">
        <v>177</v>
      </c>
      <c r="G1940" s="7" t="s">
        <v>101</v>
      </c>
      <c r="H1940" s="7" t="s">
        <v>39</v>
      </c>
      <c r="I1940" s="7" t="s">
        <v>88</v>
      </c>
      <c r="J1940" s="7" t="s">
        <v>183</v>
      </c>
      <c r="K1940" s="7" t="s">
        <v>248</v>
      </c>
      <c r="L1940" s="7" t="s">
        <v>2675</v>
      </c>
      <c r="M1940" s="7" t="s">
        <v>43</v>
      </c>
      <c r="N1940" s="7" t="s">
        <v>84</v>
      </c>
      <c r="O1940" s="7">
        <v>53</v>
      </c>
      <c r="P1940" s="7">
        <v>104.39</v>
      </c>
      <c r="Q1940" s="7">
        <v>67.760000000000005</v>
      </c>
      <c r="R1940" s="7">
        <v>5532.89</v>
      </c>
      <c r="S1940" s="7">
        <v>0.2</v>
      </c>
      <c r="T1940" s="7">
        <v>1106.58</v>
      </c>
      <c r="U1940" s="7">
        <v>4426.3100000000004</v>
      </c>
      <c r="V1940" s="7">
        <v>3591.16</v>
      </c>
      <c r="W1940" s="7">
        <v>835.14</v>
      </c>
      <c r="X1940" s="7" t="s">
        <v>45</v>
      </c>
    </row>
    <row r="1941" spans="1:24" x14ac:dyDescent="0.25">
      <c r="A1941" s="16" t="s">
        <v>2430</v>
      </c>
      <c r="B1941" s="17">
        <v>45593</v>
      </c>
      <c r="C1941" s="6" t="s">
        <v>649</v>
      </c>
      <c r="D1941" s="6" t="s">
        <v>87</v>
      </c>
      <c r="E1941" s="6" t="s">
        <v>23</v>
      </c>
      <c r="F1941" s="6" t="s">
        <v>24</v>
      </c>
      <c r="G1941" s="6" t="s">
        <v>25</v>
      </c>
      <c r="H1941" s="6" t="s">
        <v>26</v>
      </c>
      <c r="I1941" s="6" t="s">
        <v>40</v>
      </c>
      <c r="J1941" s="6" t="s">
        <v>82</v>
      </c>
      <c r="K1941" s="6" t="s">
        <v>83</v>
      </c>
      <c r="L1941" s="6" t="s">
        <v>2665</v>
      </c>
      <c r="M1941" s="6" t="s">
        <v>30</v>
      </c>
      <c r="N1941" s="6" t="s">
        <v>31</v>
      </c>
      <c r="O1941" s="6">
        <v>54</v>
      </c>
      <c r="P1941" s="6">
        <v>73.19</v>
      </c>
      <c r="Q1941" s="6">
        <v>41.26</v>
      </c>
      <c r="R1941" s="6">
        <v>3952.04</v>
      </c>
      <c r="S1941" s="6">
        <v>0.2</v>
      </c>
      <c r="T1941" s="6">
        <v>790.41</v>
      </c>
      <c r="U1941" s="6">
        <v>3161.63</v>
      </c>
      <c r="V1941" s="6">
        <v>2228.12</v>
      </c>
      <c r="W1941" s="6">
        <v>933.51</v>
      </c>
      <c r="X1941" s="6" t="s">
        <v>32</v>
      </c>
    </row>
    <row r="1942" spans="1:24" x14ac:dyDescent="0.25">
      <c r="A1942" s="5" t="s">
        <v>2431</v>
      </c>
      <c r="B1942" s="18">
        <v>45429</v>
      </c>
      <c r="C1942" s="7" t="s">
        <v>1219</v>
      </c>
      <c r="D1942" s="7" t="s">
        <v>359</v>
      </c>
      <c r="E1942" s="7" t="s">
        <v>150</v>
      </c>
      <c r="F1942" s="7" t="s">
        <v>151</v>
      </c>
      <c r="G1942" s="7" t="s">
        <v>101</v>
      </c>
      <c r="H1942" s="7" t="s">
        <v>134</v>
      </c>
      <c r="I1942" s="7" t="s">
        <v>58</v>
      </c>
      <c r="J1942" s="7" t="s">
        <v>59</v>
      </c>
      <c r="K1942" s="7" t="s">
        <v>178</v>
      </c>
      <c r="L1942" s="7" t="s">
        <v>256</v>
      </c>
      <c r="M1942" s="7" t="s">
        <v>30</v>
      </c>
      <c r="N1942" s="7" t="s">
        <v>44</v>
      </c>
      <c r="O1942" s="7">
        <v>33</v>
      </c>
      <c r="P1942" s="7">
        <v>82.1</v>
      </c>
      <c r="Q1942" s="7">
        <v>53.47</v>
      </c>
      <c r="R1942" s="7">
        <v>2709.19</v>
      </c>
      <c r="S1942" s="7">
        <v>0.02</v>
      </c>
      <c r="T1942" s="7">
        <v>54.18</v>
      </c>
      <c r="U1942" s="7">
        <v>2655.01</v>
      </c>
      <c r="V1942" s="7">
        <v>1764.49</v>
      </c>
      <c r="W1942" s="7">
        <v>890.51</v>
      </c>
      <c r="X1942" s="7" t="s">
        <v>45</v>
      </c>
    </row>
    <row r="1943" spans="1:24" x14ac:dyDescent="0.25">
      <c r="A1943" s="16" t="s">
        <v>2432</v>
      </c>
      <c r="B1943" s="17">
        <v>45409</v>
      </c>
      <c r="C1943" s="6" t="s">
        <v>859</v>
      </c>
      <c r="D1943" s="6" t="s">
        <v>221</v>
      </c>
      <c r="E1943" s="6" t="s">
        <v>99</v>
      </c>
      <c r="F1943" s="6" t="s">
        <v>100</v>
      </c>
      <c r="G1943" s="6" t="s">
        <v>101</v>
      </c>
      <c r="H1943" s="6" t="s">
        <v>102</v>
      </c>
      <c r="I1943" s="6" t="s">
        <v>27</v>
      </c>
      <c r="J1943" s="6" t="s">
        <v>28</v>
      </c>
      <c r="K1943" s="6" t="s">
        <v>29</v>
      </c>
      <c r="L1943" s="6" t="s">
        <v>2660</v>
      </c>
      <c r="M1943" s="6" t="s">
        <v>43</v>
      </c>
      <c r="N1943" s="6" t="s">
        <v>44</v>
      </c>
      <c r="O1943" s="6">
        <v>75</v>
      </c>
      <c r="P1943" s="6">
        <v>68.66</v>
      </c>
      <c r="Q1943" s="6">
        <v>38.79</v>
      </c>
      <c r="R1943" s="6">
        <v>5149.63</v>
      </c>
      <c r="S1943" s="6">
        <v>0.1</v>
      </c>
      <c r="T1943" s="6">
        <v>514.96</v>
      </c>
      <c r="U1943" s="6">
        <v>4634.67</v>
      </c>
      <c r="V1943" s="6">
        <v>2909.21</v>
      </c>
      <c r="W1943" s="6">
        <v>1725.46</v>
      </c>
      <c r="X1943" s="6" t="s">
        <v>45</v>
      </c>
    </row>
    <row r="1944" spans="1:24" x14ac:dyDescent="0.25">
      <c r="A1944" s="5" t="s">
        <v>2433</v>
      </c>
      <c r="B1944" s="18">
        <v>45509</v>
      </c>
      <c r="C1944" s="7" t="s">
        <v>763</v>
      </c>
      <c r="D1944" s="7" t="s">
        <v>105</v>
      </c>
      <c r="E1944" s="7" t="s">
        <v>78</v>
      </c>
      <c r="F1944" s="7" t="s">
        <v>79</v>
      </c>
      <c r="G1944" s="7" t="s">
        <v>80</v>
      </c>
      <c r="H1944" s="7" t="s">
        <v>81</v>
      </c>
      <c r="I1944" s="7" t="s">
        <v>40</v>
      </c>
      <c r="J1944" s="7" t="s">
        <v>117</v>
      </c>
      <c r="K1944" s="7" t="s">
        <v>195</v>
      </c>
      <c r="L1944" s="7" t="s">
        <v>2673</v>
      </c>
      <c r="M1944" s="7" t="s">
        <v>43</v>
      </c>
      <c r="N1944" s="7" t="s">
        <v>84</v>
      </c>
      <c r="O1944" s="7">
        <v>18</v>
      </c>
      <c r="P1944" s="7">
        <v>142.02000000000001</v>
      </c>
      <c r="Q1944" s="7">
        <v>78.959999999999994</v>
      </c>
      <c r="R1944" s="7">
        <v>2556.41</v>
      </c>
      <c r="S1944" s="7">
        <v>0.05</v>
      </c>
      <c r="T1944" s="7">
        <v>127.82</v>
      </c>
      <c r="U1944" s="7">
        <v>2428.59</v>
      </c>
      <c r="V1944" s="7">
        <v>1421.23</v>
      </c>
      <c r="W1944" s="7">
        <v>1007.36</v>
      </c>
      <c r="X1944" s="7" t="s">
        <v>32</v>
      </c>
    </row>
    <row r="1945" spans="1:24" x14ac:dyDescent="0.25">
      <c r="A1945" s="16" t="s">
        <v>2401</v>
      </c>
      <c r="B1945" s="17">
        <v>45517</v>
      </c>
      <c r="C1945" s="6" t="s">
        <v>426</v>
      </c>
      <c r="D1945" s="6" t="s">
        <v>57</v>
      </c>
      <c r="E1945" s="6" t="s">
        <v>165</v>
      </c>
      <c r="F1945" s="6" t="s">
        <v>166</v>
      </c>
      <c r="G1945" s="6" t="s">
        <v>95</v>
      </c>
      <c r="H1945" s="6" t="s">
        <v>167</v>
      </c>
      <c r="I1945" s="6" t="s">
        <v>58</v>
      </c>
      <c r="J1945" s="6" t="s">
        <v>345</v>
      </c>
      <c r="K1945" s="6" t="s">
        <v>261</v>
      </c>
      <c r="L1945" s="6" t="s">
        <v>2677</v>
      </c>
      <c r="M1945" s="6" t="s">
        <v>30</v>
      </c>
      <c r="N1945" s="6" t="s">
        <v>75</v>
      </c>
      <c r="O1945" s="6">
        <v>24</v>
      </c>
      <c r="P1945" s="6">
        <v>44.18</v>
      </c>
      <c r="Q1945" s="6">
        <v>26.82</v>
      </c>
      <c r="R1945" s="6">
        <v>1060.22</v>
      </c>
      <c r="S1945" s="6">
        <v>0.05</v>
      </c>
      <c r="T1945" s="6">
        <v>53.01</v>
      </c>
      <c r="U1945" s="6">
        <v>1007.21</v>
      </c>
      <c r="V1945" s="6">
        <v>643.69000000000005</v>
      </c>
      <c r="W1945" s="6">
        <v>363.52</v>
      </c>
      <c r="X1945" s="6" t="s">
        <v>45</v>
      </c>
    </row>
    <row r="1946" spans="1:24" x14ac:dyDescent="0.25">
      <c r="A1946" s="5" t="s">
        <v>2434</v>
      </c>
      <c r="B1946" s="18">
        <v>45424</v>
      </c>
      <c r="C1946" s="7" t="s">
        <v>1112</v>
      </c>
      <c r="D1946" s="7" t="s">
        <v>159</v>
      </c>
      <c r="E1946" s="7" t="s">
        <v>93</v>
      </c>
      <c r="F1946" s="7" t="s">
        <v>94</v>
      </c>
      <c r="G1946" s="7" t="s">
        <v>95</v>
      </c>
      <c r="H1946" s="7" t="s">
        <v>96</v>
      </c>
      <c r="I1946" s="7" t="s">
        <v>53</v>
      </c>
      <c r="J1946" s="7" t="s">
        <v>54</v>
      </c>
      <c r="K1946" s="7" t="s">
        <v>69</v>
      </c>
      <c r="L1946" s="7" t="s">
        <v>2663</v>
      </c>
      <c r="M1946" s="7" t="s">
        <v>61</v>
      </c>
      <c r="N1946" s="7" t="s">
        <v>44</v>
      </c>
      <c r="O1946" s="7">
        <v>49</v>
      </c>
      <c r="P1946" s="7">
        <v>57.25</v>
      </c>
      <c r="Q1946" s="7">
        <v>31.22</v>
      </c>
      <c r="R1946" s="7">
        <v>2805.46</v>
      </c>
      <c r="S1946" s="7">
        <v>0</v>
      </c>
      <c r="T1946" s="7">
        <v>0</v>
      </c>
      <c r="U1946" s="7">
        <v>2805.46</v>
      </c>
      <c r="V1946" s="7">
        <v>1529.76</v>
      </c>
      <c r="W1946" s="7">
        <v>1275.7</v>
      </c>
      <c r="X1946" s="7" t="s">
        <v>32</v>
      </c>
    </row>
    <row r="1947" spans="1:24" x14ac:dyDescent="0.25">
      <c r="A1947" s="16" t="s">
        <v>2435</v>
      </c>
      <c r="B1947" s="17">
        <v>45645</v>
      </c>
      <c r="C1947" s="6" t="s">
        <v>186</v>
      </c>
      <c r="D1947" s="6" t="s">
        <v>156</v>
      </c>
      <c r="E1947" s="6" t="s">
        <v>99</v>
      </c>
      <c r="F1947" s="6" t="s">
        <v>100</v>
      </c>
      <c r="G1947" s="6" t="s">
        <v>101</v>
      </c>
      <c r="H1947" s="6" t="s">
        <v>102</v>
      </c>
      <c r="I1947" s="6" t="s">
        <v>53</v>
      </c>
      <c r="J1947" s="6" t="s">
        <v>232</v>
      </c>
      <c r="K1947" s="6" t="s">
        <v>83</v>
      </c>
      <c r="L1947" s="6" t="s">
        <v>2665</v>
      </c>
      <c r="M1947" s="6" t="s">
        <v>30</v>
      </c>
      <c r="N1947" s="6" t="s">
        <v>44</v>
      </c>
      <c r="O1947" s="6">
        <v>77</v>
      </c>
      <c r="P1947" s="6">
        <v>68.25</v>
      </c>
      <c r="Q1947" s="6">
        <v>42.53</v>
      </c>
      <c r="R1947" s="6">
        <v>5255.43</v>
      </c>
      <c r="S1947" s="6">
        <v>0</v>
      </c>
      <c r="T1947" s="6">
        <v>0</v>
      </c>
      <c r="U1947" s="6">
        <v>5255.43</v>
      </c>
      <c r="V1947" s="6">
        <v>3274.69</v>
      </c>
      <c r="W1947" s="6">
        <v>1980.74</v>
      </c>
      <c r="X1947" s="6" t="s">
        <v>129</v>
      </c>
    </row>
    <row r="1948" spans="1:24" x14ac:dyDescent="0.25">
      <c r="A1948" s="5" t="s">
        <v>2436</v>
      </c>
      <c r="B1948" s="18">
        <v>45467</v>
      </c>
      <c r="C1948" s="7" t="s">
        <v>1236</v>
      </c>
      <c r="D1948" s="7" t="s">
        <v>156</v>
      </c>
      <c r="E1948" s="7" t="s">
        <v>114</v>
      </c>
      <c r="F1948" s="7" t="s">
        <v>115</v>
      </c>
      <c r="G1948" s="7" t="s">
        <v>95</v>
      </c>
      <c r="H1948" s="7" t="s">
        <v>116</v>
      </c>
      <c r="I1948" s="7" t="s">
        <v>27</v>
      </c>
      <c r="J1948" s="7" t="s">
        <v>189</v>
      </c>
      <c r="K1948" s="7" t="s">
        <v>195</v>
      </c>
      <c r="L1948" s="7" t="s">
        <v>2673</v>
      </c>
      <c r="M1948" s="7" t="s">
        <v>61</v>
      </c>
      <c r="N1948" s="7" t="s">
        <v>44</v>
      </c>
      <c r="O1948" s="7">
        <v>14</v>
      </c>
      <c r="P1948" s="7">
        <v>34.72</v>
      </c>
      <c r="Q1948" s="7">
        <v>19.75</v>
      </c>
      <c r="R1948" s="7">
        <v>486.12</v>
      </c>
      <c r="S1948" s="7">
        <v>0.2</v>
      </c>
      <c r="T1948" s="7">
        <v>97.22</v>
      </c>
      <c r="U1948" s="7">
        <v>388.9</v>
      </c>
      <c r="V1948" s="7">
        <v>276.56</v>
      </c>
      <c r="W1948" s="7">
        <v>112.34</v>
      </c>
      <c r="X1948" s="7" t="s">
        <v>45</v>
      </c>
    </row>
    <row r="1949" spans="1:24" x14ac:dyDescent="0.25">
      <c r="A1949" s="16" t="s">
        <v>2437</v>
      </c>
      <c r="B1949" s="17">
        <v>45589</v>
      </c>
      <c r="C1949" s="6" t="s">
        <v>420</v>
      </c>
      <c r="D1949" s="6" t="s">
        <v>156</v>
      </c>
      <c r="E1949" s="6" t="s">
        <v>141</v>
      </c>
      <c r="F1949" s="6" t="s">
        <v>142</v>
      </c>
      <c r="G1949" s="6" t="s">
        <v>25</v>
      </c>
      <c r="H1949" s="6" t="s">
        <v>26</v>
      </c>
      <c r="I1949" s="6" t="s">
        <v>58</v>
      </c>
      <c r="J1949" s="6" t="s">
        <v>323</v>
      </c>
      <c r="K1949" s="6" t="s">
        <v>195</v>
      </c>
      <c r="L1949" s="6" t="s">
        <v>2673</v>
      </c>
      <c r="M1949" s="6" t="s">
        <v>30</v>
      </c>
      <c r="N1949" s="6" t="s">
        <v>84</v>
      </c>
      <c r="O1949" s="6">
        <v>51</v>
      </c>
      <c r="P1949" s="6">
        <v>99.04</v>
      </c>
      <c r="Q1949" s="6">
        <v>54.83</v>
      </c>
      <c r="R1949" s="6">
        <v>5050.83</v>
      </c>
      <c r="S1949" s="6">
        <v>0.02</v>
      </c>
      <c r="T1949" s="6">
        <v>101.02</v>
      </c>
      <c r="U1949" s="6">
        <v>4949.8100000000004</v>
      </c>
      <c r="V1949" s="6">
        <v>2796.57</v>
      </c>
      <c r="W1949" s="6">
        <v>2153.2399999999998</v>
      </c>
      <c r="X1949" s="6" t="s">
        <v>45</v>
      </c>
    </row>
    <row r="1950" spans="1:24" x14ac:dyDescent="0.25">
      <c r="A1950" s="5" t="s">
        <v>2438</v>
      </c>
      <c r="B1950" s="18">
        <v>45571</v>
      </c>
      <c r="C1950" s="7" t="s">
        <v>1744</v>
      </c>
      <c r="D1950" s="7" t="s">
        <v>121</v>
      </c>
      <c r="E1950" s="7" t="s">
        <v>126</v>
      </c>
      <c r="F1950" s="7" t="s">
        <v>127</v>
      </c>
      <c r="G1950" s="7" t="s">
        <v>95</v>
      </c>
      <c r="H1950" s="7" t="s">
        <v>128</v>
      </c>
      <c r="I1950" s="7" t="s">
        <v>40</v>
      </c>
      <c r="J1950" s="7" t="s">
        <v>289</v>
      </c>
      <c r="K1950" s="7" t="s">
        <v>261</v>
      </c>
      <c r="L1950" s="7" t="s">
        <v>2677</v>
      </c>
      <c r="M1950" s="7" t="s">
        <v>30</v>
      </c>
      <c r="N1950" s="7" t="s">
        <v>75</v>
      </c>
      <c r="O1950" s="7">
        <v>46</v>
      </c>
      <c r="P1950" s="7">
        <v>90.08</v>
      </c>
      <c r="Q1950" s="7">
        <v>55.77</v>
      </c>
      <c r="R1950" s="7">
        <v>4143.4799999999996</v>
      </c>
      <c r="S1950" s="7">
        <v>0.2</v>
      </c>
      <c r="T1950" s="7">
        <v>828.7</v>
      </c>
      <c r="U1950" s="7">
        <v>3314.78</v>
      </c>
      <c r="V1950" s="7">
        <v>2565.34</v>
      </c>
      <c r="W1950" s="7">
        <v>749.44</v>
      </c>
      <c r="X1950" s="7" t="s">
        <v>45</v>
      </c>
    </row>
    <row r="1951" spans="1:24" x14ac:dyDescent="0.25">
      <c r="A1951" s="16" t="s">
        <v>2439</v>
      </c>
      <c r="B1951" s="17">
        <v>45584</v>
      </c>
      <c r="C1951" s="6" t="s">
        <v>1858</v>
      </c>
      <c r="D1951" s="6" t="s">
        <v>87</v>
      </c>
      <c r="E1951" s="6" t="s">
        <v>132</v>
      </c>
      <c r="F1951" s="6" t="s">
        <v>133</v>
      </c>
      <c r="G1951" s="6" t="s">
        <v>51</v>
      </c>
      <c r="H1951" s="6" t="s">
        <v>134</v>
      </c>
      <c r="I1951" s="6" t="s">
        <v>58</v>
      </c>
      <c r="J1951" s="6" t="s">
        <v>323</v>
      </c>
      <c r="K1951" s="6" t="s">
        <v>265</v>
      </c>
      <c r="L1951" s="6" t="s">
        <v>2678</v>
      </c>
      <c r="M1951" s="6" t="s">
        <v>153</v>
      </c>
      <c r="N1951" s="6" t="s">
        <v>70</v>
      </c>
      <c r="O1951" s="6">
        <v>54</v>
      </c>
      <c r="P1951" s="6">
        <v>61.54</v>
      </c>
      <c r="Q1951" s="6">
        <v>32.799999999999997</v>
      </c>
      <c r="R1951" s="6">
        <v>3323.05</v>
      </c>
      <c r="S1951" s="6">
        <v>0.02</v>
      </c>
      <c r="T1951" s="6">
        <v>66.459999999999994</v>
      </c>
      <c r="U1951" s="6">
        <v>3256.59</v>
      </c>
      <c r="V1951" s="6">
        <v>1771.35</v>
      </c>
      <c r="W1951" s="6">
        <v>1485.23</v>
      </c>
      <c r="X1951" s="6" t="s">
        <v>32</v>
      </c>
    </row>
    <row r="1952" spans="1:24" x14ac:dyDescent="0.25">
      <c r="A1952" s="5" t="s">
        <v>2440</v>
      </c>
      <c r="B1952" s="18">
        <v>45636</v>
      </c>
      <c r="C1952" s="7" t="s">
        <v>506</v>
      </c>
      <c r="D1952" s="7" t="s">
        <v>264</v>
      </c>
      <c r="E1952" s="7" t="s">
        <v>250</v>
      </c>
      <c r="F1952" s="7" t="s">
        <v>251</v>
      </c>
      <c r="G1952" s="7" t="s">
        <v>51</v>
      </c>
      <c r="H1952" s="7" t="s">
        <v>252</v>
      </c>
      <c r="I1952" s="7" t="s">
        <v>53</v>
      </c>
      <c r="J1952" s="7" t="s">
        <v>232</v>
      </c>
      <c r="K1952" s="7" t="s">
        <v>248</v>
      </c>
      <c r="L1952" s="7" t="s">
        <v>2675</v>
      </c>
      <c r="M1952" s="7" t="s">
        <v>153</v>
      </c>
      <c r="N1952" s="7" t="s">
        <v>44</v>
      </c>
      <c r="O1952" s="7">
        <v>64</v>
      </c>
      <c r="P1952" s="7">
        <v>68.38</v>
      </c>
      <c r="Q1952" s="7">
        <v>36.74</v>
      </c>
      <c r="R1952" s="7">
        <v>4376.1499999999996</v>
      </c>
      <c r="S1952" s="7">
        <v>0</v>
      </c>
      <c r="T1952" s="7">
        <v>0</v>
      </c>
      <c r="U1952" s="7">
        <v>4376.1499999999996</v>
      </c>
      <c r="V1952" s="7">
        <v>2351.21</v>
      </c>
      <c r="W1952" s="7">
        <v>2024.94</v>
      </c>
      <c r="X1952" s="7" t="s">
        <v>129</v>
      </c>
    </row>
    <row r="1953" spans="1:24" x14ac:dyDescent="0.25">
      <c r="A1953" s="16" t="s">
        <v>2441</v>
      </c>
      <c r="B1953" s="17">
        <v>45432</v>
      </c>
      <c r="C1953" s="6" t="s">
        <v>1310</v>
      </c>
      <c r="D1953" s="6" t="s">
        <v>264</v>
      </c>
      <c r="E1953" s="6" t="s">
        <v>66</v>
      </c>
      <c r="F1953" s="6" t="s">
        <v>67</v>
      </c>
      <c r="G1953" s="6" t="s">
        <v>38</v>
      </c>
      <c r="H1953" s="6" t="s">
        <v>68</v>
      </c>
      <c r="I1953" s="6" t="s">
        <v>88</v>
      </c>
      <c r="J1953" s="6" t="s">
        <v>89</v>
      </c>
      <c r="K1953" s="6" t="s">
        <v>42</v>
      </c>
      <c r="L1953" s="6" t="s">
        <v>2661</v>
      </c>
      <c r="M1953" s="6" t="s">
        <v>43</v>
      </c>
      <c r="N1953" s="6" t="s">
        <v>31</v>
      </c>
      <c r="O1953" s="6">
        <v>57</v>
      </c>
      <c r="P1953" s="6">
        <v>152.72</v>
      </c>
      <c r="Q1953" s="6">
        <v>106.64</v>
      </c>
      <c r="R1953" s="6">
        <v>8705.11</v>
      </c>
      <c r="S1953" s="6">
        <v>0.1</v>
      </c>
      <c r="T1953" s="6">
        <v>870.51</v>
      </c>
      <c r="U1953" s="6">
        <v>7834.6</v>
      </c>
      <c r="V1953" s="6">
        <v>6078.7</v>
      </c>
      <c r="W1953" s="6">
        <v>1755.9</v>
      </c>
      <c r="X1953" s="6" t="s">
        <v>32</v>
      </c>
    </row>
    <row r="1954" spans="1:24" x14ac:dyDescent="0.25">
      <c r="A1954" s="5" t="s">
        <v>2442</v>
      </c>
      <c r="B1954" s="18">
        <v>45478</v>
      </c>
      <c r="C1954" s="7" t="s">
        <v>337</v>
      </c>
      <c r="D1954" s="7" t="s">
        <v>87</v>
      </c>
      <c r="E1954" s="7" t="s">
        <v>216</v>
      </c>
      <c r="F1954" s="7" t="s">
        <v>217</v>
      </c>
      <c r="G1954" s="7" t="s">
        <v>38</v>
      </c>
      <c r="H1954" s="7" t="s">
        <v>134</v>
      </c>
      <c r="I1954" s="7" t="s">
        <v>53</v>
      </c>
      <c r="J1954" s="7" t="s">
        <v>54</v>
      </c>
      <c r="K1954" s="7" t="s">
        <v>83</v>
      </c>
      <c r="L1954" s="7" t="s">
        <v>2665</v>
      </c>
      <c r="M1954" s="7" t="s">
        <v>30</v>
      </c>
      <c r="N1954" s="7" t="s">
        <v>84</v>
      </c>
      <c r="O1954" s="7">
        <v>7</v>
      </c>
      <c r="P1954" s="7">
        <v>111.34</v>
      </c>
      <c r="Q1954" s="7">
        <v>68.14</v>
      </c>
      <c r="R1954" s="7">
        <v>779.4</v>
      </c>
      <c r="S1954" s="7">
        <v>0.02</v>
      </c>
      <c r="T1954" s="7">
        <v>15.59</v>
      </c>
      <c r="U1954" s="7">
        <v>763.81</v>
      </c>
      <c r="V1954" s="7">
        <v>477.01</v>
      </c>
      <c r="W1954" s="7">
        <v>286.8</v>
      </c>
      <c r="X1954" s="7" t="s">
        <v>129</v>
      </c>
    </row>
    <row r="1955" spans="1:24" x14ac:dyDescent="0.25">
      <c r="A1955" s="16" t="s">
        <v>2443</v>
      </c>
      <c r="B1955" s="17">
        <v>45596</v>
      </c>
      <c r="C1955" s="6" t="s">
        <v>1142</v>
      </c>
      <c r="D1955" s="6" t="s">
        <v>149</v>
      </c>
      <c r="E1955" s="6" t="s">
        <v>216</v>
      </c>
      <c r="F1955" s="6" t="s">
        <v>217</v>
      </c>
      <c r="G1955" s="6" t="s">
        <v>38</v>
      </c>
      <c r="H1955" s="6" t="s">
        <v>134</v>
      </c>
      <c r="I1955" s="6" t="s">
        <v>58</v>
      </c>
      <c r="J1955" s="6" t="s">
        <v>323</v>
      </c>
      <c r="K1955" s="6" t="s">
        <v>111</v>
      </c>
      <c r="L1955" s="6" t="s">
        <v>2667</v>
      </c>
      <c r="M1955" s="6" t="s">
        <v>30</v>
      </c>
      <c r="N1955" s="6" t="s">
        <v>84</v>
      </c>
      <c r="O1955" s="6">
        <v>52</v>
      </c>
      <c r="P1955" s="6">
        <v>112.88</v>
      </c>
      <c r="Q1955" s="6">
        <v>66.73</v>
      </c>
      <c r="R1955" s="6">
        <v>5869.91</v>
      </c>
      <c r="S1955" s="6">
        <v>0</v>
      </c>
      <c r="T1955" s="6">
        <v>0</v>
      </c>
      <c r="U1955" s="6">
        <v>5869.91</v>
      </c>
      <c r="V1955" s="6">
        <v>3469.86</v>
      </c>
      <c r="W1955" s="6">
        <v>2400.06</v>
      </c>
      <c r="X1955" s="6" t="s">
        <v>129</v>
      </c>
    </row>
    <row r="1956" spans="1:24" x14ac:dyDescent="0.25">
      <c r="A1956" s="5" t="s">
        <v>2444</v>
      </c>
      <c r="B1956" s="18">
        <v>45578</v>
      </c>
      <c r="C1956" s="7" t="s">
        <v>1879</v>
      </c>
      <c r="D1956" s="7" t="s">
        <v>57</v>
      </c>
      <c r="E1956" s="7" t="s">
        <v>114</v>
      </c>
      <c r="F1956" s="7" t="s">
        <v>115</v>
      </c>
      <c r="G1956" s="7" t="s">
        <v>95</v>
      </c>
      <c r="H1956" s="7" t="s">
        <v>116</v>
      </c>
      <c r="I1956" s="7" t="s">
        <v>40</v>
      </c>
      <c r="J1956" s="7" t="s">
        <v>82</v>
      </c>
      <c r="K1956" s="7" t="s">
        <v>218</v>
      </c>
      <c r="L1956" s="7" t="s">
        <v>2674</v>
      </c>
      <c r="M1956" s="7" t="s">
        <v>153</v>
      </c>
      <c r="N1956" s="7" t="s">
        <v>70</v>
      </c>
      <c r="O1956" s="7">
        <v>63</v>
      </c>
      <c r="P1956" s="7">
        <v>35.97</v>
      </c>
      <c r="Q1956" s="7">
        <v>22</v>
      </c>
      <c r="R1956" s="7">
        <v>2265.9299999999998</v>
      </c>
      <c r="S1956" s="7">
        <v>0.02</v>
      </c>
      <c r="T1956" s="7">
        <v>45.32</v>
      </c>
      <c r="U1956" s="7">
        <v>2220.61</v>
      </c>
      <c r="V1956" s="7">
        <v>1385.8</v>
      </c>
      <c r="W1956" s="7">
        <v>834.81</v>
      </c>
      <c r="X1956" s="7" t="s">
        <v>32</v>
      </c>
    </row>
    <row r="1957" spans="1:24" x14ac:dyDescent="0.25">
      <c r="A1957" s="16" t="s">
        <v>2445</v>
      </c>
      <c r="B1957" s="17">
        <v>45515</v>
      </c>
      <c r="C1957" s="6" t="s">
        <v>389</v>
      </c>
      <c r="D1957" s="6" t="s">
        <v>264</v>
      </c>
      <c r="E1957" s="6" t="s">
        <v>36</v>
      </c>
      <c r="F1957" s="6" t="s">
        <v>37</v>
      </c>
      <c r="G1957" s="6" t="s">
        <v>38</v>
      </c>
      <c r="H1957" s="6" t="s">
        <v>39</v>
      </c>
      <c r="I1957" s="6" t="s">
        <v>88</v>
      </c>
      <c r="J1957" s="6" t="s">
        <v>173</v>
      </c>
      <c r="K1957" s="6" t="s">
        <v>184</v>
      </c>
      <c r="L1957" s="6" t="s">
        <v>2672</v>
      </c>
      <c r="M1957" s="6" t="s">
        <v>61</v>
      </c>
      <c r="N1957" s="6" t="s">
        <v>44</v>
      </c>
      <c r="O1957" s="6">
        <v>18</v>
      </c>
      <c r="P1957" s="6">
        <v>173.63</v>
      </c>
      <c r="Q1957" s="6">
        <v>99.39</v>
      </c>
      <c r="R1957" s="6">
        <v>3125.32</v>
      </c>
      <c r="S1957" s="6">
        <v>0.05</v>
      </c>
      <c r="T1957" s="6">
        <v>156.27000000000001</v>
      </c>
      <c r="U1957" s="6">
        <v>2969.06</v>
      </c>
      <c r="V1957" s="6">
        <v>1789.05</v>
      </c>
      <c r="W1957" s="6">
        <v>1180</v>
      </c>
      <c r="X1957" s="6" t="s">
        <v>45</v>
      </c>
    </row>
    <row r="1958" spans="1:24" x14ac:dyDescent="0.25">
      <c r="A1958" s="5" t="s">
        <v>2446</v>
      </c>
      <c r="B1958" s="18">
        <v>45372</v>
      </c>
      <c r="C1958" s="7" t="s">
        <v>704</v>
      </c>
      <c r="D1958" s="7" t="s">
        <v>105</v>
      </c>
      <c r="E1958" s="7" t="s">
        <v>93</v>
      </c>
      <c r="F1958" s="7" t="s">
        <v>94</v>
      </c>
      <c r="G1958" s="7" t="s">
        <v>95</v>
      </c>
      <c r="H1958" s="7" t="s">
        <v>96</v>
      </c>
      <c r="I1958" s="7" t="s">
        <v>27</v>
      </c>
      <c r="J1958" s="7" t="s">
        <v>28</v>
      </c>
      <c r="K1958" s="7" t="s">
        <v>111</v>
      </c>
      <c r="L1958" s="7" t="s">
        <v>2667</v>
      </c>
      <c r="M1958" s="7" t="s">
        <v>30</v>
      </c>
      <c r="N1958" s="7" t="s">
        <v>75</v>
      </c>
      <c r="O1958" s="7">
        <v>16</v>
      </c>
      <c r="P1958" s="7">
        <v>58.97</v>
      </c>
      <c r="Q1958" s="7">
        <v>30.34</v>
      </c>
      <c r="R1958" s="7">
        <v>943.56</v>
      </c>
      <c r="S1958" s="7">
        <v>0.2</v>
      </c>
      <c r="T1958" s="7">
        <v>188.71</v>
      </c>
      <c r="U1958" s="7">
        <v>754.85</v>
      </c>
      <c r="V1958" s="7">
        <v>485.42</v>
      </c>
      <c r="W1958" s="7">
        <v>269.43</v>
      </c>
      <c r="X1958" s="7" t="s">
        <v>45</v>
      </c>
    </row>
    <row r="1959" spans="1:24" x14ac:dyDescent="0.25">
      <c r="A1959" s="16" t="s">
        <v>2447</v>
      </c>
      <c r="B1959" s="17">
        <v>45358</v>
      </c>
      <c r="C1959" s="6" t="s">
        <v>985</v>
      </c>
      <c r="D1959" s="6" t="s">
        <v>393</v>
      </c>
      <c r="E1959" s="6" t="s">
        <v>150</v>
      </c>
      <c r="F1959" s="6" t="s">
        <v>151</v>
      </c>
      <c r="G1959" s="6" t="s">
        <v>101</v>
      </c>
      <c r="H1959" s="6" t="s">
        <v>134</v>
      </c>
      <c r="I1959" s="6" t="s">
        <v>40</v>
      </c>
      <c r="J1959" s="6" t="s">
        <v>289</v>
      </c>
      <c r="K1959" s="6" t="s">
        <v>29</v>
      </c>
      <c r="L1959" s="6" t="s">
        <v>2660</v>
      </c>
      <c r="M1959" s="6" t="s">
        <v>30</v>
      </c>
      <c r="N1959" s="6" t="s">
        <v>70</v>
      </c>
      <c r="O1959" s="6">
        <v>42</v>
      </c>
      <c r="P1959" s="6">
        <v>82.51</v>
      </c>
      <c r="Q1959" s="6">
        <v>50.47</v>
      </c>
      <c r="R1959" s="6">
        <v>3465.44</v>
      </c>
      <c r="S1959" s="6">
        <v>0.15</v>
      </c>
      <c r="T1959" s="6">
        <v>519.82000000000005</v>
      </c>
      <c r="U1959" s="6">
        <v>2945.62</v>
      </c>
      <c r="V1959" s="6">
        <v>2119.58</v>
      </c>
      <c r="W1959" s="6">
        <v>826.04</v>
      </c>
      <c r="X1959" s="6" t="s">
        <v>45</v>
      </c>
    </row>
    <row r="1960" spans="1:24" x14ac:dyDescent="0.25">
      <c r="A1960" s="5" t="s">
        <v>2448</v>
      </c>
      <c r="B1960" s="18">
        <v>45573</v>
      </c>
      <c r="C1960" s="7" t="s">
        <v>1270</v>
      </c>
      <c r="D1960" s="7" t="s">
        <v>87</v>
      </c>
      <c r="E1960" s="7" t="s">
        <v>109</v>
      </c>
      <c r="F1960" s="7" t="s">
        <v>110</v>
      </c>
      <c r="G1960" s="7" t="s">
        <v>80</v>
      </c>
      <c r="H1960" s="7" t="s">
        <v>81</v>
      </c>
      <c r="I1960" s="7" t="s">
        <v>27</v>
      </c>
      <c r="J1960" s="7" t="s">
        <v>211</v>
      </c>
      <c r="K1960" s="7" t="s">
        <v>60</v>
      </c>
      <c r="L1960" s="7" t="s">
        <v>2662</v>
      </c>
      <c r="M1960" s="7" t="s">
        <v>43</v>
      </c>
      <c r="N1960" s="7" t="s">
        <v>84</v>
      </c>
      <c r="O1960" s="7">
        <v>9</v>
      </c>
      <c r="P1960" s="7">
        <v>129.47</v>
      </c>
      <c r="Q1960" s="7">
        <v>73.95</v>
      </c>
      <c r="R1960" s="7">
        <v>1165.22</v>
      </c>
      <c r="S1960" s="7">
        <v>0.05</v>
      </c>
      <c r="T1960" s="7">
        <v>58.26</v>
      </c>
      <c r="U1960" s="7">
        <v>1106.95</v>
      </c>
      <c r="V1960" s="7">
        <v>665.56</v>
      </c>
      <c r="W1960" s="7">
        <v>441.39</v>
      </c>
      <c r="X1960" s="7" t="s">
        <v>45</v>
      </c>
    </row>
    <row r="1961" spans="1:24" x14ac:dyDescent="0.25">
      <c r="A1961" s="16" t="s">
        <v>2449</v>
      </c>
      <c r="B1961" s="17">
        <v>45640</v>
      </c>
      <c r="C1961" s="6" t="s">
        <v>331</v>
      </c>
      <c r="D1961" s="6" t="s">
        <v>48</v>
      </c>
      <c r="E1961" s="6" t="s">
        <v>141</v>
      </c>
      <c r="F1961" s="6" t="s">
        <v>142</v>
      </c>
      <c r="G1961" s="6" t="s">
        <v>25</v>
      </c>
      <c r="H1961" s="6" t="s">
        <v>26</v>
      </c>
      <c r="I1961" s="6" t="s">
        <v>88</v>
      </c>
      <c r="J1961" s="6" t="s">
        <v>183</v>
      </c>
      <c r="K1961" s="6" t="s">
        <v>218</v>
      </c>
      <c r="L1961" s="6" t="s">
        <v>2674</v>
      </c>
      <c r="M1961" s="6" t="s">
        <v>153</v>
      </c>
      <c r="N1961" s="6" t="s">
        <v>44</v>
      </c>
      <c r="O1961" s="6">
        <v>51</v>
      </c>
      <c r="P1961" s="6">
        <v>98.48</v>
      </c>
      <c r="Q1961" s="6">
        <v>54.25</v>
      </c>
      <c r="R1961" s="6">
        <v>5022.41</v>
      </c>
      <c r="S1961" s="6">
        <v>0.05</v>
      </c>
      <c r="T1961" s="6">
        <v>251.12</v>
      </c>
      <c r="U1961" s="6">
        <v>4771.29</v>
      </c>
      <c r="V1961" s="6">
        <v>2766.51</v>
      </c>
      <c r="W1961" s="6">
        <v>2004.78</v>
      </c>
      <c r="X1961" s="6" t="s">
        <v>45</v>
      </c>
    </row>
    <row r="1962" spans="1:24" x14ac:dyDescent="0.25">
      <c r="A1962" s="5" t="s">
        <v>2450</v>
      </c>
      <c r="B1962" s="18">
        <v>45430</v>
      </c>
      <c r="C1962" s="7" t="s">
        <v>339</v>
      </c>
      <c r="D1962" s="7" t="s">
        <v>221</v>
      </c>
      <c r="E1962" s="7" t="s">
        <v>78</v>
      </c>
      <c r="F1962" s="7" t="s">
        <v>79</v>
      </c>
      <c r="G1962" s="7" t="s">
        <v>80</v>
      </c>
      <c r="H1962" s="7" t="s">
        <v>81</v>
      </c>
      <c r="I1962" s="7" t="s">
        <v>53</v>
      </c>
      <c r="J1962" s="7" t="s">
        <v>232</v>
      </c>
      <c r="K1962" s="7" t="s">
        <v>29</v>
      </c>
      <c r="L1962" s="7" t="s">
        <v>2660</v>
      </c>
      <c r="M1962" s="7" t="s">
        <v>153</v>
      </c>
      <c r="N1962" s="7" t="s">
        <v>70</v>
      </c>
      <c r="O1962" s="7">
        <v>14</v>
      </c>
      <c r="P1962" s="7">
        <v>140.52000000000001</v>
      </c>
      <c r="Q1962" s="7">
        <v>76.95</v>
      </c>
      <c r="R1962" s="7">
        <v>1967.34</v>
      </c>
      <c r="S1962" s="7">
        <v>0</v>
      </c>
      <c r="T1962" s="7">
        <v>0</v>
      </c>
      <c r="U1962" s="7">
        <v>1967.34</v>
      </c>
      <c r="V1962" s="7">
        <v>1077.24</v>
      </c>
      <c r="W1962" s="7">
        <v>890.09</v>
      </c>
      <c r="X1962" s="7" t="s">
        <v>45</v>
      </c>
    </row>
    <row r="1963" spans="1:24" x14ac:dyDescent="0.25">
      <c r="A1963" s="16" t="s">
        <v>2451</v>
      </c>
      <c r="B1963" s="17">
        <v>45461</v>
      </c>
      <c r="C1963" s="6" t="s">
        <v>180</v>
      </c>
      <c r="D1963" s="6" t="s">
        <v>163</v>
      </c>
      <c r="E1963" s="6" t="s">
        <v>78</v>
      </c>
      <c r="F1963" s="6" t="s">
        <v>79</v>
      </c>
      <c r="G1963" s="6" t="s">
        <v>80</v>
      </c>
      <c r="H1963" s="6" t="s">
        <v>81</v>
      </c>
      <c r="I1963" s="6" t="s">
        <v>88</v>
      </c>
      <c r="J1963" s="6" t="s">
        <v>173</v>
      </c>
      <c r="K1963" s="6" t="s">
        <v>90</v>
      </c>
      <c r="L1963" s="6" t="s">
        <v>2666</v>
      </c>
      <c r="M1963" s="6" t="s">
        <v>61</v>
      </c>
      <c r="N1963" s="6" t="s">
        <v>70</v>
      </c>
      <c r="O1963" s="6">
        <v>53</v>
      </c>
      <c r="P1963" s="6">
        <v>139.07</v>
      </c>
      <c r="Q1963" s="6">
        <v>81.8</v>
      </c>
      <c r="R1963" s="6">
        <v>7370.49</v>
      </c>
      <c r="S1963" s="6">
        <v>0.2</v>
      </c>
      <c r="T1963" s="6">
        <v>1474.1</v>
      </c>
      <c r="U1963" s="6">
        <v>5896.4</v>
      </c>
      <c r="V1963" s="6">
        <v>4335.3599999999997</v>
      </c>
      <c r="W1963" s="6">
        <v>1561.04</v>
      </c>
      <c r="X1963" s="6" t="s">
        <v>32</v>
      </c>
    </row>
    <row r="1964" spans="1:24" x14ac:dyDescent="0.25">
      <c r="A1964" s="5" t="s">
        <v>2452</v>
      </c>
      <c r="B1964" s="18">
        <v>45485</v>
      </c>
      <c r="C1964" s="7" t="s">
        <v>655</v>
      </c>
      <c r="D1964" s="7" t="s">
        <v>57</v>
      </c>
      <c r="E1964" s="7" t="s">
        <v>209</v>
      </c>
      <c r="F1964" s="7" t="s">
        <v>210</v>
      </c>
      <c r="G1964" s="7" t="s">
        <v>51</v>
      </c>
      <c r="H1964" s="7" t="s">
        <v>116</v>
      </c>
      <c r="I1964" s="7" t="s">
        <v>53</v>
      </c>
      <c r="J1964" s="7" t="s">
        <v>122</v>
      </c>
      <c r="K1964" s="7" t="s">
        <v>261</v>
      </c>
      <c r="L1964" s="7" t="s">
        <v>2677</v>
      </c>
      <c r="M1964" s="7" t="s">
        <v>43</v>
      </c>
      <c r="N1964" s="7" t="s">
        <v>70</v>
      </c>
      <c r="O1964" s="7">
        <v>36</v>
      </c>
      <c r="P1964" s="7">
        <v>18.39</v>
      </c>
      <c r="Q1964" s="7">
        <v>9.56</v>
      </c>
      <c r="R1964" s="7">
        <v>661.93</v>
      </c>
      <c r="S1964" s="7">
        <v>0.02</v>
      </c>
      <c r="T1964" s="7">
        <v>13.24</v>
      </c>
      <c r="U1964" s="7">
        <v>648.69000000000005</v>
      </c>
      <c r="V1964" s="7">
        <v>343.99</v>
      </c>
      <c r="W1964" s="7">
        <v>304.7</v>
      </c>
      <c r="X1964" s="7" t="s">
        <v>45</v>
      </c>
    </row>
    <row r="1965" spans="1:24" x14ac:dyDescent="0.25">
      <c r="A1965" s="16" t="s">
        <v>2453</v>
      </c>
      <c r="B1965" s="17">
        <v>45433</v>
      </c>
      <c r="C1965" s="6" t="s">
        <v>47</v>
      </c>
      <c r="D1965" s="6" t="s">
        <v>48</v>
      </c>
      <c r="E1965" s="6" t="s">
        <v>36</v>
      </c>
      <c r="F1965" s="6" t="s">
        <v>37</v>
      </c>
      <c r="G1965" s="6" t="s">
        <v>38</v>
      </c>
      <c r="H1965" s="6" t="s">
        <v>39</v>
      </c>
      <c r="I1965" s="6" t="s">
        <v>27</v>
      </c>
      <c r="J1965" s="6" t="s">
        <v>211</v>
      </c>
      <c r="K1965" s="6" t="s">
        <v>60</v>
      </c>
      <c r="L1965" s="6" t="s">
        <v>2662</v>
      </c>
      <c r="M1965" s="6" t="s">
        <v>61</v>
      </c>
      <c r="N1965" s="6" t="s">
        <v>84</v>
      </c>
      <c r="O1965" s="6">
        <v>54</v>
      </c>
      <c r="P1965" s="6">
        <v>157.47</v>
      </c>
      <c r="Q1965" s="6">
        <v>92.14</v>
      </c>
      <c r="R1965" s="6">
        <v>8503.27</v>
      </c>
      <c r="S1965" s="6">
        <v>0.15</v>
      </c>
      <c r="T1965" s="6">
        <v>1275.49</v>
      </c>
      <c r="U1965" s="6">
        <v>7227.78</v>
      </c>
      <c r="V1965" s="6">
        <v>4975.83</v>
      </c>
      <c r="W1965" s="6">
        <v>2251.9499999999998</v>
      </c>
      <c r="X1965" s="6" t="s">
        <v>45</v>
      </c>
    </row>
    <row r="1966" spans="1:24" x14ac:dyDescent="0.25">
      <c r="A1966" s="5" t="s">
        <v>2454</v>
      </c>
      <c r="B1966" s="18">
        <v>45504</v>
      </c>
      <c r="C1966" s="7" t="s">
        <v>234</v>
      </c>
      <c r="D1966" s="7" t="s">
        <v>159</v>
      </c>
      <c r="E1966" s="7" t="s">
        <v>109</v>
      </c>
      <c r="F1966" s="7" t="s">
        <v>110</v>
      </c>
      <c r="G1966" s="7" t="s">
        <v>80</v>
      </c>
      <c r="H1966" s="7" t="s">
        <v>81</v>
      </c>
      <c r="I1966" s="7" t="s">
        <v>53</v>
      </c>
      <c r="J1966" s="7" t="s">
        <v>232</v>
      </c>
      <c r="K1966" s="7" t="s">
        <v>29</v>
      </c>
      <c r="L1966" s="7" t="s">
        <v>2660</v>
      </c>
      <c r="M1966" s="7" t="s">
        <v>43</v>
      </c>
      <c r="N1966" s="7" t="s">
        <v>84</v>
      </c>
      <c r="O1966" s="7">
        <v>61</v>
      </c>
      <c r="P1966" s="7">
        <v>128.1</v>
      </c>
      <c r="Q1966" s="7">
        <v>71.16</v>
      </c>
      <c r="R1966" s="7">
        <v>7814.31</v>
      </c>
      <c r="S1966" s="7">
        <v>0</v>
      </c>
      <c r="T1966" s="7">
        <v>0</v>
      </c>
      <c r="U1966" s="7">
        <v>7814.31</v>
      </c>
      <c r="V1966" s="7">
        <v>4340.83</v>
      </c>
      <c r="W1966" s="7">
        <v>3473.48</v>
      </c>
      <c r="X1966" s="7" t="s">
        <v>45</v>
      </c>
    </row>
    <row r="1967" spans="1:24" x14ac:dyDescent="0.25">
      <c r="A1967" s="16" t="s">
        <v>2455</v>
      </c>
      <c r="B1967" s="17">
        <v>45388</v>
      </c>
      <c r="C1967" s="6" t="s">
        <v>162</v>
      </c>
      <c r="D1967" s="6" t="s">
        <v>163</v>
      </c>
      <c r="E1967" s="6" t="s">
        <v>165</v>
      </c>
      <c r="F1967" s="6" t="s">
        <v>166</v>
      </c>
      <c r="G1967" s="6" t="s">
        <v>95</v>
      </c>
      <c r="H1967" s="6" t="s">
        <v>167</v>
      </c>
      <c r="I1967" s="6" t="s">
        <v>27</v>
      </c>
      <c r="J1967" s="6" t="s">
        <v>28</v>
      </c>
      <c r="K1967" s="6" t="s">
        <v>90</v>
      </c>
      <c r="L1967" s="6" t="s">
        <v>2666</v>
      </c>
      <c r="M1967" s="6" t="s">
        <v>61</v>
      </c>
      <c r="N1967" s="6" t="s">
        <v>70</v>
      </c>
      <c r="O1967" s="6">
        <v>56</v>
      </c>
      <c r="P1967" s="6">
        <v>38.9</v>
      </c>
      <c r="Q1967" s="6">
        <v>24.09</v>
      </c>
      <c r="R1967" s="6">
        <v>2178.62</v>
      </c>
      <c r="S1967" s="6">
        <v>0.2</v>
      </c>
      <c r="T1967" s="6">
        <v>435.72</v>
      </c>
      <c r="U1967" s="6">
        <v>1742.89</v>
      </c>
      <c r="V1967" s="6">
        <v>1348.93</v>
      </c>
      <c r="W1967" s="6">
        <v>393.97</v>
      </c>
      <c r="X1967" s="6" t="s">
        <v>45</v>
      </c>
    </row>
    <row r="1968" spans="1:24" x14ac:dyDescent="0.25">
      <c r="A1968" s="5" t="s">
        <v>2456</v>
      </c>
      <c r="B1968" s="18">
        <v>45639</v>
      </c>
      <c r="C1968" s="7" t="s">
        <v>941</v>
      </c>
      <c r="D1968" s="7" t="s">
        <v>149</v>
      </c>
      <c r="E1968" s="7" t="s">
        <v>36</v>
      </c>
      <c r="F1968" s="7" t="s">
        <v>37</v>
      </c>
      <c r="G1968" s="7" t="s">
        <v>38</v>
      </c>
      <c r="H1968" s="7" t="s">
        <v>39</v>
      </c>
      <c r="I1968" s="7" t="s">
        <v>88</v>
      </c>
      <c r="J1968" s="7" t="s">
        <v>183</v>
      </c>
      <c r="K1968" s="7" t="s">
        <v>42</v>
      </c>
      <c r="L1968" s="7" t="s">
        <v>2661</v>
      </c>
      <c r="M1968" s="7" t="s">
        <v>30</v>
      </c>
      <c r="N1968" s="7" t="s">
        <v>84</v>
      </c>
      <c r="O1968" s="7">
        <v>45</v>
      </c>
      <c r="P1968" s="7">
        <v>159.51</v>
      </c>
      <c r="Q1968" s="7">
        <v>105.51</v>
      </c>
      <c r="R1968" s="7">
        <v>7178.16</v>
      </c>
      <c r="S1968" s="7">
        <v>0.05</v>
      </c>
      <c r="T1968" s="7">
        <v>358.91</v>
      </c>
      <c r="U1968" s="7">
        <v>6819.25</v>
      </c>
      <c r="V1968" s="7">
        <v>4747.8</v>
      </c>
      <c r="W1968" s="7">
        <v>2071.4499999999998</v>
      </c>
      <c r="X1968" s="7" t="s">
        <v>45</v>
      </c>
    </row>
    <row r="1969" spans="1:24" x14ac:dyDescent="0.25">
      <c r="A1969" s="16" t="s">
        <v>2457</v>
      </c>
      <c r="B1969" s="17">
        <v>45362</v>
      </c>
      <c r="C1969" s="6" t="s">
        <v>466</v>
      </c>
      <c r="D1969" s="6" t="s">
        <v>221</v>
      </c>
      <c r="E1969" s="6" t="s">
        <v>165</v>
      </c>
      <c r="F1969" s="6" t="s">
        <v>166</v>
      </c>
      <c r="G1969" s="6" t="s">
        <v>95</v>
      </c>
      <c r="H1969" s="6" t="s">
        <v>167</v>
      </c>
      <c r="I1969" s="6" t="s">
        <v>58</v>
      </c>
      <c r="J1969" s="6" t="s">
        <v>59</v>
      </c>
      <c r="K1969" s="6" t="s">
        <v>195</v>
      </c>
      <c r="L1969" s="6" t="s">
        <v>2673</v>
      </c>
      <c r="M1969" s="6" t="s">
        <v>61</v>
      </c>
      <c r="N1969" s="6" t="s">
        <v>70</v>
      </c>
      <c r="O1969" s="6">
        <v>14</v>
      </c>
      <c r="P1969" s="6">
        <v>40.79</v>
      </c>
      <c r="Q1969" s="6">
        <v>26.8</v>
      </c>
      <c r="R1969" s="6">
        <v>571</v>
      </c>
      <c r="S1969" s="6">
        <v>0.15</v>
      </c>
      <c r="T1969" s="6">
        <v>85.65</v>
      </c>
      <c r="U1969" s="6">
        <v>485.35</v>
      </c>
      <c r="V1969" s="6">
        <v>375.2</v>
      </c>
      <c r="W1969" s="6">
        <v>110.15</v>
      </c>
      <c r="X1969" s="6" t="s">
        <v>129</v>
      </c>
    </row>
    <row r="1970" spans="1:24" x14ac:dyDescent="0.25">
      <c r="A1970" s="5" t="s">
        <v>2458</v>
      </c>
      <c r="B1970" s="18">
        <v>45349</v>
      </c>
      <c r="C1970" s="7" t="s">
        <v>924</v>
      </c>
      <c r="D1970" s="7" t="s">
        <v>48</v>
      </c>
      <c r="E1970" s="7" t="s">
        <v>49</v>
      </c>
      <c r="F1970" s="7" t="s">
        <v>50</v>
      </c>
      <c r="G1970" s="7" t="s">
        <v>51</v>
      </c>
      <c r="H1970" s="7" t="s">
        <v>52</v>
      </c>
      <c r="I1970" s="7" t="s">
        <v>40</v>
      </c>
      <c r="J1970" s="7" t="s">
        <v>117</v>
      </c>
      <c r="K1970" s="7" t="s">
        <v>253</v>
      </c>
      <c r="L1970" s="7" t="s">
        <v>2676</v>
      </c>
      <c r="M1970" s="7" t="s">
        <v>43</v>
      </c>
      <c r="N1970" s="7" t="s">
        <v>84</v>
      </c>
      <c r="O1970" s="7">
        <v>10</v>
      </c>
      <c r="P1970" s="7">
        <v>23.3</v>
      </c>
      <c r="Q1970" s="7">
        <v>14.01</v>
      </c>
      <c r="R1970" s="7">
        <v>232.98</v>
      </c>
      <c r="S1970" s="7">
        <v>0.2</v>
      </c>
      <c r="T1970" s="7">
        <v>46.6</v>
      </c>
      <c r="U1970" s="7">
        <v>186.39</v>
      </c>
      <c r="V1970" s="7">
        <v>140.13</v>
      </c>
      <c r="W1970" s="7">
        <v>46.26</v>
      </c>
      <c r="X1970" s="7" t="s">
        <v>32</v>
      </c>
    </row>
    <row r="1971" spans="1:24" x14ac:dyDescent="0.25">
      <c r="A1971" s="16" t="s">
        <v>2459</v>
      </c>
      <c r="B1971" s="17">
        <v>45494</v>
      </c>
      <c r="C1971" s="6" t="s">
        <v>613</v>
      </c>
      <c r="D1971" s="6" t="s">
        <v>87</v>
      </c>
      <c r="E1971" s="6" t="s">
        <v>114</v>
      </c>
      <c r="F1971" s="6" t="s">
        <v>115</v>
      </c>
      <c r="G1971" s="6" t="s">
        <v>95</v>
      </c>
      <c r="H1971" s="6" t="s">
        <v>116</v>
      </c>
      <c r="I1971" s="6" t="s">
        <v>53</v>
      </c>
      <c r="J1971" s="6" t="s">
        <v>54</v>
      </c>
      <c r="K1971" s="6" t="s">
        <v>118</v>
      </c>
      <c r="L1971" s="6" t="s">
        <v>2668</v>
      </c>
      <c r="M1971" s="6" t="s">
        <v>153</v>
      </c>
      <c r="N1971" s="6" t="s">
        <v>44</v>
      </c>
      <c r="O1971" s="6">
        <v>26</v>
      </c>
      <c r="P1971" s="6">
        <v>35.69</v>
      </c>
      <c r="Q1971" s="6">
        <v>20.07</v>
      </c>
      <c r="R1971" s="6">
        <v>927.87</v>
      </c>
      <c r="S1971" s="6">
        <v>0</v>
      </c>
      <c r="T1971" s="6">
        <v>0</v>
      </c>
      <c r="U1971" s="6">
        <v>927.87</v>
      </c>
      <c r="V1971" s="6">
        <v>521.77</v>
      </c>
      <c r="W1971" s="6">
        <v>406.1</v>
      </c>
      <c r="X1971" s="6" t="s">
        <v>45</v>
      </c>
    </row>
    <row r="1972" spans="1:24" x14ac:dyDescent="0.25">
      <c r="A1972" s="5" t="s">
        <v>2460</v>
      </c>
      <c r="B1972" s="18">
        <v>45410</v>
      </c>
      <c r="C1972" s="7" t="s">
        <v>529</v>
      </c>
      <c r="D1972" s="7" t="s">
        <v>256</v>
      </c>
      <c r="E1972" s="7" t="s">
        <v>176</v>
      </c>
      <c r="F1972" s="7" t="s">
        <v>177</v>
      </c>
      <c r="G1972" s="7" t="s">
        <v>101</v>
      </c>
      <c r="H1972" s="7" t="s">
        <v>39</v>
      </c>
      <c r="I1972" s="7" t="s">
        <v>40</v>
      </c>
      <c r="J1972" s="7" t="s">
        <v>82</v>
      </c>
      <c r="K1972" s="7" t="s">
        <v>111</v>
      </c>
      <c r="L1972" s="7" t="s">
        <v>2667</v>
      </c>
      <c r="M1972" s="7" t="s">
        <v>153</v>
      </c>
      <c r="N1972" s="7" t="s">
        <v>44</v>
      </c>
      <c r="O1972" s="7">
        <v>8</v>
      </c>
      <c r="P1972" s="7">
        <v>112.58</v>
      </c>
      <c r="Q1972" s="7">
        <v>64.02</v>
      </c>
      <c r="R1972" s="7">
        <v>900.67</v>
      </c>
      <c r="S1972" s="7">
        <v>0.15</v>
      </c>
      <c r="T1972" s="7">
        <v>135.1</v>
      </c>
      <c r="U1972" s="7">
        <v>765.57</v>
      </c>
      <c r="V1972" s="7">
        <v>512.19000000000005</v>
      </c>
      <c r="W1972" s="7">
        <v>253.37</v>
      </c>
      <c r="X1972" s="7" t="s">
        <v>45</v>
      </c>
    </row>
    <row r="1973" spans="1:24" x14ac:dyDescent="0.25">
      <c r="A1973" s="16" t="s">
        <v>2461</v>
      </c>
      <c r="B1973" s="17">
        <v>45475</v>
      </c>
      <c r="C1973" s="6" t="s">
        <v>148</v>
      </c>
      <c r="D1973" s="6" t="s">
        <v>149</v>
      </c>
      <c r="E1973" s="6" t="s">
        <v>216</v>
      </c>
      <c r="F1973" s="6" t="s">
        <v>217</v>
      </c>
      <c r="G1973" s="6" t="s">
        <v>38</v>
      </c>
      <c r="H1973" s="6" t="s">
        <v>134</v>
      </c>
      <c r="I1973" s="6" t="s">
        <v>27</v>
      </c>
      <c r="J1973" s="6" t="s">
        <v>211</v>
      </c>
      <c r="K1973" s="6" t="s">
        <v>184</v>
      </c>
      <c r="L1973" s="6" t="s">
        <v>2672</v>
      </c>
      <c r="M1973" s="6" t="s">
        <v>30</v>
      </c>
      <c r="N1973" s="6" t="s">
        <v>44</v>
      </c>
      <c r="O1973" s="6">
        <v>18</v>
      </c>
      <c r="P1973" s="6">
        <v>104.38</v>
      </c>
      <c r="Q1973" s="6">
        <v>67.73</v>
      </c>
      <c r="R1973" s="6">
        <v>1878.81</v>
      </c>
      <c r="S1973" s="6">
        <v>0.05</v>
      </c>
      <c r="T1973" s="6">
        <v>93.94</v>
      </c>
      <c r="U1973" s="6">
        <v>1784.87</v>
      </c>
      <c r="V1973" s="6">
        <v>1219.1099999999999</v>
      </c>
      <c r="W1973" s="6">
        <v>565.76</v>
      </c>
      <c r="X1973" s="6" t="s">
        <v>45</v>
      </c>
    </row>
    <row r="1974" spans="1:24" x14ac:dyDescent="0.25">
      <c r="A1974" s="5" t="s">
        <v>2462</v>
      </c>
      <c r="B1974" s="18">
        <v>45532</v>
      </c>
      <c r="C1974" s="7" t="s">
        <v>1412</v>
      </c>
      <c r="D1974" s="7" t="s">
        <v>48</v>
      </c>
      <c r="E1974" s="7" t="s">
        <v>176</v>
      </c>
      <c r="F1974" s="7" t="s">
        <v>177</v>
      </c>
      <c r="G1974" s="7" t="s">
        <v>101</v>
      </c>
      <c r="H1974" s="7" t="s">
        <v>39</v>
      </c>
      <c r="I1974" s="7" t="s">
        <v>40</v>
      </c>
      <c r="J1974" s="7" t="s">
        <v>41</v>
      </c>
      <c r="K1974" s="7" t="s">
        <v>42</v>
      </c>
      <c r="L1974" s="7" t="s">
        <v>2661</v>
      </c>
      <c r="M1974" s="7" t="s">
        <v>43</v>
      </c>
      <c r="N1974" s="7" t="s">
        <v>31</v>
      </c>
      <c r="O1974" s="7">
        <v>37</v>
      </c>
      <c r="P1974" s="7">
        <v>96.6</v>
      </c>
      <c r="Q1974" s="7">
        <v>62.16</v>
      </c>
      <c r="R1974" s="7">
        <v>3574.21</v>
      </c>
      <c r="S1974" s="7">
        <v>0.2</v>
      </c>
      <c r="T1974" s="7">
        <v>714.84</v>
      </c>
      <c r="U1974" s="7">
        <v>2859.37</v>
      </c>
      <c r="V1974" s="7">
        <v>2299.88</v>
      </c>
      <c r="W1974" s="7">
        <v>559.48</v>
      </c>
      <c r="X1974" s="7" t="s">
        <v>45</v>
      </c>
    </row>
    <row r="1975" spans="1:24" x14ac:dyDescent="0.25">
      <c r="A1975" s="16" t="s">
        <v>2463</v>
      </c>
      <c r="B1975" s="17">
        <v>45459</v>
      </c>
      <c r="C1975" s="6" t="s">
        <v>902</v>
      </c>
      <c r="D1975" s="6" t="s">
        <v>35</v>
      </c>
      <c r="E1975" s="6" t="s">
        <v>141</v>
      </c>
      <c r="F1975" s="6" t="s">
        <v>142</v>
      </c>
      <c r="G1975" s="6" t="s">
        <v>25</v>
      </c>
      <c r="H1975" s="6" t="s">
        <v>26</v>
      </c>
      <c r="I1975" s="6" t="s">
        <v>53</v>
      </c>
      <c r="J1975" s="6" t="s">
        <v>232</v>
      </c>
      <c r="K1975" s="6" t="s">
        <v>218</v>
      </c>
      <c r="L1975" s="6" t="s">
        <v>2674</v>
      </c>
      <c r="M1975" s="6" t="s">
        <v>153</v>
      </c>
      <c r="N1975" s="6" t="s">
        <v>44</v>
      </c>
      <c r="O1975" s="6">
        <v>79</v>
      </c>
      <c r="P1975" s="6">
        <v>98.48</v>
      </c>
      <c r="Q1975" s="6">
        <v>61.36</v>
      </c>
      <c r="R1975" s="6">
        <v>7779.96</v>
      </c>
      <c r="S1975" s="6">
        <v>0</v>
      </c>
      <c r="T1975" s="6">
        <v>0</v>
      </c>
      <c r="U1975" s="6">
        <v>7779.96</v>
      </c>
      <c r="V1975" s="6">
        <v>4847.16</v>
      </c>
      <c r="W1975" s="6">
        <v>2932.8</v>
      </c>
      <c r="X1975" s="6" t="s">
        <v>32</v>
      </c>
    </row>
    <row r="1976" spans="1:24" x14ac:dyDescent="0.25">
      <c r="A1976" s="5" t="s">
        <v>2183</v>
      </c>
      <c r="B1976" s="18">
        <v>45341</v>
      </c>
      <c r="C1976" s="7" t="s">
        <v>902</v>
      </c>
      <c r="D1976" s="7" t="s">
        <v>35</v>
      </c>
      <c r="E1976" s="7" t="s">
        <v>93</v>
      </c>
      <c r="F1976" s="7" t="s">
        <v>94</v>
      </c>
      <c r="G1976" s="7" t="s">
        <v>95</v>
      </c>
      <c r="H1976" s="7" t="s">
        <v>96</v>
      </c>
      <c r="I1976" s="7" t="s">
        <v>27</v>
      </c>
      <c r="J1976" s="7" t="s">
        <v>211</v>
      </c>
      <c r="K1976" s="7" t="s">
        <v>248</v>
      </c>
      <c r="L1976" s="7" t="s">
        <v>2675</v>
      </c>
      <c r="M1976" s="7" t="s">
        <v>30</v>
      </c>
      <c r="N1976" s="7" t="s">
        <v>75</v>
      </c>
      <c r="O1976" s="7">
        <v>59</v>
      </c>
      <c r="P1976" s="7">
        <v>56.16</v>
      </c>
      <c r="Q1976" s="7">
        <v>30.77</v>
      </c>
      <c r="R1976" s="7">
        <v>3313.44</v>
      </c>
      <c r="S1976" s="7">
        <v>0.05</v>
      </c>
      <c r="T1976" s="7">
        <v>165.67</v>
      </c>
      <c r="U1976" s="7">
        <v>3147.77</v>
      </c>
      <c r="V1976" s="7">
        <v>1815.44</v>
      </c>
      <c r="W1976" s="7">
        <v>1332.32</v>
      </c>
      <c r="X1976" s="7" t="s">
        <v>45</v>
      </c>
    </row>
    <row r="1977" spans="1:24" x14ac:dyDescent="0.25">
      <c r="A1977" s="16" t="s">
        <v>2464</v>
      </c>
      <c r="B1977" s="17">
        <v>45563</v>
      </c>
      <c r="C1977" s="6" t="s">
        <v>631</v>
      </c>
      <c r="D1977" s="6" t="s">
        <v>105</v>
      </c>
      <c r="E1977" s="6" t="s">
        <v>66</v>
      </c>
      <c r="F1977" s="6" t="s">
        <v>67</v>
      </c>
      <c r="G1977" s="6" t="s">
        <v>38</v>
      </c>
      <c r="H1977" s="6" t="s">
        <v>68</v>
      </c>
      <c r="I1977" s="6" t="s">
        <v>27</v>
      </c>
      <c r="J1977" s="6" t="s">
        <v>189</v>
      </c>
      <c r="K1977" s="6"/>
      <c r="L1977" s="6"/>
      <c r="M1977" s="6" t="s">
        <v>61</v>
      </c>
      <c r="N1977" s="6" t="s">
        <v>44</v>
      </c>
      <c r="O1977" s="6">
        <v>53</v>
      </c>
      <c r="P1977" s="6">
        <v>148.47999999999999</v>
      </c>
      <c r="Q1977" s="6">
        <v>109.72</v>
      </c>
      <c r="R1977" s="6">
        <v>7869.41</v>
      </c>
      <c r="S1977" s="6">
        <v>0.2</v>
      </c>
      <c r="T1977" s="6">
        <v>1573.88</v>
      </c>
      <c r="U1977" s="6">
        <v>6295.53</v>
      </c>
      <c r="V1977" s="6">
        <v>5815.07</v>
      </c>
      <c r="W1977" s="6">
        <v>480.46</v>
      </c>
      <c r="X1977" s="6" t="s">
        <v>45</v>
      </c>
    </row>
    <row r="1978" spans="1:24" x14ac:dyDescent="0.25">
      <c r="A1978" s="5" t="s">
        <v>2465</v>
      </c>
      <c r="B1978" s="18">
        <v>45327</v>
      </c>
      <c r="C1978" s="7" t="s">
        <v>938</v>
      </c>
      <c r="D1978" s="7" t="s">
        <v>156</v>
      </c>
      <c r="E1978" s="7" t="s">
        <v>132</v>
      </c>
      <c r="F1978" s="7" t="s">
        <v>133</v>
      </c>
      <c r="G1978" s="7" t="s">
        <v>51</v>
      </c>
      <c r="H1978" s="7" t="s">
        <v>134</v>
      </c>
      <c r="I1978" s="7" t="s">
        <v>40</v>
      </c>
      <c r="J1978" s="7" t="s">
        <v>41</v>
      </c>
      <c r="K1978" s="7" t="s">
        <v>74</v>
      </c>
      <c r="L1978" s="7" t="s">
        <v>2664</v>
      </c>
      <c r="M1978" s="7" t="s">
        <v>153</v>
      </c>
      <c r="N1978" s="7" t="s">
        <v>70</v>
      </c>
      <c r="O1978" s="7">
        <v>36</v>
      </c>
      <c r="P1978" s="7">
        <v>64.08</v>
      </c>
      <c r="Q1978" s="7">
        <v>36.049999999999997</v>
      </c>
      <c r="R1978" s="7">
        <v>2306.77</v>
      </c>
      <c r="S1978" s="7">
        <v>0.1</v>
      </c>
      <c r="T1978" s="7">
        <v>230.68</v>
      </c>
      <c r="U1978" s="7">
        <v>2076.1</v>
      </c>
      <c r="V1978" s="7">
        <v>1297.9000000000001</v>
      </c>
      <c r="W1978" s="7">
        <v>778.2</v>
      </c>
      <c r="X1978" s="7" t="s">
        <v>45</v>
      </c>
    </row>
    <row r="1979" spans="1:24" x14ac:dyDescent="0.25">
      <c r="A1979" s="16" t="s">
        <v>2466</v>
      </c>
      <c r="B1979" s="17">
        <v>45613</v>
      </c>
      <c r="C1979" s="6" t="s">
        <v>269</v>
      </c>
      <c r="D1979" s="6" t="s">
        <v>105</v>
      </c>
      <c r="E1979" s="6" t="s">
        <v>23</v>
      </c>
      <c r="F1979" s="6" t="s">
        <v>24</v>
      </c>
      <c r="G1979" s="6" t="s">
        <v>25</v>
      </c>
      <c r="H1979" s="6" t="s">
        <v>26</v>
      </c>
      <c r="I1979" s="6" t="s">
        <v>288</v>
      </c>
      <c r="J1979" s="6" t="s">
        <v>117</v>
      </c>
      <c r="K1979" s="6" t="s">
        <v>248</v>
      </c>
      <c r="L1979" s="6" t="s">
        <v>2675</v>
      </c>
      <c r="M1979" s="6" t="s">
        <v>153</v>
      </c>
      <c r="N1979" s="6" t="s">
        <v>70</v>
      </c>
      <c r="O1979" s="6">
        <v>77</v>
      </c>
      <c r="P1979" s="6">
        <v>69.790000000000006</v>
      </c>
      <c r="Q1979" s="6">
        <v>42.09</v>
      </c>
      <c r="R1979" s="6">
        <v>5373.7</v>
      </c>
      <c r="S1979" s="6">
        <v>0.1</v>
      </c>
      <c r="T1979" s="6">
        <v>537.37</v>
      </c>
      <c r="U1979" s="6">
        <v>4836.33</v>
      </c>
      <c r="V1979" s="6">
        <v>3240.68</v>
      </c>
      <c r="W1979" s="6">
        <v>1595.65</v>
      </c>
      <c r="X1979" s="6" t="s">
        <v>32</v>
      </c>
    </row>
    <row r="1980" spans="1:24" x14ac:dyDescent="0.25">
      <c r="A1980" s="5" t="s">
        <v>2467</v>
      </c>
      <c r="B1980" s="18">
        <v>45558</v>
      </c>
      <c r="C1980" s="7" t="s">
        <v>866</v>
      </c>
      <c r="D1980" s="7" t="s">
        <v>156</v>
      </c>
      <c r="E1980" s="7" t="s">
        <v>187</v>
      </c>
      <c r="F1980" s="7" t="s">
        <v>188</v>
      </c>
      <c r="G1980" s="7" t="s">
        <v>25</v>
      </c>
      <c r="H1980" s="7" t="s">
        <v>26</v>
      </c>
      <c r="I1980" s="7" t="s">
        <v>58</v>
      </c>
      <c r="J1980" s="7" t="s">
        <v>345</v>
      </c>
      <c r="K1980" s="7" t="s">
        <v>170</v>
      </c>
      <c r="L1980" s="7" t="s">
        <v>2671</v>
      </c>
      <c r="M1980" s="7" t="s">
        <v>61</v>
      </c>
      <c r="N1980" s="7" t="s">
        <v>84</v>
      </c>
      <c r="O1980" s="7">
        <v>54</v>
      </c>
      <c r="P1980" s="7">
        <v>44.48</v>
      </c>
      <c r="Q1980" s="7">
        <v>27.07</v>
      </c>
      <c r="R1980" s="7">
        <v>2401.92</v>
      </c>
      <c r="S1980" s="7">
        <v>0.2</v>
      </c>
      <c r="T1980" s="7">
        <v>480.38</v>
      </c>
      <c r="U1980" s="7">
        <v>1921.54</v>
      </c>
      <c r="V1980" s="7">
        <v>1461.97</v>
      </c>
      <c r="W1980" s="7">
        <v>459.57</v>
      </c>
      <c r="X1980" s="7" t="s">
        <v>45</v>
      </c>
    </row>
    <row r="1981" spans="1:24" x14ac:dyDescent="0.25">
      <c r="A1981" s="16" t="s">
        <v>2468</v>
      </c>
      <c r="B1981" s="17">
        <v>45525</v>
      </c>
      <c r="C1981" s="6" t="s">
        <v>382</v>
      </c>
      <c r="D1981" s="6" t="s">
        <v>22</v>
      </c>
      <c r="E1981" s="6" t="s">
        <v>23</v>
      </c>
      <c r="F1981" s="6" t="s">
        <v>24</v>
      </c>
      <c r="G1981" s="6" t="s">
        <v>25</v>
      </c>
      <c r="H1981" s="6" t="s">
        <v>26</v>
      </c>
      <c r="I1981" s="6" t="s">
        <v>40</v>
      </c>
      <c r="J1981" s="6" t="s">
        <v>41</v>
      </c>
      <c r="K1981" s="6" t="s">
        <v>265</v>
      </c>
      <c r="L1981" s="6" t="s">
        <v>2678</v>
      </c>
      <c r="M1981" s="6" t="s">
        <v>153</v>
      </c>
      <c r="N1981" s="6" t="s">
        <v>84</v>
      </c>
      <c r="O1981" s="6">
        <v>75</v>
      </c>
      <c r="P1981" s="6">
        <v>73.47</v>
      </c>
      <c r="Q1981" s="6">
        <v>42.31</v>
      </c>
      <c r="R1981" s="6">
        <v>5510.42</v>
      </c>
      <c r="S1981" s="6">
        <v>0.05</v>
      </c>
      <c r="T1981" s="6">
        <v>275.52</v>
      </c>
      <c r="U1981" s="6">
        <v>5234.8999999999996</v>
      </c>
      <c r="V1981" s="6">
        <v>3173.15</v>
      </c>
      <c r="W1981" s="6">
        <v>2061.75</v>
      </c>
      <c r="X1981" s="6" t="s">
        <v>45</v>
      </c>
    </row>
    <row r="1982" spans="1:24" x14ac:dyDescent="0.25">
      <c r="A1982" s="5" t="s">
        <v>2469</v>
      </c>
      <c r="B1982" s="18">
        <v>45313</v>
      </c>
      <c r="C1982" s="7" t="s">
        <v>325</v>
      </c>
      <c r="D1982" s="7" t="s">
        <v>35</v>
      </c>
      <c r="E1982" s="7" t="s">
        <v>99</v>
      </c>
      <c r="F1982" s="7" t="s">
        <v>100</v>
      </c>
      <c r="G1982" s="7" t="s">
        <v>101</v>
      </c>
      <c r="H1982" s="7" t="s">
        <v>102</v>
      </c>
      <c r="I1982" s="7" t="s">
        <v>53</v>
      </c>
      <c r="J1982" s="7" t="s">
        <v>122</v>
      </c>
      <c r="K1982" s="7" t="s">
        <v>90</v>
      </c>
      <c r="L1982" s="7" t="s">
        <v>2666</v>
      </c>
      <c r="M1982" s="7" t="s">
        <v>43</v>
      </c>
      <c r="N1982" s="7" t="s">
        <v>190</v>
      </c>
      <c r="O1982" s="7">
        <v>78</v>
      </c>
      <c r="P1982" s="7">
        <v>75.180000000000007</v>
      </c>
      <c r="Q1982" s="7">
        <v>38.22</v>
      </c>
      <c r="R1982" s="7">
        <v>5864.27</v>
      </c>
      <c r="S1982" s="7">
        <v>0</v>
      </c>
      <c r="T1982" s="7">
        <v>0</v>
      </c>
      <c r="U1982" s="7">
        <v>5864.27</v>
      </c>
      <c r="V1982" s="7">
        <v>2980.85</v>
      </c>
      <c r="W1982" s="7">
        <v>2883.43</v>
      </c>
      <c r="X1982" s="7" t="s">
        <v>45</v>
      </c>
    </row>
    <row r="1983" spans="1:24" x14ac:dyDescent="0.25">
      <c r="A1983" s="16" t="s">
        <v>2470</v>
      </c>
      <c r="B1983" s="17">
        <v>45351</v>
      </c>
      <c r="C1983" s="6" t="s">
        <v>1028</v>
      </c>
      <c r="D1983" s="6" t="s">
        <v>57</v>
      </c>
      <c r="E1983" s="6" t="s">
        <v>187</v>
      </c>
      <c r="F1983" s="6" t="s">
        <v>188</v>
      </c>
      <c r="G1983" s="6" t="s">
        <v>25</v>
      </c>
      <c r="H1983" s="6" t="s">
        <v>26</v>
      </c>
      <c r="I1983" s="6" t="s">
        <v>53</v>
      </c>
      <c r="J1983" s="6" t="s">
        <v>122</v>
      </c>
      <c r="K1983" s="6" t="s">
        <v>29</v>
      </c>
      <c r="L1983" s="6" t="s">
        <v>2660</v>
      </c>
      <c r="M1983" s="6" t="s">
        <v>30</v>
      </c>
      <c r="N1983" s="6" t="s">
        <v>31</v>
      </c>
      <c r="O1983" s="6">
        <v>64</v>
      </c>
      <c r="P1983" s="6">
        <v>50.45</v>
      </c>
      <c r="Q1983" s="6">
        <v>30.78</v>
      </c>
      <c r="R1983" s="6">
        <v>3228.89</v>
      </c>
      <c r="S1983" s="6">
        <v>0.15</v>
      </c>
      <c r="T1983" s="6">
        <v>484.33</v>
      </c>
      <c r="U1983" s="6">
        <v>2744.55</v>
      </c>
      <c r="V1983" s="6">
        <v>1970.09</v>
      </c>
      <c r="W1983" s="6">
        <v>774.46</v>
      </c>
      <c r="X1983" s="6" t="s">
        <v>45</v>
      </c>
    </row>
    <row r="1984" spans="1:24" x14ac:dyDescent="0.25">
      <c r="A1984" s="5" t="s">
        <v>2471</v>
      </c>
      <c r="B1984" s="18">
        <v>45629</v>
      </c>
      <c r="C1984" s="7" t="s">
        <v>859</v>
      </c>
      <c r="D1984" s="7" t="s">
        <v>221</v>
      </c>
      <c r="E1984" s="7" t="s">
        <v>78</v>
      </c>
      <c r="F1984" s="7" t="s">
        <v>79</v>
      </c>
      <c r="G1984" s="7" t="s">
        <v>80</v>
      </c>
      <c r="H1984" s="7" t="s">
        <v>81</v>
      </c>
      <c r="I1984" s="7" t="s">
        <v>27</v>
      </c>
      <c r="J1984" s="7" t="s">
        <v>211</v>
      </c>
      <c r="K1984" s="7" t="s">
        <v>253</v>
      </c>
      <c r="L1984" s="7" t="s">
        <v>2676</v>
      </c>
      <c r="M1984" s="7" t="s">
        <v>30</v>
      </c>
      <c r="N1984" s="7" t="s">
        <v>70</v>
      </c>
      <c r="O1984" s="7">
        <v>63</v>
      </c>
      <c r="P1984" s="7">
        <v>138.97999999999999</v>
      </c>
      <c r="Q1984" s="7">
        <v>83.67</v>
      </c>
      <c r="R1984" s="7">
        <v>8755.85</v>
      </c>
      <c r="S1984" s="7">
        <v>0</v>
      </c>
      <c r="T1984" s="7">
        <v>0</v>
      </c>
      <c r="U1984" s="7">
        <v>8755.85</v>
      </c>
      <c r="V1984" s="7">
        <v>5271.43</v>
      </c>
      <c r="W1984" s="7">
        <v>3484.41</v>
      </c>
      <c r="X1984" s="7" t="s">
        <v>45</v>
      </c>
    </row>
    <row r="1985" spans="1:24" x14ac:dyDescent="0.25">
      <c r="A1985" s="16" t="s">
        <v>2472</v>
      </c>
      <c r="B1985" s="17">
        <v>45551</v>
      </c>
      <c r="C1985" s="6" t="s">
        <v>1887</v>
      </c>
      <c r="D1985" s="6" t="s">
        <v>159</v>
      </c>
      <c r="E1985" s="6" t="s">
        <v>187</v>
      </c>
      <c r="F1985" s="6" t="s">
        <v>188</v>
      </c>
      <c r="G1985" s="6" t="s">
        <v>25</v>
      </c>
      <c r="H1985" s="6" t="s">
        <v>26</v>
      </c>
      <c r="I1985" s="6" t="s">
        <v>40</v>
      </c>
      <c r="J1985" s="6" t="s">
        <v>41</v>
      </c>
      <c r="K1985" s="6" t="s">
        <v>74</v>
      </c>
      <c r="L1985" s="6" t="s">
        <v>2664</v>
      </c>
      <c r="M1985" s="6" t="s">
        <v>61</v>
      </c>
      <c r="N1985" s="6" t="s">
        <v>75</v>
      </c>
      <c r="O1985" s="6">
        <v>14</v>
      </c>
      <c r="P1985" s="6">
        <v>45.69</v>
      </c>
      <c r="Q1985" s="6">
        <v>29.07</v>
      </c>
      <c r="R1985" s="6">
        <v>639.71</v>
      </c>
      <c r="S1985" s="6">
        <v>0.2</v>
      </c>
      <c r="T1985" s="6">
        <v>127.94</v>
      </c>
      <c r="U1985" s="6">
        <v>511.77</v>
      </c>
      <c r="V1985" s="6">
        <v>406.92</v>
      </c>
      <c r="W1985" s="6">
        <v>104.84</v>
      </c>
      <c r="X1985" s="6" t="s">
        <v>45</v>
      </c>
    </row>
    <row r="1986" spans="1:24" x14ac:dyDescent="0.25">
      <c r="A1986" s="5" t="s">
        <v>2473</v>
      </c>
      <c r="B1986" s="18">
        <v>45650</v>
      </c>
      <c r="C1986" s="7" t="s">
        <v>213</v>
      </c>
      <c r="D1986" s="7" t="s">
        <v>87</v>
      </c>
      <c r="E1986" s="7" t="s">
        <v>114</v>
      </c>
      <c r="F1986" s="7" t="s">
        <v>115</v>
      </c>
      <c r="G1986" s="7" t="s">
        <v>95</v>
      </c>
      <c r="H1986" s="7" t="s">
        <v>116</v>
      </c>
      <c r="I1986" s="7" t="s">
        <v>88</v>
      </c>
      <c r="J1986" s="7" t="s">
        <v>135</v>
      </c>
      <c r="K1986" s="7" t="s">
        <v>42</v>
      </c>
      <c r="L1986" s="7" t="s">
        <v>2661</v>
      </c>
      <c r="M1986" s="7" t="s">
        <v>43</v>
      </c>
      <c r="N1986" s="7" t="s">
        <v>44</v>
      </c>
      <c r="O1986" s="7">
        <v>48</v>
      </c>
      <c r="P1986" s="7">
        <v>36.19</v>
      </c>
      <c r="Q1986" s="7">
        <v>22.33</v>
      </c>
      <c r="R1986" s="7">
        <v>1737.35</v>
      </c>
      <c r="S1986" s="7">
        <v>0.1</v>
      </c>
      <c r="T1986" s="7">
        <v>173.73</v>
      </c>
      <c r="U1986" s="7">
        <v>1563.61</v>
      </c>
      <c r="V1986" s="7">
        <v>1071.74</v>
      </c>
      <c r="W1986" s="7">
        <v>491.87</v>
      </c>
      <c r="X1986" s="7" t="s">
        <v>45</v>
      </c>
    </row>
    <row r="1987" spans="1:24" x14ac:dyDescent="0.25">
      <c r="A1987" s="16" t="s">
        <v>2474</v>
      </c>
      <c r="B1987" s="17">
        <v>45628</v>
      </c>
      <c r="C1987" s="6" t="s">
        <v>213</v>
      </c>
      <c r="D1987" s="6" t="s">
        <v>87</v>
      </c>
      <c r="E1987" s="6" t="s">
        <v>209</v>
      </c>
      <c r="F1987" s="6" t="s">
        <v>210</v>
      </c>
      <c r="G1987" s="6" t="s">
        <v>51</v>
      </c>
      <c r="H1987" s="6" t="s">
        <v>116</v>
      </c>
      <c r="I1987" s="6" t="s">
        <v>88</v>
      </c>
      <c r="J1987" s="6" t="s">
        <v>135</v>
      </c>
      <c r="K1987" s="6" t="s">
        <v>60</v>
      </c>
      <c r="L1987" s="6" t="s">
        <v>2662</v>
      </c>
      <c r="M1987" s="6" t="s">
        <v>30</v>
      </c>
      <c r="N1987" s="6" t="s">
        <v>31</v>
      </c>
      <c r="O1987" s="6">
        <v>56</v>
      </c>
      <c r="P1987" s="6">
        <v>18.739999999999998</v>
      </c>
      <c r="Q1987" s="6">
        <v>9.24</v>
      </c>
      <c r="R1987" s="6">
        <v>1049.6500000000001</v>
      </c>
      <c r="S1987" s="6">
        <v>0.02</v>
      </c>
      <c r="T1987" s="6">
        <v>20.99</v>
      </c>
      <c r="U1987" s="6">
        <v>1028.6600000000001</v>
      </c>
      <c r="V1987" s="6">
        <v>517.4</v>
      </c>
      <c r="W1987" s="6">
        <v>511.26</v>
      </c>
      <c r="X1987" s="6" t="s">
        <v>129</v>
      </c>
    </row>
    <row r="1988" spans="1:24" x14ac:dyDescent="0.25">
      <c r="A1988" s="5" t="s">
        <v>2475</v>
      </c>
      <c r="B1988" s="18">
        <v>45443</v>
      </c>
      <c r="C1988" s="7" t="s">
        <v>272</v>
      </c>
      <c r="D1988" s="7" t="s">
        <v>105</v>
      </c>
      <c r="E1988" s="7" t="s">
        <v>216</v>
      </c>
      <c r="F1988" s="7" t="s">
        <v>217</v>
      </c>
      <c r="G1988" s="7" t="s">
        <v>38</v>
      </c>
      <c r="H1988" s="7" t="s">
        <v>134</v>
      </c>
      <c r="I1988" s="7" t="s">
        <v>58</v>
      </c>
      <c r="J1988" s="7" t="s">
        <v>73</v>
      </c>
      <c r="K1988" s="7" t="s">
        <v>184</v>
      </c>
      <c r="L1988" s="7" t="s">
        <v>2672</v>
      </c>
      <c r="M1988" s="7" t="s">
        <v>61</v>
      </c>
      <c r="N1988" s="7" t="s">
        <v>31</v>
      </c>
      <c r="O1988" s="7">
        <v>21</v>
      </c>
      <c r="P1988" s="7">
        <v>115.23</v>
      </c>
      <c r="Q1988" s="7">
        <v>63.25</v>
      </c>
      <c r="R1988" s="7">
        <v>2419.88</v>
      </c>
      <c r="S1988" s="7">
        <v>0</v>
      </c>
      <c r="T1988" s="7">
        <v>0</v>
      </c>
      <c r="U1988" s="7">
        <v>2419.88</v>
      </c>
      <c r="V1988" s="7">
        <v>1328.19</v>
      </c>
      <c r="W1988" s="7">
        <v>1091.69</v>
      </c>
      <c r="X1988" s="7" t="s">
        <v>45</v>
      </c>
    </row>
    <row r="1989" spans="1:24" x14ac:dyDescent="0.25">
      <c r="A1989" s="16" t="s">
        <v>2476</v>
      </c>
      <c r="B1989" s="17">
        <v>45488</v>
      </c>
      <c r="C1989" s="6" t="s">
        <v>483</v>
      </c>
      <c r="D1989" s="6" t="s">
        <v>159</v>
      </c>
      <c r="E1989" s="6" t="s">
        <v>93</v>
      </c>
      <c r="F1989" s="6" t="s">
        <v>94</v>
      </c>
      <c r="G1989" s="6" t="s">
        <v>95</v>
      </c>
      <c r="H1989" s="6" t="s">
        <v>96</v>
      </c>
      <c r="I1989" s="6" t="s">
        <v>88</v>
      </c>
      <c r="J1989" s="6" t="s">
        <v>183</v>
      </c>
      <c r="K1989" s="6" t="s">
        <v>170</v>
      </c>
      <c r="L1989" s="6" t="s">
        <v>2671</v>
      </c>
      <c r="M1989" s="6" t="s">
        <v>61</v>
      </c>
      <c r="N1989" s="6" t="s">
        <v>44</v>
      </c>
      <c r="O1989" s="6">
        <v>33</v>
      </c>
      <c r="P1989" s="6">
        <v>51.86</v>
      </c>
      <c r="Q1989" s="6">
        <v>33.409999999999997</v>
      </c>
      <c r="R1989" s="6">
        <v>1711.29</v>
      </c>
      <c r="S1989" s="6">
        <v>0.2</v>
      </c>
      <c r="T1989" s="6">
        <v>342.26</v>
      </c>
      <c r="U1989" s="6">
        <v>1369.03</v>
      </c>
      <c r="V1989" s="6">
        <v>1102.52</v>
      </c>
      <c r="W1989" s="6">
        <v>266.51</v>
      </c>
      <c r="X1989" s="6" t="s">
        <v>45</v>
      </c>
    </row>
    <row r="1990" spans="1:24" x14ac:dyDescent="0.25">
      <c r="A1990" s="5" t="s">
        <v>2477</v>
      </c>
      <c r="B1990" s="18">
        <v>45310</v>
      </c>
      <c r="C1990" s="7" t="s">
        <v>1184</v>
      </c>
      <c r="D1990" s="7" t="s">
        <v>65</v>
      </c>
      <c r="E1990" s="7" t="s">
        <v>165</v>
      </c>
      <c r="F1990" s="7" t="s">
        <v>166</v>
      </c>
      <c r="G1990" s="7" t="s">
        <v>95</v>
      </c>
      <c r="H1990" s="7" t="s">
        <v>167</v>
      </c>
      <c r="I1990" s="7" t="s">
        <v>53</v>
      </c>
      <c r="J1990" s="7" t="s">
        <v>54</v>
      </c>
      <c r="K1990" s="7" t="s">
        <v>118</v>
      </c>
      <c r="L1990" s="7" t="s">
        <v>2668</v>
      </c>
      <c r="M1990" s="7" t="s">
        <v>153</v>
      </c>
      <c r="N1990" s="7" t="s">
        <v>84</v>
      </c>
      <c r="O1990" s="7">
        <v>25</v>
      </c>
      <c r="P1990" s="7">
        <v>38.74</v>
      </c>
      <c r="Q1990" s="7">
        <v>23.46</v>
      </c>
      <c r="R1990" s="7">
        <v>968.42</v>
      </c>
      <c r="S1990" s="7">
        <v>0.05</v>
      </c>
      <c r="T1990" s="7">
        <v>48.42</v>
      </c>
      <c r="U1990" s="7">
        <v>920</v>
      </c>
      <c r="V1990" s="7">
        <v>586.61</v>
      </c>
      <c r="W1990" s="7">
        <v>333.39</v>
      </c>
      <c r="X1990" s="7" t="s">
        <v>45</v>
      </c>
    </row>
    <row r="1991" spans="1:24" x14ac:dyDescent="0.25">
      <c r="A1991" s="16" t="s">
        <v>2478</v>
      </c>
      <c r="B1991" s="17">
        <v>45465</v>
      </c>
      <c r="C1991" s="6" t="s">
        <v>487</v>
      </c>
      <c r="D1991" s="6" t="s">
        <v>156</v>
      </c>
      <c r="E1991" s="6" t="s">
        <v>49</v>
      </c>
      <c r="F1991" s="6" t="s">
        <v>50</v>
      </c>
      <c r="G1991" s="6" t="s">
        <v>51</v>
      </c>
      <c r="H1991" s="6" t="s">
        <v>52</v>
      </c>
      <c r="I1991" s="6" t="s">
        <v>40</v>
      </c>
      <c r="J1991" s="6" t="s">
        <v>117</v>
      </c>
      <c r="K1991" s="6" t="s">
        <v>83</v>
      </c>
      <c r="L1991" s="6" t="s">
        <v>2665</v>
      </c>
      <c r="M1991" s="6" t="s">
        <v>61</v>
      </c>
      <c r="N1991" s="6" t="s">
        <v>70</v>
      </c>
      <c r="O1991" s="6">
        <v>4</v>
      </c>
      <c r="P1991" s="6">
        <v>24.38</v>
      </c>
      <c r="Q1991" s="6">
        <v>13.99</v>
      </c>
      <c r="R1991" s="6">
        <v>97.54</v>
      </c>
      <c r="S1991" s="6">
        <v>0.1</v>
      </c>
      <c r="T1991" s="6">
        <v>9.75</v>
      </c>
      <c r="U1991" s="6">
        <v>87.78</v>
      </c>
      <c r="V1991" s="6">
        <v>55.96</v>
      </c>
      <c r="W1991" s="6">
        <v>31.83</v>
      </c>
      <c r="X1991" s="6" t="s">
        <v>45</v>
      </c>
    </row>
    <row r="1992" spans="1:24" x14ac:dyDescent="0.25">
      <c r="A1992" s="5" t="s">
        <v>2479</v>
      </c>
      <c r="B1992" s="18">
        <v>45508</v>
      </c>
      <c r="C1992" s="7" t="s">
        <v>473</v>
      </c>
      <c r="D1992" s="7" t="s">
        <v>22</v>
      </c>
      <c r="E1992" s="7" t="s">
        <v>66</v>
      </c>
      <c r="F1992" s="7" t="s">
        <v>67</v>
      </c>
      <c r="G1992" s="7" t="s">
        <v>38</v>
      </c>
      <c r="H1992" s="7" t="s">
        <v>68</v>
      </c>
      <c r="I1992" s="7" t="s">
        <v>53</v>
      </c>
      <c r="J1992" s="7" t="s">
        <v>54</v>
      </c>
      <c r="K1992" s="7" t="s">
        <v>90</v>
      </c>
      <c r="L1992" s="7" t="s">
        <v>2666</v>
      </c>
      <c r="M1992" s="7" t="s">
        <v>43</v>
      </c>
      <c r="N1992" s="7" t="s">
        <v>31</v>
      </c>
      <c r="O1992" s="7">
        <v>53</v>
      </c>
      <c r="P1992" s="7">
        <v>150.32</v>
      </c>
      <c r="Q1992" s="7">
        <v>103.92</v>
      </c>
      <c r="R1992" s="7">
        <v>7967.18</v>
      </c>
      <c r="S1992" s="7">
        <v>0.1</v>
      </c>
      <c r="T1992" s="7">
        <v>796.72</v>
      </c>
      <c r="U1992" s="7">
        <v>7170.46</v>
      </c>
      <c r="V1992" s="7">
        <v>5507.75</v>
      </c>
      <c r="W1992" s="7">
        <v>1662.72</v>
      </c>
      <c r="X1992" s="7" t="s">
        <v>129</v>
      </c>
    </row>
    <row r="1993" spans="1:24" x14ac:dyDescent="0.25">
      <c r="A1993" s="16" t="s">
        <v>2480</v>
      </c>
      <c r="B1993" s="17">
        <v>45402</v>
      </c>
      <c r="C1993" s="6" t="s">
        <v>397</v>
      </c>
      <c r="D1993" s="6" t="s">
        <v>105</v>
      </c>
      <c r="E1993" s="6" t="s">
        <v>114</v>
      </c>
      <c r="F1993" s="6" t="s">
        <v>115</v>
      </c>
      <c r="G1993" s="6" t="s">
        <v>95</v>
      </c>
      <c r="H1993" s="6" t="s">
        <v>116</v>
      </c>
      <c r="I1993" s="6" t="s">
        <v>53</v>
      </c>
      <c r="J1993" s="6" t="s">
        <v>232</v>
      </c>
      <c r="K1993" s="6" t="s">
        <v>178</v>
      </c>
      <c r="L1993" s="6" t="s">
        <v>256</v>
      </c>
      <c r="M1993" s="6" t="s">
        <v>153</v>
      </c>
      <c r="N1993" s="6" t="s">
        <v>75</v>
      </c>
      <c r="O1993" s="6">
        <v>79</v>
      </c>
      <c r="P1993" s="6">
        <v>35.380000000000003</v>
      </c>
      <c r="Q1993" s="6">
        <v>21.64</v>
      </c>
      <c r="R1993" s="6">
        <v>2794.88</v>
      </c>
      <c r="S1993" s="6">
        <v>0.1</v>
      </c>
      <c r="T1993" s="6">
        <v>279.49</v>
      </c>
      <c r="U1993" s="6">
        <v>2515.39</v>
      </c>
      <c r="V1993" s="6">
        <v>1709.29</v>
      </c>
      <c r="W1993" s="6">
        <v>806.1</v>
      </c>
      <c r="X1993" s="6" t="s">
        <v>45</v>
      </c>
    </row>
    <row r="1994" spans="1:24" x14ac:dyDescent="0.25">
      <c r="A1994" s="5" t="s">
        <v>2481</v>
      </c>
      <c r="B1994" s="18">
        <v>45523</v>
      </c>
      <c r="C1994" s="7" t="s">
        <v>314</v>
      </c>
      <c r="D1994" s="7" t="s">
        <v>163</v>
      </c>
      <c r="E1994" s="7" t="s">
        <v>49</v>
      </c>
      <c r="F1994" s="7" t="s">
        <v>50</v>
      </c>
      <c r="G1994" s="7" t="s">
        <v>51</v>
      </c>
      <c r="H1994" s="7" t="s">
        <v>52</v>
      </c>
      <c r="I1994" s="7" t="s">
        <v>27</v>
      </c>
      <c r="J1994" s="7" t="s">
        <v>106</v>
      </c>
      <c r="K1994" s="7" t="s">
        <v>265</v>
      </c>
      <c r="L1994" s="7" t="s">
        <v>2678</v>
      </c>
      <c r="M1994" s="7" t="s">
        <v>30</v>
      </c>
      <c r="N1994" s="7" t="s">
        <v>70</v>
      </c>
      <c r="O1994" s="7">
        <v>66</v>
      </c>
      <c r="P1994" s="7">
        <v>25.71</v>
      </c>
      <c r="Q1994" s="7">
        <v>13.14</v>
      </c>
      <c r="R1994" s="7">
        <v>1696.83</v>
      </c>
      <c r="S1994" s="7">
        <v>0.05</v>
      </c>
      <c r="T1994" s="7">
        <v>84.84</v>
      </c>
      <c r="U1994" s="7">
        <v>1611.99</v>
      </c>
      <c r="V1994" s="7">
        <v>867.03</v>
      </c>
      <c r="W1994" s="7">
        <v>744.96</v>
      </c>
      <c r="X1994" s="7" t="s">
        <v>45</v>
      </c>
    </row>
    <row r="1995" spans="1:24" x14ac:dyDescent="0.25">
      <c r="A1995" s="16" t="s">
        <v>2482</v>
      </c>
      <c r="B1995" s="17">
        <v>45292</v>
      </c>
      <c r="C1995" s="6" t="s">
        <v>651</v>
      </c>
      <c r="D1995" s="6" t="s">
        <v>105</v>
      </c>
      <c r="E1995" s="6" t="s">
        <v>126</v>
      </c>
      <c r="F1995" s="6" t="s">
        <v>127</v>
      </c>
      <c r="G1995" s="6" t="s">
        <v>95</v>
      </c>
      <c r="H1995" s="6" t="s">
        <v>128</v>
      </c>
      <c r="I1995" s="6" t="s">
        <v>88</v>
      </c>
      <c r="J1995" s="6" t="s">
        <v>89</v>
      </c>
      <c r="K1995" s="6"/>
      <c r="L1995" s="6"/>
      <c r="M1995" s="6" t="s">
        <v>43</v>
      </c>
      <c r="N1995" s="6" t="s">
        <v>84</v>
      </c>
      <c r="O1995" s="6">
        <v>65</v>
      </c>
      <c r="P1995" s="6">
        <v>93.35</v>
      </c>
      <c r="Q1995" s="6">
        <v>52.19</v>
      </c>
      <c r="R1995" s="6">
        <v>6067.81</v>
      </c>
      <c r="S1995" s="6">
        <v>0</v>
      </c>
      <c r="T1995" s="6">
        <v>0</v>
      </c>
      <c r="U1995" s="6">
        <v>6067.81</v>
      </c>
      <c r="V1995" s="6">
        <v>3392.38</v>
      </c>
      <c r="W1995" s="6">
        <v>2675.43</v>
      </c>
      <c r="X1995" s="6" t="s">
        <v>45</v>
      </c>
    </row>
    <row r="1996" spans="1:24" x14ac:dyDescent="0.25">
      <c r="A1996" s="5" t="s">
        <v>2483</v>
      </c>
      <c r="B1996" s="18">
        <v>45545</v>
      </c>
      <c r="C1996" s="7" t="s">
        <v>643</v>
      </c>
      <c r="D1996" s="7" t="s">
        <v>359</v>
      </c>
      <c r="E1996" s="7" t="s">
        <v>114</v>
      </c>
      <c r="F1996" s="7" t="s">
        <v>115</v>
      </c>
      <c r="G1996" s="7" t="s">
        <v>95</v>
      </c>
      <c r="H1996" s="7" t="s">
        <v>116</v>
      </c>
      <c r="I1996" s="7" t="s">
        <v>58</v>
      </c>
      <c r="J1996" s="7" t="s">
        <v>73</v>
      </c>
      <c r="K1996" s="7" t="s">
        <v>248</v>
      </c>
      <c r="L1996" s="7" t="s">
        <v>2675</v>
      </c>
      <c r="M1996" s="7" t="s">
        <v>547</v>
      </c>
      <c r="N1996" s="7" t="s">
        <v>75</v>
      </c>
      <c r="O1996" s="7">
        <v>3</v>
      </c>
      <c r="P1996" s="7">
        <v>32.840000000000003</v>
      </c>
      <c r="Q1996" s="7">
        <v>20.48</v>
      </c>
      <c r="R1996" s="7">
        <v>98.51</v>
      </c>
      <c r="S1996" s="7">
        <v>0.1</v>
      </c>
      <c r="T1996" s="7">
        <v>9.85</v>
      </c>
      <c r="U1996" s="7">
        <v>88.66</v>
      </c>
      <c r="V1996" s="7">
        <v>61.44</v>
      </c>
      <c r="W1996" s="7">
        <v>27.22</v>
      </c>
      <c r="X1996" s="7" t="s">
        <v>45</v>
      </c>
    </row>
    <row r="1997" spans="1:24" x14ac:dyDescent="0.25">
      <c r="A1997" s="16" t="s">
        <v>2484</v>
      </c>
      <c r="B1997" s="17">
        <v>45633</v>
      </c>
      <c r="C1997" s="6"/>
      <c r="D1997" s="6"/>
      <c r="E1997" s="6" t="s">
        <v>165</v>
      </c>
      <c r="F1997" s="6" t="s">
        <v>166</v>
      </c>
      <c r="G1997" s="6" t="s">
        <v>95</v>
      </c>
      <c r="H1997" s="6" t="s">
        <v>167</v>
      </c>
      <c r="I1997" s="6" t="s">
        <v>27</v>
      </c>
      <c r="J1997" s="6" t="s">
        <v>28</v>
      </c>
      <c r="K1997" s="6" t="s">
        <v>265</v>
      </c>
      <c r="L1997" s="6" t="s">
        <v>2678</v>
      </c>
      <c r="M1997" s="6" t="s">
        <v>30</v>
      </c>
      <c r="N1997" s="6" t="s">
        <v>44</v>
      </c>
      <c r="O1997" s="6">
        <v>17</v>
      </c>
      <c r="P1997" s="6">
        <v>42.7</v>
      </c>
      <c r="Q1997" s="6">
        <v>23.31</v>
      </c>
      <c r="R1997" s="6">
        <v>725.84</v>
      </c>
      <c r="S1997" s="6">
        <v>0.15</v>
      </c>
      <c r="T1997" s="6">
        <v>108.88</v>
      </c>
      <c r="U1997" s="6">
        <v>616.96</v>
      </c>
      <c r="V1997" s="6">
        <v>396.23</v>
      </c>
      <c r="W1997" s="6">
        <v>220.73</v>
      </c>
      <c r="X1997" s="6" t="s">
        <v>45</v>
      </c>
    </row>
    <row r="1998" spans="1:24" x14ac:dyDescent="0.25">
      <c r="A1998" s="5" t="s">
        <v>2485</v>
      </c>
      <c r="B1998" s="18">
        <v>45640</v>
      </c>
      <c r="C1998" s="7" t="s">
        <v>341</v>
      </c>
      <c r="D1998" s="7" t="s">
        <v>259</v>
      </c>
      <c r="E1998" s="7" t="s">
        <v>165</v>
      </c>
      <c r="F1998" s="7" t="s">
        <v>166</v>
      </c>
      <c r="G1998" s="7" t="s">
        <v>95</v>
      </c>
      <c r="H1998" s="7" t="s">
        <v>167</v>
      </c>
      <c r="I1998" s="7" t="s">
        <v>40</v>
      </c>
      <c r="J1998" s="7" t="s">
        <v>289</v>
      </c>
      <c r="K1998" s="7" t="s">
        <v>111</v>
      </c>
      <c r="L1998" s="7" t="s">
        <v>2667</v>
      </c>
      <c r="M1998" s="7" t="s">
        <v>43</v>
      </c>
      <c r="N1998" s="7" t="s">
        <v>84</v>
      </c>
      <c r="O1998" s="7">
        <v>72</v>
      </c>
      <c r="P1998" s="7">
        <v>44.82</v>
      </c>
      <c r="Q1998" s="7">
        <v>24.99</v>
      </c>
      <c r="R1998" s="7">
        <v>3226.92</v>
      </c>
      <c r="S1998" s="7">
        <v>0.1</v>
      </c>
      <c r="T1998" s="7">
        <v>322.69</v>
      </c>
      <c r="U1998" s="7">
        <v>2904.23</v>
      </c>
      <c r="V1998" s="7">
        <v>1799.13</v>
      </c>
      <c r="W1998" s="7">
        <v>1105.0999999999999</v>
      </c>
      <c r="X1998" s="7" t="s">
        <v>45</v>
      </c>
    </row>
    <row r="1999" spans="1:24" x14ac:dyDescent="0.25">
      <c r="A1999" s="16" t="s">
        <v>2486</v>
      </c>
      <c r="B1999" s="17">
        <v>45298</v>
      </c>
      <c r="C1999" s="6" t="s">
        <v>389</v>
      </c>
      <c r="D1999" s="6" t="s">
        <v>264</v>
      </c>
      <c r="E1999" s="6" t="s">
        <v>114</v>
      </c>
      <c r="F1999" s="6" t="s">
        <v>115</v>
      </c>
      <c r="G1999" s="6" t="s">
        <v>95</v>
      </c>
      <c r="H1999" s="6" t="s">
        <v>116</v>
      </c>
      <c r="I1999" s="6" t="s">
        <v>40</v>
      </c>
      <c r="J1999" s="6" t="s">
        <v>117</v>
      </c>
      <c r="K1999" s="6" t="s">
        <v>195</v>
      </c>
      <c r="L1999" s="6" t="s">
        <v>2673</v>
      </c>
      <c r="M1999" s="6" t="s">
        <v>61</v>
      </c>
      <c r="N1999" s="6" t="s">
        <v>70</v>
      </c>
      <c r="O1999" s="6">
        <v>5</v>
      </c>
      <c r="P1999" s="6">
        <v>36.33</v>
      </c>
      <c r="Q1999" s="6">
        <v>22.12</v>
      </c>
      <c r="R1999" s="6">
        <v>181.66</v>
      </c>
      <c r="S1999" s="6">
        <v>0.15</v>
      </c>
      <c r="T1999" s="6">
        <v>27.25</v>
      </c>
      <c r="U1999" s="6">
        <v>154.41</v>
      </c>
      <c r="V1999" s="6">
        <v>110.61</v>
      </c>
      <c r="W1999" s="6">
        <v>43.8</v>
      </c>
      <c r="X1999" s="6" t="s">
        <v>32</v>
      </c>
    </row>
    <row r="2000" spans="1:24" x14ac:dyDescent="0.25">
      <c r="A2000" s="5" t="s">
        <v>2487</v>
      </c>
      <c r="B2000" s="18">
        <v>45311</v>
      </c>
      <c r="C2000" s="7" t="s">
        <v>148</v>
      </c>
      <c r="D2000" s="7" t="s">
        <v>149</v>
      </c>
      <c r="E2000" s="7" t="s">
        <v>23</v>
      </c>
      <c r="F2000" s="7" t="s">
        <v>24</v>
      </c>
      <c r="G2000" s="7" t="s">
        <v>25</v>
      </c>
      <c r="H2000" s="7" t="s">
        <v>26</v>
      </c>
      <c r="I2000" s="7" t="s">
        <v>58</v>
      </c>
      <c r="J2000" s="7" t="s">
        <v>345</v>
      </c>
      <c r="K2000" s="7" t="s">
        <v>152</v>
      </c>
      <c r="L2000" s="7" t="s">
        <v>2670</v>
      </c>
      <c r="M2000" s="7" t="s">
        <v>43</v>
      </c>
      <c r="N2000" s="7" t="s">
        <v>75</v>
      </c>
      <c r="O2000" s="7">
        <v>75</v>
      </c>
      <c r="P2000" s="7">
        <v>70.33</v>
      </c>
      <c r="Q2000" s="7">
        <v>42.52</v>
      </c>
      <c r="R2000" s="7">
        <v>5274.39</v>
      </c>
      <c r="S2000" s="7">
        <v>0</v>
      </c>
      <c r="T2000" s="7">
        <v>0</v>
      </c>
      <c r="U2000" s="7">
        <v>5274.39</v>
      </c>
      <c r="V2000" s="7">
        <v>3188.69</v>
      </c>
      <c r="W2000" s="7">
        <v>2085.6999999999998</v>
      </c>
      <c r="X2000" s="7" t="s">
        <v>45</v>
      </c>
    </row>
    <row r="2001" spans="1:24" x14ac:dyDescent="0.25">
      <c r="A2001" s="16" t="s">
        <v>2488</v>
      </c>
      <c r="B2001" s="17">
        <v>45336</v>
      </c>
      <c r="C2001" s="6" t="s">
        <v>948</v>
      </c>
      <c r="D2001" s="6" t="s">
        <v>87</v>
      </c>
      <c r="E2001" s="6" t="s">
        <v>109</v>
      </c>
      <c r="F2001" s="6" t="s">
        <v>110</v>
      </c>
      <c r="G2001" s="6" t="s">
        <v>80</v>
      </c>
      <c r="H2001" s="6" t="s">
        <v>81</v>
      </c>
      <c r="I2001" s="6" t="s">
        <v>58</v>
      </c>
      <c r="J2001" s="6" t="s">
        <v>59</v>
      </c>
      <c r="K2001" s="6" t="s">
        <v>218</v>
      </c>
      <c r="L2001" s="6" t="s">
        <v>2674</v>
      </c>
      <c r="M2001" s="6" t="s">
        <v>43</v>
      </c>
      <c r="N2001" s="6" t="s">
        <v>31</v>
      </c>
      <c r="O2001" s="6">
        <v>12</v>
      </c>
      <c r="P2001" s="6">
        <v>118.45</v>
      </c>
      <c r="Q2001" s="6">
        <v>74.8</v>
      </c>
      <c r="R2001" s="6">
        <v>1421.41</v>
      </c>
      <c r="S2001" s="6">
        <v>0.2</v>
      </c>
      <c r="T2001" s="6">
        <v>284.27999999999997</v>
      </c>
      <c r="U2001" s="6">
        <v>1137.1199999999999</v>
      </c>
      <c r="V2001" s="6">
        <v>897.66</v>
      </c>
      <c r="W2001" s="6">
        <v>239.47</v>
      </c>
      <c r="X2001" s="6" t="s">
        <v>32</v>
      </c>
    </row>
    <row r="2002" spans="1:24" x14ac:dyDescent="0.25">
      <c r="A2002" s="5" t="s">
        <v>2489</v>
      </c>
      <c r="B2002" s="18">
        <v>45317</v>
      </c>
      <c r="C2002" s="7" t="s">
        <v>237</v>
      </c>
      <c r="D2002" s="7" t="s">
        <v>105</v>
      </c>
      <c r="E2002" s="7" t="s">
        <v>187</v>
      </c>
      <c r="F2002" s="7" t="s">
        <v>188</v>
      </c>
      <c r="G2002" s="7" t="s">
        <v>25</v>
      </c>
      <c r="H2002" s="7" t="s">
        <v>26</v>
      </c>
      <c r="I2002" s="7" t="s">
        <v>40</v>
      </c>
      <c r="J2002" s="7" t="s">
        <v>41</v>
      </c>
      <c r="K2002" s="7" t="s">
        <v>29</v>
      </c>
      <c r="L2002" s="7" t="s">
        <v>2660</v>
      </c>
      <c r="M2002" s="7" t="s">
        <v>43</v>
      </c>
      <c r="N2002" s="7" t="s">
        <v>75</v>
      </c>
      <c r="O2002" s="7">
        <v>24</v>
      </c>
      <c r="P2002" s="7">
        <v>49.19</v>
      </c>
      <c r="Q2002" s="7">
        <v>29.24</v>
      </c>
      <c r="R2002" s="7">
        <v>1180.6099999999999</v>
      </c>
      <c r="S2002" s="7">
        <v>0.02</v>
      </c>
      <c r="T2002" s="7">
        <v>23.61</v>
      </c>
      <c r="U2002" s="7">
        <v>1157</v>
      </c>
      <c r="V2002" s="7">
        <v>701.66</v>
      </c>
      <c r="W2002" s="7">
        <v>455.34</v>
      </c>
      <c r="X2002" s="7" t="s">
        <v>45</v>
      </c>
    </row>
    <row r="2003" spans="1:24" x14ac:dyDescent="0.25">
      <c r="A2003" s="16" t="s">
        <v>1665</v>
      </c>
      <c r="B2003" s="17">
        <v>45325</v>
      </c>
      <c r="C2003" s="6" t="s">
        <v>124</v>
      </c>
      <c r="D2003" s="6" t="s">
        <v>125</v>
      </c>
      <c r="E2003" s="6" t="s">
        <v>150</v>
      </c>
      <c r="F2003" s="6" t="s">
        <v>151</v>
      </c>
      <c r="G2003" s="6" t="s">
        <v>101</v>
      </c>
      <c r="H2003" s="6" t="s">
        <v>134</v>
      </c>
      <c r="I2003" s="6" t="s">
        <v>53</v>
      </c>
      <c r="J2003" s="6" t="s">
        <v>143</v>
      </c>
      <c r="K2003" s="6" t="s">
        <v>118</v>
      </c>
      <c r="L2003" s="6" t="s">
        <v>2668</v>
      </c>
      <c r="M2003" s="6" t="s">
        <v>61</v>
      </c>
      <c r="N2003" s="6" t="s">
        <v>75</v>
      </c>
      <c r="O2003" s="6">
        <v>63</v>
      </c>
      <c r="P2003" s="6">
        <v>79.17</v>
      </c>
      <c r="Q2003" s="6">
        <v>47.02</v>
      </c>
      <c r="R2003" s="6">
        <v>4987.6499999999996</v>
      </c>
      <c r="S2003" s="6">
        <v>0</v>
      </c>
      <c r="T2003" s="6">
        <v>0</v>
      </c>
      <c r="U2003" s="6">
        <v>4987.6499999999996</v>
      </c>
      <c r="V2003" s="6">
        <v>2962.18</v>
      </c>
      <c r="W2003" s="6">
        <v>2025.47</v>
      </c>
      <c r="X2003" s="6" t="s">
        <v>45</v>
      </c>
    </row>
    <row r="2004" spans="1:24" x14ac:dyDescent="0.25">
      <c r="A2004" s="5" t="s">
        <v>2490</v>
      </c>
      <c r="B2004" s="18">
        <v>45482</v>
      </c>
      <c r="C2004" s="7" t="s">
        <v>938</v>
      </c>
      <c r="D2004" s="7" t="s">
        <v>156</v>
      </c>
      <c r="E2004" s="7" t="s">
        <v>93</v>
      </c>
      <c r="F2004" s="7" t="s">
        <v>94</v>
      </c>
      <c r="G2004" s="7" t="s">
        <v>95</v>
      </c>
      <c r="H2004" s="7" t="s">
        <v>96</v>
      </c>
      <c r="I2004" s="7" t="s">
        <v>40</v>
      </c>
      <c r="J2004" s="7" t="s">
        <v>289</v>
      </c>
      <c r="K2004" s="7" t="s">
        <v>144</v>
      </c>
      <c r="L2004" s="7" t="s">
        <v>2669</v>
      </c>
      <c r="M2004" s="7" t="s">
        <v>43</v>
      </c>
      <c r="N2004" s="7" t="s">
        <v>75</v>
      </c>
      <c r="O2004" s="7">
        <v>63</v>
      </c>
      <c r="P2004" s="7">
        <v>58.12</v>
      </c>
      <c r="Q2004" s="7">
        <v>31.96</v>
      </c>
      <c r="R2004" s="7">
        <v>3661.47</v>
      </c>
      <c r="S2004" s="7">
        <v>0.1</v>
      </c>
      <c r="T2004" s="7">
        <v>366.15</v>
      </c>
      <c r="U2004" s="7">
        <v>3295.32</v>
      </c>
      <c r="V2004" s="7">
        <v>2013.51</v>
      </c>
      <c r="W2004" s="7">
        <v>1281.81</v>
      </c>
      <c r="X2004" s="7" t="s">
        <v>45</v>
      </c>
    </row>
    <row r="2005" spans="1:24" x14ac:dyDescent="0.25">
      <c r="A2005" s="16" t="s">
        <v>2491</v>
      </c>
      <c r="B2005" s="17">
        <v>45319</v>
      </c>
      <c r="C2005" s="6" t="s">
        <v>215</v>
      </c>
      <c r="D2005" s="6" t="s">
        <v>105</v>
      </c>
      <c r="E2005" s="6" t="s">
        <v>109</v>
      </c>
      <c r="F2005" s="6" t="s">
        <v>110</v>
      </c>
      <c r="G2005" s="6" t="s">
        <v>80</v>
      </c>
      <c r="H2005" s="6" t="s">
        <v>81</v>
      </c>
      <c r="I2005" s="6" t="s">
        <v>40</v>
      </c>
      <c r="J2005" s="6" t="s">
        <v>289</v>
      </c>
      <c r="K2005" s="6" t="s">
        <v>152</v>
      </c>
      <c r="L2005" s="6" t="s">
        <v>2670</v>
      </c>
      <c r="M2005" s="6" t="s">
        <v>30</v>
      </c>
      <c r="N2005" s="6" t="s">
        <v>31</v>
      </c>
      <c r="O2005" s="6">
        <v>48</v>
      </c>
      <c r="P2005" s="6">
        <v>123.97</v>
      </c>
      <c r="Q2005" s="6">
        <v>76.63</v>
      </c>
      <c r="R2005" s="6">
        <v>5950.67</v>
      </c>
      <c r="S2005" s="6">
        <v>0.2</v>
      </c>
      <c r="T2005" s="6">
        <v>1190.1300000000001</v>
      </c>
      <c r="U2005" s="6">
        <v>4760.53</v>
      </c>
      <c r="V2005" s="6">
        <v>3678.21</v>
      </c>
      <c r="W2005" s="6">
        <v>1082.33</v>
      </c>
      <c r="X2005" s="6" t="s">
        <v>45</v>
      </c>
    </row>
    <row r="2006" spans="1:24" x14ac:dyDescent="0.25">
      <c r="A2006" s="5" t="s">
        <v>2492</v>
      </c>
      <c r="B2006" s="18">
        <v>45547</v>
      </c>
      <c r="C2006" s="7" t="s">
        <v>1476</v>
      </c>
      <c r="D2006" s="7" t="s">
        <v>149</v>
      </c>
      <c r="E2006" s="7" t="s">
        <v>176</v>
      </c>
      <c r="F2006" s="7" t="s">
        <v>177</v>
      </c>
      <c r="G2006" s="7" t="s">
        <v>101</v>
      </c>
      <c r="H2006" s="7" t="s">
        <v>39</v>
      </c>
      <c r="I2006" s="7" t="s">
        <v>40</v>
      </c>
      <c r="J2006" s="7" t="s">
        <v>82</v>
      </c>
      <c r="K2006" s="7" t="s">
        <v>265</v>
      </c>
      <c r="L2006" s="7" t="s">
        <v>2678</v>
      </c>
      <c r="M2006" s="7" t="s">
        <v>30</v>
      </c>
      <c r="N2006" s="7" t="s">
        <v>44</v>
      </c>
      <c r="O2006" s="7">
        <v>40</v>
      </c>
      <c r="P2006" s="7">
        <v>110.28</v>
      </c>
      <c r="Q2006" s="7">
        <v>60.8</v>
      </c>
      <c r="R2006" s="7">
        <v>4411.32</v>
      </c>
      <c r="S2006" s="7">
        <v>0.1</v>
      </c>
      <c r="T2006" s="7">
        <v>441.13</v>
      </c>
      <c r="U2006" s="7">
        <v>3970.19</v>
      </c>
      <c r="V2006" s="7">
        <v>2432.04</v>
      </c>
      <c r="W2006" s="7">
        <v>1538.15</v>
      </c>
      <c r="X2006" s="7" t="s">
        <v>45</v>
      </c>
    </row>
    <row r="2007" spans="1:24" x14ac:dyDescent="0.25">
      <c r="A2007" s="16" t="s">
        <v>2493</v>
      </c>
      <c r="B2007" s="17">
        <v>45518</v>
      </c>
      <c r="C2007" s="6" t="s">
        <v>468</v>
      </c>
      <c r="D2007" s="6" t="s">
        <v>65</v>
      </c>
      <c r="E2007" s="6" t="s">
        <v>150</v>
      </c>
      <c r="F2007" s="6" t="s">
        <v>151</v>
      </c>
      <c r="G2007" s="6" t="s">
        <v>101</v>
      </c>
      <c r="H2007" s="6" t="s">
        <v>134</v>
      </c>
      <c r="I2007" s="6" t="s">
        <v>40</v>
      </c>
      <c r="J2007" s="6" t="s">
        <v>117</v>
      </c>
      <c r="K2007" s="6" t="s">
        <v>42</v>
      </c>
      <c r="L2007" s="6" t="s">
        <v>2661</v>
      </c>
      <c r="M2007" s="6" t="s">
        <v>43</v>
      </c>
      <c r="N2007" s="6" t="s">
        <v>31</v>
      </c>
      <c r="O2007" s="6">
        <v>11</v>
      </c>
      <c r="P2007" s="6">
        <v>83.29</v>
      </c>
      <c r="Q2007" s="6">
        <v>53.43</v>
      </c>
      <c r="R2007" s="6">
        <v>916.23</v>
      </c>
      <c r="S2007" s="6">
        <v>0.1</v>
      </c>
      <c r="T2007" s="6">
        <v>91.62</v>
      </c>
      <c r="U2007" s="6">
        <v>824.61</v>
      </c>
      <c r="V2007" s="6">
        <v>587.72</v>
      </c>
      <c r="W2007" s="6">
        <v>236.88</v>
      </c>
      <c r="X2007" s="6" t="s">
        <v>45</v>
      </c>
    </row>
    <row r="2008" spans="1:24" x14ac:dyDescent="0.25">
      <c r="A2008" s="5" t="s">
        <v>2494</v>
      </c>
      <c r="B2008" s="18">
        <v>45435</v>
      </c>
      <c r="C2008" s="7" t="s">
        <v>387</v>
      </c>
      <c r="D2008" s="7" t="s">
        <v>22</v>
      </c>
      <c r="E2008" s="7" t="s">
        <v>36</v>
      </c>
      <c r="F2008" s="7" t="s">
        <v>37</v>
      </c>
      <c r="G2008" s="7" t="s">
        <v>38</v>
      </c>
      <c r="H2008" s="7" t="s">
        <v>39</v>
      </c>
      <c r="I2008" s="7" t="s">
        <v>88</v>
      </c>
      <c r="J2008" s="7" t="s">
        <v>89</v>
      </c>
      <c r="K2008" s="7" t="s">
        <v>111</v>
      </c>
      <c r="L2008" s="7" t="s">
        <v>2667</v>
      </c>
      <c r="M2008" s="7" t="s">
        <v>61</v>
      </c>
      <c r="N2008" s="7" t="s">
        <v>31</v>
      </c>
      <c r="O2008" s="7">
        <v>15</v>
      </c>
      <c r="P2008" s="7">
        <v>154.13999999999999</v>
      </c>
      <c r="Q2008" s="7">
        <v>94.57</v>
      </c>
      <c r="R2008" s="7">
        <v>2312.09</v>
      </c>
      <c r="S2008" s="7">
        <v>0.05</v>
      </c>
      <c r="T2008" s="7">
        <v>115.6</v>
      </c>
      <c r="U2008" s="7">
        <v>2196.48</v>
      </c>
      <c r="V2008" s="7">
        <v>1418.62</v>
      </c>
      <c r="W2008" s="7">
        <v>777.86</v>
      </c>
      <c r="X2008" s="7" t="s">
        <v>129</v>
      </c>
    </row>
    <row r="2009" spans="1:24" x14ac:dyDescent="0.25">
      <c r="A2009" s="16" t="s">
        <v>2495</v>
      </c>
      <c r="B2009" s="17">
        <v>45575</v>
      </c>
      <c r="C2009" s="6" t="s">
        <v>1586</v>
      </c>
      <c r="D2009" s="6" t="s">
        <v>221</v>
      </c>
      <c r="E2009" s="6" t="s">
        <v>23</v>
      </c>
      <c r="F2009" s="6" t="s">
        <v>24</v>
      </c>
      <c r="G2009" s="6" t="s">
        <v>25</v>
      </c>
      <c r="H2009" s="6" t="s">
        <v>26</v>
      </c>
      <c r="I2009" s="6" t="s">
        <v>53</v>
      </c>
      <c r="J2009" s="6" t="s">
        <v>232</v>
      </c>
      <c r="K2009" s="6" t="s">
        <v>69</v>
      </c>
      <c r="L2009" s="6" t="s">
        <v>2663</v>
      </c>
      <c r="M2009" s="6" t="s">
        <v>43</v>
      </c>
      <c r="N2009" s="6" t="s">
        <v>31</v>
      </c>
      <c r="O2009" s="6">
        <v>53</v>
      </c>
      <c r="P2009" s="6">
        <v>76.41</v>
      </c>
      <c r="Q2009" s="6">
        <v>45.46</v>
      </c>
      <c r="R2009" s="6">
        <v>4049.5</v>
      </c>
      <c r="S2009" s="6">
        <v>0.05</v>
      </c>
      <c r="T2009" s="6">
        <v>202.48</v>
      </c>
      <c r="U2009" s="6">
        <v>3847.03</v>
      </c>
      <c r="V2009" s="6">
        <v>2409.15</v>
      </c>
      <c r="W2009" s="6">
        <v>1437.88</v>
      </c>
      <c r="X2009" s="6" t="s">
        <v>129</v>
      </c>
    </row>
    <row r="2010" spans="1:24" x14ac:dyDescent="0.25">
      <c r="A2010" s="5" t="s">
        <v>2496</v>
      </c>
      <c r="B2010" s="18">
        <v>45428</v>
      </c>
      <c r="C2010" s="7" t="s">
        <v>320</v>
      </c>
      <c r="D2010" s="7" t="s">
        <v>264</v>
      </c>
      <c r="E2010" s="7" t="s">
        <v>23</v>
      </c>
      <c r="F2010" s="7" t="s">
        <v>24</v>
      </c>
      <c r="G2010" s="7" t="s">
        <v>25</v>
      </c>
      <c r="H2010" s="7" t="s">
        <v>26</v>
      </c>
      <c r="I2010" s="7" t="s">
        <v>53</v>
      </c>
      <c r="J2010" s="7" t="s">
        <v>232</v>
      </c>
      <c r="K2010" s="7" t="s">
        <v>69</v>
      </c>
      <c r="L2010" s="7" t="s">
        <v>2663</v>
      </c>
      <c r="M2010" s="7" t="s">
        <v>61</v>
      </c>
      <c r="N2010" s="7" t="s">
        <v>31</v>
      </c>
      <c r="O2010" s="7">
        <v>4</v>
      </c>
      <c r="P2010" s="7">
        <v>72.48</v>
      </c>
      <c r="Q2010" s="7">
        <v>46.61</v>
      </c>
      <c r="R2010" s="7">
        <v>289.92</v>
      </c>
      <c r="S2010" s="7">
        <v>0.2</v>
      </c>
      <c r="T2010" s="7">
        <v>57.98</v>
      </c>
      <c r="U2010" s="7">
        <v>231.94</v>
      </c>
      <c r="V2010" s="7">
        <v>186.46</v>
      </c>
      <c r="W2010" s="7">
        <v>45.48</v>
      </c>
      <c r="X2010" s="7" t="s">
        <v>45</v>
      </c>
    </row>
    <row r="2011" spans="1:24" x14ac:dyDescent="0.25">
      <c r="A2011" s="16" t="s">
        <v>2497</v>
      </c>
      <c r="B2011" s="17">
        <v>45581</v>
      </c>
      <c r="C2011" s="6" t="s">
        <v>776</v>
      </c>
      <c r="D2011" s="6" t="s">
        <v>57</v>
      </c>
      <c r="E2011" s="6" t="s">
        <v>114</v>
      </c>
      <c r="F2011" s="6" t="s">
        <v>115</v>
      </c>
      <c r="G2011" s="6" t="s">
        <v>95</v>
      </c>
      <c r="H2011" s="6" t="s">
        <v>116</v>
      </c>
      <c r="I2011" s="6" t="s">
        <v>40</v>
      </c>
      <c r="J2011" s="6" t="s">
        <v>289</v>
      </c>
      <c r="K2011" s="6" t="s">
        <v>218</v>
      </c>
      <c r="L2011" s="6" t="s">
        <v>2674</v>
      </c>
      <c r="M2011" s="6" t="s">
        <v>153</v>
      </c>
      <c r="N2011" s="6" t="s">
        <v>62</v>
      </c>
      <c r="O2011" s="6">
        <v>75</v>
      </c>
      <c r="P2011" s="6">
        <v>34.5</v>
      </c>
      <c r="Q2011" s="6">
        <v>19.760000000000002</v>
      </c>
      <c r="R2011" s="6">
        <v>2587.6999999999998</v>
      </c>
      <c r="S2011" s="6">
        <v>0.2</v>
      </c>
      <c r="T2011" s="6">
        <v>517.54</v>
      </c>
      <c r="U2011" s="6">
        <v>2070.16</v>
      </c>
      <c r="V2011" s="6">
        <v>1481.78</v>
      </c>
      <c r="W2011" s="6">
        <v>588.38</v>
      </c>
      <c r="X2011" s="6" t="s">
        <v>45</v>
      </c>
    </row>
    <row r="2012" spans="1:24" x14ac:dyDescent="0.25">
      <c r="A2012" s="5" t="s">
        <v>2498</v>
      </c>
      <c r="B2012" s="18">
        <v>45563</v>
      </c>
      <c r="C2012" s="7" t="s">
        <v>1155</v>
      </c>
      <c r="D2012" s="7" t="s">
        <v>87</v>
      </c>
      <c r="E2012" s="7" t="s">
        <v>165</v>
      </c>
      <c r="F2012" s="7" t="s">
        <v>166</v>
      </c>
      <c r="G2012" s="7" t="s">
        <v>95</v>
      </c>
      <c r="H2012" s="7" t="s">
        <v>167</v>
      </c>
      <c r="I2012" s="7" t="s">
        <v>88</v>
      </c>
      <c r="J2012" s="7" t="s">
        <v>173</v>
      </c>
      <c r="K2012" s="7" t="s">
        <v>261</v>
      </c>
      <c r="L2012" s="7" t="s">
        <v>2677</v>
      </c>
      <c r="M2012" s="7" t="s">
        <v>153</v>
      </c>
      <c r="N2012" s="7" t="s">
        <v>31</v>
      </c>
      <c r="O2012" s="7">
        <v>20</v>
      </c>
      <c r="P2012" s="7">
        <v>43.33</v>
      </c>
      <c r="Q2012" s="7">
        <v>24.19</v>
      </c>
      <c r="R2012" s="7">
        <v>866.53</v>
      </c>
      <c r="S2012" s="7">
        <v>0.1</v>
      </c>
      <c r="T2012" s="7">
        <v>86.65</v>
      </c>
      <c r="U2012" s="7">
        <v>779.88</v>
      </c>
      <c r="V2012" s="7">
        <v>483.79</v>
      </c>
      <c r="W2012" s="7">
        <v>296.08999999999997</v>
      </c>
      <c r="X2012" s="7" t="s">
        <v>45</v>
      </c>
    </row>
    <row r="2013" spans="1:24" x14ac:dyDescent="0.25">
      <c r="A2013" s="16" t="s">
        <v>2499</v>
      </c>
      <c r="B2013" s="17">
        <v>45430</v>
      </c>
      <c r="C2013" s="6" t="s">
        <v>596</v>
      </c>
      <c r="D2013" s="6" t="s">
        <v>597</v>
      </c>
      <c r="E2013" s="6" t="s">
        <v>187</v>
      </c>
      <c r="F2013" s="6" t="s">
        <v>188</v>
      </c>
      <c r="G2013" s="6" t="s">
        <v>25</v>
      </c>
      <c r="H2013" s="6" t="s">
        <v>26</v>
      </c>
      <c r="I2013" s="6" t="s">
        <v>58</v>
      </c>
      <c r="J2013" s="6" t="s">
        <v>73</v>
      </c>
      <c r="K2013" s="6" t="s">
        <v>248</v>
      </c>
      <c r="L2013" s="6" t="s">
        <v>2675</v>
      </c>
      <c r="M2013" s="6" t="s">
        <v>43</v>
      </c>
      <c r="N2013" s="6" t="s">
        <v>75</v>
      </c>
      <c r="O2013" s="6">
        <v>22</v>
      </c>
      <c r="P2013" s="6">
        <v>47.78</v>
      </c>
      <c r="Q2013" s="6">
        <v>31.22</v>
      </c>
      <c r="R2013" s="6">
        <v>1051.1500000000001</v>
      </c>
      <c r="S2013" s="6">
        <v>0.02</v>
      </c>
      <c r="T2013" s="6">
        <v>21.02</v>
      </c>
      <c r="U2013" s="6">
        <v>1030.1300000000001</v>
      </c>
      <c r="V2013" s="6">
        <v>686.91</v>
      </c>
      <c r="W2013" s="6">
        <v>343.22</v>
      </c>
      <c r="X2013" s="6" t="s">
        <v>45</v>
      </c>
    </row>
    <row r="2014" spans="1:24" x14ac:dyDescent="0.25">
      <c r="A2014" s="5" t="s">
        <v>1509</v>
      </c>
      <c r="B2014" s="18">
        <v>45543</v>
      </c>
      <c r="C2014" s="7" t="s">
        <v>945</v>
      </c>
      <c r="D2014" s="7" t="s">
        <v>159</v>
      </c>
      <c r="E2014" s="7" t="s">
        <v>176</v>
      </c>
      <c r="F2014" s="7" t="s">
        <v>177</v>
      </c>
      <c r="G2014" s="7" t="s">
        <v>101</v>
      </c>
      <c r="H2014" s="7" t="s">
        <v>39</v>
      </c>
      <c r="I2014" s="7" t="s">
        <v>40</v>
      </c>
      <c r="J2014" s="7" t="s">
        <v>289</v>
      </c>
      <c r="K2014" s="7" t="s">
        <v>178</v>
      </c>
      <c r="L2014" s="7" t="s">
        <v>256</v>
      </c>
      <c r="M2014" s="7" t="s">
        <v>61</v>
      </c>
      <c r="N2014" s="7" t="s">
        <v>44</v>
      </c>
      <c r="O2014" s="7">
        <v>24</v>
      </c>
      <c r="P2014" s="7">
        <v>111.28</v>
      </c>
      <c r="Q2014" s="7">
        <v>63.98</v>
      </c>
      <c r="R2014" s="7">
        <v>2670.75</v>
      </c>
      <c r="S2014" s="7">
        <v>0.15</v>
      </c>
      <c r="T2014" s="7">
        <v>400.61</v>
      </c>
      <c r="U2014" s="7">
        <v>2541.9</v>
      </c>
      <c r="V2014" s="7">
        <v>1535.57</v>
      </c>
      <c r="W2014" s="7">
        <v>734.57</v>
      </c>
      <c r="X2014" s="7" t="s">
        <v>45</v>
      </c>
    </row>
    <row r="2015" spans="1:24" x14ac:dyDescent="0.25">
      <c r="A2015" s="16" t="s">
        <v>2500</v>
      </c>
      <c r="B2015" s="17">
        <v>45416</v>
      </c>
      <c r="C2015" s="6" t="s">
        <v>1175</v>
      </c>
      <c r="D2015" s="6" t="s">
        <v>156</v>
      </c>
      <c r="E2015" s="6" t="s">
        <v>141</v>
      </c>
      <c r="F2015" s="6" t="s">
        <v>142</v>
      </c>
      <c r="G2015" s="6" t="s">
        <v>25</v>
      </c>
      <c r="H2015" s="6" t="s">
        <v>26</v>
      </c>
      <c r="I2015" s="6" t="s">
        <v>58</v>
      </c>
      <c r="J2015" s="6" t="s">
        <v>345</v>
      </c>
      <c r="K2015" s="6" t="s">
        <v>265</v>
      </c>
      <c r="L2015" s="6" t="s">
        <v>2678</v>
      </c>
      <c r="M2015" s="6" t="s">
        <v>153</v>
      </c>
      <c r="N2015" s="6" t="s">
        <v>70</v>
      </c>
      <c r="O2015" s="6">
        <v>21</v>
      </c>
      <c r="P2015" s="6">
        <v>99.02</v>
      </c>
      <c r="Q2015" s="6">
        <v>57.16</v>
      </c>
      <c r="R2015" s="6">
        <v>2079.41</v>
      </c>
      <c r="S2015" s="6">
        <v>0.15</v>
      </c>
      <c r="T2015" s="6">
        <v>311.91000000000003</v>
      </c>
      <c r="U2015" s="6">
        <v>1716.68</v>
      </c>
      <c r="V2015" s="6">
        <v>1200.4000000000001</v>
      </c>
      <c r="W2015" s="6">
        <v>567.1</v>
      </c>
      <c r="X2015" s="6" t="s">
        <v>45</v>
      </c>
    </row>
    <row r="2016" spans="1:24" x14ac:dyDescent="0.25">
      <c r="A2016" s="5" t="s">
        <v>2501</v>
      </c>
      <c r="B2016" s="18">
        <v>45552</v>
      </c>
      <c r="C2016" s="7" t="s">
        <v>1134</v>
      </c>
      <c r="D2016" s="7" t="s">
        <v>159</v>
      </c>
      <c r="E2016" s="7" t="s">
        <v>132</v>
      </c>
      <c r="F2016" s="7" t="s">
        <v>133</v>
      </c>
      <c r="G2016" s="7" t="s">
        <v>51</v>
      </c>
      <c r="H2016" s="7" t="s">
        <v>134</v>
      </c>
      <c r="I2016" s="7" t="s">
        <v>27</v>
      </c>
      <c r="J2016" s="7" t="s">
        <v>28</v>
      </c>
      <c r="K2016" s="7" t="s">
        <v>29</v>
      </c>
      <c r="L2016" s="7" t="s">
        <v>2660</v>
      </c>
      <c r="M2016" s="7" t="s">
        <v>30</v>
      </c>
      <c r="N2016" s="7" t="s">
        <v>44</v>
      </c>
      <c r="O2016" s="7">
        <v>50</v>
      </c>
      <c r="P2016" s="7">
        <v>62.7</v>
      </c>
      <c r="Q2016" s="7">
        <v>33.78</v>
      </c>
      <c r="R2016" s="7">
        <v>3134.77</v>
      </c>
      <c r="S2016" s="7">
        <v>0.2</v>
      </c>
      <c r="T2016" s="7">
        <v>626.95000000000005</v>
      </c>
      <c r="U2016" s="7">
        <v>2507.81</v>
      </c>
      <c r="V2016" s="7">
        <v>1689.07</v>
      </c>
      <c r="W2016" s="7">
        <v>818.75</v>
      </c>
      <c r="X2016" s="7" t="s">
        <v>45</v>
      </c>
    </row>
    <row r="2017" spans="1:24" x14ac:dyDescent="0.25">
      <c r="A2017" s="16" t="s">
        <v>2502</v>
      </c>
      <c r="B2017" s="17">
        <v>45446</v>
      </c>
      <c r="C2017" s="6" t="s">
        <v>567</v>
      </c>
      <c r="D2017" s="6" t="s">
        <v>22</v>
      </c>
      <c r="E2017" s="6" t="s">
        <v>36</v>
      </c>
      <c r="F2017" s="6" t="s">
        <v>37</v>
      </c>
      <c r="G2017" s="6" t="s">
        <v>38</v>
      </c>
      <c r="H2017" s="6" t="s">
        <v>39</v>
      </c>
      <c r="I2017" s="6" t="s">
        <v>40</v>
      </c>
      <c r="J2017" s="6" t="s">
        <v>82</v>
      </c>
      <c r="K2017" s="6" t="s">
        <v>60</v>
      </c>
      <c r="L2017" s="6" t="s">
        <v>2662</v>
      </c>
      <c r="M2017" s="6" t="s">
        <v>43</v>
      </c>
      <c r="N2017" s="6" t="s">
        <v>44</v>
      </c>
      <c r="O2017" s="6">
        <v>51</v>
      </c>
      <c r="P2017" s="6">
        <v>167.73</v>
      </c>
      <c r="Q2017" s="6">
        <v>101.66</v>
      </c>
      <c r="R2017" s="6">
        <v>8554.2800000000007</v>
      </c>
      <c r="S2017" s="6">
        <v>0.2</v>
      </c>
      <c r="T2017" s="6">
        <v>1710.86</v>
      </c>
      <c r="U2017" s="6">
        <v>6843.43</v>
      </c>
      <c r="V2017" s="6">
        <v>5184.8900000000003</v>
      </c>
      <c r="W2017" s="6">
        <v>1658.54</v>
      </c>
      <c r="X2017" s="6" t="s">
        <v>45</v>
      </c>
    </row>
    <row r="2018" spans="1:24" x14ac:dyDescent="0.25">
      <c r="A2018" s="5" t="s">
        <v>2503</v>
      </c>
      <c r="B2018" s="18">
        <v>45454</v>
      </c>
      <c r="C2018" s="7" t="s">
        <v>1033</v>
      </c>
      <c r="D2018" s="7" t="s">
        <v>105</v>
      </c>
      <c r="E2018" s="7" t="s">
        <v>109</v>
      </c>
      <c r="F2018" s="7" t="s">
        <v>110</v>
      </c>
      <c r="G2018" s="7" t="s">
        <v>80</v>
      </c>
      <c r="H2018" s="7" t="s">
        <v>81</v>
      </c>
      <c r="I2018" s="7" t="s">
        <v>88</v>
      </c>
      <c r="J2018" s="7" t="s">
        <v>135</v>
      </c>
      <c r="K2018" s="7" t="s">
        <v>170</v>
      </c>
      <c r="L2018" s="7" t="s">
        <v>2671</v>
      </c>
      <c r="M2018" s="7" t="s">
        <v>153</v>
      </c>
      <c r="N2018" s="7" t="s">
        <v>31</v>
      </c>
      <c r="O2018" s="7">
        <v>47</v>
      </c>
      <c r="P2018" s="7">
        <v>128.69</v>
      </c>
      <c r="Q2018" s="7">
        <v>70.010000000000005</v>
      </c>
      <c r="R2018" s="7">
        <v>6048.65</v>
      </c>
      <c r="S2018" s="7">
        <v>0</v>
      </c>
      <c r="T2018" s="7">
        <v>0</v>
      </c>
      <c r="U2018" s="7">
        <v>6048.65</v>
      </c>
      <c r="V2018" s="7">
        <v>3290.25</v>
      </c>
      <c r="W2018" s="7">
        <v>2758.39</v>
      </c>
      <c r="X2018" s="7" t="s">
        <v>45</v>
      </c>
    </row>
    <row r="2019" spans="1:24" x14ac:dyDescent="0.25">
      <c r="A2019" s="16" t="s">
        <v>2504</v>
      </c>
      <c r="B2019" s="17">
        <v>45390</v>
      </c>
      <c r="C2019" s="6" t="s">
        <v>1431</v>
      </c>
      <c r="D2019" s="6" t="s">
        <v>264</v>
      </c>
      <c r="E2019" s="6" t="s">
        <v>141</v>
      </c>
      <c r="F2019" s="6" t="s">
        <v>142</v>
      </c>
      <c r="G2019" s="6" t="s">
        <v>25</v>
      </c>
      <c r="H2019" s="6" t="s">
        <v>26</v>
      </c>
      <c r="I2019" s="6" t="s">
        <v>27</v>
      </c>
      <c r="J2019" s="6" t="s">
        <v>28</v>
      </c>
      <c r="K2019" s="6" t="s">
        <v>60</v>
      </c>
      <c r="L2019" s="6" t="s">
        <v>2662</v>
      </c>
      <c r="M2019" s="6" t="s">
        <v>30</v>
      </c>
      <c r="N2019" s="6" t="s">
        <v>75</v>
      </c>
      <c r="O2019" s="6">
        <v>25</v>
      </c>
      <c r="P2019" s="6">
        <v>87.92</v>
      </c>
      <c r="Q2019" s="6">
        <v>61.8</v>
      </c>
      <c r="R2019" s="6">
        <v>2198.0700000000002</v>
      </c>
      <c r="S2019" s="6">
        <v>0.15</v>
      </c>
      <c r="T2019" s="6">
        <v>329.71</v>
      </c>
      <c r="U2019" s="6">
        <v>1868.36</v>
      </c>
      <c r="V2019" s="6">
        <v>1544.96</v>
      </c>
      <c r="W2019" s="6">
        <v>323.39999999999998</v>
      </c>
      <c r="X2019" s="6" t="s">
        <v>45</v>
      </c>
    </row>
    <row r="2020" spans="1:24" x14ac:dyDescent="0.25">
      <c r="A2020" s="5" t="s">
        <v>2505</v>
      </c>
      <c r="B2020" s="18">
        <v>45551</v>
      </c>
      <c r="C2020" s="7" t="s">
        <v>1310</v>
      </c>
      <c r="D2020" s="7" t="s">
        <v>264</v>
      </c>
      <c r="E2020" s="7" t="s">
        <v>216</v>
      </c>
      <c r="F2020" s="7" t="s">
        <v>217</v>
      </c>
      <c r="G2020" s="7" t="s">
        <v>38</v>
      </c>
      <c r="H2020" s="7" t="s">
        <v>134</v>
      </c>
      <c r="I2020" s="7" t="s">
        <v>88</v>
      </c>
      <c r="J2020" s="7" t="s">
        <v>173</v>
      </c>
      <c r="K2020" s="7" t="s">
        <v>74</v>
      </c>
      <c r="L2020" s="7" t="s">
        <v>2664</v>
      </c>
      <c r="M2020" s="7" t="s">
        <v>43</v>
      </c>
      <c r="N2020" s="7" t="s">
        <v>31</v>
      </c>
      <c r="O2020" s="7">
        <v>47</v>
      </c>
      <c r="P2020" s="7">
        <v>116.87</v>
      </c>
      <c r="Q2020" s="7">
        <v>64.72</v>
      </c>
      <c r="R2020" s="7">
        <v>5492.79</v>
      </c>
      <c r="S2020" s="7">
        <v>0.1</v>
      </c>
      <c r="T2020" s="7">
        <v>549.28</v>
      </c>
      <c r="U2020" s="7">
        <v>4943.51</v>
      </c>
      <c r="V2020" s="7">
        <v>3041.89</v>
      </c>
      <c r="W2020" s="7">
        <v>1901.62</v>
      </c>
      <c r="X2020" s="7" t="s">
        <v>45</v>
      </c>
    </row>
    <row r="2021" spans="1:24" x14ac:dyDescent="0.25">
      <c r="A2021" s="16" t="s">
        <v>2506</v>
      </c>
      <c r="B2021" s="17">
        <v>45578</v>
      </c>
      <c r="C2021" s="6" t="s">
        <v>438</v>
      </c>
      <c r="D2021" s="6" t="s">
        <v>221</v>
      </c>
      <c r="E2021" s="6" t="s">
        <v>176</v>
      </c>
      <c r="F2021" s="6" t="s">
        <v>177</v>
      </c>
      <c r="G2021" s="6" t="s">
        <v>101</v>
      </c>
      <c r="H2021" s="6" t="s">
        <v>39</v>
      </c>
      <c r="I2021" s="6" t="s">
        <v>88</v>
      </c>
      <c r="J2021" s="6" t="s">
        <v>183</v>
      </c>
      <c r="K2021" s="6" t="s">
        <v>218</v>
      </c>
      <c r="L2021" s="6" t="s">
        <v>2674</v>
      </c>
      <c r="M2021" s="6" t="s">
        <v>153</v>
      </c>
      <c r="N2021" s="6" t="s">
        <v>31</v>
      </c>
      <c r="O2021" s="6">
        <v>72</v>
      </c>
      <c r="P2021" s="6">
        <v>109.43</v>
      </c>
      <c r="Q2021" s="6">
        <v>59.37</v>
      </c>
      <c r="R2021" s="6">
        <v>7878.86</v>
      </c>
      <c r="S2021" s="6">
        <v>0.1</v>
      </c>
      <c r="T2021" s="6">
        <v>787.89</v>
      </c>
      <c r="U2021" s="6">
        <v>7090.97</v>
      </c>
      <c r="V2021" s="6">
        <v>4274.8100000000004</v>
      </c>
      <c r="W2021" s="6">
        <v>2816.16</v>
      </c>
      <c r="X2021" s="6" t="s">
        <v>129</v>
      </c>
    </row>
    <row r="2022" spans="1:24" x14ac:dyDescent="0.25">
      <c r="A2022" s="5" t="s">
        <v>2507</v>
      </c>
      <c r="B2022" s="18">
        <v>45602</v>
      </c>
      <c r="C2022" s="7" t="s">
        <v>378</v>
      </c>
      <c r="D2022" s="7" t="s">
        <v>159</v>
      </c>
      <c r="E2022" s="7" t="s">
        <v>150</v>
      </c>
      <c r="F2022" s="7" t="s">
        <v>151</v>
      </c>
      <c r="G2022" s="7" t="s">
        <v>101</v>
      </c>
      <c r="H2022" s="7" t="s">
        <v>134</v>
      </c>
      <c r="I2022" s="7" t="s">
        <v>58</v>
      </c>
      <c r="J2022" s="7" t="s">
        <v>59</v>
      </c>
      <c r="K2022" s="7" t="s">
        <v>261</v>
      </c>
      <c r="L2022" s="7" t="s">
        <v>2677</v>
      </c>
      <c r="M2022" s="7" t="s">
        <v>61</v>
      </c>
      <c r="N2022" s="7" t="s">
        <v>70</v>
      </c>
      <c r="O2022" s="7">
        <v>14</v>
      </c>
      <c r="P2022" s="7">
        <v>82.87</v>
      </c>
      <c r="Q2022" s="7">
        <v>52.87</v>
      </c>
      <c r="R2022" s="7">
        <v>1160.1400000000001</v>
      </c>
      <c r="S2022" s="7">
        <v>0.02</v>
      </c>
      <c r="T2022" s="7">
        <v>23.2</v>
      </c>
      <c r="U2022" s="7">
        <v>1136.94</v>
      </c>
      <c r="V2022" s="7">
        <v>740.18</v>
      </c>
      <c r="W2022" s="7">
        <v>396.76</v>
      </c>
      <c r="X2022" s="7" t="s">
        <v>45</v>
      </c>
    </row>
    <row r="2023" spans="1:24" x14ac:dyDescent="0.25">
      <c r="A2023" s="16" t="s">
        <v>2508</v>
      </c>
      <c r="B2023" s="17">
        <v>45508</v>
      </c>
      <c r="C2023" s="6" t="s">
        <v>696</v>
      </c>
      <c r="D2023" s="6" t="s">
        <v>105</v>
      </c>
      <c r="E2023" s="6" t="s">
        <v>93</v>
      </c>
      <c r="F2023" s="6" t="s">
        <v>94</v>
      </c>
      <c r="G2023" s="6" t="s">
        <v>95</v>
      </c>
      <c r="H2023" s="6" t="s">
        <v>96</v>
      </c>
      <c r="I2023" s="6" t="s">
        <v>40</v>
      </c>
      <c r="J2023" s="6" t="s">
        <v>82</v>
      </c>
      <c r="K2023" s="6" t="s">
        <v>253</v>
      </c>
      <c r="L2023" s="6" t="s">
        <v>2676</v>
      </c>
      <c r="M2023" s="6" t="s">
        <v>61</v>
      </c>
      <c r="N2023" s="6" t="s">
        <v>44</v>
      </c>
      <c r="O2023" s="6">
        <v>24</v>
      </c>
      <c r="P2023" s="6">
        <v>55.46</v>
      </c>
      <c r="Q2023" s="6">
        <v>32.31</v>
      </c>
      <c r="R2023" s="6">
        <v>1330.96</v>
      </c>
      <c r="S2023" s="6">
        <v>0.1</v>
      </c>
      <c r="T2023" s="6">
        <v>133.1</v>
      </c>
      <c r="U2023" s="6">
        <v>1197.8699999999999</v>
      </c>
      <c r="V2023" s="6">
        <v>775.49</v>
      </c>
      <c r="W2023" s="6">
        <v>422.38</v>
      </c>
      <c r="X2023" s="6" t="s">
        <v>45</v>
      </c>
    </row>
    <row r="2024" spans="1:24" x14ac:dyDescent="0.25">
      <c r="A2024" s="5" t="s">
        <v>2509</v>
      </c>
      <c r="B2024" s="18">
        <v>45574</v>
      </c>
      <c r="C2024" s="7" t="s">
        <v>34</v>
      </c>
      <c r="D2024" s="7" t="s">
        <v>35</v>
      </c>
      <c r="E2024" s="7" t="s">
        <v>78</v>
      </c>
      <c r="F2024" s="7" t="s">
        <v>79</v>
      </c>
      <c r="G2024" s="7" t="s">
        <v>80</v>
      </c>
      <c r="H2024" s="7" t="s">
        <v>81</v>
      </c>
      <c r="I2024" s="7" t="s">
        <v>40</v>
      </c>
      <c r="J2024" s="7" t="s">
        <v>289</v>
      </c>
      <c r="K2024" s="7" t="s">
        <v>118</v>
      </c>
      <c r="L2024" s="7" t="s">
        <v>2668</v>
      </c>
      <c r="M2024" s="7" t="s">
        <v>61</v>
      </c>
      <c r="N2024" s="7" t="s">
        <v>84</v>
      </c>
      <c r="O2024" s="7">
        <v>35</v>
      </c>
      <c r="P2024" s="7">
        <v>135.65</v>
      </c>
      <c r="Q2024" s="7">
        <v>86.94</v>
      </c>
      <c r="R2024" s="7">
        <v>4747.59</v>
      </c>
      <c r="S2024" s="7">
        <v>0.15</v>
      </c>
      <c r="T2024" s="7">
        <v>712.14</v>
      </c>
      <c r="U2024" s="7">
        <v>4035.45</v>
      </c>
      <c r="V2024" s="7">
        <v>3042.96</v>
      </c>
      <c r="W2024" s="7">
        <v>992.5</v>
      </c>
      <c r="X2024" s="7" t="s">
        <v>45</v>
      </c>
    </row>
    <row r="2025" spans="1:24" x14ac:dyDescent="0.25">
      <c r="A2025" s="16" t="s">
        <v>2510</v>
      </c>
      <c r="B2025" s="17">
        <v>45379</v>
      </c>
      <c r="C2025" s="6" t="s">
        <v>158</v>
      </c>
      <c r="D2025" s="6" t="s">
        <v>159</v>
      </c>
      <c r="E2025" s="6" t="s">
        <v>114</v>
      </c>
      <c r="F2025" s="6" t="s">
        <v>115</v>
      </c>
      <c r="G2025" s="6" t="s">
        <v>95</v>
      </c>
      <c r="H2025" s="6" t="s">
        <v>116</v>
      </c>
      <c r="I2025" s="6" t="s">
        <v>53</v>
      </c>
      <c r="J2025" s="6" t="s">
        <v>122</v>
      </c>
      <c r="K2025" s="6" t="s">
        <v>253</v>
      </c>
      <c r="L2025" s="6" t="s">
        <v>2676</v>
      </c>
      <c r="M2025" s="6" t="s">
        <v>30</v>
      </c>
      <c r="N2025" s="6" t="s">
        <v>31</v>
      </c>
      <c r="O2025" s="6">
        <v>68</v>
      </c>
      <c r="P2025" s="6">
        <v>35.58</v>
      </c>
      <c r="Q2025" s="6">
        <v>22.1</v>
      </c>
      <c r="R2025" s="6">
        <v>2419.1999999999998</v>
      </c>
      <c r="S2025" s="6">
        <v>0.1</v>
      </c>
      <c r="T2025" s="6">
        <v>241.92</v>
      </c>
      <c r="U2025" s="6">
        <v>2177.2800000000002</v>
      </c>
      <c r="V2025" s="6">
        <v>1502.65</v>
      </c>
      <c r="W2025" s="6">
        <v>674.63</v>
      </c>
      <c r="X2025" s="6" t="s">
        <v>45</v>
      </c>
    </row>
    <row r="2026" spans="1:24" x14ac:dyDescent="0.25">
      <c r="A2026" s="5" t="s">
        <v>2511</v>
      </c>
      <c r="B2026" s="18">
        <v>45610</v>
      </c>
      <c r="C2026" s="7" t="s">
        <v>404</v>
      </c>
      <c r="D2026" s="7" t="s">
        <v>87</v>
      </c>
      <c r="E2026" s="7" t="s">
        <v>66</v>
      </c>
      <c r="F2026" s="7" t="s">
        <v>67</v>
      </c>
      <c r="G2026" s="7" t="s">
        <v>38</v>
      </c>
      <c r="H2026" s="7" t="s">
        <v>68</v>
      </c>
      <c r="I2026" s="7" t="s">
        <v>40</v>
      </c>
      <c r="J2026" s="7" t="s">
        <v>289</v>
      </c>
      <c r="K2026" s="7" t="s">
        <v>111</v>
      </c>
      <c r="L2026" s="7" t="s">
        <v>2667</v>
      </c>
      <c r="M2026" s="7" t="s">
        <v>43</v>
      </c>
      <c r="N2026" s="7" t="s">
        <v>44</v>
      </c>
      <c r="O2026" s="7">
        <v>78</v>
      </c>
      <c r="P2026" s="7">
        <v>150.03</v>
      </c>
      <c r="Q2026" s="7">
        <v>109.76</v>
      </c>
      <c r="R2026" s="7">
        <v>11702.51</v>
      </c>
      <c r="S2026" s="7">
        <v>0.2</v>
      </c>
      <c r="T2026" s="7">
        <v>2340.5</v>
      </c>
      <c r="U2026" s="7">
        <v>9362.01</v>
      </c>
      <c r="V2026" s="7">
        <v>8561.67</v>
      </c>
      <c r="W2026" s="7">
        <v>800.34</v>
      </c>
      <c r="X2026" s="7" t="s">
        <v>129</v>
      </c>
    </row>
    <row r="2027" spans="1:24" x14ac:dyDescent="0.25">
      <c r="A2027" s="16" t="s">
        <v>2512</v>
      </c>
      <c r="B2027" s="17">
        <v>45572</v>
      </c>
      <c r="C2027" s="6" t="s">
        <v>800</v>
      </c>
      <c r="D2027" s="6" t="s">
        <v>264</v>
      </c>
      <c r="E2027" s="6" t="s">
        <v>176</v>
      </c>
      <c r="F2027" s="6" t="s">
        <v>177</v>
      </c>
      <c r="G2027" s="6" t="s">
        <v>101</v>
      </c>
      <c r="H2027" s="6" t="s">
        <v>39</v>
      </c>
      <c r="I2027" s="6" t="s">
        <v>27</v>
      </c>
      <c r="J2027" s="6" t="s">
        <v>189</v>
      </c>
      <c r="K2027" s="6" t="s">
        <v>111</v>
      </c>
      <c r="L2027" s="6" t="s">
        <v>2667</v>
      </c>
      <c r="M2027" s="6" t="s">
        <v>30</v>
      </c>
      <c r="N2027" s="6" t="s">
        <v>44</v>
      </c>
      <c r="O2027" s="6">
        <v>45</v>
      </c>
      <c r="P2027" s="6">
        <v>111.39</v>
      </c>
      <c r="Q2027" s="6">
        <v>64.52</v>
      </c>
      <c r="R2027" s="6">
        <v>5012.34</v>
      </c>
      <c r="S2027" s="6">
        <v>0</v>
      </c>
      <c r="T2027" s="6">
        <v>0</v>
      </c>
      <c r="U2027" s="6">
        <v>5012.34</v>
      </c>
      <c r="V2027" s="6">
        <v>2903.44</v>
      </c>
      <c r="W2027" s="6">
        <v>2108.9</v>
      </c>
      <c r="X2027" s="6" t="s">
        <v>45</v>
      </c>
    </row>
    <row r="2028" spans="1:24" x14ac:dyDescent="0.25">
      <c r="A2028" s="5" t="s">
        <v>2513</v>
      </c>
      <c r="B2028" s="18">
        <v>45312</v>
      </c>
      <c r="C2028" s="7" t="s">
        <v>1709</v>
      </c>
      <c r="D2028" s="7" t="s">
        <v>159</v>
      </c>
      <c r="E2028" s="7" t="s">
        <v>93</v>
      </c>
      <c r="F2028" s="7" t="s">
        <v>94</v>
      </c>
      <c r="G2028" s="7" t="s">
        <v>95</v>
      </c>
      <c r="H2028" s="7" t="s">
        <v>96</v>
      </c>
      <c r="I2028" s="7" t="s">
        <v>53</v>
      </c>
      <c r="J2028" s="7" t="s">
        <v>143</v>
      </c>
      <c r="K2028" s="7" t="s">
        <v>178</v>
      </c>
      <c r="L2028" s="7" t="s">
        <v>256</v>
      </c>
      <c r="M2028" s="7" t="s">
        <v>30</v>
      </c>
      <c r="N2028" s="7" t="s">
        <v>75</v>
      </c>
      <c r="O2028" s="7">
        <v>18</v>
      </c>
      <c r="P2028" s="7">
        <v>57.47</v>
      </c>
      <c r="Q2028" s="7">
        <v>31.88</v>
      </c>
      <c r="R2028" s="7">
        <v>1034.4100000000001</v>
      </c>
      <c r="S2028" s="7">
        <v>0.1</v>
      </c>
      <c r="T2028" s="7">
        <v>103.44</v>
      </c>
      <c r="U2028" s="7">
        <v>930.97</v>
      </c>
      <c r="V2028" s="7">
        <v>573.82000000000005</v>
      </c>
      <c r="W2028" s="7">
        <v>357.15</v>
      </c>
      <c r="X2028" s="7" t="s">
        <v>45</v>
      </c>
    </row>
    <row r="2029" spans="1:24" x14ac:dyDescent="0.25">
      <c r="A2029" s="16" t="s">
        <v>2514</v>
      </c>
      <c r="B2029" s="17">
        <v>45309</v>
      </c>
      <c r="C2029" s="6" t="s">
        <v>723</v>
      </c>
      <c r="D2029" s="6" t="s">
        <v>156</v>
      </c>
      <c r="E2029" s="6" t="s">
        <v>141</v>
      </c>
      <c r="F2029" s="6" t="s">
        <v>142</v>
      </c>
      <c r="G2029" s="6" t="s">
        <v>25</v>
      </c>
      <c r="H2029" s="6" t="s">
        <v>26</v>
      </c>
      <c r="I2029" s="6" t="s">
        <v>88</v>
      </c>
      <c r="J2029" s="6" t="s">
        <v>135</v>
      </c>
      <c r="K2029" s="6" t="s">
        <v>248</v>
      </c>
      <c r="L2029" s="6" t="s">
        <v>2675</v>
      </c>
      <c r="M2029" s="6" t="s">
        <v>61</v>
      </c>
      <c r="N2029" s="6" t="s">
        <v>44</v>
      </c>
      <c r="O2029" s="6">
        <v>42</v>
      </c>
      <c r="P2029" s="6">
        <v>90.42</v>
      </c>
      <c r="Q2029" s="6">
        <v>57.24</v>
      </c>
      <c r="R2029" s="6">
        <v>3797.84</v>
      </c>
      <c r="S2029" s="6">
        <v>0.05</v>
      </c>
      <c r="T2029" s="6">
        <v>189.89</v>
      </c>
      <c r="U2029" s="6">
        <v>3607.94</v>
      </c>
      <c r="V2029" s="6">
        <v>2404.17</v>
      </c>
      <c r="W2029" s="6">
        <v>1203.77</v>
      </c>
      <c r="X2029" s="6" t="s">
        <v>45</v>
      </c>
    </row>
    <row r="2030" spans="1:24" x14ac:dyDescent="0.25">
      <c r="A2030" s="5" t="s">
        <v>2515</v>
      </c>
      <c r="B2030" s="18">
        <v>45372</v>
      </c>
      <c r="C2030" s="7" t="s">
        <v>305</v>
      </c>
      <c r="D2030" s="7" t="s">
        <v>87</v>
      </c>
      <c r="E2030" s="7" t="s">
        <v>150</v>
      </c>
      <c r="F2030" s="7" t="s">
        <v>151</v>
      </c>
      <c r="G2030" s="7" t="s">
        <v>101</v>
      </c>
      <c r="H2030" s="7" t="s">
        <v>134</v>
      </c>
      <c r="I2030" s="7" t="s">
        <v>40</v>
      </c>
      <c r="J2030" s="7" t="s">
        <v>82</v>
      </c>
      <c r="K2030" s="7" t="s">
        <v>69</v>
      </c>
      <c r="L2030" s="7" t="s">
        <v>2663</v>
      </c>
      <c r="M2030" s="7" t="s">
        <v>61</v>
      </c>
      <c r="N2030" s="7" t="s">
        <v>31</v>
      </c>
      <c r="O2030" s="7">
        <v>7</v>
      </c>
      <c r="P2030" s="7">
        <v>85.97</v>
      </c>
      <c r="Q2030" s="7">
        <v>49.2</v>
      </c>
      <c r="R2030" s="7">
        <v>601.82000000000005</v>
      </c>
      <c r="S2030" s="7">
        <v>0</v>
      </c>
      <c r="T2030" s="7">
        <v>0</v>
      </c>
      <c r="U2030" s="7">
        <v>601.82000000000005</v>
      </c>
      <c r="V2030" s="7">
        <v>344.43</v>
      </c>
      <c r="W2030" s="7">
        <v>257.39</v>
      </c>
      <c r="X2030" s="7" t="s">
        <v>129</v>
      </c>
    </row>
    <row r="2031" spans="1:24" x14ac:dyDescent="0.25">
      <c r="A2031" s="16" t="s">
        <v>2516</v>
      </c>
      <c r="B2031" s="17">
        <v>45608</v>
      </c>
      <c r="C2031" s="6" t="s">
        <v>1210</v>
      </c>
      <c r="D2031" s="6" t="s">
        <v>65</v>
      </c>
      <c r="E2031" s="6" t="s">
        <v>132</v>
      </c>
      <c r="F2031" s="6" t="s">
        <v>133</v>
      </c>
      <c r="G2031" s="6" t="s">
        <v>51</v>
      </c>
      <c r="H2031" s="6" t="s">
        <v>134</v>
      </c>
      <c r="I2031" s="6" t="s">
        <v>53</v>
      </c>
      <c r="J2031" s="6" t="s">
        <v>54</v>
      </c>
      <c r="K2031" s="6" t="s">
        <v>178</v>
      </c>
      <c r="L2031" s="6" t="s">
        <v>256</v>
      </c>
      <c r="M2031" s="6" t="s">
        <v>153</v>
      </c>
      <c r="N2031" s="6" t="s">
        <v>70</v>
      </c>
      <c r="O2031" s="6">
        <v>79</v>
      </c>
      <c r="P2031" s="6">
        <v>56.94</v>
      </c>
      <c r="Q2031" s="6">
        <v>34.14</v>
      </c>
      <c r="R2031" s="6">
        <v>4498.3999999999996</v>
      </c>
      <c r="S2031" s="6">
        <v>0.05</v>
      </c>
      <c r="T2031" s="6">
        <v>224.92</v>
      </c>
      <c r="U2031" s="6">
        <v>4273.4799999999996</v>
      </c>
      <c r="V2031" s="6">
        <v>2696.81</v>
      </c>
      <c r="W2031" s="6">
        <v>1576.67</v>
      </c>
      <c r="X2031" s="6" t="s">
        <v>45</v>
      </c>
    </row>
    <row r="2032" spans="1:24" x14ac:dyDescent="0.25">
      <c r="A2032" s="5" t="s">
        <v>2517</v>
      </c>
      <c r="B2032" s="18">
        <v>45343</v>
      </c>
      <c r="C2032" s="7" t="s">
        <v>1075</v>
      </c>
      <c r="D2032" s="7" t="s">
        <v>65</v>
      </c>
      <c r="E2032" s="7" t="s">
        <v>216</v>
      </c>
      <c r="F2032" s="7" t="s">
        <v>217</v>
      </c>
      <c r="G2032" s="7" t="s">
        <v>38</v>
      </c>
      <c r="H2032" s="7" t="s">
        <v>134</v>
      </c>
      <c r="I2032" s="7" t="s">
        <v>58</v>
      </c>
      <c r="J2032" s="7" t="s">
        <v>323</v>
      </c>
      <c r="K2032" s="7" t="s">
        <v>118</v>
      </c>
      <c r="L2032" s="7" t="s">
        <v>2668</v>
      </c>
      <c r="M2032" s="7" t="s">
        <v>61</v>
      </c>
      <c r="N2032" s="7" t="s">
        <v>44</v>
      </c>
      <c r="O2032" s="7">
        <v>4</v>
      </c>
      <c r="P2032" s="7">
        <v>111.9</v>
      </c>
      <c r="Q2032" s="7">
        <v>64.81</v>
      </c>
      <c r="R2032" s="7">
        <v>447.59</v>
      </c>
      <c r="S2032" s="7">
        <v>0.15</v>
      </c>
      <c r="T2032" s="7">
        <v>67.14</v>
      </c>
      <c r="U2032" s="7">
        <v>380.45</v>
      </c>
      <c r="V2032" s="7">
        <v>259.22000000000003</v>
      </c>
      <c r="W2032" s="7">
        <v>121.23</v>
      </c>
      <c r="X2032" s="7" t="s">
        <v>45</v>
      </c>
    </row>
    <row r="2033" spans="1:24" x14ac:dyDescent="0.25">
      <c r="A2033" s="16" t="s">
        <v>2518</v>
      </c>
      <c r="B2033" s="17">
        <v>45636</v>
      </c>
      <c r="C2033" s="6" t="s">
        <v>513</v>
      </c>
      <c r="D2033" s="6" t="s">
        <v>48</v>
      </c>
      <c r="E2033" s="6" t="s">
        <v>93</v>
      </c>
      <c r="F2033" s="6" t="s">
        <v>94</v>
      </c>
      <c r="G2033" s="6" t="s">
        <v>95</v>
      </c>
      <c r="H2033" s="6" t="s">
        <v>96</v>
      </c>
      <c r="I2033" s="6" t="s">
        <v>53</v>
      </c>
      <c r="J2033" s="6" t="s">
        <v>143</v>
      </c>
      <c r="K2033" s="6" t="s">
        <v>118</v>
      </c>
      <c r="L2033" s="6" t="s">
        <v>2668</v>
      </c>
      <c r="M2033" s="6" t="s">
        <v>153</v>
      </c>
      <c r="N2033" s="6" t="s">
        <v>75</v>
      </c>
      <c r="O2033" s="6">
        <v>44</v>
      </c>
      <c r="P2033" s="6">
        <v>52.52</v>
      </c>
      <c r="Q2033" s="6">
        <v>32.49</v>
      </c>
      <c r="R2033" s="6">
        <v>2311.09</v>
      </c>
      <c r="S2033" s="6">
        <v>0</v>
      </c>
      <c r="T2033" s="6">
        <v>0</v>
      </c>
      <c r="U2033" s="6">
        <v>2311.09</v>
      </c>
      <c r="V2033" s="6">
        <v>1429.47</v>
      </c>
      <c r="W2033" s="6">
        <v>881.62</v>
      </c>
      <c r="X2033" s="6" t="s">
        <v>45</v>
      </c>
    </row>
    <row r="2034" spans="1:24" x14ac:dyDescent="0.25">
      <c r="A2034" s="5" t="s">
        <v>2519</v>
      </c>
      <c r="B2034" s="18">
        <v>45637</v>
      </c>
      <c r="C2034" s="7" t="s">
        <v>681</v>
      </c>
      <c r="D2034" s="7" t="s">
        <v>105</v>
      </c>
      <c r="E2034" s="7" t="s">
        <v>150</v>
      </c>
      <c r="F2034" s="7" t="s">
        <v>151</v>
      </c>
      <c r="G2034" s="7" t="s">
        <v>101</v>
      </c>
      <c r="H2034" s="7" t="s">
        <v>134</v>
      </c>
      <c r="I2034" s="7" t="s">
        <v>40</v>
      </c>
      <c r="J2034" s="7" t="s">
        <v>117</v>
      </c>
      <c r="K2034" s="7" t="s">
        <v>111</v>
      </c>
      <c r="L2034" s="7" t="s">
        <v>2667</v>
      </c>
      <c r="M2034" s="7" t="s">
        <v>30</v>
      </c>
      <c r="N2034" s="7" t="s">
        <v>44</v>
      </c>
      <c r="O2034" s="7">
        <v>11</v>
      </c>
      <c r="P2034" s="7">
        <v>86.56</v>
      </c>
      <c r="Q2034" s="7">
        <v>55</v>
      </c>
      <c r="R2034" s="7">
        <v>952.21</v>
      </c>
      <c r="S2034" s="7">
        <v>0.05</v>
      </c>
      <c r="T2034" s="7">
        <v>47.61</v>
      </c>
      <c r="U2034" s="7">
        <v>904.59</v>
      </c>
      <c r="V2034" s="7">
        <v>604.99</v>
      </c>
      <c r="W2034" s="7">
        <v>299.61</v>
      </c>
      <c r="X2034" s="7" t="s">
        <v>45</v>
      </c>
    </row>
    <row r="2035" spans="1:24" x14ac:dyDescent="0.25">
      <c r="A2035" s="16" t="s">
        <v>2520</v>
      </c>
      <c r="B2035" s="17">
        <v>45338</v>
      </c>
      <c r="C2035" s="6" t="s">
        <v>1531</v>
      </c>
      <c r="D2035" s="6" t="s">
        <v>105</v>
      </c>
      <c r="E2035" s="6" t="s">
        <v>250</v>
      </c>
      <c r="F2035" s="6" t="s">
        <v>251</v>
      </c>
      <c r="G2035" s="6" t="s">
        <v>51</v>
      </c>
      <c r="H2035" s="6" t="s">
        <v>252</v>
      </c>
      <c r="I2035" s="6" t="s">
        <v>88</v>
      </c>
      <c r="J2035" s="6" t="s">
        <v>173</v>
      </c>
      <c r="K2035" s="6" t="s">
        <v>248</v>
      </c>
      <c r="L2035" s="6" t="s">
        <v>2675</v>
      </c>
      <c r="M2035" s="6" t="s">
        <v>30</v>
      </c>
      <c r="N2035" s="6" t="s">
        <v>70</v>
      </c>
      <c r="O2035" s="6">
        <v>13</v>
      </c>
      <c r="P2035" s="6">
        <v>68.28</v>
      </c>
      <c r="Q2035" s="6">
        <v>39.69</v>
      </c>
      <c r="R2035" s="6">
        <v>887.58</v>
      </c>
      <c r="S2035" s="6">
        <v>0.2</v>
      </c>
      <c r="T2035" s="6">
        <v>177.52</v>
      </c>
      <c r="U2035" s="6">
        <v>710.06</v>
      </c>
      <c r="V2035" s="6">
        <v>515.98</v>
      </c>
      <c r="W2035" s="6">
        <v>194.09</v>
      </c>
      <c r="X2035" s="6" t="s">
        <v>32</v>
      </c>
    </row>
    <row r="2036" spans="1:24" x14ac:dyDescent="0.25">
      <c r="A2036" s="5" t="s">
        <v>2521</v>
      </c>
      <c r="B2036" s="18">
        <v>45619</v>
      </c>
      <c r="C2036" s="7" t="s">
        <v>750</v>
      </c>
      <c r="D2036" s="7" t="s">
        <v>121</v>
      </c>
      <c r="E2036" s="7" t="s">
        <v>66</v>
      </c>
      <c r="F2036" s="7" t="s">
        <v>67</v>
      </c>
      <c r="G2036" s="7" t="s">
        <v>38</v>
      </c>
      <c r="H2036" s="7" t="s">
        <v>68</v>
      </c>
      <c r="I2036" s="7" t="s">
        <v>58</v>
      </c>
      <c r="J2036" s="7" t="s">
        <v>73</v>
      </c>
      <c r="K2036" s="7" t="s">
        <v>90</v>
      </c>
      <c r="L2036" s="7" t="s">
        <v>2666</v>
      </c>
      <c r="M2036" s="7" t="s">
        <v>61</v>
      </c>
      <c r="N2036" s="7" t="s">
        <v>70</v>
      </c>
      <c r="O2036" s="7">
        <v>39</v>
      </c>
      <c r="P2036" s="7">
        <v>0</v>
      </c>
      <c r="Q2036" s="7">
        <v>95.86</v>
      </c>
      <c r="R2036" s="7">
        <v>6508.87</v>
      </c>
      <c r="S2036" s="7">
        <v>0</v>
      </c>
      <c r="T2036" s="7">
        <v>0</v>
      </c>
      <c r="U2036" s="7">
        <v>6508.87</v>
      </c>
      <c r="V2036" s="7">
        <v>3738.68</v>
      </c>
      <c r="W2036" s="7">
        <v>2770.2</v>
      </c>
      <c r="X2036" s="7" t="s">
        <v>129</v>
      </c>
    </row>
    <row r="2037" spans="1:24" x14ac:dyDescent="0.25">
      <c r="A2037" s="16" t="s">
        <v>2522</v>
      </c>
      <c r="B2037" s="17">
        <v>45331</v>
      </c>
      <c r="C2037" s="6" t="s">
        <v>378</v>
      </c>
      <c r="D2037" s="6" t="s">
        <v>159</v>
      </c>
      <c r="E2037" s="6" t="s">
        <v>165</v>
      </c>
      <c r="F2037" s="6" t="s">
        <v>166</v>
      </c>
      <c r="G2037" s="6" t="s">
        <v>95</v>
      </c>
      <c r="H2037" s="6" t="s">
        <v>167</v>
      </c>
      <c r="I2037" s="6" t="s">
        <v>88</v>
      </c>
      <c r="J2037" s="6" t="s">
        <v>135</v>
      </c>
      <c r="K2037" s="6" t="s">
        <v>90</v>
      </c>
      <c r="L2037" s="6" t="s">
        <v>2666</v>
      </c>
      <c r="M2037" s="6" t="s">
        <v>30</v>
      </c>
      <c r="N2037" s="6" t="s">
        <v>84</v>
      </c>
      <c r="O2037" s="6">
        <v>38</v>
      </c>
      <c r="P2037" s="6">
        <v>39.07</v>
      </c>
      <c r="Q2037" s="6">
        <v>26.33</v>
      </c>
      <c r="R2037" s="6">
        <v>1484.57</v>
      </c>
      <c r="S2037" s="6">
        <v>0.05</v>
      </c>
      <c r="T2037" s="6">
        <v>74.23</v>
      </c>
      <c r="U2037" s="6">
        <v>1410.34</v>
      </c>
      <c r="V2037" s="6">
        <v>1000.37</v>
      </c>
      <c r="W2037" s="6">
        <v>409.97</v>
      </c>
      <c r="X2037" s="6" t="s">
        <v>129</v>
      </c>
    </row>
    <row r="2038" spans="1:24" x14ac:dyDescent="0.25">
      <c r="A2038" s="5" t="s">
        <v>2523</v>
      </c>
      <c r="B2038" s="18">
        <v>45385</v>
      </c>
      <c r="C2038" s="7" t="s">
        <v>347</v>
      </c>
      <c r="D2038" s="7" t="s">
        <v>163</v>
      </c>
      <c r="E2038" s="7" t="s">
        <v>216</v>
      </c>
      <c r="F2038" s="7" t="s">
        <v>217</v>
      </c>
      <c r="G2038" s="7" t="s">
        <v>38</v>
      </c>
      <c r="H2038" s="7" t="s">
        <v>134</v>
      </c>
      <c r="I2038" s="7" t="s">
        <v>40</v>
      </c>
      <c r="J2038" s="7" t="s">
        <v>82</v>
      </c>
      <c r="K2038" s="7" t="s">
        <v>90</v>
      </c>
      <c r="L2038" s="7" t="s">
        <v>2666</v>
      </c>
      <c r="M2038" s="7" t="s">
        <v>61</v>
      </c>
      <c r="N2038" s="7" t="s">
        <v>44</v>
      </c>
      <c r="O2038" s="7">
        <v>69</v>
      </c>
      <c r="P2038" s="7">
        <v>111.22</v>
      </c>
      <c r="Q2038" s="7">
        <v>64.42</v>
      </c>
      <c r="R2038" s="7">
        <v>7674.45</v>
      </c>
      <c r="S2038" s="7">
        <v>0.02</v>
      </c>
      <c r="T2038" s="7">
        <v>153.49</v>
      </c>
      <c r="U2038" s="7">
        <v>7520.96</v>
      </c>
      <c r="V2038" s="7">
        <v>4445.1400000000003</v>
      </c>
      <c r="W2038" s="7">
        <v>3075.82</v>
      </c>
      <c r="X2038" s="7" t="s">
        <v>45</v>
      </c>
    </row>
    <row r="2039" spans="1:24" x14ac:dyDescent="0.25">
      <c r="A2039" s="16" t="s">
        <v>2524</v>
      </c>
      <c r="B2039" s="17">
        <v>45557</v>
      </c>
      <c r="C2039" s="6" t="s">
        <v>563</v>
      </c>
      <c r="D2039" s="6" t="s">
        <v>156</v>
      </c>
      <c r="E2039" s="6" t="s">
        <v>49</v>
      </c>
      <c r="F2039" s="6" t="s">
        <v>50</v>
      </c>
      <c r="G2039" s="6" t="s">
        <v>51</v>
      </c>
      <c r="H2039" s="6" t="s">
        <v>52</v>
      </c>
      <c r="I2039" s="6" t="s">
        <v>27</v>
      </c>
      <c r="J2039" s="6"/>
      <c r="K2039" s="6" t="s">
        <v>248</v>
      </c>
      <c r="L2039" s="6" t="s">
        <v>2675</v>
      </c>
      <c r="M2039" s="6" t="s">
        <v>43</v>
      </c>
      <c r="N2039" s="6" t="s">
        <v>75</v>
      </c>
      <c r="O2039" s="6">
        <v>47</v>
      </c>
      <c r="P2039" s="6">
        <v>25.58</v>
      </c>
      <c r="Q2039" s="6">
        <v>12.32</v>
      </c>
      <c r="R2039" s="6">
        <v>1202.29</v>
      </c>
      <c r="S2039" s="6">
        <v>0.15</v>
      </c>
      <c r="T2039" s="6">
        <v>180.34</v>
      </c>
      <c r="U2039" s="6">
        <v>1021.95</v>
      </c>
      <c r="V2039" s="6">
        <v>579.16999999999996</v>
      </c>
      <c r="W2039" s="6">
        <v>442.78</v>
      </c>
      <c r="X2039" s="6" t="s">
        <v>45</v>
      </c>
    </row>
    <row r="2040" spans="1:24" x14ac:dyDescent="0.25">
      <c r="A2040" s="5" t="s">
        <v>2525</v>
      </c>
      <c r="B2040" s="18">
        <v>45408</v>
      </c>
      <c r="C2040" s="7" t="s">
        <v>1028</v>
      </c>
      <c r="D2040" s="7" t="s">
        <v>57</v>
      </c>
      <c r="E2040" s="7" t="s">
        <v>150</v>
      </c>
      <c r="F2040" s="7" t="s">
        <v>151</v>
      </c>
      <c r="G2040" s="7" t="s">
        <v>101</v>
      </c>
      <c r="H2040" s="7" t="s">
        <v>134</v>
      </c>
      <c r="I2040" s="7" t="s">
        <v>27</v>
      </c>
      <c r="J2040" s="7" t="s">
        <v>106</v>
      </c>
      <c r="K2040" s="7" t="s">
        <v>253</v>
      </c>
      <c r="L2040" s="7" t="s">
        <v>2676</v>
      </c>
      <c r="M2040" s="7" t="s">
        <v>43</v>
      </c>
      <c r="N2040" s="7" t="s">
        <v>70</v>
      </c>
      <c r="O2040" s="7">
        <v>31</v>
      </c>
      <c r="P2040" s="7">
        <v>89.85</v>
      </c>
      <c r="Q2040" s="7">
        <v>52.64</v>
      </c>
      <c r="R2040" s="7">
        <v>2785.32</v>
      </c>
      <c r="S2040" s="7">
        <v>0</v>
      </c>
      <c r="T2040" s="7">
        <v>0</v>
      </c>
      <c r="U2040" s="7">
        <v>2785.32</v>
      </c>
      <c r="V2040" s="7">
        <v>1631.89</v>
      </c>
      <c r="W2040" s="7">
        <v>1153.43</v>
      </c>
      <c r="X2040" s="7" t="s">
        <v>129</v>
      </c>
    </row>
    <row r="2041" spans="1:24" x14ac:dyDescent="0.25">
      <c r="A2041" s="16" t="s">
        <v>2526</v>
      </c>
      <c r="B2041" s="17">
        <v>45473</v>
      </c>
      <c r="C2041" s="6" t="s">
        <v>674</v>
      </c>
      <c r="D2041" s="6" t="s">
        <v>264</v>
      </c>
      <c r="E2041" s="6" t="s">
        <v>114</v>
      </c>
      <c r="F2041" s="6" t="s">
        <v>115</v>
      </c>
      <c r="G2041" s="6" t="s">
        <v>95</v>
      </c>
      <c r="H2041" s="6" t="s">
        <v>116</v>
      </c>
      <c r="I2041" s="6" t="s">
        <v>88</v>
      </c>
      <c r="J2041" s="6" t="s">
        <v>135</v>
      </c>
      <c r="K2041" s="6" t="s">
        <v>42</v>
      </c>
      <c r="L2041" s="6" t="s">
        <v>2661</v>
      </c>
      <c r="M2041" s="6" t="s">
        <v>153</v>
      </c>
      <c r="N2041" s="6" t="s">
        <v>84</v>
      </c>
      <c r="O2041" s="6">
        <v>23</v>
      </c>
      <c r="P2041" s="6">
        <v>34.19</v>
      </c>
      <c r="Q2041" s="6">
        <v>22.63</v>
      </c>
      <c r="R2041" s="6">
        <v>786.47</v>
      </c>
      <c r="S2041" s="6">
        <v>0.02</v>
      </c>
      <c r="T2041" s="6">
        <v>15.73</v>
      </c>
      <c r="U2041" s="6">
        <v>770.74</v>
      </c>
      <c r="V2041" s="6">
        <v>520.6</v>
      </c>
      <c r="W2041" s="6">
        <v>250.14</v>
      </c>
      <c r="X2041" s="6" t="s">
        <v>32</v>
      </c>
    </row>
    <row r="2042" spans="1:24" x14ac:dyDescent="0.25">
      <c r="A2042" s="5" t="s">
        <v>2527</v>
      </c>
      <c r="B2042" s="18">
        <v>45530</v>
      </c>
      <c r="C2042" s="7" t="s">
        <v>970</v>
      </c>
      <c r="D2042" s="7" t="s">
        <v>159</v>
      </c>
      <c r="E2042" s="7" t="s">
        <v>78</v>
      </c>
      <c r="F2042" s="7" t="s">
        <v>79</v>
      </c>
      <c r="G2042" s="7" t="s">
        <v>80</v>
      </c>
      <c r="H2042" s="7" t="s">
        <v>81</v>
      </c>
      <c r="I2042" s="7" t="s">
        <v>27</v>
      </c>
      <c r="J2042" s="7" t="s">
        <v>106</v>
      </c>
      <c r="K2042" s="7" t="s">
        <v>42</v>
      </c>
      <c r="L2042" s="7" t="s">
        <v>2661</v>
      </c>
      <c r="M2042" s="7" t="s">
        <v>30</v>
      </c>
      <c r="N2042" s="7" t="s">
        <v>70</v>
      </c>
      <c r="O2042" s="7">
        <v>73</v>
      </c>
      <c r="P2042" s="7">
        <v>131.72999999999999</v>
      </c>
      <c r="Q2042" s="7">
        <v>85.81</v>
      </c>
      <c r="R2042" s="7">
        <v>9616.0400000000009</v>
      </c>
      <c r="S2042" s="7">
        <v>0.2</v>
      </c>
      <c r="T2042" s="7">
        <v>1923.21</v>
      </c>
      <c r="U2042" s="7">
        <v>7692.83</v>
      </c>
      <c r="V2042" s="7">
        <v>6264.24</v>
      </c>
      <c r="W2042" s="7">
        <v>1428.6</v>
      </c>
      <c r="X2042" s="7" t="s">
        <v>45</v>
      </c>
    </row>
    <row r="2043" spans="1:24" x14ac:dyDescent="0.25">
      <c r="A2043" s="16" t="s">
        <v>2528</v>
      </c>
      <c r="B2043" s="17">
        <v>45469</v>
      </c>
      <c r="C2043" s="6"/>
      <c r="D2043" s="6"/>
      <c r="E2043" s="6" t="s">
        <v>165</v>
      </c>
      <c r="F2043" s="6" t="s">
        <v>166</v>
      </c>
      <c r="G2043" s="6" t="s">
        <v>95</v>
      </c>
      <c r="H2043" s="6" t="s">
        <v>167</v>
      </c>
      <c r="I2043" s="6" t="s">
        <v>58</v>
      </c>
      <c r="J2043" s="6" t="s">
        <v>59</v>
      </c>
      <c r="K2043" s="6" t="s">
        <v>69</v>
      </c>
      <c r="L2043" s="6" t="s">
        <v>2663</v>
      </c>
      <c r="M2043" s="6" t="s">
        <v>30</v>
      </c>
      <c r="N2043" s="6" t="s">
        <v>31</v>
      </c>
      <c r="O2043" s="6">
        <v>36</v>
      </c>
      <c r="P2043" s="6">
        <v>45.26</v>
      </c>
      <c r="Q2043" s="6">
        <v>25.1</v>
      </c>
      <c r="R2043" s="6">
        <v>1629.19</v>
      </c>
      <c r="S2043" s="6">
        <v>0.02</v>
      </c>
      <c r="T2043" s="6">
        <v>32.58</v>
      </c>
      <c r="U2043" s="6">
        <v>1596.6</v>
      </c>
      <c r="V2043" s="6">
        <v>903.7</v>
      </c>
      <c r="W2043" s="6">
        <v>692.9</v>
      </c>
      <c r="X2043" s="6" t="s">
        <v>32</v>
      </c>
    </row>
    <row r="2044" spans="1:24" x14ac:dyDescent="0.25">
      <c r="A2044" s="5" t="s">
        <v>2529</v>
      </c>
      <c r="B2044" s="18">
        <v>45487</v>
      </c>
      <c r="C2044" s="7" t="s">
        <v>475</v>
      </c>
      <c r="D2044" s="7" t="s">
        <v>57</v>
      </c>
      <c r="E2044" s="7" t="s">
        <v>187</v>
      </c>
      <c r="F2044" s="7" t="s">
        <v>188</v>
      </c>
      <c r="G2044" s="7" t="s">
        <v>25</v>
      </c>
      <c r="H2044" s="7" t="s">
        <v>26</v>
      </c>
      <c r="I2044" s="7" t="s">
        <v>40</v>
      </c>
      <c r="J2044" s="7" t="s">
        <v>289</v>
      </c>
      <c r="K2044" s="7" t="s">
        <v>248</v>
      </c>
      <c r="L2044" s="7" t="s">
        <v>2675</v>
      </c>
      <c r="M2044" s="7" t="s">
        <v>30</v>
      </c>
      <c r="N2044" s="7" t="s">
        <v>70</v>
      </c>
      <c r="O2044" s="7">
        <v>77</v>
      </c>
      <c r="P2044" s="7">
        <v>51.19</v>
      </c>
      <c r="Q2044" s="7">
        <v>28.4</v>
      </c>
      <c r="R2044" s="7">
        <v>3941.33</v>
      </c>
      <c r="S2044" s="7">
        <v>0.15</v>
      </c>
      <c r="T2044" s="7">
        <v>591.20000000000005</v>
      </c>
      <c r="U2044" s="7">
        <v>3350.13</v>
      </c>
      <c r="V2044" s="7">
        <v>2186.61</v>
      </c>
      <c r="W2044" s="7">
        <v>1163.52</v>
      </c>
      <c r="X2044" s="7" t="s">
        <v>129</v>
      </c>
    </row>
    <row r="2045" spans="1:24" x14ac:dyDescent="0.25">
      <c r="A2045" s="16" t="s">
        <v>1561</v>
      </c>
      <c r="B2045" s="17">
        <v>45560</v>
      </c>
      <c r="C2045" s="6" t="s">
        <v>660</v>
      </c>
      <c r="D2045" s="6" t="s">
        <v>264</v>
      </c>
      <c r="E2045" s="6" t="s">
        <v>114</v>
      </c>
      <c r="F2045" s="6" t="s">
        <v>115</v>
      </c>
      <c r="G2045" s="6" t="s">
        <v>95</v>
      </c>
      <c r="H2045" s="6" t="s">
        <v>116</v>
      </c>
      <c r="I2045" s="6" t="s">
        <v>27</v>
      </c>
      <c r="J2045" s="6" t="s">
        <v>211</v>
      </c>
      <c r="K2045" s="6" t="s">
        <v>90</v>
      </c>
      <c r="L2045" s="6" t="s">
        <v>2666</v>
      </c>
      <c r="M2045" s="6" t="s">
        <v>153</v>
      </c>
      <c r="N2045" s="6" t="s">
        <v>75</v>
      </c>
      <c r="O2045" s="6">
        <v>38</v>
      </c>
      <c r="P2045" s="6">
        <v>36.92</v>
      </c>
      <c r="Q2045" s="6">
        <v>20.95</v>
      </c>
      <c r="R2045" s="6">
        <v>1403.06</v>
      </c>
      <c r="S2045" s="6">
        <v>0.02</v>
      </c>
      <c r="T2045" s="6">
        <v>28.06</v>
      </c>
      <c r="U2045" s="6">
        <v>1375</v>
      </c>
      <c r="V2045" s="6">
        <v>796.1</v>
      </c>
      <c r="W2045" s="6">
        <v>578.9</v>
      </c>
      <c r="X2045" s="6" t="s">
        <v>45</v>
      </c>
    </row>
    <row r="2046" spans="1:24" x14ac:dyDescent="0.25">
      <c r="A2046" s="5" t="s">
        <v>2530</v>
      </c>
      <c r="B2046" s="18">
        <v>45454</v>
      </c>
      <c r="C2046" s="7" t="s">
        <v>380</v>
      </c>
      <c r="D2046" s="7" t="s">
        <v>105</v>
      </c>
      <c r="E2046" s="7" t="s">
        <v>126</v>
      </c>
      <c r="F2046" s="7" t="s">
        <v>127</v>
      </c>
      <c r="G2046" s="7" t="s">
        <v>95</v>
      </c>
      <c r="H2046" s="7" t="s">
        <v>128</v>
      </c>
      <c r="I2046" s="7" t="s">
        <v>88</v>
      </c>
      <c r="J2046" s="7" t="s">
        <v>135</v>
      </c>
      <c r="K2046" s="7" t="s">
        <v>261</v>
      </c>
      <c r="L2046" s="7" t="s">
        <v>2677</v>
      </c>
      <c r="M2046" s="7" t="s">
        <v>547</v>
      </c>
      <c r="N2046" s="7" t="s">
        <v>31</v>
      </c>
      <c r="O2046" s="7">
        <v>15</v>
      </c>
      <c r="P2046" s="7">
        <v>94.64</v>
      </c>
      <c r="Q2046" s="7">
        <v>51.99</v>
      </c>
      <c r="R2046" s="7">
        <v>1419.57</v>
      </c>
      <c r="S2046" s="7">
        <v>0.2</v>
      </c>
      <c r="T2046" s="7">
        <v>283.91000000000003</v>
      </c>
      <c r="U2046" s="7">
        <v>1135.6600000000001</v>
      </c>
      <c r="V2046" s="7">
        <v>779.79</v>
      </c>
      <c r="W2046" s="7">
        <v>355.87</v>
      </c>
      <c r="X2046" s="7" t="s">
        <v>45</v>
      </c>
    </row>
    <row r="2047" spans="1:24" x14ac:dyDescent="0.25">
      <c r="A2047" s="16" t="s">
        <v>2531</v>
      </c>
      <c r="B2047" s="17">
        <v>45316</v>
      </c>
      <c r="C2047" s="6" t="s">
        <v>1075</v>
      </c>
      <c r="D2047" s="6" t="s">
        <v>65</v>
      </c>
      <c r="E2047" s="6" t="s">
        <v>176</v>
      </c>
      <c r="F2047" s="6" t="s">
        <v>177</v>
      </c>
      <c r="G2047" s="6" t="s">
        <v>101</v>
      </c>
      <c r="H2047" s="6" t="s">
        <v>39</v>
      </c>
      <c r="I2047" s="6" t="s">
        <v>53</v>
      </c>
      <c r="J2047" s="6" t="s">
        <v>122</v>
      </c>
      <c r="K2047" s="6" t="s">
        <v>265</v>
      </c>
      <c r="L2047" s="6" t="s">
        <v>2678</v>
      </c>
      <c r="M2047" s="6" t="s">
        <v>153</v>
      </c>
      <c r="N2047" s="6" t="s">
        <v>70</v>
      </c>
      <c r="O2047" s="6">
        <v>21</v>
      </c>
      <c r="P2047" s="6">
        <v>106.57</v>
      </c>
      <c r="Q2047" s="6">
        <v>58.5</v>
      </c>
      <c r="R2047" s="6">
        <v>2237.87</v>
      </c>
      <c r="S2047" s="6">
        <v>0.15</v>
      </c>
      <c r="T2047" s="6">
        <v>335.68</v>
      </c>
      <c r="U2047" s="6">
        <v>1902.19</v>
      </c>
      <c r="V2047" s="6">
        <v>1228.45</v>
      </c>
      <c r="W2047" s="6">
        <v>673.73</v>
      </c>
      <c r="X2047" s="6" t="s">
        <v>45</v>
      </c>
    </row>
    <row r="2048" spans="1:24" x14ac:dyDescent="0.25">
      <c r="A2048" s="5" t="s">
        <v>2532</v>
      </c>
      <c r="B2048" s="18">
        <v>45379</v>
      </c>
      <c r="C2048" s="7" t="s">
        <v>1706</v>
      </c>
      <c r="D2048" s="7" t="s">
        <v>65</v>
      </c>
      <c r="E2048" s="7" t="s">
        <v>187</v>
      </c>
      <c r="F2048" s="7" t="s">
        <v>188</v>
      </c>
      <c r="G2048" s="7" t="s">
        <v>25</v>
      </c>
      <c r="H2048" s="7" t="s">
        <v>26</v>
      </c>
      <c r="I2048" s="7" t="s">
        <v>53</v>
      </c>
      <c r="J2048" s="7" t="s">
        <v>232</v>
      </c>
      <c r="K2048" s="7" t="s">
        <v>218</v>
      </c>
      <c r="L2048" s="7" t="s">
        <v>2674</v>
      </c>
      <c r="M2048" s="7" t="s">
        <v>153</v>
      </c>
      <c r="N2048" s="7" t="s">
        <v>70</v>
      </c>
      <c r="O2048" s="7">
        <v>27</v>
      </c>
      <c r="P2048" s="7">
        <v>46.16</v>
      </c>
      <c r="Q2048" s="7">
        <v>30.89</v>
      </c>
      <c r="R2048" s="7">
        <v>1246.29</v>
      </c>
      <c r="S2048" s="7">
        <v>0.05</v>
      </c>
      <c r="T2048" s="7">
        <v>62.31</v>
      </c>
      <c r="U2048" s="7">
        <v>1183.98</v>
      </c>
      <c r="V2048" s="7">
        <v>834.01</v>
      </c>
      <c r="W2048" s="7">
        <v>349.97</v>
      </c>
      <c r="X2048" s="7" t="s">
        <v>45</v>
      </c>
    </row>
    <row r="2049" spans="1:24" x14ac:dyDescent="0.25">
      <c r="A2049" s="16" t="s">
        <v>2533</v>
      </c>
      <c r="B2049" s="17">
        <v>45341</v>
      </c>
      <c r="C2049" s="6" t="s">
        <v>791</v>
      </c>
      <c r="D2049" s="6" t="s">
        <v>163</v>
      </c>
      <c r="E2049" s="6" t="s">
        <v>209</v>
      </c>
      <c r="F2049" s="6" t="s">
        <v>210</v>
      </c>
      <c r="G2049" s="6" t="s">
        <v>51</v>
      </c>
      <c r="H2049" s="6" t="s">
        <v>116</v>
      </c>
      <c r="I2049" s="6" t="s">
        <v>88</v>
      </c>
      <c r="J2049" s="6" t="s">
        <v>89</v>
      </c>
      <c r="K2049" s="6" t="s">
        <v>184</v>
      </c>
      <c r="L2049" s="6" t="s">
        <v>2672</v>
      </c>
      <c r="M2049" s="6" t="s">
        <v>153</v>
      </c>
      <c r="N2049" s="6" t="s">
        <v>75</v>
      </c>
      <c r="O2049" s="6">
        <v>14</v>
      </c>
      <c r="P2049" s="6">
        <v>18.79</v>
      </c>
      <c r="Q2049" s="6">
        <v>10.16</v>
      </c>
      <c r="R2049" s="6">
        <v>263.04000000000002</v>
      </c>
      <c r="S2049" s="6">
        <v>0.1</v>
      </c>
      <c r="T2049" s="6">
        <v>26.3</v>
      </c>
      <c r="U2049" s="6">
        <v>236.74</v>
      </c>
      <c r="V2049" s="6">
        <v>142.28</v>
      </c>
      <c r="W2049" s="6">
        <v>94.46</v>
      </c>
      <c r="X2049" s="6" t="s">
        <v>129</v>
      </c>
    </row>
    <row r="2050" spans="1:24" x14ac:dyDescent="0.25">
      <c r="A2050" s="5" t="s">
        <v>2534</v>
      </c>
      <c r="B2050" s="18">
        <v>45467</v>
      </c>
      <c r="C2050" s="7" t="s">
        <v>245</v>
      </c>
      <c r="D2050" s="7" t="s">
        <v>65</v>
      </c>
      <c r="E2050" s="7" t="s">
        <v>176</v>
      </c>
      <c r="F2050" s="7" t="s">
        <v>177</v>
      </c>
      <c r="G2050" s="7" t="s">
        <v>101</v>
      </c>
      <c r="H2050" s="7" t="s">
        <v>39</v>
      </c>
      <c r="I2050" s="7" t="s">
        <v>88</v>
      </c>
      <c r="J2050" s="7" t="s">
        <v>183</v>
      </c>
      <c r="K2050" s="7" t="s">
        <v>83</v>
      </c>
      <c r="L2050" s="7" t="s">
        <v>2665</v>
      </c>
      <c r="M2050" s="7" t="s">
        <v>30</v>
      </c>
      <c r="N2050" s="7" t="s">
        <v>84</v>
      </c>
      <c r="O2050" s="7">
        <v>38</v>
      </c>
      <c r="P2050" s="7">
        <v>100.66</v>
      </c>
      <c r="Q2050" s="7">
        <v>65.16</v>
      </c>
      <c r="R2050" s="7">
        <v>3825.25</v>
      </c>
      <c r="S2050" s="7">
        <v>0.2</v>
      </c>
      <c r="T2050" s="7">
        <v>765.05</v>
      </c>
      <c r="U2050" s="7">
        <v>3060.2</v>
      </c>
      <c r="V2050" s="7">
        <v>2475.9499999999998</v>
      </c>
      <c r="W2050" s="7">
        <v>584.25</v>
      </c>
      <c r="X2050" s="7" t="s">
        <v>32</v>
      </c>
    </row>
    <row r="2051" spans="1:24" x14ac:dyDescent="0.25">
      <c r="A2051" s="16" t="s">
        <v>2535</v>
      </c>
      <c r="B2051" s="17">
        <v>45590</v>
      </c>
      <c r="C2051" s="6" t="s">
        <v>931</v>
      </c>
      <c r="D2051" s="6" t="s">
        <v>105</v>
      </c>
      <c r="E2051" s="6" t="s">
        <v>36</v>
      </c>
      <c r="F2051" s="6" t="s">
        <v>37</v>
      </c>
      <c r="G2051" s="6" t="s">
        <v>38</v>
      </c>
      <c r="H2051" s="6" t="s">
        <v>39</v>
      </c>
      <c r="I2051" s="6" t="s">
        <v>58</v>
      </c>
      <c r="J2051" s="6" t="s">
        <v>323</v>
      </c>
      <c r="K2051" s="6"/>
      <c r="L2051" s="6"/>
      <c r="M2051" s="6" t="s">
        <v>153</v>
      </c>
      <c r="N2051" s="6" t="s">
        <v>31</v>
      </c>
      <c r="O2051" s="6">
        <v>6</v>
      </c>
      <c r="P2051" s="6">
        <v>155.56</v>
      </c>
      <c r="Q2051" s="6">
        <v>93</v>
      </c>
      <c r="R2051" s="6">
        <v>933.33</v>
      </c>
      <c r="S2051" s="6">
        <v>0.1</v>
      </c>
      <c r="T2051" s="6">
        <v>93.33</v>
      </c>
      <c r="U2051" s="6">
        <v>840</v>
      </c>
      <c r="V2051" s="6">
        <v>558.02</v>
      </c>
      <c r="W2051" s="6">
        <v>281.98</v>
      </c>
      <c r="X2051" s="6" t="s">
        <v>45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0235A-0331-4F5F-886E-3BBAD8FCEA82}">
  <dimension ref="A1:AB2013"/>
  <sheetViews>
    <sheetView topLeftCell="A2003" workbookViewId="0">
      <selection activeCell="F2009" sqref="F2009"/>
    </sheetView>
  </sheetViews>
  <sheetFormatPr defaultRowHeight="15" x14ac:dyDescent="0.25"/>
  <cols>
    <col min="1" max="1" width="11.28515625" bestFit="1" customWidth="1"/>
    <col min="2" max="2" width="13.5703125" style="2" bestFit="1" customWidth="1"/>
    <col min="3" max="3" width="14.7109375" bestFit="1" customWidth="1"/>
    <col min="4" max="4" width="18.28515625" bestFit="1" customWidth="1"/>
    <col min="5" max="5" width="13" bestFit="1" customWidth="1"/>
    <col min="6" max="6" width="19.140625" bestFit="1" customWidth="1"/>
    <col min="7" max="7" width="15.5703125" bestFit="1" customWidth="1"/>
    <col min="8" max="8" width="23.7109375" bestFit="1" customWidth="1"/>
    <col min="9" max="9" width="9.42578125" bestFit="1" customWidth="1"/>
    <col min="10" max="10" width="13.140625" bestFit="1" customWidth="1"/>
    <col min="11" max="11" width="17" bestFit="1" customWidth="1"/>
    <col min="12" max="12" width="20.140625" customWidth="1"/>
    <col min="13" max="13" width="16.28515625" bestFit="1" customWidth="1"/>
    <col min="14" max="14" width="19.5703125" bestFit="1" customWidth="1"/>
    <col min="15" max="15" width="11" bestFit="1" customWidth="1"/>
    <col min="16" max="16" width="12.5703125" bestFit="1" customWidth="1"/>
    <col min="17" max="17" width="16.140625" bestFit="1" customWidth="1"/>
    <col min="18" max="18" width="13.85546875" bestFit="1" customWidth="1"/>
    <col min="19" max="19" width="14.7109375" bestFit="1" customWidth="1"/>
    <col min="20" max="20" width="19.28515625" bestFit="1" customWidth="1"/>
    <col min="21" max="21" width="12.140625" bestFit="1" customWidth="1"/>
    <col min="22" max="22" width="12.5703125" bestFit="1" customWidth="1"/>
    <col min="23" max="23" width="8.28515625" bestFit="1" customWidth="1"/>
    <col min="24" max="24" width="14.85546875" bestFit="1" customWidth="1"/>
  </cols>
  <sheetData>
    <row r="1" spans="1:28" x14ac:dyDescent="0.25">
      <c r="A1" s="26" t="s">
        <v>0</v>
      </c>
      <c r="B1" s="26" t="s">
        <v>1</v>
      </c>
      <c r="C1" s="26" t="s">
        <v>2</v>
      </c>
      <c r="D1" s="26" t="s">
        <v>3</v>
      </c>
      <c r="E1" s="26" t="s">
        <v>2569</v>
      </c>
      <c r="F1" s="26" t="s">
        <v>2570</v>
      </c>
      <c r="G1" s="26" t="s">
        <v>4</v>
      </c>
      <c r="H1" s="26" t="s">
        <v>2571</v>
      </c>
      <c r="I1" s="26" t="s">
        <v>5</v>
      </c>
      <c r="J1" s="26" t="s">
        <v>6</v>
      </c>
      <c r="K1" s="26" t="s">
        <v>7</v>
      </c>
      <c r="L1" s="27" t="s">
        <v>2659</v>
      </c>
      <c r="M1" s="28" t="s">
        <v>8</v>
      </c>
      <c r="N1" s="26" t="s">
        <v>9</v>
      </c>
      <c r="O1" s="26" t="s">
        <v>10</v>
      </c>
      <c r="P1" s="26" t="s">
        <v>11</v>
      </c>
      <c r="Q1" s="26" t="s">
        <v>12</v>
      </c>
      <c r="R1" s="26" t="s">
        <v>13</v>
      </c>
      <c r="S1" s="26" t="s">
        <v>14</v>
      </c>
      <c r="T1" s="26" t="s">
        <v>15</v>
      </c>
      <c r="U1" s="26" t="s">
        <v>16</v>
      </c>
      <c r="V1" s="26" t="s">
        <v>17</v>
      </c>
      <c r="W1" s="26" t="s">
        <v>18</v>
      </c>
      <c r="X1" s="26" t="s">
        <v>19</v>
      </c>
    </row>
    <row r="2" spans="1:28" x14ac:dyDescent="0.25">
      <c r="A2" s="20" t="s">
        <v>20</v>
      </c>
      <c r="B2" s="19">
        <v>45322</v>
      </c>
      <c r="C2" s="20" t="s">
        <v>21</v>
      </c>
      <c r="D2" s="20" t="s">
        <v>22</v>
      </c>
      <c r="E2" s="20" t="s">
        <v>23</v>
      </c>
      <c r="F2" s="20" t="s">
        <v>2576</v>
      </c>
      <c r="G2" s="20" t="s">
        <v>2577</v>
      </c>
      <c r="H2" s="20" t="s">
        <v>26</v>
      </c>
      <c r="I2" s="20" t="s">
        <v>27</v>
      </c>
      <c r="J2" s="20" t="s">
        <v>28</v>
      </c>
      <c r="K2" s="20" t="s">
        <v>29</v>
      </c>
      <c r="L2" s="21" t="s">
        <v>2679</v>
      </c>
      <c r="M2" s="20" t="s">
        <v>30</v>
      </c>
      <c r="N2" s="20" t="s">
        <v>2578</v>
      </c>
      <c r="O2" s="20">
        <v>16</v>
      </c>
      <c r="P2" s="20">
        <v>75.680000000000007</v>
      </c>
      <c r="Q2" s="20">
        <v>46.43</v>
      </c>
      <c r="R2" s="20">
        <v>1210.9000000000001</v>
      </c>
      <c r="S2" s="20">
        <v>0</v>
      </c>
      <c r="T2" s="20">
        <v>0</v>
      </c>
      <c r="U2" s="20">
        <v>1210.9000000000001</v>
      </c>
      <c r="V2" s="20">
        <v>742.87</v>
      </c>
      <c r="W2" s="20">
        <v>468.03</v>
      </c>
      <c r="X2" s="20" t="s">
        <v>32</v>
      </c>
      <c r="AB2">
        <f>MEDIAN(Cleaned_Sales!$O:$O,Cleaned_Sales!$E:$E=Cleaned_Sales!$E2)</f>
        <v>39</v>
      </c>
    </row>
    <row r="3" spans="1:28" x14ac:dyDescent="0.25">
      <c r="A3" s="23" t="s">
        <v>33</v>
      </c>
      <c r="B3" s="22">
        <v>45550</v>
      </c>
      <c r="C3" s="23" t="s">
        <v>34</v>
      </c>
      <c r="D3" s="23" t="s">
        <v>35</v>
      </c>
      <c r="E3" s="23" t="s">
        <v>36</v>
      </c>
      <c r="F3" s="23" t="s">
        <v>37</v>
      </c>
      <c r="G3" s="23" t="s">
        <v>2579</v>
      </c>
      <c r="H3" s="23" t="s">
        <v>39</v>
      </c>
      <c r="I3" s="23" t="s">
        <v>40</v>
      </c>
      <c r="J3" s="23" t="s">
        <v>41</v>
      </c>
      <c r="K3" s="23" t="s">
        <v>42</v>
      </c>
      <c r="L3" s="23" t="s">
        <v>2680</v>
      </c>
      <c r="M3" s="23" t="s">
        <v>43</v>
      </c>
      <c r="N3" s="23" t="s">
        <v>44</v>
      </c>
      <c r="O3" s="23">
        <v>73</v>
      </c>
      <c r="P3" s="23">
        <v>177.4</v>
      </c>
      <c r="Q3" s="23">
        <v>98.27</v>
      </c>
      <c r="R3" s="23">
        <v>12950.44</v>
      </c>
      <c r="S3" s="23">
        <v>0</v>
      </c>
      <c r="T3" s="23">
        <v>0</v>
      </c>
      <c r="U3" s="23">
        <v>12950.44</v>
      </c>
      <c r="V3" s="23">
        <v>7173.57</v>
      </c>
      <c r="W3" s="23">
        <v>5776.87</v>
      </c>
      <c r="X3" s="23" t="s">
        <v>45</v>
      </c>
    </row>
    <row r="4" spans="1:28" x14ac:dyDescent="0.25">
      <c r="A4" s="20" t="s">
        <v>46</v>
      </c>
      <c r="B4" s="19">
        <v>45488</v>
      </c>
      <c r="C4" s="20" t="s">
        <v>47</v>
      </c>
      <c r="D4" s="20" t="s">
        <v>48</v>
      </c>
      <c r="E4" s="20" t="s">
        <v>49</v>
      </c>
      <c r="F4" s="20" t="s">
        <v>2580</v>
      </c>
      <c r="G4" s="20" t="s">
        <v>2581</v>
      </c>
      <c r="H4" s="20" t="s">
        <v>52</v>
      </c>
      <c r="I4" s="20" t="s">
        <v>53</v>
      </c>
      <c r="J4" s="20" t="s">
        <v>54</v>
      </c>
      <c r="K4" s="20" t="s">
        <v>42</v>
      </c>
      <c r="L4" s="20" t="s">
        <v>2680</v>
      </c>
      <c r="M4" s="20" t="s">
        <v>43</v>
      </c>
      <c r="N4" s="20" t="s">
        <v>2578</v>
      </c>
      <c r="O4" s="20">
        <v>63</v>
      </c>
      <c r="P4" s="20">
        <v>24.06</v>
      </c>
      <c r="Q4" s="20">
        <v>12</v>
      </c>
      <c r="R4" s="20">
        <v>1515.79</v>
      </c>
      <c r="S4" s="20">
        <v>0.05</v>
      </c>
      <c r="T4" s="20">
        <v>75.790000000000006</v>
      </c>
      <c r="U4" s="20">
        <v>1440</v>
      </c>
      <c r="V4" s="20">
        <v>756.22</v>
      </c>
      <c r="W4" s="20">
        <v>683.78</v>
      </c>
      <c r="X4" s="20" t="s">
        <v>45</v>
      </c>
    </row>
    <row r="5" spans="1:28" x14ac:dyDescent="0.25">
      <c r="A5" s="23" t="s">
        <v>55</v>
      </c>
      <c r="B5" s="22">
        <v>45521</v>
      </c>
      <c r="C5" s="23" t="s">
        <v>56</v>
      </c>
      <c r="D5" s="23" t="s">
        <v>57</v>
      </c>
      <c r="E5" s="23" t="s">
        <v>49</v>
      </c>
      <c r="F5" s="23" t="s">
        <v>2580</v>
      </c>
      <c r="G5" s="23" t="s">
        <v>2581</v>
      </c>
      <c r="H5" s="23" t="s">
        <v>52</v>
      </c>
      <c r="I5" s="23" t="s">
        <v>58</v>
      </c>
      <c r="J5" s="23" t="s">
        <v>59</v>
      </c>
      <c r="K5" s="23" t="s">
        <v>60</v>
      </c>
      <c r="L5" s="23" t="s">
        <v>2677</v>
      </c>
      <c r="M5" s="23" t="s">
        <v>61</v>
      </c>
      <c r="N5" s="23" t="s">
        <v>84</v>
      </c>
      <c r="O5" s="23">
        <v>70</v>
      </c>
      <c r="P5" s="23">
        <v>26.96</v>
      </c>
      <c r="Q5" s="23">
        <v>12.44</v>
      </c>
      <c r="R5" s="23">
        <v>1887.53</v>
      </c>
      <c r="S5" s="23">
        <v>0.02</v>
      </c>
      <c r="T5" s="23">
        <v>37.75</v>
      </c>
      <c r="U5" s="23">
        <v>1849.78</v>
      </c>
      <c r="V5" s="23">
        <v>870.93</v>
      </c>
      <c r="W5" s="23">
        <v>978.85</v>
      </c>
      <c r="X5" s="23" t="s">
        <v>45</v>
      </c>
    </row>
    <row r="6" spans="1:28" x14ac:dyDescent="0.25">
      <c r="A6" s="20" t="s">
        <v>63</v>
      </c>
      <c r="B6" s="19">
        <v>45475</v>
      </c>
      <c r="C6" s="20" t="s">
        <v>64</v>
      </c>
      <c r="D6" s="20" t="s">
        <v>65</v>
      </c>
      <c r="E6" s="20" t="s">
        <v>66</v>
      </c>
      <c r="F6" s="20" t="s">
        <v>2582</v>
      </c>
      <c r="G6" s="20" t="s">
        <v>2579</v>
      </c>
      <c r="H6" s="20" t="s">
        <v>68</v>
      </c>
      <c r="I6" s="20" t="s">
        <v>40</v>
      </c>
      <c r="J6" s="20" t="s">
        <v>41</v>
      </c>
      <c r="K6" s="20" t="s">
        <v>69</v>
      </c>
      <c r="L6" s="20" t="s">
        <v>2681</v>
      </c>
      <c r="M6" s="20" t="s">
        <v>30</v>
      </c>
      <c r="N6" s="20" t="s">
        <v>70</v>
      </c>
      <c r="O6" s="20">
        <v>77</v>
      </c>
      <c r="P6" s="20">
        <v>156.03</v>
      </c>
      <c r="Q6" s="20">
        <v>96.18</v>
      </c>
      <c r="R6" s="20">
        <v>12014.63</v>
      </c>
      <c r="S6" s="20">
        <v>0.2</v>
      </c>
      <c r="T6" s="20">
        <v>2402.9299999999998</v>
      </c>
      <c r="U6" s="20">
        <v>9611.7000000000007</v>
      </c>
      <c r="V6" s="20">
        <v>7405.93</v>
      </c>
      <c r="W6" s="20">
        <v>2205.77</v>
      </c>
      <c r="X6" s="20" t="s">
        <v>45</v>
      </c>
    </row>
    <row r="7" spans="1:28" x14ac:dyDescent="0.25">
      <c r="A7" s="23" t="s">
        <v>71</v>
      </c>
      <c r="B7" s="22">
        <v>45420</v>
      </c>
      <c r="C7" s="23" t="s">
        <v>72</v>
      </c>
      <c r="D7" s="23" t="s">
        <v>48</v>
      </c>
      <c r="E7" s="23" t="s">
        <v>36</v>
      </c>
      <c r="F7" s="23" t="s">
        <v>37</v>
      </c>
      <c r="G7" s="23" t="s">
        <v>2579</v>
      </c>
      <c r="H7" s="23" t="s">
        <v>39</v>
      </c>
      <c r="I7" s="23" t="s">
        <v>58</v>
      </c>
      <c r="J7" s="23" t="s">
        <v>73</v>
      </c>
      <c r="K7" s="23" t="s">
        <v>74</v>
      </c>
      <c r="L7" s="23" t="s">
        <v>2682</v>
      </c>
      <c r="M7" s="23" t="s">
        <v>30</v>
      </c>
      <c r="N7" s="23" t="s">
        <v>75</v>
      </c>
      <c r="O7" s="23">
        <v>68</v>
      </c>
      <c r="P7" s="23">
        <v>176.42</v>
      </c>
      <c r="Q7" s="23">
        <v>99.7</v>
      </c>
      <c r="R7" s="23">
        <v>11996.8</v>
      </c>
      <c r="S7" s="23">
        <v>0.1</v>
      </c>
      <c r="T7" s="23">
        <v>1199.68</v>
      </c>
      <c r="U7" s="23">
        <v>10797.12</v>
      </c>
      <c r="V7" s="23">
        <v>6779.67</v>
      </c>
      <c r="W7" s="23">
        <v>4017.45</v>
      </c>
      <c r="X7" s="23" t="s">
        <v>45</v>
      </c>
    </row>
    <row r="8" spans="1:28" x14ac:dyDescent="0.25">
      <c r="A8" s="20" t="s">
        <v>76</v>
      </c>
      <c r="B8" s="19">
        <v>45312</v>
      </c>
      <c r="C8" s="20" t="s">
        <v>77</v>
      </c>
      <c r="D8" s="20" t="s">
        <v>22</v>
      </c>
      <c r="E8" s="20" t="s">
        <v>78</v>
      </c>
      <c r="F8" s="20" t="s">
        <v>2583</v>
      </c>
      <c r="G8" s="20" t="s">
        <v>2584</v>
      </c>
      <c r="H8" s="20" t="s">
        <v>81</v>
      </c>
      <c r="I8" s="20" t="s">
        <v>40</v>
      </c>
      <c r="J8" s="20" t="s">
        <v>82</v>
      </c>
      <c r="K8" s="20" t="s">
        <v>83</v>
      </c>
      <c r="L8" s="20" t="s">
        <v>2683</v>
      </c>
      <c r="M8" s="20" t="s">
        <v>61</v>
      </c>
      <c r="N8" s="20" t="s">
        <v>84</v>
      </c>
      <c r="O8" s="20">
        <v>62</v>
      </c>
      <c r="P8" s="20">
        <v>-25</v>
      </c>
      <c r="Q8" s="20">
        <v>80.27</v>
      </c>
      <c r="R8" s="20">
        <v>8358.98</v>
      </c>
      <c r="S8" s="20">
        <v>0</v>
      </c>
      <c r="T8" s="20">
        <v>0</v>
      </c>
      <c r="U8" s="20">
        <v>8358.98</v>
      </c>
      <c r="V8" s="20">
        <v>4976.99</v>
      </c>
      <c r="W8" s="20">
        <v>3381.99</v>
      </c>
      <c r="X8" s="20" t="s">
        <v>32</v>
      </c>
    </row>
    <row r="9" spans="1:28" x14ac:dyDescent="0.25">
      <c r="A9" s="23" t="s">
        <v>85</v>
      </c>
      <c r="B9" s="22">
        <v>45294</v>
      </c>
      <c r="C9" s="23" t="s">
        <v>86</v>
      </c>
      <c r="D9" s="23" t="s">
        <v>87</v>
      </c>
      <c r="E9" s="23" t="s">
        <v>66</v>
      </c>
      <c r="F9" s="23" t="s">
        <v>2582</v>
      </c>
      <c r="G9" s="23" t="s">
        <v>2579</v>
      </c>
      <c r="H9" s="23" t="s">
        <v>68</v>
      </c>
      <c r="I9" s="23" t="s">
        <v>88</v>
      </c>
      <c r="J9" s="23" t="s">
        <v>2112</v>
      </c>
      <c r="K9" s="23" t="s">
        <v>90</v>
      </c>
      <c r="L9" s="23" t="s">
        <v>2684</v>
      </c>
      <c r="M9" s="23" t="s">
        <v>43</v>
      </c>
      <c r="N9" s="23" t="s">
        <v>75</v>
      </c>
      <c r="O9" s="23">
        <v>72</v>
      </c>
      <c r="P9" s="23">
        <v>165.8</v>
      </c>
      <c r="Q9" s="23">
        <v>112.18</v>
      </c>
      <c r="R9" s="23">
        <v>11937.41</v>
      </c>
      <c r="S9" s="23">
        <v>0.1</v>
      </c>
      <c r="T9" s="23">
        <v>1193.74</v>
      </c>
      <c r="U9" s="23">
        <v>10743.67</v>
      </c>
      <c r="V9" s="23">
        <v>8077.23</v>
      </c>
      <c r="W9" s="23">
        <v>2666.45</v>
      </c>
      <c r="X9" s="23" t="s">
        <v>32</v>
      </c>
    </row>
    <row r="10" spans="1:28" x14ac:dyDescent="0.25">
      <c r="A10" s="20" t="s">
        <v>91</v>
      </c>
      <c r="B10" s="19">
        <v>45520</v>
      </c>
      <c r="C10" s="20" t="s">
        <v>92</v>
      </c>
      <c r="D10" s="20" t="s">
        <v>48</v>
      </c>
      <c r="E10" s="20" t="s">
        <v>93</v>
      </c>
      <c r="F10" s="20" t="s">
        <v>2585</v>
      </c>
      <c r="G10" s="20" t="s">
        <v>2586</v>
      </c>
      <c r="H10" s="20" t="s">
        <v>96</v>
      </c>
      <c r="I10" s="20" t="s">
        <v>58</v>
      </c>
      <c r="J10" s="20" t="s">
        <v>73</v>
      </c>
      <c r="K10" s="20" t="s">
        <v>69</v>
      </c>
      <c r="L10" s="20" t="s">
        <v>2681</v>
      </c>
      <c r="M10" s="20" t="s">
        <v>61</v>
      </c>
      <c r="N10" s="20" t="s">
        <v>84</v>
      </c>
      <c r="O10" s="20">
        <v>11</v>
      </c>
      <c r="P10" s="20">
        <v>54.11</v>
      </c>
      <c r="Q10" s="20">
        <v>30.22</v>
      </c>
      <c r="R10" s="20">
        <v>595.25</v>
      </c>
      <c r="S10" s="20">
        <v>0.2</v>
      </c>
      <c r="T10" s="20">
        <v>119.05</v>
      </c>
      <c r="U10" s="20">
        <v>476.2</v>
      </c>
      <c r="V10" s="20">
        <v>332.42</v>
      </c>
      <c r="W10" s="20">
        <v>143.78</v>
      </c>
      <c r="X10" s="20" t="s">
        <v>32</v>
      </c>
    </row>
    <row r="11" spans="1:28" x14ac:dyDescent="0.25">
      <c r="A11" s="23" t="s">
        <v>97</v>
      </c>
      <c r="B11" s="22">
        <v>45379</v>
      </c>
      <c r="C11" s="23" t="s">
        <v>98</v>
      </c>
      <c r="D11" s="23" t="s">
        <v>48</v>
      </c>
      <c r="E11" s="23" t="s">
        <v>99</v>
      </c>
      <c r="F11" s="23" t="s">
        <v>100</v>
      </c>
      <c r="G11" s="23" t="s">
        <v>2587</v>
      </c>
      <c r="H11" s="23" t="s">
        <v>102</v>
      </c>
      <c r="I11" s="23" t="s">
        <v>40</v>
      </c>
      <c r="J11" s="23" t="s">
        <v>82</v>
      </c>
      <c r="K11" s="23" t="s">
        <v>42</v>
      </c>
      <c r="L11" s="23" t="s">
        <v>2680</v>
      </c>
      <c r="M11" s="23" t="s">
        <v>61</v>
      </c>
      <c r="N11" s="23" t="s">
        <v>70</v>
      </c>
      <c r="O11" s="23">
        <v>71</v>
      </c>
      <c r="P11" s="23">
        <v>68.849999999999994</v>
      </c>
      <c r="Q11" s="23">
        <v>40.65</v>
      </c>
      <c r="R11" s="23">
        <v>4888.08</v>
      </c>
      <c r="S11" s="23">
        <v>0.02</v>
      </c>
      <c r="T11" s="23">
        <v>97.76</v>
      </c>
      <c r="U11" s="23">
        <v>4790.32</v>
      </c>
      <c r="V11" s="23">
        <v>2886.41</v>
      </c>
      <c r="W11" s="23">
        <v>1903.91</v>
      </c>
      <c r="X11" s="23" t="s">
        <v>32</v>
      </c>
    </row>
    <row r="12" spans="1:28" x14ac:dyDescent="0.25">
      <c r="A12" s="20" t="s">
        <v>103</v>
      </c>
      <c r="B12" s="19">
        <v>45494</v>
      </c>
      <c r="C12" s="20" t="s">
        <v>104</v>
      </c>
      <c r="D12" s="20" t="s">
        <v>105</v>
      </c>
      <c r="E12" s="20" t="s">
        <v>49</v>
      </c>
      <c r="F12" s="20" t="s">
        <v>2580</v>
      </c>
      <c r="G12" s="20" t="s">
        <v>2581</v>
      </c>
      <c r="H12" s="20" t="s">
        <v>52</v>
      </c>
      <c r="I12" s="20" t="s">
        <v>27</v>
      </c>
      <c r="J12" s="20" t="s">
        <v>106</v>
      </c>
      <c r="K12" s="20" t="s">
        <v>29</v>
      </c>
      <c r="L12" s="20" t="s">
        <v>2679</v>
      </c>
      <c r="M12" s="20" t="s">
        <v>30</v>
      </c>
      <c r="N12" s="20" t="s">
        <v>2578</v>
      </c>
      <c r="O12" s="20">
        <v>4</v>
      </c>
      <c r="P12" s="20">
        <v>24.19</v>
      </c>
      <c r="Q12" s="20">
        <v>12.15</v>
      </c>
      <c r="R12" s="20">
        <v>96.76</v>
      </c>
      <c r="S12" s="20">
        <v>0.02</v>
      </c>
      <c r="T12" s="20">
        <v>1.94</v>
      </c>
      <c r="U12" s="20">
        <v>94.82</v>
      </c>
      <c r="V12" s="20">
        <v>48.61</v>
      </c>
      <c r="W12" s="20">
        <v>46.22</v>
      </c>
      <c r="X12" s="20" t="s">
        <v>32</v>
      </c>
    </row>
    <row r="13" spans="1:28" x14ac:dyDescent="0.25">
      <c r="A13" s="23" t="s">
        <v>107</v>
      </c>
      <c r="B13" s="22">
        <v>45650</v>
      </c>
      <c r="C13" s="23" t="s">
        <v>108</v>
      </c>
      <c r="D13" s="23" t="s">
        <v>105</v>
      </c>
      <c r="E13" s="23" t="s">
        <v>109</v>
      </c>
      <c r="F13" s="23" t="s">
        <v>110</v>
      </c>
      <c r="G13" s="23" t="s">
        <v>2584</v>
      </c>
      <c r="H13" s="23" t="s">
        <v>81</v>
      </c>
      <c r="I13" s="23" t="s">
        <v>53</v>
      </c>
      <c r="J13" s="23" t="s">
        <v>54</v>
      </c>
      <c r="K13" s="23" t="s">
        <v>111</v>
      </c>
      <c r="L13" s="23" t="s">
        <v>2685</v>
      </c>
      <c r="M13" s="23" t="s">
        <v>30</v>
      </c>
      <c r="N13" s="23" t="s">
        <v>70</v>
      </c>
      <c r="O13" s="23">
        <v>30</v>
      </c>
      <c r="P13" s="23">
        <v>127.85</v>
      </c>
      <c r="Q13" s="23">
        <v>73.069999999999993</v>
      </c>
      <c r="R13" s="23">
        <v>3835.54</v>
      </c>
      <c r="S13" s="23">
        <v>0.02</v>
      </c>
      <c r="T13" s="23">
        <v>76.709999999999994</v>
      </c>
      <c r="U13" s="23">
        <v>3758.83</v>
      </c>
      <c r="V13" s="23">
        <v>2192.0300000000002</v>
      </c>
      <c r="W13" s="23">
        <v>1566.8</v>
      </c>
      <c r="X13" s="23" t="s">
        <v>32</v>
      </c>
    </row>
    <row r="14" spans="1:28" x14ac:dyDescent="0.25">
      <c r="A14" s="20" t="s">
        <v>112</v>
      </c>
      <c r="B14" s="19">
        <v>45516</v>
      </c>
      <c r="C14" s="20" t="s">
        <v>113</v>
      </c>
      <c r="D14" s="20" t="s">
        <v>65</v>
      </c>
      <c r="E14" s="20" t="s">
        <v>114</v>
      </c>
      <c r="F14" s="20" t="s">
        <v>2588</v>
      </c>
      <c r="G14" s="20" t="s">
        <v>2586</v>
      </c>
      <c r="H14" s="20" t="s">
        <v>116</v>
      </c>
      <c r="I14" s="20" t="s">
        <v>40</v>
      </c>
      <c r="J14" s="20" t="s">
        <v>117</v>
      </c>
      <c r="K14" s="20" t="s">
        <v>118</v>
      </c>
      <c r="L14" s="20" t="s">
        <v>2686</v>
      </c>
      <c r="M14" s="20" t="s">
        <v>43</v>
      </c>
      <c r="N14" s="20" t="s">
        <v>75</v>
      </c>
      <c r="O14" s="20">
        <v>63</v>
      </c>
      <c r="P14" s="20">
        <v>35.729999999999997</v>
      </c>
      <c r="Q14" s="20">
        <v>20.149999999999999</v>
      </c>
      <c r="R14" s="20">
        <v>2250.9499999999998</v>
      </c>
      <c r="S14" s="20">
        <v>0.1</v>
      </c>
      <c r="T14" s="20">
        <v>225.1</v>
      </c>
      <c r="U14" s="20">
        <v>2025.86</v>
      </c>
      <c r="V14" s="20">
        <v>1269.74</v>
      </c>
      <c r="W14" s="20">
        <v>756.12</v>
      </c>
      <c r="X14" s="20" t="s">
        <v>45</v>
      </c>
    </row>
    <row r="15" spans="1:28" x14ac:dyDescent="0.25">
      <c r="A15" s="23" t="s">
        <v>119</v>
      </c>
      <c r="B15" s="22">
        <v>45342</v>
      </c>
      <c r="C15" s="23" t="s">
        <v>120</v>
      </c>
      <c r="D15" s="23" t="s">
        <v>121</v>
      </c>
      <c r="E15" s="23" t="s">
        <v>23</v>
      </c>
      <c r="F15" s="23" t="s">
        <v>2576</v>
      </c>
      <c r="G15" s="23" t="s">
        <v>2577</v>
      </c>
      <c r="H15" s="23" t="s">
        <v>26</v>
      </c>
      <c r="I15" s="23" t="s">
        <v>53</v>
      </c>
      <c r="J15" s="23" t="s">
        <v>122</v>
      </c>
      <c r="K15" s="23" t="s">
        <v>83</v>
      </c>
      <c r="L15" s="23" t="s">
        <v>2683</v>
      </c>
      <c r="M15" s="23" t="s">
        <v>61</v>
      </c>
      <c r="N15" s="23" t="s">
        <v>70</v>
      </c>
      <c r="O15" s="23">
        <v>20</v>
      </c>
      <c r="P15" s="23">
        <v>76.040000000000006</v>
      </c>
      <c r="Q15" s="23">
        <v>41.66</v>
      </c>
      <c r="R15" s="23">
        <v>1520.79</v>
      </c>
      <c r="S15" s="23">
        <v>0.2</v>
      </c>
      <c r="T15" s="23">
        <v>304.16000000000003</v>
      </c>
      <c r="U15" s="23">
        <v>1216.6300000000001</v>
      </c>
      <c r="V15" s="23">
        <v>833.26</v>
      </c>
      <c r="W15" s="23">
        <v>383.37</v>
      </c>
      <c r="X15" s="23" t="s">
        <v>45</v>
      </c>
    </row>
    <row r="16" spans="1:28" x14ac:dyDescent="0.25">
      <c r="A16" s="20" t="s">
        <v>123</v>
      </c>
      <c r="B16" s="19">
        <v>45420</v>
      </c>
      <c r="C16" s="20" t="s">
        <v>124</v>
      </c>
      <c r="D16" s="20" t="s">
        <v>125</v>
      </c>
      <c r="E16" s="20" t="s">
        <v>126</v>
      </c>
      <c r="F16" s="20" t="s">
        <v>2589</v>
      </c>
      <c r="G16" s="20" t="s">
        <v>2586</v>
      </c>
      <c r="H16" s="20" t="s">
        <v>128</v>
      </c>
      <c r="I16" s="20" t="s">
        <v>58</v>
      </c>
      <c r="J16" s="20" t="s">
        <v>59</v>
      </c>
      <c r="K16" s="20" t="s">
        <v>83</v>
      </c>
      <c r="L16" s="20" t="s">
        <v>2683</v>
      </c>
      <c r="M16" s="20" t="s">
        <v>43</v>
      </c>
      <c r="N16" s="20" t="s">
        <v>44</v>
      </c>
      <c r="O16" s="20">
        <v>30</v>
      </c>
      <c r="P16" s="20">
        <v>96.66</v>
      </c>
      <c r="Q16" s="20">
        <v>50.9</v>
      </c>
      <c r="R16" s="20">
        <v>2899.78</v>
      </c>
      <c r="S16" s="20">
        <v>0</v>
      </c>
      <c r="T16" s="20">
        <v>0</v>
      </c>
      <c r="U16" s="20">
        <v>2899.78</v>
      </c>
      <c r="V16" s="20">
        <v>1526.85</v>
      </c>
      <c r="W16" s="20">
        <v>1372.92</v>
      </c>
      <c r="X16" s="20" t="s">
        <v>129</v>
      </c>
    </row>
    <row r="17" spans="1:24" x14ac:dyDescent="0.25">
      <c r="A17" s="23" t="s">
        <v>130</v>
      </c>
      <c r="B17" s="22">
        <v>45368</v>
      </c>
      <c r="C17" s="23" t="s">
        <v>131</v>
      </c>
      <c r="D17" s="23" t="s">
        <v>65</v>
      </c>
      <c r="E17" s="23" t="s">
        <v>132</v>
      </c>
      <c r="F17" s="23" t="s">
        <v>133</v>
      </c>
      <c r="G17" s="23" t="s">
        <v>2581</v>
      </c>
      <c r="H17" s="23" t="s">
        <v>134</v>
      </c>
      <c r="I17" s="23" t="s">
        <v>88</v>
      </c>
      <c r="J17" s="23" t="s">
        <v>135</v>
      </c>
      <c r="K17" s="23" t="s">
        <v>29</v>
      </c>
      <c r="L17" s="23" t="s">
        <v>2679</v>
      </c>
      <c r="M17" s="23" t="s">
        <v>43</v>
      </c>
      <c r="N17" s="23" t="s">
        <v>84</v>
      </c>
      <c r="O17" s="23">
        <v>39</v>
      </c>
      <c r="P17" s="23">
        <v>63.9</v>
      </c>
      <c r="Q17" s="23">
        <v>32.04</v>
      </c>
      <c r="R17" s="23">
        <v>2492.17</v>
      </c>
      <c r="S17" s="23">
        <v>0.15</v>
      </c>
      <c r="T17" s="23">
        <v>373.83</v>
      </c>
      <c r="U17" s="23">
        <v>2118.34</v>
      </c>
      <c r="V17" s="23">
        <v>1249.46</v>
      </c>
      <c r="W17" s="23">
        <v>868.88</v>
      </c>
      <c r="X17" s="23" t="s">
        <v>45</v>
      </c>
    </row>
    <row r="18" spans="1:24" x14ac:dyDescent="0.25">
      <c r="A18" s="20" t="s">
        <v>136</v>
      </c>
      <c r="B18" s="19">
        <v>45607</v>
      </c>
      <c r="C18" s="20" t="s">
        <v>137</v>
      </c>
      <c r="D18" s="20" t="s">
        <v>22</v>
      </c>
      <c r="E18" s="20" t="s">
        <v>114</v>
      </c>
      <c r="F18" s="20" t="s">
        <v>2588</v>
      </c>
      <c r="G18" s="20" t="s">
        <v>2586</v>
      </c>
      <c r="H18" s="20" t="s">
        <v>116</v>
      </c>
      <c r="I18" s="20" t="s">
        <v>58</v>
      </c>
      <c r="J18" s="20" t="s">
        <v>73</v>
      </c>
      <c r="K18" s="20" t="s">
        <v>83</v>
      </c>
      <c r="L18" s="20" t="s">
        <v>2683</v>
      </c>
      <c r="M18" s="20" t="s">
        <v>30</v>
      </c>
      <c r="N18" s="20" t="s">
        <v>75</v>
      </c>
      <c r="O18" s="20">
        <v>54</v>
      </c>
      <c r="P18" s="20">
        <v>36.93</v>
      </c>
      <c r="Q18" s="20">
        <v>19.399999999999999</v>
      </c>
      <c r="R18" s="20">
        <v>1994.29</v>
      </c>
      <c r="S18" s="20">
        <v>0.02</v>
      </c>
      <c r="T18" s="20">
        <v>39.89</v>
      </c>
      <c r="U18" s="20">
        <v>1954.4</v>
      </c>
      <c r="V18" s="20">
        <v>1047.5</v>
      </c>
      <c r="W18" s="20">
        <v>906.9</v>
      </c>
      <c r="X18" s="20" t="s">
        <v>45</v>
      </c>
    </row>
    <row r="19" spans="1:24" x14ac:dyDescent="0.25">
      <c r="A19" s="23" t="s">
        <v>139</v>
      </c>
      <c r="B19" s="22">
        <v>45550</v>
      </c>
      <c r="C19" s="23" t="s">
        <v>140</v>
      </c>
      <c r="D19" s="23" t="s">
        <v>87</v>
      </c>
      <c r="E19" s="23" t="s">
        <v>141</v>
      </c>
      <c r="F19" s="23" t="s">
        <v>2590</v>
      </c>
      <c r="G19" s="23" t="s">
        <v>2577</v>
      </c>
      <c r="H19" s="23" t="s">
        <v>26</v>
      </c>
      <c r="I19" s="23" t="s">
        <v>53</v>
      </c>
      <c r="J19" s="23" t="s">
        <v>143</v>
      </c>
      <c r="K19" s="23" t="s">
        <v>144</v>
      </c>
      <c r="L19" s="23" t="s">
        <v>2687</v>
      </c>
      <c r="M19" s="23" t="s">
        <v>43</v>
      </c>
      <c r="N19" s="23" t="s">
        <v>44</v>
      </c>
      <c r="O19" s="23">
        <v>38</v>
      </c>
      <c r="P19" s="23">
        <v>96.48</v>
      </c>
      <c r="Q19" s="23">
        <v>59.43</v>
      </c>
      <c r="R19" s="23">
        <v>3666.12</v>
      </c>
      <c r="S19" s="23">
        <v>0.05</v>
      </c>
      <c r="T19" s="23">
        <v>183.31</v>
      </c>
      <c r="U19" s="23">
        <v>3482.81</v>
      </c>
      <c r="V19" s="23">
        <v>2258.35</v>
      </c>
      <c r="W19" s="23">
        <v>1224.46</v>
      </c>
      <c r="X19" s="23" t="s">
        <v>45</v>
      </c>
    </row>
    <row r="20" spans="1:24" x14ac:dyDescent="0.25">
      <c r="A20" s="20" t="s">
        <v>145</v>
      </c>
      <c r="B20" s="19">
        <v>45312</v>
      </c>
      <c r="C20" s="20" t="s">
        <v>146</v>
      </c>
      <c r="D20" s="20" t="s">
        <v>105</v>
      </c>
      <c r="E20" s="20" t="s">
        <v>36</v>
      </c>
      <c r="F20" s="20" t="s">
        <v>37</v>
      </c>
      <c r="G20" s="20" t="s">
        <v>2579</v>
      </c>
      <c r="H20" s="20" t="s">
        <v>39</v>
      </c>
      <c r="I20" s="20" t="s">
        <v>40</v>
      </c>
      <c r="J20" s="20" t="s">
        <v>82</v>
      </c>
      <c r="K20" s="20" t="s">
        <v>118</v>
      </c>
      <c r="L20" s="20" t="s">
        <v>2686</v>
      </c>
      <c r="M20" s="20" t="s">
        <v>61</v>
      </c>
      <c r="N20" s="20" t="s">
        <v>44</v>
      </c>
      <c r="O20" s="20">
        <v>10</v>
      </c>
      <c r="P20" s="20">
        <v>171.69</v>
      </c>
      <c r="Q20" s="20">
        <v>103.26</v>
      </c>
      <c r="R20" s="20">
        <v>1716.9</v>
      </c>
      <c r="S20" s="20">
        <v>0.05</v>
      </c>
      <c r="T20" s="20">
        <v>85.85</v>
      </c>
      <c r="U20" s="20">
        <v>1631.06</v>
      </c>
      <c r="V20" s="20">
        <v>1032.5999999999999</v>
      </c>
      <c r="W20" s="20">
        <v>598.46</v>
      </c>
      <c r="X20" s="20" t="s">
        <v>129</v>
      </c>
    </row>
    <row r="21" spans="1:24" x14ac:dyDescent="0.25">
      <c r="A21" s="23" t="s">
        <v>147</v>
      </c>
      <c r="B21" s="22">
        <v>45645</v>
      </c>
      <c r="C21" s="23" t="s">
        <v>148</v>
      </c>
      <c r="D21" s="23" t="s">
        <v>149</v>
      </c>
      <c r="E21" s="23" t="s">
        <v>150</v>
      </c>
      <c r="F21" s="23" t="s">
        <v>2591</v>
      </c>
      <c r="G21" s="23" t="s">
        <v>2587</v>
      </c>
      <c r="H21" s="23" t="s">
        <v>134</v>
      </c>
      <c r="I21" s="23" t="s">
        <v>88</v>
      </c>
      <c r="J21" s="23" t="s">
        <v>2112</v>
      </c>
      <c r="K21" s="23" t="s">
        <v>152</v>
      </c>
      <c r="L21" s="23" t="s">
        <v>2688</v>
      </c>
      <c r="M21" s="23" t="s">
        <v>153</v>
      </c>
      <c r="N21" s="23" t="s">
        <v>44</v>
      </c>
      <c r="O21" s="23">
        <v>59</v>
      </c>
      <c r="P21" s="23">
        <v>87.81</v>
      </c>
      <c r="Q21" s="23">
        <v>47.43</v>
      </c>
      <c r="R21" s="23">
        <v>5181.08</v>
      </c>
      <c r="S21" s="23">
        <v>0.02</v>
      </c>
      <c r="T21" s="23">
        <v>103.62</v>
      </c>
      <c r="U21" s="23">
        <v>5077.46</v>
      </c>
      <c r="V21" s="23">
        <v>2798.46</v>
      </c>
      <c r="W21" s="23">
        <v>2279</v>
      </c>
      <c r="X21" s="23" t="s">
        <v>45</v>
      </c>
    </row>
    <row r="22" spans="1:24" x14ac:dyDescent="0.25">
      <c r="A22" s="20" t="s">
        <v>154</v>
      </c>
      <c r="B22" s="19">
        <v>45322</v>
      </c>
      <c r="C22" s="20" t="s">
        <v>155</v>
      </c>
      <c r="D22" s="20" t="s">
        <v>156</v>
      </c>
      <c r="E22" s="20" t="s">
        <v>132</v>
      </c>
      <c r="F22" s="20" t="s">
        <v>133</v>
      </c>
      <c r="G22" s="20" t="s">
        <v>2581</v>
      </c>
      <c r="H22" s="20" t="s">
        <v>134</v>
      </c>
      <c r="I22" s="20" t="s">
        <v>40</v>
      </c>
      <c r="J22" s="20" t="s">
        <v>82</v>
      </c>
      <c r="K22" s="20" t="s">
        <v>83</v>
      </c>
      <c r="L22" s="20" t="s">
        <v>2683</v>
      </c>
      <c r="M22" s="20" t="s">
        <v>153</v>
      </c>
      <c r="N22" s="20" t="s">
        <v>44</v>
      </c>
      <c r="O22" s="20">
        <v>13</v>
      </c>
      <c r="P22" s="20">
        <v>58.06</v>
      </c>
      <c r="Q22" s="20">
        <v>31.85</v>
      </c>
      <c r="R22" s="20">
        <v>754.8</v>
      </c>
      <c r="S22" s="20">
        <v>0</v>
      </c>
      <c r="T22" s="20">
        <v>0</v>
      </c>
      <c r="U22" s="20">
        <v>754.8</v>
      </c>
      <c r="V22" s="20">
        <v>414.09</v>
      </c>
      <c r="W22" s="20">
        <v>340.71</v>
      </c>
      <c r="X22" s="20" t="s">
        <v>45</v>
      </c>
    </row>
    <row r="23" spans="1:24" x14ac:dyDescent="0.25">
      <c r="A23" s="23" t="s">
        <v>157</v>
      </c>
      <c r="B23" s="22">
        <v>45639</v>
      </c>
      <c r="C23" s="23" t="s">
        <v>158</v>
      </c>
      <c r="D23" s="23" t="s">
        <v>159</v>
      </c>
      <c r="E23" s="23" t="s">
        <v>23</v>
      </c>
      <c r="F23" s="23" t="s">
        <v>2576</v>
      </c>
      <c r="G23" s="23" t="s">
        <v>2577</v>
      </c>
      <c r="H23" s="23" t="s">
        <v>26</v>
      </c>
      <c r="I23" s="23" t="s">
        <v>88</v>
      </c>
      <c r="J23" s="23" t="s">
        <v>135</v>
      </c>
      <c r="K23" s="23" t="s">
        <v>69</v>
      </c>
      <c r="L23" s="23" t="s">
        <v>2681</v>
      </c>
      <c r="M23" s="23" t="s">
        <v>153</v>
      </c>
      <c r="N23" s="23" t="s">
        <v>75</v>
      </c>
      <c r="O23" s="23">
        <v>42</v>
      </c>
      <c r="P23" s="23">
        <v>70.16</v>
      </c>
      <c r="Q23" s="23">
        <v>42.18</v>
      </c>
      <c r="R23" s="23">
        <v>2946.65</v>
      </c>
      <c r="S23" s="23">
        <v>0.15</v>
      </c>
      <c r="T23" s="23">
        <v>442</v>
      </c>
      <c r="U23" s="23">
        <v>2504.66</v>
      </c>
      <c r="V23" s="23">
        <v>1771.68</v>
      </c>
      <c r="W23" s="23">
        <v>732.97</v>
      </c>
      <c r="X23" s="23" t="s">
        <v>45</v>
      </c>
    </row>
    <row r="24" spans="1:24" x14ac:dyDescent="0.25">
      <c r="A24" s="20" t="s">
        <v>160</v>
      </c>
      <c r="B24" s="19">
        <v>45405</v>
      </c>
      <c r="C24" s="20" t="s">
        <v>21</v>
      </c>
      <c r="D24" s="20" t="s">
        <v>22</v>
      </c>
      <c r="E24" s="20" t="s">
        <v>23</v>
      </c>
      <c r="F24" s="20" t="s">
        <v>2576</v>
      </c>
      <c r="G24" s="20" t="s">
        <v>2577</v>
      </c>
      <c r="H24" s="20" t="s">
        <v>26</v>
      </c>
      <c r="I24" s="20" t="s">
        <v>40</v>
      </c>
      <c r="J24" s="20" t="s">
        <v>117</v>
      </c>
      <c r="K24" s="20" t="s">
        <v>144</v>
      </c>
      <c r="L24" s="20" t="s">
        <v>2687</v>
      </c>
      <c r="M24" s="20" t="s">
        <v>153</v>
      </c>
      <c r="N24" s="20" t="s">
        <v>84</v>
      </c>
      <c r="O24" s="20">
        <v>0</v>
      </c>
      <c r="P24" s="20">
        <v>75.03</v>
      </c>
      <c r="Q24" s="20">
        <v>45.63</v>
      </c>
      <c r="R24" s="20">
        <v>3301.28</v>
      </c>
      <c r="S24" s="20">
        <f>ROUND(Cleaned_Sales!$T24/Cleaned_Sales!$R24,2)</f>
        <v>0.15</v>
      </c>
      <c r="T24" s="20">
        <v>495.19</v>
      </c>
      <c r="U24" s="20">
        <v>2806.09</v>
      </c>
      <c r="V24" s="20">
        <v>2007.71</v>
      </c>
      <c r="W24" s="20">
        <v>798.38</v>
      </c>
      <c r="X24" s="20" t="s">
        <v>45</v>
      </c>
    </row>
    <row r="25" spans="1:24" x14ac:dyDescent="0.25">
      <c r="A25" s="23" t="s">
        <v>161</v>
      </c>
      <c r="B25" s="22">
        <v>45636</v>
      </c>
      <c r="C25" s="23" t="s">
        <v>162</v>
      </c>
      <c r="D25" s="23" t="s">
        <v>163</v>
      </c>
      <c r="E25" s="23" t="s">
        <v>132</v>
      </c>
      <c r="F25" s="23" t="s">
        <v>133</v>
      </c>
      <c r="G25" s="23" t="s">
        <v>2581</v>
      </c>
      <c r="H25" s="23" t="s">
        <v>134</v>
      </c>
      <c r="I25" s="23" t="s">
        <v>27</v>
      </c>
      <c r="J25" s="23" t="s">
        <v>106</v>
      </c>
      <c r="K25" s="23" t="s">
        <v>42</v>
      </c>
      <c r="L25" s="23" t="s">
        <v>2680</v>
      </c>
      <c r="M25" s="23" t="s">
        <v>153</v>
      </c>
      <c r="N25" s="23" t="s">
        <v>44</v>
      </c>
      <c r="O25" s="23">
        <v>41</v>
      </c>
      <c r="P25" s="23">
        <v>57.39</v>
      </c>
      <c r="Q25" s="23">
        <v>36.520000000000003</v>
      </c>
      <c r="R25" s="23">
        <v>2352.84</v>
      </c>
      <c r="S25" s="23">
        <v>0.2</v>
      </c>
      <c r="T25" s="23">
        <v>470.57</v>
      </c>
      <c r="U25" s="23">
        <v>1882.27</v>
      </c>
      <c r="V25" s="23">
        <v>1497.5</v>
      </c>
      <c r="W25" s="23">
        <v>384.78</v>
      </c>
      <c r="X25" s="23" t="s">
        <v>45</v>
      </c>
    </row>
    <row r="26" spans="1:24" x14ac:dyDescent="0.25">
      <c r="A26" s="20" t="s">
        <v>164</v>
      </c>
      <c r="B26" s="19">
        <v>45505</v>
      </c>
      <c r="C26" s="20" t="s">
        <v>104</v>
      </c>
      <c r="D26" s="20" t="s">
        <v>105</v>
      </c>
      <c r="E26" s="20" t="s">
        <v>165</v>
      </c>
      <c r="F26" s="20" t="s">
        <v>2592</v>
      </c>
      <c r="G26" s="20" t="s">
        <v>2586</v>
      </c>
      <c r="H26" s="20" t="s">
        <v>167</v>
      </c>
      <c r="I26" s="20" t="s">
        <v>53</v>
      </c>
      <c r="J26" s="20" t="s">
        <v>54</v>
      </c>
      <c r="K26" s="20" t="s">
        <v>60</v>
      </c>
      <c r="L26" s="20" t="s">
        <v>2677</v>
      </c>
      <c r="M26" s="20" t="s">
        <v>61</v>
      </c>
      <c r="N26" s="20" t="s">
        <v>70</v>
      </c>
      <c r="O26" s="20">
        <v>20</v>
      </c>
      <c r="P26" s="20">
        <v>43.68</v>
      </c>
      <c r="Q26" s="20">
        <v>23.52</v>
      </c>
      <c r="R26" s="20">
        <v>873.55</v>
      </c>
      <c r="S26" s="20">
        <v>0.05</v>
      </c>
      <c r="T26" s="20">
        <v>43.68</v>
      </c>
      <c r="U26" s="20">
        <v>829.88</v>
      </c>
      <c r="V26" s="20">
        <v>470.41</v>
      </c>
      <c r="W26" s="20">
        <v>359.47</v>
      </c>
      <c r="X26" s="20" t="s">
        <v>45</v>
      </c>
    </row>
    <row r="27" spans="1:24" x14ac:dyDescent="0.25">
      <c r="A27" s="23" t="s">
        <v>168</v>
      </c>
      <c r="B27" s="22">
        <v>45493</v>
      </c>
      <c r="C27" s="23" t="s">
        <v>169</v>
      </c>
      <c r="D27" s="23" t="s">
        <v>57</v>
      </c>
      <c r="E27" s="23" t="s">
        <v>132</v>
      </c>
      <c r="F27" s="23" t="s">
        <v>133</v>
      </c>
      <c r="G27" s="23" t="s">
        <v>2581</v>
      </c>
      <c r="H27" s="23" t="s">
        <v>134</v>
      </c>
      <c r="I27" s="23" t="s">
        <v>40</v>
      </c>
      <c r="J27" s="23" t="s">
        <v>117</v>
      </c>
      <c r="K27" s="23" t="s">
        <v>170</v>
      </c>
      <c r="L27" s="23" t="s">
        <v>2671</v>
      </c>
      <c r="M27" s="23" t="s">
        <v>43</v>
      </c>
      <c r="N27" s="23" t="s">
        <v>2578</v>
      </c>
      <c r="O27" s="23">
        <v>76</v>
      </c>
      <c r="P27" s="23">
        <v>64.13</v>
      </c>
      <c r="Q27" s="23">
        <v>35.68</v>
      </c>
      <c r="R27" s="23">
        <v>4873.51</v>
      </c>
      <c r="S27" s="23">
        <v>0.15</v>
      </c>
      <c r="T27" s="23">
        <v>731.03</v>
      </c>
      <c r="U27" s="23">
        <v>4142.4799999999996</v>
      </c>
      <c r="V27" s="23">
        <v>2711.39</v>
      </c>
      <c r="W27" s="23">
        <v>1431.09</v>
      </c>
      <c r="X27" s="23" t="s">
        <v>45</v>
      </c>
    </row>
    <row r="28" spans="1:24" x14ac:dyDescent="0.25">
      <c r="A28" s="20" t="s">
        <v>171</v>
      </c>
      <c r="B28" s="19">
        <v>45489</v>
      </c>
      <c r="C28" s="20" t="s">
        <v>172</v>
      </c>
      <c r="D28" s="20" t="s">
        <v>22</v>
      </c>
      <c r="E28" s="20" t="s">
        <v>141</v>
      </c>
      <c r="F28" s="20" t="s">
        <v>2590</v>
      </c>
      <c r="G28" s="20" t="s">
        <v>2577</v>
      </c>
      <c r="H28" s="20" t="s">
        <v>26</v>
      </c>
      <c r="I28" s="20" t="s">
        <v>88</v>
      </c>
      <c r="J28" s="20" t="s">
        <v>173</v>
      </c>
      <c r="K28" s="20" t="s">
        <v>74</v>
      </c>
      <c r="L28" s="20" t="s">
        <v>2682</v>
      </c>
      <c r="M28" s="20" t="s">
        <v>61</v>
      </c>
      <c r="N28" s="20" t="s">
        <v>70</v>
      </c>
      <c r="O28" s="20">
        <v>37</v>
      </c>
      <c r="P28" s="20">
        <v>94.38</v>
      </c>
      <c r="Q28" s="20">
        <v>56.68</v>
      </c>
      <c r="R28" s="20">
        <v>3492.09</v>
      </c>
      <c r="S28" s="20">
        <v>0.15</v>
      </c>
      <c r="T28" s="20">
        <v>523.80999999999995</v>
      </c>
      <c r="U28" s="20">
        <v>2968.28</v>
      </c>
      <c r="V28" s="20">
        <v>2097.17</v>
      </c>
      <c r="W28" s="20">
        <v>871.1</v>
      </c>
      <c r="X28" s="20" t="s">
        <v>32</v>
      </c>
    </row>
    <row r="29" spans="1:24" x14ac:dyDescent="0.25">
      <c r="A29" s="23" t="s">
        <v>174</v>
      </c>
      <c r="B29" s="22">
        <v>45349</v>
      </c>
      <c r="C29" s="23" t="s">
        <v>175</v>
      </c>
      <c r="D29" s="23" t="s">
        <v>65</v>
      </c>
      <c r="E29" s="23" t="s">
        <v>176</v>
      </c>
      <c r="F29" s="23" t="s">
        <v>2593</v>
      </c>
      <c r="G29" s="23" t="s">
        <v>2587</v>
      </c>
      <c r="H29" s="23" t="s">
        <v>39</v>
      </c>
      <c r="I29" s="23" t="s">
        <v>58</v>
      </c>
      <c r="J29" s="23" t="s">
        <v>59</v>
      </c>
      <c r="K29" s="23" t="s">
        <v>178</v>
      </c>
      <c r="L29" s="23" t="s">
        <v>2689</v>
      </c>
      <c r="M29" s="23" t="s">
        <v>43</v>
      </c>
      <c r="N29" s="23" t="s">
        <v>75</v>
      </c>
      <c r="O29" s="23">
        <v>23</v>
      </c>
      <c r="P29" s="23">
        <v>100.14</v>
      </c>
      <c r="Q29" s="23">
        <v>67.61</v>
      </c>
      <c r="R29" s="23">
        <v>2303.2199999999998</v>
      </c>
      <c r="S29" s="23">
        <v>0.1</v>
      </c>
      <c r="T29" s="23">
        <v>230.32</v>
      </c>
      <c r="U29" s="23">
        <v>2072.89</v>
      </c>
      <c r="V29" s="23">
        <v>1555.05</v>
      </c>
      <c r="W29" s="23">
        <v>517.84</v>
      </c>
      <c r="X29" s="23" t="s">
        <v>45</v>
      </c>
    </row>
    <row r="30" spans="1:24" x14ac:dyDescent="0.25">
      <c r="A30" s="20" t="s">
        <v>179</v>
      </c>
      <c r="B30" s="19">
        <v>45422</v>
      </c>
      <c r="C30" s="20" t="s">
        <v>180</v>
      </c>
      <c r="D30" s="20" t="s">
        <v>163</v>
      </c>
      <c r="E30" s="20" t="s">
        <v>99</v>
      </c>
      <c r="F30" s="20" t="s">
        <v>100</v>
      </c>
      <c r="G30" s="20" t="s">
        <v>2587</v>
      </c>
      <c r="H30" s="20" t="s">
        <v>102</v>
      </c>
      <c r="I30" s="20" t="s">
        <v>58</v>
      </c>
      <c r="J30" s="20" t="s">
        <v>59</v>
      </c>
      <c r="K30" s="20" t="s">
        <v>170</v>
      </c>
      <c r="L30" s="20" t="s">
        <v>2671</v>
      </c>
      <c r="M30" s="20" t="s">
        <v>43</v>
      </c>
      <c r="N30" s="20" t="s">
        <v>2578</v>
      </c>
      <c r="O30" s="20">
        <v>75</v>
      </c>
      <c r="P30" s="20">
        <v>67.89</v>
      </c>
      <c r="Q30" s="20">
        <v>41.72</v>
      </c>
      <c r="R30" s="20">
        <v>5091.5</v>
      </c>
      <c r="S30" s="20">
        <v>0</v>
      </c>
      <c r="T30" s="20">
        <v>0</v>
      </c>
      <c r="U30" s="20">
        <v>5091.5</v>
      </c>
      <c r="V30" s="20">
        <v>3129.28</v>
      </c>
      <c r="W30" s="20">
        <v>1962.21</v>
      </c>
      <c r="X30" s="20" t="s">
        <v>45</v>
      </c>
    </row>
    <row r="31" spans="1:24" x14ac:dyDescent="0.25">
      <c r="A31" s="23" t="s">
        <v>181</v>
      </c>
      <c r="B31" s="22">
        <v>45590</v>
      </c>
      <c r="C31" s="23" t="s">
        <v>182</v>
      </c>
      <c r="D31" s="23" t="s">
        <v>35</v>
      </c>
      <c r="E31" s="23" t="s">
        <v>126</v>
      </c>
      <c r="F31" s="23" t="s">
        <v>2589</v>
      </c>
      <c r="G31" s="23" t="s">
        <v>2586</v>
      </c>
      <c r="H31" s="23" t="s">
        <v>128</v>
      </c>
      <c r="I31" s="23" t="s">
        <v>88</v>
      </c>
      <c r="J31" s="23" t="s">
        <v>183</v>
      </c>
      <c r="K31" s="23" t="s">
        <v>184</v>
      </c>
      <c r="L31" s="23" t="s">
        <v>2690</v>
      </c>
      <c r="M31" s="23" t="s">
        <v>61</v>
      </c>
      <c r="N31" s="23" t="s">
        <v>84</v>
      </c>
      <c r="O31" s="23">
        <v>59</v>
      </c>
      <c r="P31" s="23">
        <v>88.4</v>
      </c>
      <c r="Q31" s="23">
        <v>52.56</v>
      </c>
      <c r="R31" s="23">
        <v>5215.32</v>
      </c>
      <c r="S31" s="23">
        <v>0</v>
      </c>
      <c r="T31" s="23">
        <v>0</v>
      </c>
      <c r="U31" s="23">
        <v>5215.32</v>
      </c>
      <c r="V31" s="23">
        <v>3101.33</v>
      </c>
      <c r="W31" s="23">
        <v>2113.9899999999998</v>
      </c>
      <c r="X31" s="23" t="s">
        <v>129</v>
      </c>
    </row>
    <row r="32" spans="1:24" x14ac:dyDescent="0.25">
      <c r="A32" s="20" t="s">
        <v>185</v>
      </c>
      <c r="B32" s="19">
        <v>45638</v>
      </c>
      <c r="C32" s="20" t="s">
        <v>186</v>
      </c>
      <c r="D32" s="20" t="s">
        <v>156</v>
      </c>
      <c r="E32" s="20" t="s">
        <v>187</v>
      </c>
      <c r="F32" s="20" t="s">
        <v>2594</v>
      </c>
      <c r="G32" s="20" t="s">
        <v>2577</v>
      </c>
      <c r="H32" s="20" t="s">
        <v>26</v>
      </c>
      <c r="I32" s="20" t="s">
        <v>27</v>
      </c>
      <c r="J32" s="20" t="s">
        <v>189</v>
      </c>
      <c r="K32" s="20" t="s">
        <v>29</v>
      </c>
      <c r="L32" s="20" t="s">
        <v>2679</v>
      </c>
      <c r="M32" s="20" t="s">
        <v>153</v>
      </c>
      <c r="N32" s="20" t="s">
        <v>2578</v>
      </c>
      <c r="O32" s="20">
        <v>55</v>
      </c>
      <c r="P32" s="20">
        <v>51.04</v>
      </c>
      <c r="Q32" s="20">
        <v>0</v>
      </c>
      <c r="R32" s="20">
        <v>2807.09</v>
      </c>
      <c r="S32" s="20">
        <v>0.05</v>
      </c>
      <c r="T32" s="20">
        <v>140.35</v>
      </c>
      <c r="U32" s="20">
        <v>2666.73</v>
      </c>
      <c r="V32" s="20">
        <v>1699.42</v>
      </c>
      <c r="W32" s="20">
        <v>967.31</v>
      </c>
      <c r="X32" s="20" t="s">
        <v>45</v>
      </c>
    </row>
    <row r="33" spans="1:24" x14ac:dyDescent="0.25">
      <c r="A33" s="23" t="s">
        <v>191</v>
      </c>
      <c r="B33" s="22">
        <v>45397</v>
      </c>
      <c r="C33" s="23" t="s">
        <v>192</v>
      </c>
      <c r="D33" s="23" t="s">
        <v>65</v>
      </c>
      <c r="E33" s="23" t="s">
        <v>132</v>
      </c>
      <c r="F33" s="23" t="s">
        <v>133</v>
      </c>
      <c r="G33" s="23" t="s">
        <v>2581</v>
      </c>
      <c r="H33" s="23" t="s">
        <v>134</v>
      </c>
      <c r="I33" s="23" t="s">
        <v>40</v>
      </c>
      <c r="J33" s="23" t="s">
        <v>117</v>
      </c>
      <c r="K33" s="23" t="s">
        <v>83</v>
      </c>
      <c r="L33" s="23" t="s">
        <v>2683</v>
      </c>
      <c r="M33" s="23" t="s">
        <v>153</v>
      </c>
      <c r="N33" s="23" t="s">
        <v>75</v>
      </c>
      <c r="O33" s="23">
        <v>70</v>
      </c>
      <c r="P33" s="23">
        <v>56.74</v>
      </c>
      <c r="Q33" s="23">
        <v>35.729999999999997</v>
      </c>
      <c r="R33" s="23">
        <v>3972.03</v>
      </c>
      <c r="S33" s="23">
        <v>0.05</v>
      </c>
      <c r="T33" s="23">
        <v>198.6</v>
      </c>
      <c r="U33" s="23">
        <v>3773.43</v>
      </c>
      <c r="V33" s="23">
        <v>2501.08</v>
      </c>
      <c r="W33" s="23">
        <v>1272.3499999999999</v>
      </c>
      <c r="X33" s="23" t="s">
        <v>129</v>
      </c>
    </row>
    <row r="34" spans="1:24" x14ac:dyDescent="0.25">
      <c r="A34" s="20" t="s">
        <v>193</v>
      </c>
      <c r="B34" s="19">
        <v>45502</v>
      </c>
      <c r="C34" s="20" t="s">
        <v>194</v>
      </c>
      <c r="D34" s="20" t="s">
        <v>163</v>
      </c>
      <c r="E34" s="20" t="s">
        <v>49</v>
      </c>
      <c r="F34" s="20" t="s">
        <v>2580</v>
      </c>
      <c r="G34" s="20" t="s">
        <v>2581</v>
      </c>
      <c r="H34" s="20" t="s">
        <v>52</v>
      </c>
      <c r="I34" s="20" t="s">
        <v>58</v>
      </c>
      <c r="J34" s="20" t="s">
        <v>59</v>
      </c>
      <c r="K34" s="20" t="s">
        <v>195</v>
      </c>
      <c r="L34" s="20" t="s">
        <v>2691</v>
      </c>
      <c r="M34" s="20" t="s">
        <v>61</v>
      </c>
      <c r="N34" s="20" t="s">
        <v>75</v>
      </c>
      <c r="O34" s="20">
        <v>45</v>
      </c>
      <c r="P34" s="20">
        <v>26.95</v>
      </c>
      <c r="Q34" s="20">
        <v>13.97</v>
      </c>
      <c r="R34" s="20">
        <v>1212.5899999999999</v>
      </c>
      <c r="S34" s="20">
        <v>0</v>
      </c>
      <c r="T34" s="20">
        <v>0</v>
      </c>
      <c r="U34" s="20">
        <v>1212.5899999999999</v>
      </c>
      <c r="V34" s="20">
        <v>628.54</v>
      </c>
      <c r="W34" s="20">
        <v>584.05999999999995</v>
      </c>
      <c r="X34" s="20" t="s">
        <v>129</v>
      </c>
    </row>
    <row r="35" spans="1:24" x14ac:dyDescent="0.25">
      <c r="A35" s="23" t="s">
        <v>196</v>
      </c>
      <c r="B35" s="22">
        <v>45563</v>
      </c>
      <c r="C35" s="23" t="s">
        <v>197</v>
      </c>
      <c r="D35" s="23" t="s">
        <v>159</v>
      </c>
      <c r="E35" s="23" t="s">
        <v>23</v>
      </c>
      <c r="F35" s="23" t="s">
        <v>2576</v>
      </c>
      <c r="G35" s="23" t="s">
        <v>2577</v>
      </c>
      <c r="H35" s="23" t="s">
        <v>26</v>
      </c>
      <c r="I35" s="23" t="s">
        <v>27</v>
      </c>
      <c r="J35" s="23" t="s">
        <v>28</v>
      </c>
      <c r="K35" s="23" t="s">
        <v>118</v>
      </c>
      <c r="L35" s="23" t="s">
        <v>2686</v>
      </c>
      <c r="M35" s="23" t="s">
        <v>61</v>
      </c>
      <c r="N35" s="23" t="s">
        <v>84</v>
      </c>
      <c r="O35" s="23">
        <v>31</v>
      </c>
      <c r="P35" s="23">
        <v>69.44</v>
      </c>
      <c r="Q35" s="23">
        <v>42.26</v>
      </c>
      <c r="R35" s="23">
        <v>2152.65</v>
      </c>
      <c r="S35" s="23">
        <v>0.1</v>
      </c>
      <c r="T35" s="23">
        <v>215.26</v>
      </c>
      <c r="U35" s="23">
        <v>1937.38</v>
      </c>
      <c r="V35" s="23">
        <v>1309.97</v>
      </c>
      <c r="W35" s="23">
        <v>627.41</v>
      </c>
      <c r="X35" s="23" t="s">
        <v>45</v>
      </c>
    </row>
    <row r="36" spans="1:24" x14ac:dyDescent="0.25">
      <c r="A36" s="20" t="s">
        <v>198</v>
      </c>
      <c r="B36" s="19">
        <v>45596</v>
      </c>
      <c r="C36" s="20" t="s">
        <v>199</v>
      </c>
      <c r="D36" s="20" t="s">
        <v>105</v>
      </c>
      <c r="E36" s="20" t="s">
        <v>187</v>
      </c>
      <c r="F36" s="20" t="s">
        <v>2594</v>
      </c>
      <c r="G36" s="20" t="s">
        <v>2577</v>
      </c>
      <c r="H36" s="20" t="s">
        <v>26</v>
      </c>
      <c r="I36" s="20" t="s">
        <v>40</v>
      </c>
      <c r="J36" s="20" t="s">
        <v>117</v>
      </c>
      <c r="K36" s="20" t="s">
        <v>170</v>
      </c>
      <c r="L36" s="20" t="s">
        <v>2671</v>
      </c>
      <c r="M36" s="20" t="s">
        <v>43</v>
      </c>
      <c r="N36" s="20" t="s">
        <v>70</v>
      </c>
      <c r="O36" s="20">
        <v>7</v>
      </c>
      <c r="P36" s="20">
        <v>50.02</v>
      </c>
      <c r="Q36" s="20">
        <v>30.75</v>
      </c>
      <c r="R36" s="20">
        <v>350.11</v>
      </c>
      <c r="S36" s="20">
        <v>0.2</v>
      </c>
      <c r="T36" s="20">
        <v>70.02</v>
      </c>
      <c r="U36" s="20">
        <v>280.08999999999997</v>
      </c>
      <c r="V36" s="20">
        <v>215.24</v>
      </c>
      <c r="W36" s="20">
        <v>64.849999999999994</v>
      </c>
      <c r="X36" s="20" t="s">
        <v>45</v>
      </c>
    </row>
    <row r="37" spans="1:24" x14ac:dyDescent="0.25">
      <c r="A37" s="23" t="s">
        <v>200</v>
      </c>
      <c r="B37" s="22">
        <v>45401</v>
      </c>
      <c r="C37" s="23" t="s">
        <v>201</v>
      </c>
      <c r="D37" s="23" t="s">
        <v>57</v>
      </c>
      <c r="E37" s="23" t="s">
        <v>23</v>
      </c>
      <c r="F37" s="23" t="s">
        <v>2576</v>
      </c>
      <c r="G37" s="23" t="s">
        <v>2577</v>
      </c>
      <c r="H37" s="23" t="s">
        <v>26</v>
      </c>
      <c r="I37" s="23" t="s">
        <v>40</v>
      </c>
      <c r="J37" s="23" t="s">
        <v>117</v>
      </c>
      <c r="K37" s="23" t="s">
        <v>83</v>
      </c>
      <c r="L37" s="23" t="s">
        <v>2683</v>
      </c>
      <c r="M37" s="23" t="s">
        <v>43</v>
      </c>
      <c r="N37" s="23" t="s">
        <v>75</v>
      </c>
      <c r="O37" s="23">
        <v>10</v>
      </c>
      <c r="P37" s="23">
        <v>80.650000000000006</v>
      </c>
      <c r="Q37" s="23">
        <v>44.44</v>
      </c>
      <c r="R37" s="23">
        <v>806.54</v>
      </c>
      <c r="S37" s="23">
        <v>0</v>
      </c>
      <c r="T37" s="23">
        <v>0</v>
      </c>
      <c r="U37" s="23">
        <v>806.54</v>
      </c>
      <c r="V37" s="23">
        <v>444.38</v>
      </c>
      <c r="W37" s="23">
        <v>362.16</v>
      </c>
      <c r="X37" s="23" t="s">
        <v>45</v>
      </c>
    </row>
    <row r="38" spans="1:24" x14ac:dyDescent="0.25">
      <c r="A38" s="20" t="s">
        <v>202</v>
      </c>
      <c r="B38" s="19">
        <v>45336</v>
      </c>
      <c r="C38" s="20" t="s">
        <v>203</v>
      </c>
      <c r="D38" s="20" t="s">
        <v>156</v>
      </c>
      <c r="E38" s="20" t="s">
        <v>109</v>
      </c>
      <c r="F38" s="20" t="s">
        <v>110</v>
      </c>
      <c r="G38" s="20" t="s">
        <v>2584</v>
      </c>
      <c r="H38" s="20" t="s">
        <v>81</v>
      </c>
      <c r="I38" s="20" t="s">
        <v>53</v>
      </c>
      <c r="J38" s="20" t="s">
        <v>54</v>
      </c>
      <c r="K38" s="20" t="s">
        <v>144</v>
      </c>
      <c r="L38" s="20" t="s">
        <v>2687</v>
      </c>
      <c r="M38" s="20" t="s">
        <v>61</v>
      </c>
      <c r="N38" s="20" t="s">
        <v>2578</v>
      </c>
      <c r="O38" s="20">
        <v>52</v>
      </c>
      <c r="P38" s="20">
        <v>116.15</v>
      </c>
      <c r="Q38" s="20">
        <v>74.59</v>
      </c>
      <c r="R38" s="20">
        <v>6039.86</v>
      </c>
      <c r="S38" s="20">
        <v>0.2</v>
      </c>
      <c r="T38" s="20">
        <v>1207.97</v>
      </c>
      <c r="U38" s="20">
        <v>4831.8900000000003</v>
      </c>
      <c r="V38" s="20">
        <v>3878.49</v>
      </c>
      <c r="W38" s="20">
        <v>953.39</v>
      </c>
      <c r="X38" s="20" t="s">
        <v>45</v>
      </c>
    </row>
    <row r="39" spans="1:24" x14ac:dyDescent="0.25">
      <c r="A39" s="23" t="s">
        <v>204</v>
      </c>
      <c r="B39" s="22">
        <v>45593</v>
      </c>
      <c r="C39" s="23" t="s">
        <v>205</v>
      </c>
      <c r="D39" s="23" t="s">
        <v>22</v>
      </c>
      <c r="E39" s="23" t="s">
        <v>93</v>
      </c>
      <c r="F39" s="23" t="s">
        <v>2585</v>
      </c>
      <c r="G39" s="23" t="s">
        <v>2586</v>
      </c>
      <c r="H39" s="23" t="s">
        <v>96</v>
      </c>
      <c r="I39" s="23" t="s">
        <v>88</v>
      </c>
      <c r="J39" s="23" t="s">
        <v>173</v>
      </c>
      <c r="K39" s="23" t="s">
        <v>29</v>
      </c>
      <c r="L39" s="23" t="s">
        <v>2679</v>
      </c>
      <c r="M39" s="23" t="s">
        <v>43</v>
      </c>
      <c r="N39" s="23" t="s">
        <v>2578</v>
      </c>
      <c r="O39" s="23">
        <v>65</v>
      </c>
      <c r="P39" s="23">
        <v>50.9</v>
      </c>
      <c r="Q39" s="23">
        <v>32.36</v>
      </c>
      <c r="R39" s="23">
        <v>3308.18</v>
      </c>
      <c r="S39" s="23">
        <v>0.02</v>
      </c>
      <c r="T39" s="23">
        <v>66.16</v>
      </c>
      <c r="U39" s="23">
        <v>3242.02</v>
      </c>
      <c r="V39" s="23">
        <v>2103.2600000000002</v>
      </c>
      <c r="W39" s="23">
        <v>1138.76</v>
      </c>
      <c r="X39" s="23" t="s">
        <v>129</v>
      </c>
    </row>
    <row r="40" spans="1:24" x14ac:dyDescent="0.25">
      <c r="A40" s="20" t="s">
        <v>206</v>
      </c>
      <c r="B40" s="19">
        <v>45430</v>
      </c>
      <c r="C40" s="20" t="s">
        <v>2619</v>
      </c>
      <c r="D40" s="20" t="s">
        <v>2619</v>
      </c>
      <c r="E40" s="20" t="s">
        <v>23</v>
      </c>
      <c r="F40" s="20" t="s">
        <v>2576</v>
      </c>
      <c r="G40" s="20" t="s">
        <v>2577</v>
      </c>
      <c r="H40" s="20" t="s">
        <v>26</v>
      </c>
      <c r="I40" s="20" t="s">
        <v>58</v>
      </c>
      <c r="J40" s="20" t="s">
        <v>73</v>
      </c>
      <c r="K40" s="20" t="s">
        <v>74</v>
      </c>
      <c r="L40" s="20" t="s">
        <v>2682</v>
      </c>
      <c r="M40" s="20" t="s">
        <v>30</v>
      </c>
      <c r="N40" s="20" t="s">
        <v>2578</v>
      </c>
      <c r="O40" s="20">
        <v>57</v>
      </c>
      <c r="P40" s="20">
        <v>77.790000000000006</v>
      </c>
      <c r="Q40" s="20">
        <v>41.99</v>
      </c>
      <c r="R40" s="20">
        <v>4434.08</v>
      </c>
      <c r="S40" s="20">
        <v>0.05</v>
      </c>
      <c r="T40" s="20">
        <v>221.7</v>
      </c>
      <c r="U40" s="20">
        <v>4212.38</v>
      </c>
      <c r="V40" s="20">
        <v>2393.61</v>
      </c>
      <c r="W40" s="20">
        <v>1818.76</v>
      </c>
      <c r="X40" s="20" t="s">
        <v>45</v>
      </c>
    </row>
    <row r="41" spans="1:24" x14ac:dyDescent="0.25">
      <c r="A41" s="23" t="s">
        <v>207</v>
      </c>
      <c r="B41" s="22">
        <v>45599</v>
      </c>
      <c r="C41" s="23" t="s">
        <v>208</v>
      </c>
      <c r="D41" s="23" t="s">
        <v>35</v>
      </c>
      <c r="E41" s="23" t="s">
        <v>209</v>
      </c>
      <c r="F41" s="23" t="s">
        <v>2595</v>
      </c>
      <c r="G41" s="23" t="s">
        <v>2581</v>
      </c>
      <c r="H41" s="23" t="s">
        <v>116</v>
      </c>
      <c r="I41" s="23" t="s">
        <v>27</v>
      </c>
      <c r="J41" s="23" t="s">
        <v>211</v>
      </c>
      <c r="K41" s="23" t="s">
        <v>118</v>
      </c>
      <c r="L41" s="23" t="s">
        <v>2686</v>
      </c>
      <c r="M41" s="23" t="s">
        <v>43</v>
      </c>
      <c r="N41" s="23" t="s">
        <v>2578</v>
      </c>
      <c r="O41" s="23">
        <v>51</v>
      </c>
      <c r="P41" s="23">
        <v>17.22</v>
      </c>
      <c r="Q41" s="23">
        <v>10.15</v>
      </c>
      <c r="R41" s="23">
        <v>878.18</v>
      </c>
      <c r="S41" s="23">
        <v>0.1</v>
      </c>
      <c r="T41" s="23">
        <v>87.82</v>
      </c>
      <c r="U41" s="23">
        <v>790.36</v>
      </c>
      <c r="V41" s="23">
        <v>517.9</v>
      </c>
      <c r="W41" s="23">
        <v>272.45999999999998</v>
      </c>
      <c r="X41" s="23" t="s">
        <v>32</v>
      </c>
    </row>
    <row r="42" spans="1:24" x14ac:dyDescent="0.25">
      <c r="A42" s="20" t="s">
        <v>212</v>
      </c>
      <c r="B42" s="19">
        <v>45394</v>
      </c>
      <c r="C42" s="20" t="s">
        <v>213</v>
      </c>
      <c r="D42" s="20" t="s">
        <v>87</v>
      </c>
      <c r="E42" s="20" t="s">
        <v>126</v>
      </c>
      <c r="F42" s="20" t="s">
        <v>2589</v>
      </c>
      <c r="G42" s="20" t="s">
        <v>2586</v>
      </c>
      <c r="H42" s="20" t="s">
        <v>128</v>
      </c>
      <c r="I42" s="20" t="s">
        <v>27</v>
      </c>
      <c r="J42" s="20" t="s">
        <v>28</v>
      </c>
      <c r="K42" s="20" t="s">
        <v>90</v>
      </c>
      <c r="L42" s="20" t="s">
        <v>2684</v>
      </c>
      <c r="M42" s="20" t="s">
        <v>43</v>
      </c>
      <c r="N42" s="20" t="s">
        <v>75</v>
      </c>
      <c r="O42" s="20">
        <v>48</v>
      </c>
      <c r="P42" s="20">
        <v>87.91</v>
      </c>
      <c r="Q42" s="20">
        <v>51.2</v>
      </c>
      <c r="R42" s="20">
        <v>4219.51</v>
      </c>
      <c r="S42" s="20">
        <v>0.02</v>
      </c>
      <c r="T42" s="20">
        <v>84.39</v>
      </c>
      <c r="U42" s="20">
        <v>4135.12</v>
      </c>
      <c r="V42" s="20">
        <v>2457.4</v>
      </c>
      <c r="W42" s="20">
        <v>1677.73</v>
      </c>
      <c r="X42" s="20" t="s">
        <v>32</v>
      </c>
    </row>
    <row r="43" spans="1:24" x14ac:dyDescent="0.25">
      <c r="A43" s="23" t="s">
        <v>214</v>
      </c>
      <c r="B43" s="22">
        <v>45472</v>
      </c>
      <c r="C43" s="23" t="s">
        <v>215</v>
      </c>
      <c r="D43" s="23" t="s">
        <v>105</v>
      </c>
      <c r="E43" s="23" t="s">
        <v>216</v>
      </c>
      <c r="F43" s="23" t="s">
        <v>2596</v>
      </c>
      <c r="G43" s="23" t="s">
        <v>2579</v>
      </c>
      <c r="H43" s="23" t="s">
        <v>134</v>
      </c>
      <c r="I43" s="23" t="s">
        <v>88</v>
      </c>
      <c r="J43" s="23" t="s">
        <v>183</v>
      </c>
      <c r="K43" s="23" t="s">
        <v>218</v>
      </c>
      <c r="L43" s="23" t="s">
        <v>2692</v>
      </c>
      <c r="M43" s="23" t="s">
        <v>61</v>
      </c>
      <c r="N43" s="23" t="s">
        <v>2578</v>
      </c>
      <c r="O43" s="23">
        <v>52</v>
      </c>
      <c r="P43" s="23">
        <v>113.93</v>
      </c>
      <c r="Q43" s="23">
        <v>61.74</v>
      </c>
      <c r="R43" s="23">
        <v>5924.5</v>
      </c>
      <c r="S43" s="23">
        <v>0.05</v>
      </c>
      <c r="T43" s="23">
        <v>296.22000000000003</v>
      </c>
      <c r="U43" s="23">
        <v>5628.27</v>
      </c>
      <c r="V43" s="23">
        <v>3210.33</v>
      </c>
      <c r="W43" s="23">
        <v>2417.9499999999998</v>
      </c>
      <c r="X43" s="23" t="s">
        <v>32</v>
      </c>
    </row>
    <row r="44" spans="1:24" x14ac:dyDescent="0.25">
      <c r="A44" s="20" t="s">
        <v>219</v>
      </c>
      <c r="B44" s="19">
        <v>45482</v>
      </c>
      <c r="C44" s="20" t="s">
        <v>220</v>
      </c>
      <c r="D44" s="20" t="s">
        <v>221</v>
      </c>
      <c r="E44" s="20" t="s">
        <v>222</v>
      </c>
      <c r="F44" s="20" t="s">
        <v>2597</v>
      </c>
      <c r="G44" s="20" t="s">
        <v>2587</v>
      </c>
      <c r="H44" s="20" t="s">
        <v>68</v>
      </c>
      <c r="I44" s="20" t="s">
        <v>53</v>
      </c>
      <c r="J44" s="20" t="s">
        <v>143</v>
      </c>
      <c r="K44" s="20" t="s">
        <v>42</v>
      </c>
      <c r="L44" s="20" t="s">
        <v>2680</v>
      </c>
      <c r="M44" s="20" t="s">
        <v>153</v>
      </c>
      <c r="N44" s="20" t="s">
        <v>70</v>
      </c>
      <c r="O44" s="20">
        <v>17</v>
      </c>
      <c r="P44" s="20">
        <v>128.9</v>
      </c>
      <c r="Q44" s="20">
        <v>82.41</v>
      </c>
      <c r="R44" s="20">
        <v>2191.33</v>
      </c>
      <c r="S44" s="20">
        <v>0.15</v>
      </c>
      <c r="T44" s="20">
        <v>328.7</v>
      </c>
      <c r="U44" s="20">
        <v>1862.63</v>
      </c>
      <c r="V44" s="20">
        <v>1400.89</v>
      </c>
      <c r="W44" s="20">
        <v>461.73</v>
      </c>
      <c r="X44" s="20" t="s">
        <v>45</v>
      </c>
    </row>
    <row r="45" spans="1:24" x14ac:dyDescent="0.25">
      <c r="A45" s="23" t="s">
        <v>224</v>
      </c>
      <c r="B45" s="22">
        <v>45566</v>
      </c>
      <c r="C45" s="23" t="s">
        <v>225</v>
      </c>
      <c r="D45" s="23" t="s">
        <v>159</v>
      </c>
      <c r="E45" s="23" t="s">
        <v>150</v>
      </c>
      <c r="F45" s="23" t="s">
        <v>2591</v>
      </c>
      <c r="G45" s="23" t="s">
        <v>2587</v>
      </c>
      <c r="H45" s="23" t="s">
        <v>134</v>
      </c>
      <c r="I45" s="23" t="s">
        <v>27</v>
      </c>
      <c r="J45" s="23" t="s">
        <v>28</v>
      </c>
      <c r="K45" s="23" t="s">
        <v>178</v>
      </c>
      <c r="L45" s="23" t="s">
        <v>2689</v>
      </c>
      <c r="M45" s="23" t="s">
        <v>61</v>
      </c>
      <c r="N45" s="23" t="s">
        <v>75</v>
      </c>
      <c r="O45" s="23">
        <v>54</v>
      </c>
      <c r="P45" s="23">
        <v>88.54</v>
      </c>
      <c r="Q45" s="23">
        <v>48.04</v>
      </c>
      <c r="R45" s="23">
        <v>4781.16</v>
      </c>
      <c r="S45" s="23">
        <v>0.1</v>
      </c>
      <c r="T45" s="23">
        <v>478.12</v>
      </c>
      <c r="U45" s="23">
        <v>4303.04</v>
      </c>
      <c r="V45" s="23">
        <v>2594.1</v>
      </c>
      <c r="W45" s="23">
        <v>1708.95</v>
      </c>
      <c r="X45" s="23" t="s">
        <v>45</v>
      </c>
    </row>
    <row r="46" spans="1:24" x14ac:dyDescent="0.25">
      <c r="A46" s="20" t="s">
        <v>226</v>
      </c>
      <c r="B46" s="19">
        <v>45558</v>
      </c>
      <c r="C46" s="20" t="s">
        <v>227</v>
      </c>
      <c r="D46" s="20" t="s">
        <v>159</v>
      </c>
      <c r="E46" s="20" t="s">
        <v>99</v>
      </c>
      <c r="F46" s="20" t="s">
        <v>100</v>
      </c>
      <c r="G46" s="20" t="s">
        <v>2587</v>
      </c>
      <c r="H46" s="20" t="s">
        <v>102</v>
      </c>
      <c r="I46" s="20" t="s">
        <v>40</v>
      </c>
      <c r="J46" s="20" t="s">
        <v>117</v>
      </c>
      <c r="K46" s="20" t="s">
        <v>118</v>
      </c>
      <c r="L46" s="20" t="s">
        <v>2686</v>
      </c>
      <c r="M46" s="20" t="s">
        <v>61</v>
      </c>
      <c r="N46" s="20" t="s">
        <v>44</v>
      </c>
      <c r="O46" s="20">
        <v>14</v>
      </c>
      <c r="P46" s="20">
        <v>75.540000000000006</v>
      </c>
      <c r="Q46" s="20">
        <v>38.86</v>
      </c>
      <c r="R46" s="20">
        <v>1057.5999999999999</v>
      </c>
      <c r="S46" s="20">
        <v>0.1</v>
      </c>
      <c r="T46" s="20">
        <v>105.76</v>
      </c>
      <c r="U46" s="20">
        <v>951.84</v>
      </c>
      <c r="V46" s="20">
        <v>544.04999999999995</v>
      </c>
      <c r="W46" s="20">
        <v>407.79</v>
      </c>
      <c r="X46" s="20" t="s">
        <v>32</v>
      </c>
    </row>
    <row r="47" spans="1:24" x14ac:dyDescent="0.25">
      <c r="A47" s="23" t="s">
        <v>228</v>
      </c>
      <c r="B47" s="22">
        <v>45329</v>
      </c>
      <c r="C47" s="23" t="s">
        <v>229</v>
      </c>
      <c r="D47" s="23" t="s">
        <v>87</v>
      </c>
      <c r="E47" s="23" t="s">
        <v>209</v>
      </c>
      <c r="F47" s="23" t="s">
        <v>2595</v>
      </c>
      <c r="G47" s="23" t="s">
        <v>2581</v>
      </c>
      <c r="H47" s="23" t="s">
        <v>116</v>
      </c>
      <c r="I47" s="23" t="s">
        <v>53</v>
      </c>
      <c r="J47" s="23" t="s">
        <v>143</v>
      </c>
      <c r="K47" s="23" t="s">
        <v>2619</v>
      </c>
      <c r="L47" s="23" t="s">
        <v>2619</v>
      </c>
      <c r="M47" s="23" t="s">
        <v>61</v>
      </c>
      <c r="N47" s="23" t="s">
        <v>84</v>
      </c>
      <c r="O47" s="23">
        <v>69</v>
      </c>
      <c r="P47" s="23">
        <v>16.690000000000001</v>
      </c>
      <c r="Q47" s="23">
        <v>9.7200000000000006</v>
      </c>
      <c r="R47" s="23">
        <v>1151.6300000000001</v>
      </c>
      <c r="S47" s="23">
        <v>0.02</v>
      </c>
      <c r="T47" s="23">
        <v>23.03</v>
      </c>
      <c r="U47" s="23">
        <v>1128.5999999999999</v>
      </c>
      <c r="V47" s="23">
        <v>670.72</v>
      </c>
      <c r="W47" s="23">
        <v>457.88</v>
      </c>
      <c r="X47" s="23" t="s">
        <v>45</v>
      </c>
    </row>
    <row r="48" spans="1:24" x14ac:dyDescent="0.25">
      <c r="A48" s="20" t="s">
        <v>230</v>
      </c>
      <c r="B48" s="19">
        <v>45510</v>
      </c>
      <c r="C48" s="20" t="s">
        <v>231</v>
      </c>
      <c r="D48" s="20" t="s">
        <v>87</v>
      </c>
      <c r="E48" s="20" t="s">
        <v>132</v>
      </c>
      <c r="F48" s="20" t="s">
        <v>133</v>
      </c>
      <c r="G48" s="20" t="s">
        <v>2581</v>
      </c>
      <c r="H48" s="20" t="s">
        <v>134</v>
      </c>
      <c r="I48" s="20" t="s">
        <v>53</v>
      </c>
      <c r="J48" s="20" t="s">
        <v>232</v>
      </c>
      <c r="K48" s="20" t="s">
        <v>90</v>
      </c>
      <c r="L48" s="20" t="s">
        <v>2684</v>
      </c>
      <c r="M48" s="20" t="s">
        <v>61</v>
      </c>
      <c r="N48" s="20" t="s">
        <v>44</v>
      </c>
      <c r="O48" s="20">
        <v>30</v>
      </c>
      <c r="P48" s="20">
        <v>63.24</v>
      </c>
      <c r="Q48" s="20">
        <v>32.200000000000003</v>
      </c>
      <c r="R48" s="20">
        <v>1897.16</v>
      </c>
      <c r="S48" s="20">
        <v>0.15</v>
      </c>
      <c r="T48" s="20">
        <v>284.57</v>
      </c>
      <c r="U48" s="20">
        <v>1612.59</v>
      </c>
      <c r="V48" s="20">
        <v>966.1</v>
      </c>
      <c r="W48" s="20">
        <v>646.49</v>
      </c>
      <c r="X48" s="20" t="s">
        <v>129</v>
      </c>
    </row>
    <row r="49" spans="1:24" x14ac:dyDescent="0.25">
      <c r="A49" s="23" t="s">
        <v>233</v>
      </c>
      <c r="B49" s="22">
        <v>45481</v>
      </c>
      <c r="C49" s="23" t="s">
        <v>234</v>
      </c>
      <c r="D49" s="23" t="s">
        <v>159</v>
      </c>
      <c r="E49" s="23" t="s">
        <v>187</v>
      </c>
      <c r="F49" s="23" t="s">
        <v>2594</v>
      </c>
      <c r="G49" s="23" t="s">
        <v>2577</v>
      </c>
      <c r="H49" s="23" t="s">
        <v>26</v>
      </c>
      <c r="I49" s="23" t="s">
        <v>53</v>
      </c>
      <c r="J49" s="23" t="s">
        <v>54</v>
      </c>
      <c r="K49" s="23" t="s">
        <v>29</v>
      </c>
      <c r="L49" s="23" t="s">
        <v>2679</v>
      </c>
      <c r="M49" s="23" t="s">
        <v>153</v>
      </c>
      <c r="N49" s="23" t="s">
        <v>2578</v>
      </c>
      <c r="O49" s="23">
        <v>19</v>
      </c>
      <c r="P49" s="23">
        <v>49.02</v>
      </c>
      <c r="Q49" s="23">
        <v>29.95</v>
      </c>
      <c r="R49" s="23">
        <v>931.37</v>
      </c>
      <c r="S49" s="23">
        <v>0.05</v>
      </c>
      <c r="T49" s="23">
        <v>46.57</v>
      </c>
      <c r="U49" s="23">
        <v>884.8</v>
      </c>
      <c r="V49" s="23">
        <v>568.97</v>
      </c>
      <c r="W49" s="23">
        <v>315.83</v>
      </c>
      <c r="X49" s="23" t="s">
        <v>45</v>
      </c>
    </row>
    <row r="50" spans="1:24" x14ac:dyDescent="0.25">
      <c r="A50" s="20" t="s">
        <v>235</v>
      </c>
      <c r="B50" s="19">
        <v>45370</v>
      </c>
      <c r="C50" s="20" t="s">
        <v>208</v>
      </c>
      <c r="D50" s="20" t="s">
        <v>35</v>
      </c>
      <c r="E50" s="20" t="s">
        <v>114</v>
      </c>
      <c r="F50" s="20" t="s">
        <v>2588</v>
      </c>
      <c r="G50" s="20" t="s">
        <v>2586</v>
      </c>
      <c r="H50" s="20" t="s">
        <v>116</v>
      </c>
      <c r="I50" s="20" t="s">
        <v>53</v>
      </c>
      <c r="J50" s="20" t="s">
        <v>122</v>
      </c>
      <c r="K50" s="20" t="s">
        <v>195</v>
      </c>
      <c r="L50" s="20" t="s">
        <v>2691</v>
      </c>
      <c r="M50" s="20" t="s">
        <v>30</v>
      </c>
      <c r="N50" s="20" t="s">
        <v>75</v>
      </c>
      <c r="O50" s="20">
        <v>38</v>
      </c>
      <c r="P50" s="20">
        <v>37.76</v>
      </c>
      <c r="Q50" s="20">
        <v>19.47</v>
      </c>
      <c r="R50" s="20">
        <v>1434.96</v>
      </c>
      <c r="S50" s="20">
        <v>0.15</v>
      </c>
      <c r="T50" s="20">
        <v>215.24</v>
      </c>
      <c r="U50" s="20">
        <v>1219.72</v>
      </c>
      <c r="V50" s="20">
        <v>739.89</v>
      </c>
      <c r="W50" s="20">
        <v>479.83</v>
      </c>
      <c r="X50" s="20" t="s">
        <v>45</v>
      </c>
    </row>
    <row r="51" spans="1:24" x14ac:dyDescent="0.25">
      <c r="A51" s="23" t="s">
        <v>236</v>
      </c>
      <c r="B51" s="22">
        <v>45448</v>
      </c>
      <c r="C51" s="23" t="s">
        <v>237</v>
      </c>
      <c r="D51" s="23" t="s">
        <v>105</v>
      </c>
      <c r="E51" s="23" t="s">
        <v>176</v>
      </c>
      <c r="F51" s="23" t="s">
        <v>2593</v>
      </c>
      <c r="G51" s="23" t="s">
        <v>2587</v>
      </c>
      <c r="H51" s="23" t="s">
        <v>39</v>
      </c>
      <c r="I51" s="23" t="s">
        <v>40</v>
      </c>
      <c r="J51" s="23" t="s">
        <v>82</v>
      </c>
      <c r="K51" s="23" t="s">
        <v>74</v>
      </c>
      <c r="L51" s="23" t="s">
        <v>2682</v>
      </c>
      <c r="M51" s="23" t="s">
        <v>43</v>
      </c>
      <c r="N51" s="23" t="s">
        <v>75</v>
      </c>
      <c r="O51" s="23">
        <v>64</v>
      </c>
      <c r="P51" s="23">
        <v>104.61</v>
      </c>
      <c r="Q51" s="23">
        <v>65.2</v>
      </c>
      <c r="R51" s="23">
        <v>6695.16</v>
      </c>
      <c r="S51" s="23">
        <v>0.05</v>
      </c>
      <c r="T51" s="23">
        <v>334.76</v>
      </c>
      <c r="U51" s="23">
        <v>6360.4</v>
      </c>
      <c r="V51" s="23">
        <v>4172.8500000000004</v>
      </c>
      <c r="W51" s="23">
        <v>2187.56</v>
      </c>
      <c r="X51" s="23" t="s">
        <v>45</v>
      </c>
    </row>
    <row r="52" spans="1:24" x14ac:dyDescent="0.25">
      <c r="A52" s="20" t="s">
        <v>238</v>
      </c>
      <c r="B52" s="19">
        <v>45374</v>
      </c>
      <c r="C52" s="20" t="s">
        <v>239</v>
      </c>
      <c r="D52" s="20" t="s">
        <v>65</v>
      </c>
      <c r="E52" s="20" t="s">
        <v>141</v>
      </c>
      <c r="F52" s="20" t="s">
        <v>2590</v>
      </c>
      <c r="G52" s="20" t="s">
        <v>2577</v>
      </c>
      <c r="H52" s="20" t="s">
        <v>26</v>
      </c>
      <c r="I52" s="20" t="s">
        <v>88</v>
      </c>
      <c r="J52" s="20" t="s">
        <v>135</v>
      </c>
      <c r="K52" s="20" t="s">
        <v>83</v>
      </c>
      <c r="L52" s="20" t="s">
        <v>2683</v>
      </c>
      <c r="M52" s="20" t="s">
        <v>30</v>
      </c>
      <c r="N52" s="20" t="s">
        <v>70</v>
      </c>
      <c r="O52" s="20">
        <v>10</v>
      </c>
      <c r="P52" s="20">
        <v>101.53</v>
      </c>
      <c r="Q52" s="20">
        <v>58.53</v>
      </c>
      <c r="R52" s="20">
        <v>1015.27</v>
      </c>
      <c r="S52" s="20">
        <v>0.15</v>
      </c>
      <c r="T52" s="20">
        <v>152.29</v>
      </c>
      <c r="U52" s="20">
        <v>862.98</v>
      </c>
      <c r="V52" s="20">
        <v>585.27</v>
      </c>
      <c r="W52" s="20">
        <v>277.70999999999998</v>
      </c>
      <c r="X52" s="20" t="s">
        <v>45</v>
      </c>
    </row>
    <row r="53" spans="1:24" x14ac:dyDescent="0.25">
      <c r="A53" s="23" t="s">
        <v>240</v>
      </c>
      <c r="B53" s="22">
        <v>45480</v>
      </c>
      <c r="C53" s="23" t="s">
        <v>241</v>
      </c>
      <c r="D53" s="23" t="s">
        <v>87</v>
      </c>
      <c r="E53" s="23" t="s">
        <v>114</v>
      </c>
      <c r="F53" s="23" t="s">
        <v>2588</v>
      </c>
      <c r="G53" s="23" t="s">
        <v>2586</v>
      </c>
      <c r="H53" s="23" t="s">
        <v>116</v>
      </c>
      <c r="I53" s="23" t="s">
        <v>53</v>
      </c>
      <c r="J53" s="23" t="s">
        <v>232</v>
      </c>
      <c r="K53" s="23" t="s">
        <v>42</v>
      </c>
      <c r="L53" s="23" t="s">
        <v>2680</v>
      </c>
      <c r="M53" s="23" t="s">
        <v>43</v>
      </c>
      <c r="N53" s="23" t="s">
        <v>75</v>
      </c>
      <c r="O53" s="23">
        <v>21</v>
      </c>
      <c r="P53" s="23">
        <v>37.090000000000003</v>
      </c>
      <c r="Q53" s="23">
        <v>22.41</v>
      </c>
      <c r="R53" s="23">
        <v>778.93</v>
      </c>
      <c r="S53" s="23">
        <v>0.05</v>
      </c>
      <c r="T53" s="23">
        <v>38.950000000000003</v>
      </c>
      <c r="U53" s="23">
        <v>739.99</v>
      </c>
      <c r="V53" s="23">
        <v>470.7</v>
      </c>
      <c r="W53" s="23">
        <v>269.29000000000002</v>
      </c>
      <c r="X53" s="23" t="s">
        <v>129</v>
      </c>
    </row>
    <row r="54" spans="1:24" x14ac:dyDescent="0.25">
      <c r="A54" s="20" t="s">
        <v>242</v>
      </c>
      <c r="B54" s="19">
        <v>45374</v>
      </c>
      <c r="C54" s="20" t="s">
        <v>243</v>
      </c>
      <c r="D54" s="20" t="s">
        <v>35</v>
      </c>
      <c r="E54" s="20" t="s">
        <v>109</v>
      </c>
      <c r="F54" s="20" t="s">
        <v>110</v>
      </c>
      <c r="G54" s="20" t="s">
        <v>2584</v>
      </c>
      <c r="H54" s="20" t="s">
        <v>81</v>
      </c>
      <c r="I54" s="20" t="s">
        <v>40</v>
      </c>
      <c r="J54" s="20" t="s">
        <v>41</v>
      </c>
      <c r="K54" s="20" t="s">
        <v>144</v>
      </c>
      <c r="L54" s="20" t="s">
        <v>2687</v>
      </c>
      <c r="M54" s="20" t="s">
        <v>30</v>
      </c>
      <c r="N54" s="20" t="s">
        <v>75</v>
      </c>
      <c r="O54" s="20">
        <v>59</v>
      </c>
      <c r="P54" s="20">
        <v>119.52</v>
      </c>
      <c r="Q54" s="20">
        <v>75.66</v>
      </c>
      <c r="R54" s="20">
        <v>7051.71</v>
      </c>
      <c r="S54" s="20">
        <v>0.05</v>
      </c>
      <c r="T54" s="20">
        <v>352.59</v>
      </c>
      <c r="U54" s="20">
        <v>6699.13</v>
      </c>
      <c r="V54" s="20">
        <v>4464.13</v>
      </c>
      <c r="W54" s="20">
        <v>2235</v>
      </c>
      <c r="X54" s="20" t="s">
        <v>45</v>
      </c>
    </row>
    <row r="55" spans="1:24" x14ac:dyDescent="0.25">
      <c r="A55" s="23" t="s">
        <v>244</v>
      </c>
      <c r="B55" s="22">
        <v>45377</v>
      </c>
      <c r="C55" s="23" t="s">
        <v>245</v>
      </c>
      <c r="D55" s="23" t="s">
        <v>65</v>
      </c>
      <c r="E55" s="23" t="s">
        <v>49</v>
      </c>
      <c r="F55" s="23" t="s">
        <v>2580</v>
      </c>
      <c r="G55" s="23" t="s">
        <v>2581</v>
      </c>
      <c r="H55" s="23" t="s">
        <v>52</v>
      </c>
      <c r="I55" s="23" t="s">
        <v>27</v>
      </c>
      <c r="J55" s="23" t="s">
        <v>189</v>
      </c>
      <c r="K55" s="23" t="s">
        <v>184</v>
      </c>
      <c r="L55" s="23" t="s">
        <v>2690</v>
      </c>
      <c r="M55" s="23" t="s">
        <v>30</v>
      </c>
      <c r="N55" s="23" t="s">
        <v>70</v>
      </c>
      <c r="O55" s="23">
        <v>20</v>
      </c>
      <c r="P55" s="23">
        <v>26.85</v>
      </c>
      <c r="Q55" s="23">
        <v>12.97</v>
      </c>
      <c r="R55" s="23">
        <v>537.03</v>
      </c>
      <c r="S55" s="23">
        <v>0.2</v>
      </c>
      <c r="T55" s="23">
        <v>107.41</v>
      </c>
      <c r="U55" s="23">
        <v>429.63</v>
      </c>
      <c r="V55" s="23">
        <v>259.32</v>
      </c>
      <c r="W55" s="23">
        <v>170.31</v>
      </c>
      <c r="X55" s="23" t="s">
        <v>45</v>
      </c>
    </row>
    <row r="56" spans="1:24" x14ac:dyDescent="0.25">
      <c r="A56" s="20" t="s">
        <v>246</v>
      </c>
      <c r="B56" s="19">
        <v>45382</v>
      </c>
      <c r="C56" s="20" t="s">
        <v>247</v>
      </c>
      <c r="D56" s="20" t="s">
        <v>65</v>
      </c>
      <c r="E56" s="20" t="s">
        <v>36</v>
      </c>
      <c r="F56" s="20" t="s">
        <v>37</v>
      </c>
      <c r="G56" s="20" t="s">
        <v>2579</v>
      </c>
      <c r="H56" s="20" t="s">
        <v>39</v>
      </c>
      <c r="I56" s="20" t="s">
        <v>27</v>
      </c>
      <c r="J56" s="20" t="s">
        <v>211</v>
      </c>
      <c r="K56" s="20" t="s">
        <v>248</v>
      </c>
      <c r="L56" s="20" t="s">
        <v>2693</v>
      </c>
      <c r="M56" s="20" t="s">
        <v>153</v>
      </c>
      <c r="N56" s="20" t="s">
        <v>84</v>
      </c>
      <c r="O56" s="20">
        <v>24</v>
      </c>
      <c r="P56" s="20">
        <v>167.13</v>
      </c>
      <c r="Q56" s="20">
        <v>99.09</v>
      </c>
      <c r="R56" s="20">
        <v>4011.13</v>
      </c>
      <c r="S56" s="20">
        <v>0.05</v>
      </c>
      <c r="T56" s="20">
        <v>200.56</v>
      </c>
      <c r="U56" s="20">
        <v>3810.57</v>
      </c>
      <c r="V56" s="20">
        <v>2378.09</v>
      </c>
      <c r="W56" s="20">
        <v>1432.48</v>
      </c>
      <c r="X56" s="20" t="s">
        <v>129</v>
      </c>
    </row>
    <row r="57" spans="1:24" x14ac:dyDescent="0.25">
      <c r="A57" s="23" t="s">
        <v>249</v>
      </c>
      <c r="B57" s="22">
        <v>45490</v>
      </c>
      <c r="C57" s="23" t="s">
        <v>104</v>
      </c>
      <c r="D57" s="23" t="s">
        <v>105</v>
      </c>
      <c r="E57" s="23" t="s">
        <v>250</v>
      </c>
      <c r="F57" s="23" t="s">
        <v>2598</v>
      </c>
      <c r="G57" s="23" t="s">
        <v>2581</v>
      </c>
      <c r="H57" s="23" t="s">
        <v>252</v>
      </c>
      <c r="I57" s="23" t="s">
        <v>40</v>
      </c>
      <c r="J57" s="23" t="s">
        <v>41</v>
      </c>
      <c r="K57" s="23" t="s">
        <v>253</v>
      </c>
      <c r="L57" s="23" t="s">
        <v>2694</v>
      </c>
      <c r="M57" s="23" t="s">
        <v>30</v>
      </c>
      <c r="N57" s="23" t="s">
        <v>44</v>
      </c>
      <c r="O57" s="23">
        <v>-5</v>
      </c>
      <c r="P57" s="23">
        <v>60.77</v>
      </c>
      <c r="Q57" s="23">
        <v>37.200000000000003</v>
      </c>
      <c r="R57" s="23">
        <v>3585.68</v>
      </c>
      <c r="S57" s="23">
        <v>0.05</v>
      </c>
      <c r="T57" s="23">
        <v>179.28</v>
      </c>
      <c r="U57" s="23">
        <v>3406.39</v>
      </c>
      <c r="V57" s="23">
        <v>2194.5500000000002</v>
      </c>
      <c r="W57" s="23">
        <v>1211.8499999999999</v>
      </c>
      <c r="X57" s="23" t="s">
        <v>129</v>
      </c>
    </row>
    <row r="58" spans="1:24" x14ac:dyDescent="0.25">
      <c r="A58" s="20" t="s">
        <v>254</v>
      </c>
      <c r="B58" s="19">
        <v>45351</v>
      </c>
      <c r="C58" s="20" t="s">
        <v>255</v>
      </c>
      <c r="D58" s="20" t="s">
        <v>256</v>
      </c>
      <c r="E58" s="20" t="s">
        <v>165</v>
      </c>
      <c r="F58" s="20" t="s">
        <v>2592</v>
      </c>
      <c r="G58" s="20" t="s">
        <v>2586</v>
      </c>
      <c r="H58" s="20" t="s">
        <v>167</v>
      </c>
      <c r="I58" s="20" t="s">
        <v>27</v>
      </c>
      <c r="J58" s="20" t="s">
        <v>189</v>
      </c>
      <c r="K58" s="20" t="s">
        <v>152</v>
      </c>
      <c r="L58" s="20" t="s">
        <v>2688</v>
      </c>
      <c r="M58" s="20" t="s">
        <v>61</v>
      </c>
      <c r="N58" s="20" t="s">
        <v>2578</v>
      </c>
      <c r="O58" s="20">
        <v>74</v>
      </c>
      <c r="P58" s="20">
        <v>41.73</v>
      </c>
      <c r="Q58" s="20">
        <v>24.21</v>
      </c>
      <c r="R58" s="20">
        <v>3087.67</v>
      </c>
      <c r="S58" s="20">
        <v>0.05</v>
      </c>
      <c r="T58" s="20">
        <v>154.38</v>
      </c>
      <c r="U58" s="20">
        <v>2933.29</v>
      </c>
      <c r="V58" s="20">
        <v>1791.77</v>
      </c>
      <c r="W58" s="20">
        <v>1141.52</v>
      </c>
      <c r="X58" s="20" t="s">
        <v>45</v>
      </c>
    </row>
    <row r="59" spans="1:24" x14ac:dyDescent="0.25">
      <c r="A59" s="23" t="s">
        <v>257</v>
      </c>
      <c r="B59" s="22">
        <v>45454</v>
      </c>
      <c r="C59" s="23" t="s">
        <v>258</v>
      </c>
      <c r="D59" s="23" t="s">
        <v>259</v>
      </c>
      <c r="E59" s="23" t="s">
        <v>176</v>
      </c>
      <c r="F59" s="23" t="s">
        <v>2593</v>
      </c>
      <c r="G59" s="23" t="s">
        <v>2587</v>
      </c>
      <c r="H59" s="23" t="s">
        <v>39</v>
      </c>
      <c r="I59" s="23" t="s">
        <v>40</v>
      </c>
      <c r="J59" s="23" t="s">
        <v>117</v>
      </c>
      <c r="K59" s="23" t="s">
        <v>83</v>
      </c>
      <c r="L59" s="23" t="s">
        <v>2683</v>
      </c>
      <c r="M59" s="23" t="s">
        <v>43</v>
      </c>
      <c r="N59" s="23" t="s">
        <v>2578</v>
      </c>
      <c r="O59" s="23">
        <v>49</v>
      </c>
      <c r="P59" s="23">
        <v>104.24</v>
      </c>
      <c r="Q59" s="23">
        <v>63.16</v>
      </c>
      <c r="R59" s="23">
        <v>5107.74</v>
      </c>
      <c r="S59" s="23">
        <v>0.15</v>
      </c>
      <c r="T59" s="23">
        <v>766.16</v>
      </c>
      <c r="U59" s="23">
        <v>4341.58</v>
      </c>
      <c r="V59" s="23">
        <v>3094.7</v>
      </c>
      <c r="W59" s="23">
        <v>1246.8800000000001</v>
      </c>
      <c r="X59" s="23" t="s">
        <v>45</v>
      </c>
    </row>
    <row r="60" spans="1:24" x14ac:dyDescent="0.25">
      <c r="A60" s="20" t="s">
        <v>260</v>
      </c>
      <c r="B60" s="19">
        <v>45357</v>
      </c>
      <c r="C60" s="20" t="s">
        <v>192</v>
      </c>
      <c r="D60" s="20" t="s">
        <v>65</v>
      </c>
      <c r="E60" s="20" t="s">
        <v>165</v>
      </c>
      <c r="F60" s="20" t="s">
        <v>2592</v>
      </c>
      <c r="G60" s="20" t="s">
        <v>2586</v>
      </c>
      <c r="H60" s="20" t="s">
        <v>167</v>
      </c>
      <c r="I60" s="20" t="s">
        <v>88</v>
      </c>
      <c r="J60" s="20" t="s">
        <v>173</v>
      </c>
      <c r="K60" s="20" t="s">
        <v>261</v>
      </c>
      <c r="L60" s="20" t="s">
        <v>2695</v>
      </c>
      <c r="M60" s="20" t="s">
        <v>153</v>
      </c>
      <c r="N60" s="20" t="s">
        <v>84</v>
      </c>
      <c r="O60" s="20">
        <v>25</v>
      </c>
      <c r="P60" s="20">
        <v>38.799999999999997</v>
      </c>
      <c r="Q60" s="20">
        <v>26.33</v>
      </c>
      <c r="R60" s="20">
        <v>970.06</v>
      </c>
      <c r="S60" s="20">
        <v>0.1</v>
      </c>
      <c r="T60" s="20">
        <v>97.01</v>
      </c>
      <c r="U60" s="20">
        <v>873.06</v>
      </c>
      <c r="V60" s="20">
        <v>658.17</v>
      </c>
      <c r="W60" s="20">
        <v>214.89</v>
      </c>
      <c r="X60" s="20" t="s">
        <v>45</v>
      </c>
    </row>
    <row r="61" spans="1:24" x14ac:dyDescent="0.25">
      <c r="A61" s="23" t="s">
        <v>262</v>
      </c>
      <c r="B61" s="22">
        <v>45322</v>
      </c>
      <c r="C61" s="23" t="s">
        <v>263</v>
      </c>
      <c r="D61" s="23" t="s">
        <v>264</v>
      </c>
      <c r="E61" s="23" t="s">
        <v>23</v>
      </c>
      <c r="F61" s="23" t="s">
        <v>2576</v>
      </c>
      <c r="G61" s="23" t="s">
        <v>2577</v>
      </c>
      <c r="H61" s="23" t="s">
        <v>26</v>
      </c>
      <c r="I61" s="23" t="s">
        <v>40</v>
      </c>
      <c r="J61" s="23" t="s">
        <v>117</v>
      </c>
      <c r="K61" s="23" t="s">
        <v>265</v>
      </c>
      <c r="L61" s="23" t="s">
        <v>2663</v>
      </c>
      <c r="M61" s="23" t="s">
        <v>61</v>
      </c>
      <c r="N61" s="23" t="s">
        <v>2578</v>
      </c>
      <c r="O61" s="23">
        <v>49</v>
      </c>
      <c r="P61" s="23">
        <v>72.63</v>
      </c>
      <c r="Q61" s="23">
        <v>44.45</v>
      </c>
      <c r="R61" s="23">
        <v>3558.82</v>
      </c>
      <c r="S61" s="23">
        <v>0.2</v>
      </c>
      <c r="T61" s="23">
        <v>711.76</v>
      </c>
      <c r="U61" s="23">
        <v>2847.06</v>
      </c>
      <c r="V61" s="23">
        <v>2177.87</v>
      </c>
      <c r="W61" s="23">
        <v>669.18</v>
      </c>
      <c r="X61" s="23" t="s">
        <v>45</v>
      </c>
    </row>
    <row r="62" spans="1:24" x14ac:dyDescent="0.25">
      <c r="A62" s="20" t="s">
        <v>266</v>
      </c>
      <c r="B62" s="19">
        <v>45633</v>
      </c>
      <c r="C62" s="20" t="s">
        <v>267</v>
      </c>
      <c r="D62" s="20" t="s">
        <v>65</v>
      </c>
      <c r="E62" s="20" t="s">
        <v>132</v>
      </c>
      <c r="F62" s="20" t="s">
        <v>133</v>
      </c>
      <c r="G62" s="20" t="s">
        <v>2581</v>
      </c>
      <c r="H62" s="20" t="s">
        <v>134</v>
      </c>
      <c r="I62" s="20" t="s">
        <v>88</v>
      </c>
      <c r="J62" s="20" t="s">
        <v>173</v>
      </c>
      <c r="K62" s="20" t="s">
        <v>83</v>
      </c>
      <c r="L62" s="20" t="s">
        <v>2683</v>
      </c>
      <c r="M62" s="20" t="s">
        <v>153</v>
      </c>
      <c r="N62" s="20" t="s">
        <v>70</v>
      </c>
      <c r="O62" s="20">
        <v>75</v>
      </c>
      <c r="P62" s="20">
        <v>56.21</v>
      </c>
      <c r="Q62" s="20">
        <v>34.85</v>
      </c>
      <c r="R62" s="20">
        <v>4215.9399999999996</v>
      </c>
      <c r="S62" s="20">
        <v>0.15</v>
      </c>
      <c r="T62" s="20">
        <v>632.39</v>
      </c>
      <c r="U62" s="20">
        <v>3583.55</v>
      </c>
      <c r="V62" s="20">
        <v>2613.9699999999998</v>
      </c>
      <c r="W62" s="20">
        <v>969.58</v>
      </c>
      <c r="X62" s="20" t="s">
        <v>45</v>
      </c>
    </row>
    <row r="63" spans="1:24" x14ac:dyDescent="0.25">
      <c r="A63" s="23" t="s">
        <v>268</v>
      </c>
      <c r="B63" s="22">
        <v>45546</v>
      </c>
      <c r="C63" s="23" t="s">
        <v>269</v>
      </c>
      <c r="D63" s="23" t="s">
        <v>105</v>
      </c>
      <c r="E63" s="23" t="s">
        <v>132</v>
      </c>
      <c r="F63" s="23" t="s">
        <v>133</v>
      </c>
      <c r="G63" s="23" t="s">
        <v>2581</v>
      </c>
      <c r="H63" s="23" t="s">
        <v>134</v>
      </c>
      <c r="I63" s="23" t="s">
        <v>53</v>
      </c>
      <c r="J63" s="23" t="s">
        <v>232</v>
      </c>
      <c r="K63" s="23" t="s">
        <v>248</v>
      </c>
      <c r="L63" s="23" t="s">
        <v>2693</v>
      </c>
      <c r="M63" s="23" t="s">
        <v>153</v>
      </c>
      <c r="N63" s="23" t="s">
        <v>2578</v>
      </c>
      <c r="O63" s="23">
        <v>75</v>
      </c>
      <c r="P63" s="23">
        <v>61.36</v>
      </c>
      <c r="Q63" s="23">
        <v>31.74</v>
      </c>
      <c r="R63" s="23">
        <v>4602.26</v>
      </c>
      <c r="S63" s="23">
        <v>0.02</v>
      </c>
      <c r="T63" s="23">
        <v>92.05</v>
      </c>
      <c r="U63" s="23">
        <v>4510.22</v>
      </c>
      <c r="V63" s="23">
        <v>2380.33</v>
      </c>
      <c r="W63" s="23">
        <v>2129.89</v>
      </c>
      <c r="X63" s="23" t="s">
        <v>32</v>
      </c>
    </row>
    <row r="64" spans="1:24" x14ac:dyDescent="0.25">
      <c r="A64" s="20" t="s">
        <v>271</v>
      </c>
      <c r="B64" s="19">
        <v>45414</v>
      </c>
      <c r="C64" s="20" t="s">
        <v>272</v>
      </c>
      <c r="D64" s="20" t="s">
        <v>105</v>
      </c>
      <c r="E64" s="20" t="s">
        <v>109</v>
      </c>
      <c r="F64" s="20" t="s">
        <v>110</v>
      </c>
      <c r="G64" s="20" t="s">
        <v>2584</v>
      </c>
      <c r="H64" s="20" t="s">
        <v>81</v>
      </c>
      <c r="I64" s="20" t="s">
        <v>40</v>
      </c>
      <c r="J64" s="20" t="s">
        <v>82</v>
      </c>
      <c r="K64" s="20" t="s">
        <v>144</v>
      </c>
      <c r="L64" s="20" t="s">
        <v>2687</v>
      </c>
      <c r="M64" s="20" t="s">
        <v>30</v>
      </c>
      <c r="N64" s="20" t="s">
        <v>2578</v>
      </c>
      <c r="O64" s="20">
        <v>80</v>
      </c>
      <c r="P64" s="20">
        <v>134.26</v>
      </c>
      <c r="Q64" s="20">
        <v>72.13</v>
      </c>
      <c r="R64" s="20">
        <v>10740.79</v>
      </c>
      <c r="S64" s="20">
        <v>0.02</v>
      </c>
      <c r="T64" s="20">
        <v>214.82</v>
      </c>
      <c r="U64" s="20">
        <v>10525.97</v>
      </c>
      <c r="V64" s="20">
        <v>5770.22</v>
      </c>
      <c r="W64" s="20">
        <v>4755.75</v>
      </c>
      <c r="X64" s="20" t="s">
        <v>45</v>
      </c>
    </row>
    <row r="65" spans="1:24" x14ac:dyDescent="0.25">
      <c r="A65" s="23" t="s">
        <v>273</v>
      </c>
      <c r="B65" s="22">
        <v>45457</v>
      </c>
      <c r="C65" s="23" t="s">
        <v>239</v>
      </c>
      <c r="D65" s="23" t="s">
        <v>65</v>
      </c>
      <c r="E65" s="23" t="s">
        <v>187</v>
      </c>
      <c r="F65" s="23" t="s">
        <v>2594</v>
      </c>
      <c r="G65" s="23" t="s">
        <v>2577</v>
      </c>
      <c r="H65" s="23" t="s">
        <v>26</v>
      </c>
      <c r="I65" s="23" t="s">
        <v>40</v>
      </c>
      <c r="J65" s="23" t="s">
        <v>41</v>
      </c>
      <c r="K65" s="23" t="s">
        <v>170</v>
      </c>
      <c r="L65" s="23" t="s">
        <v>2671</v>
      </c>
      <c r="M65" s="23" t="s">
        <v>30</v>
      </c>
      <c r="N65" s="23" t="s">
        <v>70</v>
      </c>
      <c r="O65" s="23">
        <v>27</v>
      </c>
      <c r="P65" s="23">
        <v>49.18</v>
      </c>
      <c r="Q65" s="23">
        <v>27.39</v>
      </c>
      <c r="R65" s="23">
        <v>1327.99</v>
      </c>
      <c r="S65" s="23">
        <v>0</v>
      </c>
      <c r="T65" s="23">
        <v>0</v>
      </c>
      <c r="U65" s="23">
        <v>1327.99</v>
      </c>
      <c r="V65" s="23">
        <v>739.42</v>
      </c>
      <c r="W65" s="23">
        <v>588.58000000000004</v>
      </c>
      <c r="X65" s="23" t="s">
        <v>129</v>
      </c>
    </row>
    <row r="66" spans="1:24" x14ac:dyDescent="0.25">
      <c r="A66" s="20" t="s">
        <v>274</v>
      </c>
      <c r="B66" s="19">
        <v>45467</v>
      </c>
      <c r="C66" s="20" t="s">
        <v>34</v>
      </c>
      <c r="D66" s="20" t="s">
        <v>35</v>
      </c>
      <c r="E66" s="20" t="s">
        <v>99</v>
      </c>
      <c r="F66" s="20" t="s">
        <v>100</v>
      </c>
      <c r="G66" s="20" t="s">
        <v>2587</v>
      </c>
      <c r="H66" s="20" t="s">
        <v>102</v>
      </c>
      <c r="I66" s="20" t="s">
        <v>88</v>
      </c>
      <c r="J66" s="20" t="s">
        <v>135</v>
      </c>
      <c r="K66" s="20" t="s">
        <v>248</v>
      </c>
      <c r="L66" s="20" t="s">
        <v>2693</v>
      </c>
      <c r="M66" s="20" t="s">
        <v>43</v>
      </c>
      <c r="N66" s="20" t="s">
        <v>70</v>
      </c>
      <c r="O66" s="20">
        <v>7</v>
      </c>
      <c r="P66" s="20">
        <v>69.91</v>
      </c>
      <c r="Q66" s="20">
        <v>39.409999999999997</v>
      </c>
      <c r="R66" s="20">
        <v>489.38</v>
      </c>
      <c r="S66" s="20">
        <f>ROUND(Cleaned_Sales!$T66/Cleaned_Sales!$R66,2)</f>
        <v>0</v>
      </c>
      <c r="T66" s="20">
        <v>0</v>
      </c>
      <c r="U66" s="20">
        <v>489.38</v>
      </c>
      <c r="V66" s="20">
        <v>275.89999999999998</v>
      </c>
      <c r="W66" s="20">
        <v>213.48</v>
      </c>
      <c r="X66" s="20" t="s">
        <v>45</v>
      </c>
    </row>
    <row r="67" spans="1:24" x14ac:dyDescent="0.25">
      <c r="A67" s="23" t="s">
        <v>275</v>
      </c>
      <c r="B67" s="22">
        <v>45381</v>
      </c>
      <c r="C67" s="23" t="s">
        <v>276</v>
      </c>
      <c r="D67" s="23" t="s">
        <v>221</v>
      </c>
      <c r="E67" s="23" t="s">
        <v>93</v>
      </c>
      <c r="F67" s="23" t="s">
        <v>2585</v>
      </c>
      <c r="G67" s="23" t="s">
        <v>2586</v>
      </c>
      <c r="H67" s="23" t="s">
        <v>96</v>
      </c>
      <c r="I67" s="23" t="s">
        <v>53</v>
      </c>
      <c r="J67" s="23" t="s">
        <v>54</v>
      </c>
      <c r="K67" s="23" t="s">
        <v>184</v>
      </c>
      <c r="L67" s="23" t="s">
        <v>2690</v>
      </c>
      <c r="M67" s="23" t="s">
        <v>61</v>
      </c>
      <c r="N67" s="23" t="s">
        <v>44</v>
      </c>
      <c r="O67" s="23">
        <v>34</v>
      </c>
      <c r="P67" s="23">
        <v>58.97</v>
      </c>
      <c r="Q67" s="23">
        <v>30.21</v>
      </c>
      <c r="R67" s="23">
        <v>2004.9</v>
      </c>
      <c r="S67" s="23">
        <v>0.2</v>
      </c>
      <c r="T67" s="23">
        <v>400.98</v>
      </c>
      <c r="U67" s="23">
        <v>1603.92</v>
      </c>
      <c r="V67" s="23">
        <v>1027.26</v>
      </c>
      <c r="W67" s="23">
        <v>576.66</v>
      </c>
      <c r="X67" s="23" t="s">
        <v>45</v>
      </c>
    </row>
    <row r="68" spans="1:24" x14ac:dyDescent="0.25">
      <c r="A68" s="20" t="s">
        <v>277</v>
      </c>
      <c r="B68" s="19">
        <v>45493</v>
      </c>
      <c r="C68" s="20" t="s">
        <v>278</v>
      </c>
      <c r="D68" s="20" t="s">
        <v>48</v>
      </c>
      <c r="E68" s="20" t="s">
        <v>93</v>
      </c>
      <c r="F68" s="20" t="s">
        <v>2585</v>
      </c>
      <c r="G68" s="20" t="s">
        <v>2586</v>
      </c>
      <c r="H68" s="20" t="s">
        <v>96</v>
      </c>
      <c r="I68" s="20" t="s">
        <v>58</v>
      </c>
      <c r="J68" s="20" t="s">
        <v>59</v>
      </c>
      <c r="K68" s="20" t="s">
        <v>178</v>
      </c>
      <c r="L68" s="20" t="s">
        <v>2689</v>
      </c>
      <c r="M68" s="20" t="s">
        <v>30</v>
      </c>
      <c r="N68" s="20" t="s">
        <v>44</v>
      </c>
      <c r="O68" s="20">
        <v>9</v>
      </c>
      <c r="P68" s="20">
        <v>55.15</v>
      </c>
      <c r="Q68" s="20">
        <v>31.64</v>
      </c>
      <c r="R68" s="20">
        <v>496.38</v>
      </c>
      <c r="S68" s="20">
        <v>0.2</v>
      </c>
      <c r="T68" s="20">
        <v>99.28</v>
      </c>
      <c r="U68" s="20">
        <v>397.11</v>
      </c>
      <c r="V68" s="20">
        <v>284.79000000000002</v>
      </c>
      <c r="W68" s="20">
        <v>112.31</v>
      </c>
      <c r="X68" s="20" t="s">
        <v>129</v>
      </c>
    </row>
    <row r="69" spans="1:24" x14ac:dyDescent="0.25">
      <c r="A69" s="23" t="s">
        <v>279</v>
      </c>
      <c r="B69" s="22">
        <v>45417</v>
      </c>
      <c r="C69" s="23" t="s">
        <v>280</v>
      </c>
      <c r="D69" s="23" t="s">
        <v>35</v>
      </c>
      <c r="E69" s="23" t="s">
        <v>99</v>
      </c>
      <c r="F69" s="23" t="s">
        <v>100</v>
      </c>
      <c r="G69" s="23" t="s">
        <v>2587</v>
      </c>
      <c r="H69" s="23" t="s">
        <v>102</v>
      </c>
      <c r="I69" s="23" t="s">
        <v>58</v>
      </c>
      <c r="J69" s="23" t="s">
        <v>59</v>
      </c>
      <c r="K69" s="23" t="s">
        <v>195</v>
      </c>
      <c r="L69" s="23" t="s">
        <v>2691</v>
      </c>
      <c r="M69" s="23" t="s">
        <v>30</v>
      </c>
      <c r="N69" s="23" t="s">
        <v>44</v>
      </c>
      <c r="O69" s="23">
        <v>12</v>
      </c>
      <c r="P69" s="23">
        <v>69.08</v>
      </c>
      <c r="Q69" s="23">
        <v>39.18</v>
      </c>
      <c r="R69" s="23">
        <v>828.9</v>
      </c>
      <c r="S69" s="23">
        <v>0.05</v>
      </c>
      <c r="T69" s="23">
        <v>41.45</v>
      </c>
      <c r="U69" s="23">
        <v>787.46</v>
      </c>
      <c r="V69" s="23">
        <v>470.12</v>
      </c>
      <c r="W69" s="23">
        <v>317.33</v>
      </c>
      <c r="X69" s="23" t="s">
        <v>32</v>
      </c>
    </row>
    <row r="70" spans="1:24" x14ac:dyDescent="0.25">
      <c r="A70" s="20" t="s">
        <v>281</v>
      </c>
      <c r="B70" s="19">
        <v>45319</v>
      </c>
      <c r="C70" s="20" t="s">
        <v>282</v>
      </c>
      <c r="D70" s="20" t="s">
        <v>125</v>
      </c>
      <c r="E70" s="20" t="s">
        <v>66</v>
      </c>
      <c r="F70" s="20" t="s">
        <v>2582</v>
      </c>
      <c r="G70" s="20" t="s">
        <v>2579</v>
      </c>
      <c r="H70" s="20" t="s">
        <v>68</v>
      </c>
      <c r="I70" s="20" t="s">
        <v>58</v>
      </c>
      <c r="J70" s="20" t="s">
        <v>59</v>
      </c>
      <c r="K70" s="20" t="s">
        <v>111</v>
      </c>
      <c r="L70" s="20" t="s">
        <v>2685</v>
      </c>
      <c r="M70" s="20" t="s">
        <v>43</v>
      </c>
      <c r="N70" s="20" t="s">
        <v>44</v>
      </c>
      <c r="O70" s="20">
        <v>45</v>
      </c>
      <c r="P70" s="20">
        <v>162.16</v>
      </c>
      <c r="Q70" s="20">
        <v>104.64</v>
      </c>
      <c r="R70" s="20">
        <v>7297.29</v>
      </c>
      <c r="S70" s="20">
        <v>0.1</v>
      </c>
      <c r="T70" s="20">
        <v>729.73</v>
      </c>
      <c r="U70" s="20">
        <v>6567.56</v>
      </c>
      <c r="V70" s="20">
        <v>4708.7</v>
      </c>
      <c r="W70" s="20">
        <v>1858.85</v>
      </c>
      <c r="X70" s="20" t="s">
        <v>45</v>
      </c>
    </row>
    <row r="71" spans="1:24" x14ac:dyDescent="0.25">
      <c r="A71" s="23" t="s">
        <v>283</v>
      </c>
      <c r="B71" s="22">
        <v>45440</v>
      </c>
      <c r="C71" s="23" t="s">
        <v>284</v>
      </c>
      <c r="D71" s="23" t="s">
        <v>57</v>
      </c>
      <c r="E71" s="23" t="s">
        <v>209</v>
      </c>
      <c r="F71" s="23" t="s">
        <v>2595</v>
      </c>
      <c r="G71" s="23" t="s">
        <v>2581</v>
      </c>
      <c r="H71" s="23" t="s">
        <v>116</v>
      </c>
      <c r="I71" s="23" t="s">
        <v>53</v>
      </c>
      <c r="J71" s="23" t="s">
        <v>2619</v>
      </c>
      <c r="K71" s="23" t="s">
        <v>111</v>
      </c>
      <c r="L71" s="23" t="s">
        <v>2685</v>
      </c>
      <c r="M71" s="23" t="s">
        <v>61</v>
      </c>
      <c r="N71" s="23" t="s">
        <v>44</v>
      </c>
      <c r="O71" s="23">
        <v>37</v>
      </c>
      <c r="P71" s="23">
        <v>17.510000000000002</v>
      </c>
      <c r="Q71" s="23">
        <v>9.89</v>
      </c>
      <c r="R71" s="23">
        <v>647.69000000000005</v>
      </c>
      <c r="S71" s="23">
        <v>0.1</v>
      </c>
      <c r="T71" s="23">
        <v>64.77</v>
      </c>
      <c r="U71" s="23">
        <v>582.91999999999996</v>
      </c>
      <c r="V71" s="23">
        <v>366.09</v>
      </c>
      <c r="W71" s="23">
        <v>216.83</v>
      </c>
      <c r="X71" s="23" t="s">
        <v>45</v>
      </c>
    </row>
    <row r="72" spans="1:24" x14ac:dyDescent="0.25">
      <c r="A72" s="20" t="s">
        <v>286</v>
      </c>
      <c r="B72" s="19">
        <v>45377</v>
      </c>
      <c r="C72" s="20" t="s">
        <v>287</v>
      </c>
      <c r="D72" s="20" t="s">
        <v>65</v>
      </c>
      <c r="E72" s="20" t="s">
        <v>78</v>
      </c>
      <c r="F72" s="20" t="s">
        <v>2583</v>
      </c>
      <c r="G72" s="20" t="s">
        <v>2584</v>
      </c>
      <c r="H72" s="20" t="s">
        <v>81</v>
      </c>
      <c r="I72" s="20" t="s">
        <v>40</v>
      </c>
      <c r="J72" s="20" t="s">
        <v>289</v>
      </c>
      <c r="K72" s="20" t="s">
        <v>90</v>
      </c>
      <c r="L72" s="20" t="s">
        <v>2684</v>
      </c>
      <c r="M72" s="20" t="s">
        <v>43</v>
      </c>
      <c r="N72" s="20" t="s">
        <v>84</v>
      </c>
      <c r="O72" s="20">
        <v>48</v>
      </c>
      <c r="P72" s="20">
        <v>129.68</v>
      </c>
      <c r="Q72" s="20">
        <v>85.93</v>
      </c>
      <c r="R72" s="20">
        <v>6224.67</v>
      </c>
      <c r="S72" s="20">
        <v>0.02</v>
      </c>
      <c r="T72" s="20">
        <v>124.49</v>
      </c>
      <c r="U72" s="20">
        <v>6100.18</v>
      </c>
      <c r="V72" s="20">
        <v>4124.5600000000004</v>
      </c>
      <c r="W72" s="20">
        <v>1975.62</v>
      </c>
      <c r="X72" s="20" t="s">
        <v>45</v>
      </c>
    </row>
    <row r="73" spans="1:24" x14ac:dyDescent="0.25">
      <c r="A73" s="23" t="s">
        <v>290</v>
      </c>
      <c r="B73" s="22">
        <v>45419</v>
      </c>
      <c r="C73" s="23" t="s">
        <v>291</v>
      </c>
      <c r="D73" s="23" t="s">
        <v>57</v>
      </c>
      <c r="E73" s="23" t="s">
        <v>114</v>
      </c>
      <c r="F73" s="23" t="s">
        <v>2588</v>
      </c>
      <c r="G73" s="23" t="s">
        <v>2586</v>
      </c>
      <c r="H73" s="23" t="s">
        <v>116</v>
      </c>
      <c r="I73" s="23" t="s">
        <v>53</v>
      </c>
      <c r="J73" s="23" t="s">
        <v>54</v>
      </c>
      <c r="K73" s="23" t="s">
        <v>90</v>
      </c>
      <c r="L73" s="23" t="s">
        <v>2684</v>
      </c>
      <c r="M73" s="23" t="s">
        <v>153</v>
      </c>
      <c r="N73" s="23" t="s">
        <v>84</v>
      </c>
      <c r="O73" s="23">
        <v>50</v>
      </c>
      <c r="P73" s="23">
        <v>36.14</v>
      </c>
      <c r="Q73" s="23">
        <v>21.14</v>
      </c>
      <c r="R73" s="23">
        <v>1807.03</v>
      </c>
      <c r="S73" s="23">
        <v>0.1</v>
      </c>
      <c r="T73" s="23">
        <v>180.7</v>
      </c>
      <c r="U73" s="23">
        <v>1626.33</v>
      </c>
      <c r="V73" s="23">
        <v>1056.8399999999999</v>
      </c>
      <c r="W73" s="23">
        <v>569.49</v>
      </c>
      <c r="X73" s="23" t="s">
        <v>32</v>
      </c>
    </row>
    <row r="74" spans="1:24" x14ac:dyDescent="0.25">
      <c r="A74" s="20" t="s">
        <v>292</v>
      </c>
      <c r="B74" s="19">
        <v>45485</v>
      </c>
      <c r="C74" s="20" t="s">
        <v>293</v>
      </c>
      <c r="D74" s="20" t="s">
        <v>65</v>
      </c>
      <c r="E74" s="20" t="s">
        <v>222</v>
      </c>
      <c r="F74" s="20" t="s">
        <v>2597</v>
      </c>
      <c r="G74" s="20" t="s">
        <v>2587</v>
      </c>
      <c r="H74" s="20" t="s">
        <v>68</v>
      </c>
      <c r="I74" s="20" t="s">
        <v>88</v>
      </c>
      <c r="J74" s="20" t="s">
        <v>135</v>
      </c>
      <c r="K74" s="20" t="s">
        <v>118</v>
      </c>
      <c r="L74" s="20" t="s">
        <v>2686</v>
      </c>
      <c r="M74" s="20" t="s">
        <v>61</v>
      </c>
      <c r="N74" s="20" t="s">
        <v>2578</v>
      </c>
      <c r="O74" s="20">
        <v>1</v>
      </c>
      <c r="P74" s="20">
        <v>114.58</v>
      </c>
      <c r="Q74" s="20">
        <v>80.02</v>
      </c>
      <c r="R74" s="20">
        <v>114.58</v>
      </c>
      <c r="S74" s="20">
        <v>0.02</v>
      </c>
      <c r="T74" s="20">
        <v>2.29</v>
      </c>
      <c r="U74" s="20">
        <v>112.29</v>
      </c>
      <c r="V74" s="20">
        <v>80.02</v>
      </c>
      <c r="W74" s="20">
        <v>32.270000000000003</v>
      </c>
      <c r="X74" s="20" t="s">
        <v>45</v>
      </c>
    </row>
    <row r="75" spans="1:24" x14ac:dyDescent="0.25">
      <c r="A75" s="23" t="s">
        <v>294</v>
      </c>
      <c r="B75" s="22">
        <v>45581</v>
      </c>
      <c r="C75" s="23" t="s">
        <v>295</v>
      </c>
      <c r="D75" s="23" t="s">
        <v>22</v>
      </c>
      <c r="E75" s="23" t="s">
        <v>209</v>
      </c>
      <c r="F75" s="23" t="s">
        <v>2595</v>
      </c>
      <c r="G75" s="23" t="s">
        <v>2581</v>
      </c>
      <c r="H75" s="23" t="s">
        <v>116</v>
      </c>
      <c r="I75" s="23" t="s">
        <v>88</v>
      </c>
      <c r="J75" s="23" t="s">
        <v>2112</v>
      </c>
      <c r="K75" s="23" t="s">
        <v>170</v>
      </c>
      <c r="L75" s="23" t="s">
        <v>2671</v>
      </c>
      <c r="M75" s="23" t="s">
        <v>43</v>
      </c>
      <c r="N75" s="23" t="s">
        <v>44</v>
      </c>
      <c r="O75" s="23">
        <v>52</v>
      </c>
      <c r="P75" s="23">
        <v>19.260000000000002</v>
      </c>
      <c r="Q75" s="23">
        <v>10.31</v>
      </c>
      <c r="R75" s="23">
        <v>1001.32</v>
      </c>
      <c r="S75" s="23">
        <v>0</v>
      </c>
      <c r="T75" s="23">
        <v>0</v>
      </c>
      <c r="U75" s="23">
        <v>1001.32</v>
      </c>
      <c r="V75" s="23">
        <v>536.30999999999995</v>
      </c>
      <c r="W75" s="23">
        <v>465.01</v>
      </c>
      <c r="X75" s="23" t="s">
        <v>45</v>
      </c>
    </row>
    <row r="76" spans="1:24" x14ac:dyDescent="0.25">
      <c r="A76" s="20" t="s">
        <v>296</v>
      </c>
      <c r="B76" s="19">
        <v>45568</v>
      </c>
      <c r="C76" s="20" t="s">
        <v>297</v>
      </c>
      <c r="D76" s="20" t="s">
        <v>87</v>
      </c>
      <c r="E76" s="20" t="s">
        <v>36</v>
      </c>
      <c r="F76" s="20" t="s">
        <v>37</v>
      </c>
      <c r="G76" s="20" t="s">
        <v>2579</v>
      </c>
      <c r="H76" s="20" t="s">
        <v>39</v>
      </c>
      <c r="I76" s="20" t="s">
        <v>58</v>
      </c>
      <c r="J76" s="20" t="s">
        <v>59</v>
      </c>
      <c r="K76" s="20" t="s">
        <v>111</v>
      </c>
      <c r="L76" s="20" t="s">
        <v>2685</v>
      </c>
      <c r="M76" s="20" t="s">
        <v>43</v>
      </c>
      <c r="N76" s="20" t="s">
        <v>2578</v>
      </c>
      <c r="O76" s="20">
        <v>70</v>
      </c>
      <c r="P76" s="20">
        <v>165.82</v>
      </c>
      <c r="Q76" s="20">
        <v>105.92</v>
      </c>
      <c r="R76" s="20">
        <v>11607.6</v>
      </c>
      <c r="S76" s="20">
        <v>0</v>
      </c>
      <c r="T76" s="20">
        <v>0</v>
      </c>
      <c r="U76" s="20">
        <v>11607.6</v>
      </c>
      <c r="V76" s="20">
        <v>7414.11</v>
      </c>
      <c r="W76" s="20">
        <v>4193.49</v>
      </c>
      <c r="X76" s="20" t="s">
        <v>45</v>
      </c>
    </row>
    <row r="77" spans="1:24" x14ac:dyDescent="0.25">
      <c r="A77" s="23" t="s">
        <v>298</v>
      </c>
      <c r="B77" s="22">
        <v>45625</v>
      </c>
      <c r="C77" s="23" t="s">
        <v>299</v>
      </c>
      <c r="D77" s="23" t="s">
        <v>159</v>
      </c>
      <c r="E77" s="23" t="s">
        <v>209</v>
      </c>
      <c r="F77" s="23" t="s">
        <v>2595</v>
      </c>
      <c r="G77" s="23" t="s">
        <v>2581</v>
      </c>
      <c r="H77" s="23" t="s">
        <v>116</v>
      </c>
      <c r="I77" s="23" t="s">
        <v>88</v>
      </c>
      <c r="J77" s="23" t="s">
        <v>135</v>
      </c>
      <c r="K77" s="23" t="s">
        <v>60</v>
      </c>
      <c r="L77" s="23" t="s">
        <v>2677</v>
      </c>
      <c r="M77" s="23" t="s">
        <v>153</v>
      </c>
      <c r="N77" s="23" t="s">
        <v>75</v>
      </c>
      <c r="O77" s="23">
        <v>39</v>
      </c>
      <c r="P77" s="23">
        <v>17.63</v>
      </c>
      <c r="Q77" s="23">
        <v>10.26</v>
      </c>
      <c r="R77" s="23">
        <v>687.64</v>
      </c>
      <c r="S77" s="23">
        <v>0.15</v>
      </c>
      <c r="T77" s="23">
        <v>103.15</v>
      </c>
      <c r="U77" s="23">
        <v>584.5</v>
      </c>
      <c r="V77" s="23">
        <v>400.09</v>
      </c>
      <c r="W77" s="23">
        <v>184.41</v>
      </c>
      <c r="X77" s="23" t="s">
        <v>45</v>
      </c>
    </row>
    <row r="78" spans="1:24" x14ac:dyDescent="0.25">
      <c r="A78" s="20" t="s">
        <v>300</v>
      </c>
      <c r="B78" s="19">
        <v>45361</v>
      </c>
      <c r="C78" s="20" t="s">
        <v>301</v>
      </c>
      <c r="D78" s="20" t="s">
        <v>259</v>
      </c>
      <c r="E78" s="20" t="s">
        <v>222</v>
      </c>
      <c r="F78" s="20" t="s">
        <v>2597</v>
      </c>
      <c r="G78" s="20" t="s">
        <v>2587</v>
      </c>
      <c r="H78" s="20" t="s">
        <v>68</v>
      </c>
      <c r="I78" s="20" t="s">
        <v>27</v>
      </c>
      <c r="J78" s="20" t="s">
        <v>211</v>
      </c>
      <c r="K78" s="20" t="s">
        <v>69</v>
      </c>
      <c r="L78" s="20" t="s">
        <v>2681</v>
      </c>
      <c r="M78" s="20" t="s">
        <v>153</v>
      </c>
      <c r="N78" s="20" t="s">
        <v>70</v>
      </c>
      <c r="O78" s="20">
        <v>29</v>
      </c>
      <c r="P78" s="20">
        <v>117.61</v>
      </c>
      <c r="Q78" s="20">
        <v>81.790000000000006</v>
      </c>
      <c r="R78" s="20">
        <v>3410.66</v>
      </c>
      <c r="S78" s="20">
        <v>0.2</v>
      </c>
      <c r="T78" s="20">
        <v>682.13</v>
      </c>
      <c r="U78" s="20">
        <v>2728.53</v>
      </c>
      <c r="V78" s="20">
        <v>2371.96</v>
      </c>
      <c r="W78" s="20">
        <v>356.57</v>
      </c>
      <c r="X78" s="20" t="s">
        <v>45</v>
      </c>
    </row>
    <row r="79" spans="1:24" x14ac:dyDescent="0.25">
      <c r="A79" s="23" t="s">
        <v>302</v>
      </c>
      <c r="B79" s="22">
        <v>45579</v>
      </c>
      <c r="C79" s="23" t="s">
        <v>303</v>
      </c>
      <c r="D79" s="23" t="s">
        <v>22</v>
      </c>
      <c r="E79" s="23" t="s">
        <v>216</v>
      </c>
      <c r="F79" s="23" t="s">
        <v>2596</v>
      </c>
      <c r="G79" s="23" t="s">
        <v>2579</v>
      </c>
      <c r="H79" s="23" t="s">
        <v>134</v>
      </c>
      <c r="I79" s="23" t="s">
        <v>40</v>
      </c>
      <c r="J79" s="23" t="s">
        <v>82</v>
      </c>
      <c r="K79" s="23" t="s">
        <v>29</v>
      </c>
      <c r="L79" s="23" t="s">
        <v>2679</v>
      </c>
      <c r="M79" s="23" t="s">
        <v>30</v>
      </c>
      <c r="N79" s="23" t="s">
        <v>75</v>
      </c>
      <c r="O79" s="23">
        <v>2</v>
      </c>
      <c r="P79" s="23">
        <v>101.43</v>
      </c>
      <c r="Q79" s="23">
        <v>68.75</v>
      </c>
      <c r="R79" s="23">
        <v>202.86</v>
      </c>
      <c r="S79" s="23">
        <v>0</v>
      </c>
      <c r="T79" s="23">
        <v>0</v>
      </c>
      <c r="U79" s="23">
        <v>202.86</v>
      </c>
      <c r="V79" s="23">
        <v>137.51</v>
      </c>
      <c r="W79" s="23">
        <v>65.349999999999994</v>
      </c>
      <c r="X79" s="23" t="s">
        <v>129</v>
      </c>
    </row>
    <row r="80" spans="1:24" x14ac:dyDescent="0.25">
      <c r="A80" s="20" t="s">
        <v>304</v>
      </c>
      <c r="B80" s="19">
        <v>45548</v>
      </c>
      <c r="C80" s="20" t="s">
        <v>305</v>
      </c>
      <c r="D80" s="20" t="s">
        <v>87</v>
      </c>
      <c r="E80" s="20" t="s">
        <v>250</v>
      </c>
      <c r="F80" s="20" t="s">
        <v>2598</v>
      </c>
      <c r="G80" s="20" t="s">
        <v>2581</v>
      </c>
      <c r="H80" s="20" t="s">
        <v>252</v>
      </c>
      <c r="I80" s="20" t="s">
        <v>88</v>
      </c>
      <c r="J80" s="20" t="s">
        <v>135</v>
      </c>
      <c r="K80" s="20" t="s">
        <v>144</v>
      </c>
      <c r="L80" s="20" t="s">
        <v>2687</v>
      </c>
      <c r="M80" s="20" t="s">
        <v>61</v>
      </c>
      <c r="N80" s="20" t="s">
        <v>2578</v>
      </c>
      <c r="O80" s="20">
        <v>15</v>
      </c>
      <c r="P80" s="20">
        <v>63.52</v>
      </c>
      <c r="Q80" s="20">
        <v>38.9</v>
      </c>
      <c r="R80" s="20">
        <v>952.82</v>
      </c>
      <c r="S80" s="20">
        <v>0.15</v>
      </c>
      <c r="T80" s="20">
        <v>142.91999999999999</v>
      </c>
      <c r="U80" s="20">
        <v>809.9</v>
      </c>
      <c r="V80" s="20">
        <v>583.48</v>
      </c>
      <c r="W80" s="20">
        <v>226.42</v>
      </c>
      <c r="X80" s="20" t="s">
        <v>129</v>
      </c>
    </row>
    <row r="81" spans="1:24" x14ac:dyDescent="0.25">
      <c r="A81" s="23" t="s">
        <v>306</v>
      </c>
      <c r="B81" s="22">
        <v>45357</v>
      </c>
      <c r="C81" s="23" t="s">
        <v>307</v>
      </c>
      <c r="D81" s="23" t="s">
        <v>105</v>
      </c>
      <c r="E81" s="23" t="s">
        <v>216</v>
      </c>
      <c r="F81" s="23" t="s">
        <v>2596</v>
      </c>
      <c r="G81" s="23" t="s">
        <v>2579</v>
      </c>
      <c r="H81" s="23" t="s">
        <v>134</v>
      </c>
      <c r="I81" s="23" t="s">
        <v>88</v>
      </c>
      <c r="J81" s="23" t="s">
        <v>173</v>
      </c>
      <c r="K81" s="23" t="s">
        <v>253</v>
      </c>
      <c r="L81" s="23" t="s">
        <v>2694</v>
      </c>
      <c r="M81" s="23" t="s">
        <v>30</v>
      </c>
      <c r="N81" s="23" t="s">
        <v>75</v>
      </c>
      <c r="O81" s="23">
        <v>64</v>
      </c>
      <c r="P81" s="23">
        <v>103.34</v>
      </c>
      <c r="Q81" s="23">
        <v>63.76</v>
      </c>
      <c r="R81" s="23">
        <v>6613.66</v>
      </c>
      <c r="S81" s="23">
        <v>0</v>
      </c>
      <c r="T81" s="23">
        <v>0</v>
      </c>
      <c r="U81" s="23">
        <v>6613.66</v>
      </c>
      <c r="V81" s="23">
        <v>4080.44</v>
      </c>
      <c r="W81" s="23">
        <v>2533.2199999999998</v>
      </c>
      <c r="X81" s="23" t="s">
        <v>45</v>
      </c>
    </row>
    <row r="82" spans="1:24" x14ac:dyDescent="0.25">
      <c r="A82" s="20" t="s">
        <v>308</v>
      </c>
      <c r="B82" s="19">
        <v>45574</v>
      </c>
      <c r="C82" s="20" t="s">
        <v>309</v>
      </c>
      <c r="D82" s="20" t="s">
        <v>65</v>
      </c>
      <c r="E82" s="20" t="s">
        <v>109</v>
      </c>
      <c r="F82" s="20" t="s">
        <v>110</v>
      </c>
      <c r="G82" s="20" t="s">
        <v>2584</v>
      </c>
      <c r="H82" s="20" t="s">
        <v>81</v>
      </c>
      <c r="I82" s="20" t="s">
        <v>53</v>
      </c>
      <c r="J82" s="20" t="s">
        <v>54</v>
      </c>
      <c r="K82" s="20" t="s">
        <v>69</v>
      </c>
      <c r="L82" s="20" t="s">
        <v>2681</v>
      </c>
      <c r="M82" s="20" t="s">
        <v>30</v>
      </c>
      <c r="N82" s="20" t="s">
        <v>75</v>
      </c>
      <c r="O82" s="20">
        <v>7</v>
      </c>
      <c r="P82" s="20">
        <v>129.75</v>
      </c>
      <c r="Q82" s="20">
        <v>73.430000000000007</v>
      </c>
      <c r="R82" s="20">
        <v>908.25</v>
      </c>
      <c r="S82" s="20">
        <v>0</v>
      </c>
      <c r="T82" s="20">
        <v>0</v>
      </c>
      <c r="U82" s="20">
        <v>908.25</v>
      </c>
      <c r="V82" s="20">
        <v>514.04</v>
      </c>
      <c r="W82" s="20">
        <v>394.21</v>
      </c>
      <c r="X82" s="20" t="s">
        <v>129</v>
      </c>
    </row>
    <row r="83" spans="1:24" x14ac:dyDescent="0.25">
      <c r="A83" s="23" t="s">
        <v>310</v>
      </c>
      <c r="B83" s="22">
        <v>45564</v>
      </c>
      <c r="C83" s="23" t="s">
        <v>239</v>
      </c>
      <c r="D83" s="23" t="s">
        <v>65</v>
      </c>
      <c r="E83" s="23" t="s">
        <v>150</v>
      </c>
      <c r="F83" s="23" t="s">
        <v>2591</v>
      </c>
      <c r="G83" s="23" t="s">
        <v>2587</v>
      </c>
      <c r="H83" s="23" t="s">
        <v>134</v>
      </c>
      <c r="I83" s="23" t="s">
        <v>53</v>
      </c>
      <c r="J83" s="23" t="s">
        <v>143</v>
      </c>
      <c r="K83" s="23" t="s">
        <v>184</v>
      </c>
      <c r="L83" s="23" t="s">
        <v>2690</v>
      </c>
      <c r="M83" s="23" t="s">
        <v>61</v>
      </c>
      <c r="N83" s="23" t="s">
        <v>44</v>
      </c>
      <c r="O83" s="23">
        <v>65</v>
      </c>
      <c r="P83" s="23">
        <v>89.32</v>
      </c>
      <c r="Q83" s="23">
        <v>49.71</v>
      </c>
      <c r="R83" s="23">
        <v>5805.62</v>
      </c>
      <c r="S83" s="23">
        <v>0</v>
      </c>
      <c r="T83" s="23">
        <v>0</v>
      </c>
      <c r="U83" s="23">
        <v>5805.62</v>
      </c>
      <c r="V83" s="23">
        <v>3231.1</v>
      </c>
      <c r="W83" s="23">
        <v>2574.52</v>
      </c>
      <c r="X83" s="23" t="s">
        <v>32</v>
      </c>
    </row>
    <row r="84" spans="1:24" x14ac:dyDescent="0.25">
      <c r="A84" s="20" t="s">
        <v>311</v>
      </c>
      <c r="B84" s="19">
        <v>45513</v>
      </c>
      <c r="C84" s="20" t="s">
        <v>312</v>
      </c>
      <c r="D84" s="20" t="s">
        <v>57</v>
      </c>
      <c r="E84" s="20" t="s">
        <v>23</v>
      </c>
      <c r="F84" s="20" t="s">
        <v>2576</v>
      </c>
      <c r="G84" s="20" t="s">
        <v>2577</v>
      </c>
      <c r="H84" s="20" t="s">
        <v>26</v>
      </c>
      <c r="I84" s="20" t="s">
        <v>53</v>
      </c>
      <c r="J84" s="20" t="s">
        <v>143</v>
      </c>
      <c r="K84" s="20" t="s">
        <v>265</v>
      </c>
      <c r="L84" s="20" t="s">
        <v>2663</v>
      </c>
      <c r="M84" s="20" t="s">
        <v>43</v>
      </c>
      <c r="N84" s="20" t="s">
        <v>75</v>
      </c>
      <c r="O84" s="20">
        <v>77</v>
      </c>
      <c r="P84" s="20">
        <v>76.78</v>
      </c>
      <c r="Q84" s="20">
        <v>42.36</v>
      </c>
      <c r="R84" s="20">
        <v>5912.22</v>
      </c>
      <c r="S84" s="20">
        <v>0</v>
      </c>
      <c r="T84" s="20">
        <v>0</v>
      </c>
      <c r="U84" s="20">
        <v>5912.22</v>
      </c>
      <c r="V84" s="20">
        <v>3261.91</v>
      </c>
      <c r="W84" s="20">
        <v>2650.31</v>
      </c>
      <c r="X84" s="20" t="s">
        <v>129</v>
      </c>
    </row>
    <row r="85" spans="1:24" x14ac:dyDescent="0.25">
      <c r="A85" s="23" t="s">
        <v>313</v>
      </c>
      <c r="B85" s="22">
        <v>45473</v>
      </c>
      <c r="C85" s="23" t="s">
        <v>314</v>
      </c>
      <c r="D85" s="23" t="s">
        <v>163</v>
      </c>
      <c r="E85" s="23" t="s">
        <v>250</v>
      </c>
      <c r="F85" s="23" t="s">
        <v>2598</v>
      </c>
      <c r="G85" s="23" t="s">
        <v>2581</v>
      </c>
      <c r="H85" s="23" t="s">
        <v>252</v>
      </c>
      <c r="I85" s="23" t="s">
        <v>27</v>
      </c>
      <c r="J85" s="23" t="s">
        <v>28</v>
      </c>
      <c r="K85" s="23" t="s">
        <v>42</v>
      </c>
      <c r="L85" s="23" t="s">
        <v>2680</v>
      </c>
      <c r="M85" s="23" t="s">
        <v>43</v>
      </c>
      <c r="N85" s="23" t="s">
        <v>44</v>
      </c>
      <c r="O85" s="23">
        <v>68</v>
      </c>
      <c r="P85" s="23">
        <v>63.42</v>
      </c>
      <c r="Q85" s="23">
        <v>37.22</v>
      </c>
      <c r="R85" s="23">
        <v>4312.57</v>
      </c>
      <c r="S85" s="23">
        <v>0.15</v>
      </c>
      <c r="T85" s="23">
        <v>646.89</v>
      </c>
      <c r="U85" s="23">
        <v>3665.69</v>
      </c>
      <c r="V85" s="23">
        <v>2530.9699999999998</v>
      </c>
      <c r="W85" s="23">
        <v>1134.72</v>
      </c>
      <c r="X85" s="23" t="s">
        <v>45</v>
      </c>
    </row>
    <row r="86" spans="1:24" x14ac:dyDescent="0.25">
      <c r="A86" s="20" t="s">
        <v>315</v>
      </c>
      <c r="B86" s="19">
        <v>45505</v>
      </c>
      <c r="C86" s="20" t="s">
        <v>316</v>
      </c>
      <c r="D86" s="20" t="s">
        <v>156</v>
      </c>
      <c r="E86" s="20" t="s">
        <v>114</v>
      </c>
      <c r="F86" s="20" t="s">
        <v>2588</v>
      </c>
      <c r="G86" s="20" t="s">
        <v>2586</v>
      </c>
      <c r="H86" s="20" t="s">
        <v>116</v>
      </c>
      <c r="I86" s="20" t="s">
        <v>88</v>
      </c>
      <c r="J86" s="20" t="s">
        <v>173</v>
      </c>
      <c r="K86" s="20" t="s">
        <v>248</v>
      </c>
      <c r="L86" s="20" t="s">
        <v>2693</v>
      </c>
      <c r="M86" s="20" t="s">
        <v>61</v>
      </c>
      <c r="N86" s="20" t="s">
        <v>44</v>
      </c>
      <c r="O86" s="20">
        <v>76</v>
      </c>
      <c r="P86" s="20">
        <v>35.47</v>
      </c>
      <c r="Q86" s="20">
        <v>20.67</v>
      </c>
      <c r="R86" s="20">
        <v>2695.49</v>
      </c>
      <c r="S86" s="20">
        <v>0.1</v>
      </c>
      <c r="T86" s="20">
        <v>269.55</v>
      </c>
      <c r="U86" s="20">
        <v>2425.94</v>
      </c>
      <c r="V86" s="20">
        <v>1570.68</v>
      </c>
      <c r="W86" s="20">
        <v>855.26</v>
      </c>
      <c r="X86" s="20" t="s">
        <v>45</v>
      </c>
    </row>
    <row r="87" spans="1:24" x14ac:dyDescent="0.25">
      <c r="A87" s="23" t="s">
        <v>317</v>
      </c>
      <c r="B87" s="22">
        <v>45443</v>
      </c>
      <c r="C87" s="23" t="s">
        <v>318</v>
      </c>
      <c r="D87" s="23" t="s">
        <v>121</v>
      </c>
      <c r="E87" s="23" t="s">
        <v>187</v>
      </c>
      <c r="F87" s="23" t="s">
        <v>2594</v>
      </c>
      <c r="G87" s="23" t="s">
        <v>2577</v>
      </c>
      <c r="H87" s="23" t="s">
        <v>26</v>
      </c>
      <c r="I87" s="23" t="s">
        <v>40</v>
      </c>
      <c r="J87" s="23" t="s">
        <v>82</v>
      </c>
      <c r="K87" s="23" t="s">
        <v>195</v>
      </c>
      <c r="L87" s="23" t="s">
        <v>2691</v>
      </c>
      <c r="M87" s="23" t="s">
        <v>30</v>
      </c>
      <c r="N87" s="23" t="s">
        <v>44</v>
      </c>
      <c r="O87" s="23">
        <v>20</v>
      </c>
      <c r="P87" s="23">
        <v>48.21</v>
      </c>
      <c r="Q87" s="23">
        <v>31.29</v>
      </c>
      <c r="R87" s="23">
        <v>964.25</v>
      </c>
      <c r="S87" s="23">
        <v>0.02</v>
      </c>
      <c r="T87" s="23">
        <v>19.29</v>
      </c>
      <c r="U87" s="23">
        <v>944.97</v>
      </c>
      <c r="V87" s="23">
        <v>625.75</v>
      </c>
      <c r="W87" s="23">
        <v>319.22000000000003</v>
      </c>
      <c r="X87" s="23" t="s">
        <v>45</v>
      </c>
    </row>
    <row r="88" spans="1:24" x14ac:dyDescent="0.25">
      <c r="A88" s="20" t="s">
        <v>319</v>
      </c>
      <c r="B88" s="19">
        <v>45360</v>
      </c>
      <c r="C88" s="20" t="s">
        <v>320</v>
      </c>
      <c r="D88" s="20" t="s">
        <v>264</v>
      </c>
      <c r="E88" s="20" t="s">
        <v>165</v>
      </c>
      <c r="F88" s="20" t="s">
        <v>2592</v>
      </c>
      <c r="G88" s="20" t="s">
        <v>2586</v>
      </c>
      <c r="H88" s="20" t="s">
        <v>167</v>
      </c>
      <c r="I88" s="20" t="s">
        <v>40</v>
      </c>
      <c r="J88" s="20" t="s">
        <v>82</v>
      </c>
      <c r="K88" s="20" t="s">
        <v>69</v>
      </c>
      <c r="L88" s="20" t="s">
        <v>2681</v>
      </c>
      <c r="M88" s="20" t="s">
        <v>43</v>
      </c>
      <c r="N88" s="20" t="s">
        <v>84</v>
      </c>
      <c r="O88" s="20">
        <v>65</v>
      </c>
      <c r="P88" s="20">
        <v>43.96</v>
      </c>
      <c r="Q88" s="20">
        <v>26.16</v>
      </c>
      <c r="R88" s="20">
        <v>2857.36</v>
      </c>
      <c r="S88" s="20">
        <v>0.1</v>
      </c>
      <c r="T88" s="20">
        <v>285.74</v>
      </c>
      <c r="U88" s="20">
        <v>2571.63</v>
      </c>
      <c r="V88" s="20">
        <v>1700.3</v>
      </c>
      <c r="W88" s="20">
        <v>871.32</v>
      </c>
      <c r="X88" s="20" t="s">
        <v>45</v>
      </c>
    </row>
    <row r="89" spans="1:24" x14ac:dyDescent="0.25">
      <c r="A89" s="23" t="s">
        <v>321</v>
      </c>
      <c r="B89" s="22">
        <v>45299</v>
      </c>
      <c r="C89" s="23" t="s">
        <v>322</v>
      </c>
      <c r="D89" s="23" t="s">
        <v>65</v>
      </c>
      <c r="E89" s="23" t="s">
        <v>126</v>
      </c>
      <c r="F89" s="23" t="s">
        <v>2589</v>
      </c>
      <c r="G89" s="23" t="s">
        <v>2586</v>
      </c>
      <c r="H89" s="23" t="s">
        <v>128</v>
      </c>
      <c r="I89" s="23" t="s">
        <v>58</v>
      </c>
      <c r="J89" s="23" t="s">
        <v>323</v>
      </c>
      <c r="K89" s="23" t="s">
        <v>69</v>
      </c>
      <c r="L89" s="23" t="s">
        <v>2681</v>
      </c>
      <c r="M89" s="23" t="s">
        <v>61</v>
      </c>
      <c r="N89" s="23" t="s">
        <v>44</v>
      </c>
      <c r="O89" s="23">
        <v>44</v>
      </c>
      <c r="P89" s="23">
        <v>84.11</v>
      </c>
      <c r="Q89" s="23">
        <v>52.95</v>
      </c>
      <c r="R89" s="23">
        <v>3700.99</v>
      </c>
      <c r="S89" s="23">
        <v>0.05</v>
      </c>
      <c r="T89" s="23">
        <v>185.05</v>
      </c>
      <c r="U89" s="23">
        <v>3515.94</v>
      </c>
      <c r="V89" s="23">
        <v>2329.92</v>
      </c>
      <c r="W89" s="23">
        <v>1186.02</v>
      </c>
      <c r="X89" s="23" t="s">
        <v>129</v>
      </c>
    </row>
    <row r="90" spans="1:24" x14ac:dyDescent="0.25">
      <c r="A90" s="20" t="s">
        <v>324</v>
      </c>
      <c r="B90" s="19">
        <v>45494</v>
      </c>
      <c r="C90" s="20" t="s">
        <v>325</v>
      </c>
      <c r="D90" s="20" t="s">
        <v>35</v>
      </c>
      <c r="E90" s="20" t="s">
        <v>222</v>
      </c>
      <c r="F90" s="20" t="s">
        <v>2597</v>
      </c>
      <c r="G90" s="20" t="s">
        <v>2587</v>
      </c>
      <c r="H90" s="20" t="s">
        <v>68</v>
      </c>
      <c r="I90" s="20" t="s">
        <v>27</v>
      </c>
      <c r="J90" s="20" t="s">
        <v>28</v>
      </c>
      <c r="K90" s="20" t="s">
        <v>90</v>
      </c>
      <c r="L90" s="20" t="s">
        <v>2684</v>
      </c>
      <c r="M90" s="20" t="s">
        <v>61</v>
      </c>
      <c r="N90" s="20" t="s">
        <v>70</v>
      </c>
      <c r="O90" s="20">
        <v>52</v>
      </c>
      <c r="P90" s="20">
        <v>111.1</v>
      </c>
      <c r="Q90" s="20">
        <v>80.95</v>
      </c>
      <c r="R90" s="20">
        <v>5777.41</v>
      </c>
      <c r="S90" s="20">
        <v>0.2</v>
      </c>
      <c r="T90" s="20">
        <v>1155.48</v>
      </c>
      <c r="U90" s="20">
        <v>4621.93</v>
      </c>
      <c r="V90" s="20">
        <v>4209.42</v>
      </c>
      <c r="W90" s="20">
        <v>412.51</v>
      </c>
      <c r="X90" s="20" t="s">
        <v>45</v>
      </c>
    </row>
    <row r="91" spans="1:24" x14ac:dyDescent="0.25">
      <c r="A91" s="23" t="s">
        <v>326</v>
      </c>
      <c r="B91" s="22">
        <v>45324</v>
      </c>
      <c r="C91" s="23" t="s">
        <v>278</v>
      </c>
      <c r="D91" s="23" t="s">
        <v>48</v>
      </c>
      <c r="E91" s="23" t="s">
        <v>99</v>
      </c>
      <c r="F91" s="23" t="s">
        <v>100</v>
      </c>
      <c r="G91" s="23" t="s">
        <v>2587</v>
      </c>
      <c r="H91" s="23" t="s">
        <v>102</v>
      </c>
      <c r="I91" s="23" t="s">
        <v>53</v>
      </c>
      <c r="J91" s="23" t="s">
        <v>122</v>
      </c>
      <c r="K91" s="23" t="s">
        <v>265</v>
      </c>
      <c r="L91" s="23" t="s">
        <v>2663</v>
      </c>
      <c r="M91" s="23" t="s">
        <v>61</v>
      </c>
      <c r="N91" s="23" t="s">
        <v>84</v>
      </c>
      <c r="O91" s="23">
        <v>61</v>
      </c>
      <c r="P91" s="23">
        <v>67.959999999999994</v>
      </c>
      <c r="Q91" s="23">
        <v>43.28</v>
      </c>
      <c r="R91" s="23">
        <v>4145.3500000000004</v>
      </c>
      <c r="S91" s="23">
        <v>0.2</v>
      </c>
      <c r="T91" s="23">
        <v>829.07</v>
      </c>
      <c r="U91" s="23">
        <v>3316.28</v>
      </c>
      <c r="V91" s="23">
        <v>2640.3</v>
      </c>
      <c r="W91" s="23">
        <v>675.98</v>
      </c>
      <c r="X91" s="23" t="s">
        <v>32</v>
      </c>
    </row>
    <row r="92" spans="1:24" x14ac:dyDescent="0.25">
      <c r="A92" s="20" t="s">
        <v>327</v>
      </c>
      <c r="B92" s="19">
        <v>45312</v>
      </c>
      <c r="C92" s="20" t="s">
        <v>328</v>
      </c>
      <c r="D92" s="20" t="s">
        <v>159</v>
      </c>
      <c r="E92" s="20" t="s">
        <v>187</v>
      </c>
      <c r="F92" s="20" t="s">
        <v>2594</v>
      </c>
      <c r="G92" s="20" t="s">
        <v>2577</v>
      </c>
      <c r="H92" s="20" t="s">
        <v>26</v>
      </c>
      <c r="I92" s="20" t="s">
        <v>27</v>
      </c>
      <c r="J92" s="20" t="s">
        <v>211</v>
      </c>
      <c r="K92" s="20" t="s">
        <v>178</v>
      </c>
      <c r="L92" s="20" t="s">
        <v>2689</v>
      </c>
      <c r="M92" s="20" t="s">
        <v>61</v>
      </c>
      <c r="N92" s="20" t="s">
        <v>84</v>
      </c>
      <c r="O92" s="20">
        <v>50</v>
      </c>
      <c r="P92" s="20">
        <v>49.48</v>
      </c>
      <c r="Q92" s="20">
        <v>27.91</v>
      </c>
      <c r="R92" s="20">
        <v>2473.87</v>
      </c>
      <c r="S92" s="20">
        <v>0.05</v>
      </c>
      <c r="T92" s="20">
        <v>123.69</v>
      </c>
      <c r="U92" s="20">
        <v>2350.17</v>
      </c>
      <c r="V92" s="20">
        <v>1395.26</v>
      </c>
      <c r="W92" s="20">
        <v>954.91</v>
      </c>
      <c r="X92" s="20" t="s">
        <v>45</v>
      </c>
    </row>
    <row r="93" spans="1:24" x14ac:dyDescent="0.25">
      <c r="A93" s="23" t="s">
        <v>329</v>
      </c>
      <c r="B93" s="22">
        <v>45372</v>
      </c>
      <c r="C93" s="23" t="s">
        <v>307</v>
      </c>
      <c r="D93" s="23" t="s">
        <v>105</v>
      </c>
      <c r="E93" s="23" t="s">
        <v>250</v>
      </c>
      <c r="F93" s="23" t="s">
        <v>2598</v>
      </c>
      <c r="G93" s="23" t="s">
        <v>2581</v>
      </c>
      <c r="H93" s="23" t="s">
        <v>252</v>
      </c>
      <c r="I93" s="23" t="s">
        <v>58</v>
      </c>
      <c r="J93" s="23" t="s">
        <v>59</v>
      </c>
      <c r="K93" s="23" t="s">
        <v>152</v>
      </c>
      <c r="L93" s="23" t="s">
        <v>2688</v>
      </c>
      <c r="M93" s="23" t="s">
        <v>43</v>
      </c>
      <c r="N93" s="23" t="s">
        <v>44</v>
      </c>
      <c r="O93" s="23">
        <v>57</v>
      </c>
      <c r="P93" s="23">
        <v>63.84</v>
      </c>
      <c r="Q93" s="23">
        <v>36.61</v>
      </c>
      <c r="R93" s="23">
        <v>3639.01</v>
      </c>
      <c r="S93" s="23">
        <v>0.15</v>
      </c>
      <c r="T93" s="23">
        <v>545.85</v>
      </c>
      <c r="U93" s="23">
        <v>3093.16</v>
      </c>
      <c r="V93" s="23">
        <v>2086.7600000000002</v>
      </c>
      <c r="W93" s="23">
        <v>1006.4</v>
      </c>
      <c r="X93" s="23" t="s">
        <v>45</v>
      </c>
    </row>
    <row r="94" spans="1:24" x14ac:dyDescent="0.25">
      <c r="A94" s="20" t="s">
        <v>330</v>
      </c>
      <c r="B94" s="19">
        <v>45316</v>
      </c>
      <c r="C94" s="20" t="s">
        <v>331</v>
      </c>
      <c r="D94" s="20" t="s">
        <v>48</v>
      </c>
      <c r="E94" s="20" t="s">
        <v>109</v>
      </c>
      <c r="F94" s="20" t="s">
        <v>110</v>
      </c>
      <c r="G94" s="20" t="s">
        <v>2584</v>
      </c>
      <c r="H94" s="20" t="s">
        <v>81</v>
      </c>
      <c r="I94" s="20" t="s">
        <v>27</v>
      </c>
      <c r="J94" s="20" t="s">
        <v>211</v>
      </c>
      <c r="K94" s="20" t="s">
        <v>253</v>
      </c>
      <c r="L94" s="20" t="s">
        <v>2694</v>
      </c>
      <c r="M94" s="20" t="s">
        <v>30</v>
      </c>
      <c r="N94" s="20" t="s">
        <v>70</v>
      </c>
      <c r="O94" s="20">
        <v>10</v>
      </c>
      <c r="P94" s="20">
        <v>119.59</v>
      </c>
      <c r="Q94" s="20">
        <v>69.47</v>
      </c>
      <c r="R94" s="20">
        <v>1195.92</v>
      </c>
      <c r="S94" s="20">
        <v>0.05</v>
      </c>
      <c r="T94" s="20">
        <v>59.8</v>
      </c>
      <c r="U94" s="20">
        <v>1136.1199999999999</v>
      </c>
      <c r="V94" s="20">
        <v>694.72</v>
      </c>
      <c r="W94" s="20">
        <v>441.41</v>
      </c>
      <c r="X94" s="20" t="s">
        <v>32</v>
      </c>
    </row>
    <row r="95" spans="1:24" x14ac:dyDescent="0.25">
      <c r="A95" s="23" t="s">
        <v>332</v>
      </c>
      <c r="B95" s="22">
        <v>45449</v>
      </c>
      <c r="C95" s="23" t="s">
        <v>333</v>
      </c>
      <c r="D95" s="23" t="s">
        <v>57</v>
      </c>
      <c r="E95" s="23" t="s">
        <v>23</v>
      </c>
      <c r="F95" s="23" t="s">
        <v>2576</v>
      </c>
      <c r="G95" s="23" t="s">
        <v>2577</v>
      </c>
      <c r="H95" s="23" t="s">
        <v>26</v>
      </c>
      <c r="I95" s="23" t="s">
        <v>58</v>
      </c>
      <c r="J95" s="23" t="s">
        <v>59</v>
      </c>
      <c r="K95" s="23" t="s">
        <v>170</v>
      </c>
      <c r="L95" s="23" t="s">
        <v>2671</v>
      </c>
      <c r="M95" s="23" t="s">
        <v>30</v>
      </c>
      <c r="N95" s="23" t="s">
        <v>70</v>
      </c>
      <c r="O95" s="23">
        <v>54</v>
      </c>
      <c r="P95" s="23">
        <v>79.290000000000006</v>
      </c>
      <c r="Q95" s="23">
        <v>46.86</v>
      </c>
      <c r="R95" s="23">
        <v>4281.45</v>
      </c>
      <c r="S95" s="23">
        <v>0.2</v>
      </c>
      <c r="T95" s="23">
        <v>856.29</v>
      </c>
      <c r="U95" s="23">
        <v>3425.16</v>
      </c>
      <c r="V95" s="23">
        <v>2530.4</v>
      </c>
      <c r="W95" s="23">
        <v>894.76</v>
      </c>
      <c r="X95" s="23" t="s">
        <v>45</v>
      </c>
    </row>
    <row r="96" spans="1:24" x14ac:dyDescent="0.25">
      <c r="A96" s="20" t="s">
        <v>334</v>
      </c>
      <c r="B96" s="19">
        <v>45642</v>
      </c>
      <c r="C96" s="20" t="s">
        <v>335</v>
      </c>
      <c r="D96" s="20" t="s">
        <v>156</v>
      </c>
      <c r="E96" s="20" t="s">
        <v>187</v>
      </c>
      <c r="F96" s="20" t="s">
        <v>2594</v>
      </c>
      <c r="G96" s="20" t="s">
        <v>2577</v>
      </c>
      <c r="H96" s="20" t="s">
        <v>26</v>
      </c>
      <c r="I96" s="20" t="s">
        <v>53</v>
      </c>
      <c r="J96" s="20" t="s">
        <v>54</v>
      </c>
      <c r="K96" s="20" t="s">
        <v>111</v>
      </c>
      <c r="L96" s="20" t="s">
        <v>2685</v>
      </c>
      <c r="M96" s="20" t="s">
        <v>30</v>
      </c>
      <c r="N96" s="20" t="s">
        <v>84</v>
      </c>
      <c r="O96" s="20">
        <v>74</v>
      </c>
      <c r="P96" s="20">
        <v>47.4</v>
      </c>
      <c r="Q96" s="20">
        <v>30.1</v>
      </c>
      <c r="R96" s="20">
        <v>3507.31</v>
      </c>
      <c r="S96" s="20">
        <v>0</v>
      </c>
      <c r="T96" s="20">
        <v>0</v>
      </c>
      <c r="U96" s="20">
        <v>3507.31</v>
      </c>
      <c r="V96" s="20">
        <v>2227.58</v>
      </c>
      <c r="W96" s="20">
        <v>1279.73</v>
      </c>
      <c r="X96" s="20" t="s">
        <v>45</v>
      </c>
    </row>
    <row r="97" spans="1:24" x14ac:dyDescent="0.25">
      <c r="A97" s="23" t="s">
        <v>336</v>
      </c>
      <c r="B97" s="22">
        <v>45388</v>
      </c>
      <c r="C97" s="23" t="s">
        <v>337</v>
      </c>
      <c r="D97" s="23" t="s">
        <v>87</v>
      </c>
      <c r="E97" s="23" t="s">
        <v>109</v>
      </c>
      <c r="F97" s="23" t="s">
        <v>110</v>
      </c>
      <c r="G97" s="23" t="s">
        <v>2584</v>
      </c>
      <c r="H97" s="23" t="s">
        <v>81</v>
      </c>
      <c r="I97" s="23" t="s">
        <v>27</v>
      </c>
      <c r="J97" s="23" t="s">
        <v>189</v>
      </c>
      <c r="K97" s="23" t="s">
        <v>253</v>
      </c>
      <c r="L97" s="23" t="s">
        <v>2694</v>
      </c>
      <c r="M97" s="23" t="s">
        <v>153</v>
      </c>
      <c r="N97" s="23" t="s">
        <v>44</v>
      </c>
      <c r="O97" s="23">
        <v>33</v>
      </c>
      <c r="P97" s="23">
        <v>119.05</v>
      </c>
      <c r="Q97" s="23">
        <v>75.040000000000006</v>
      </c>
      <c r="R97" s="23">
        <v>3928.74</v>
      </c>
      <c r="S97" s="23">
        <v>0.1</v>
      </c>
      <c r="T97" s="23">
        <v>392.87</v>
      </c>
      <c r="U97" s="23">
        <v>3535.86</v>
      </c>
      <c r="V97" s="23">
        <v>2476.2199999999998</v>
      </c>
      <c r="W97" s="23">
        <v>1059.6400000000001</v>
      </c>
      <c r="X97" s="23" t="s">
        <v>32</v>
      </c>
    </row>
    <row r="98" spans="1:24" x14ac:dyDescent="0.25">
      <c r="A98" s="20" t="s">
        <v>338</v>
      </c>
      <c r="B98" s="19">
        <v>45426</v>
      </c>
      <c r="C98" s="20" t="s">
        <v>339</v>
      </c>
      <c r="D98" s="20" t="s">
        <v>221</v>
      </c>
      <c r="E98" s="20" t="s">
        <v>187</v>
      </c>
      <c r="F98" s="20" t="s">
        <v>2594</v>
      </c>
      <c r="G98" s="20" t="s">
        <v>2577</v>
      </c>
      <c r="H98" s="20" t="s">
        <v>26</v>
      </c>
      <c r="I98" s="20" t="s">
        <v>40</v>
      </c>
      <c r="J98" s="20" t="s">
        <v>117</v>
      </c>
      <c r="K98" s="20" t="s">
        <v>184</v>
      </c>
      <c r="L98" s="20" t="s">
        <v>2690</v>
      </c>
      <c r="M98" s="20" t="s">
        <v>30</v>
      </c>
      <c r="N98" s="20" t="s">
        <v>44</v>
      </c>
      <c r="O98" s="20">
        <v>74</v>
      </c>
      <c r="P98" s="20">
        <v>48.98</v>
      </c>
      <c r="Q98" s="20">
        <v>27.06</v>
      </c>
      <c r="R98" s="20">
        <v>3624.69</v>
      </c>
      <c r="S98" s="20">
        <v>0.2</v>
      </c>
      <c r="T98" s="20">
        <v>724.94</v>
      </c>
      <c r="U98" s="20">
        <v>2899.75</v>
      </c>
      <c r="V98" s="20">
        <v>2002.39</v>
      </c>
      <c r="W98" s="20">
        <v>897.36</v>
      </c>
      <c r="X98" s="20" t="s">
        <v>45</v>
      </c>
    </row>
    <row r="99" spans="1:24" x14ac:dyDescent="0.25">
      <c r="A99" s="23" t="s">
        <v>340</v>
      </c>
      <c r="B99" s="22">
        <v>45638</v>
      </c>
      <c r="C99" s="23" t="s">
        <v>341</v>
      </c>
      <c r="D99" s="23" t="s">
        <v>259</v>
      </c>
      <c r="E99" s="23" t="s">
        <v>49</v>
      </c>
      <c r="F99" s="23" t="s">
        <v>2580</v>
      </c>
      <c r="G99" s="23" t="s">
        <v>2581</v>
      </c>
      <c r="H99" s="23" t="s">
        <v>52</v>
      </c>
      <c r="I99" s="23" t="s">
        <v>40</v>
      </c>
      <c r="J99" s="23" t="s">
        <v>289</v>
      </c>
      <c r="K99" s="23" t="s">
        <v>69</v>
      </c>
      <c r="L99" s="23" t="s">
        <v>2681</v>
      </c>
      <c r="M99" s="23" t="s">
        <v>43</v>
      </c>
      <c r="N99" s="23" t="s">
        <v>2578</v>
      </c>
      <c r="O99" s="23">
        <v>13</v>
      </c>
      <c r="P99" s="23">
        <v>25.38</v>
      </c>
      <c r="Q99" s="23">
        <v>13.5</v>
      </c>
      <c r="R99" s="23">
        <v>329.93</v>
      </c>
      <c r="S99" s="23">
        <v>0</v>
      </c>
      <c r="T99" s="23">
        <v>0</v>
      </c>
      <c r="U99" s="23">
        <v>329.93</v>
      </c>
      <c r="V99" s="23">
        <v>175.46</v>
      </c>
      <c r="W99" s="23">
        <v>154.47</v>
      </c>
      <c r="X99" s="23" t="s">
        <v>45</v>
      </c>
    </row>
    <row r="100" spans="1:24" x14ac:dyDescent="0.25">
      <c r="A100" s="20" t="s">
        <v>342</v>
      </c>
      <c r="B100" s="19">
        <v>45334</v>
      </c>
      <c r="C100" s="20" t="s">
        <v>328</v>
      </c>
      <c r="D100" s="20" t="s">
        <v>159</v>
      </c>
      <c r="E100" s="20" t="s">
        <v>187</v>
      </c>
      <c r="F100" s="20" t="s">
        <v>2594</v>
      </c>
      <c r="G100" s="20" t="s">
        <v>2577</v>
      </c>
      <c r="H100" s="20" t="s">
        <v>26</v>
      </c>
      <c r="I100" s="20" t="s">
        <v>40</v>
      </c>
      <c r="J100" s="20" t="s">
        <v>117</v>
      </c>
      <c r="K100" s="20" t="s">
        <v>90</v>
      </c>
      <c r="L100" s="20" t="s">
        <v>2684</v>
      </c>
      <c r="M100" s="20" t="s">
        <v>30</v>
      </c>
      <c r="N100" s="20" t="s">
        <v>2578</v>
      </c>
      <c r="O100" s="20">
        <v>32</v>
      </c>
      <c r="P100" s="20">
        <v>49.32</v>
      </c>
      <c r="Q100" s="20">
        <v>29.61</v>
      </c>
      <c r="R100" s="20">
        <v>1578.14</v>
      </c>
      <c r="S100" s="20">
        <v>0.2</v>
      </c>
      <c r="T100" s="20">
        <v>315.63</v>
      </c>
      <c r="U100" s="20">
        <v>1262.51</v>
      </c>
      <c r="V100" s="20">
        <v>947.64</v>
      </c>
      <c r="W100" s="20">
        <v>314.87</v>
      </c>
      <c r="X100" s="20" t="s">
        <v>129</v>
      </c>
    </row>
    <row r="101" spans="1:24" x14ac:dyDescent="0.25">
      <c r="A101" s="23" t="s">
        <v>343</v>
      </c>
      <c r="B101" s="22">
        <v>45635</v>
      </c>
      <c r="C101" s="23" t="s">
        <v>344</v>
      </c>
      <c r="D101" s="23" t="s">
        <v>87</v>
      </c>
      <c r="E101" s="23" t="s">
        <v>109</v>
      </c>
      <c r="F101" s="23" t="s">
        <v>110</v>
      </c>
      <c r="G101" s="23" t="s">
        <v>2584</v>
      </c>
      <c r="H101" s="23" t="s">
        <v>81</v>
      </c>
      <c r="I101" s="23" t="s">
        <v>58</v>
      </c>
      <c r="J101" s="23" t="s">
        <v>345</v>
      </c>
      <c r="K101" s="23" t="s">
        <v>265</v>
      </c>
      <c r="L101" s="23" t="s">
        <v>2663</v>
      </c>
      <c r="M101" s="23" t="s">
        <v>61</v>
      </c>
      <c r="N101" s="23" t="s">
        <v>70</v>
      </c>
      <c r="O101" s="23">
        <v>57</v>
      </c>
      <c r="P101" s="23">
        <v>134.88</v>
      </c>
      <c r="Q101" s="23">
        <v>75.92</v>
      </c>
      <c r="R101" s="23">
        <v>7688.32</v>
      </c>
      <c r="S101" s="23">
        <v>0.2</v>
      </c>
      <c r="T101" s="23">
        <v>1537.66</v>
      </c>
      <c r="U101" s="23">
        <v>6150.66</v>
      </c>
      <c r="V101" s="23">
        <v>4327.22</v>
      </c>
      <c r="W101" s="23">
        <v>1823.43</v>
      </c>
      <c r="X101" s="23" t="s">
        <v>32</v>
      </c>
    </row>
    <row r="102" spans="1:24" x14ac:dyDescent="0.25">
      <c r="A102" s="20" t="s">
        <v>346</v>
      </c>
      <c r="B102" s="19">
        <v>45534</v>
      </c>
      <c r="C102" s="20" t="s">
        <v>347</v>
      </c>
      <c r="D102" s="20" t="s">
        <v>163</v>
      </c>
      <c r="E102" s="20" t="s">
        <v>250</v>
      </c>
      <c r="F102" s="20" t="s">
        <v>2598</v>
      </c>
      <c r="G102" s="20" t="s">
        <v>2581</v>
      </c>
      <c r="H102" s="20" t="s">
        <v>252</v>
      </c>
      <c r="I102" s="20" t="s">
        <v>58</v>
      </c>
      <c r="J102" s="20" t="s">
        <v>59</v>
      </c>
      <c r="K102" s="20" t="s">
        <v>111</v>
      </c>
      <c r="L102" s="20" t="s">
        <v>2685</v>
      </c>
      <c r="M102" s="20" t="s">
        <v>153</v>
      </c>
      <c r="N102" s="20" t="s">
        <v>84</v>
      </c>
      <c r="O102" s="20">
        <v>71</v>
      </c>
      <c r="P102" s="20">
        <v>63.58</v>
      </c>
      <c r="Q102" s="20">
        <v>40.869999999999997</v>
      </c>
      <c r="R102" s="20">
        <v>4514.3</v>
      </c>
      <c r="S102" s="20">
        <v>0.15</v>
      </c>
      <c r="T102" s="20">
        <v>677.15</v>
      </c>
      <c r="U102" s="20">
        <v>3837.16</v>
      </c>
      <c r="V102" s="20">
        <v>2901.66</v>
      </c>
      <c r="W102" s="20">
        <v>935.5</v>
      </c>
      <c r="X102" s="20" t="s">
        <v>129</v>
      </c>
    </row>
    <row r="103" spans="1:24" x14ac:dyDescent="0.25">
      <c r="A103" s="23" t="s">
        <v>348</v>
      </c>
      <c r="B103" s="22">
        <v>45303</v>
      </c>
      <c r="C103" s="23" t="s">
        <v>341</v>
      </c>
      <c r="D103" s="23" t="s">
        <v>259</v>
      </c>
      <c r="E103" s="23" t="s">
        <v>165</v>
      </c>
      <c r="F103" s="23" t="s">
        <v>2592</v>
      </c>
      <c r="G103" s="23" t="s">
        <v>2586</v>
      </c>
      <c r="H103" s="23" t="s">
        <v>167</v>
      </c>
      <c r="I103" s="23" t="s">
        <v>53</v>
      </c>
      <c r="J103" s="23" t="s">
        <v>54</v>
      </c>
      <c r="K103" s="23" t="s">
        <v>69</v>
      </c>
      <c r="L103" s="23" t="s">
        <v>2681</v>
      </c>
      <c r="M103" s="23" t="s">
        <v>43</v>
      </c>
      <c r="N103" s="23" t="s">
        <v>70</v>
      </c>
      <c r="O103" s="23">
        <v>51</v>
      </c>
      <c r="P103" s="23">
        <v>39.21</v>
      </c>
      <c r="Q103" s="23">
        <v>26.95</v>
      </c>
      <c r="R103" s="23">
        <v>1999.72</v>
      </c>
      <c r="S103" s="23">
        <v>0.05</v>
      </c>
      <c r="T103" s="23">
        <v>99.99</v>
      </c>
      <c r="U103" s="23">
        <v>1899.73</v>
      </c>
      <c r="V103" s="23">
        <v>1374.27</v>
      </c>
      <c r="W103" s="23">
        <v>525.46</v>
      </c>
      <c r="X103" s="23" t="s">
        <v>45</v>
      </c>
    </row>
    <row r="104" spans="1:24" x14ac:dyDescent="0.25">
      <c r="A104" s="20" t="s">
        <v>349</v>
      </c>
      <c r="B104" s="19">
        <v>45533</v>
      </c>
      <c r="C104" s="20" t="s">
        <v>350</v>
      </c>
      <c r="D104" s="20" t="s">
        <v>351</v>
      </c>
      <c r="E104" s="20" t="s">
        <v>132</v>
      </c>
      <c r="F104" s="20" t="s">
        <v>133</v>
      </c>
      <c r="G104" s="20" t="s">
        <v>2581</v>
      </c>
      <c r="H104" s="20" t="s">
        <v>134</v>
      </c>
      <c r="I104" s="20" t="s">
        <v>58</v>
      </c>
      <c r="J104" s="20" t="s">
        <v>59</v>
      </c>
      <c r="K104" s="20" t="s">
        <v>152</v>
      </c>
      <c r="L104" s="20" t="s">
        <v>2688</v>
      </c>
      <c r="M104" s="20" t="s">
        <v>61</v>
      </c>
      <c r="N104" s="20" t="s">
        <v>2578</v>
      </c>
      <c r="O104" s="20">
        <v>15</v>
      </c>
      <c r="P104" s="20">
        <v>56.75</v>
      </c>
      <c r="Q104" s="20">
        <v>34.85</v>
      </c>
      <c r="R104" s="20">
        <v>851.22</v>
      </c>
      <c r="S104" s="20">
        <v>0.1</v>
      </c>
      <c r="T104" s="20">
        <v>85.12</v>
      </c>
      <c r="U104" s="20">
        <v>766.09</v>
      </c>
      <c r="V104" s="20">
        <v>522.76</v>
      </c>
      <c r="W104" s="20">
        <v>243.33</v>
      </c>
      <c r="X104" s="20" t="s">
        <v>45</v>
      </c>
    </row>
    <row r="105" spans="1:24" x14ac:dyDescent="0.25">
      <c r="A105" s="23" t="s">
        <v>352</v>
      </c>
      <c r="B105" s="22">
        <v>45324</v>
      </c>
      <c r="C105" s="23" t="s">
        <v>220</v>
      </c>
      <c r="D105" s="23" t="s">
        <v>221</v>
      </c>
      <c r="E105" s="23" t="s">
        <v>150</v>
      </c>
      <c r="F105" s="23" t="s">
        <v>2591</v>
      </c>
      <c r="G105" s="23" t="s">
        <v>2587</v>
      </c>
      <c r="H105" s="23" t="s">
        <v>134</v>
      </c>
      <c r="I105" s="23" t="s">
        <v>27</v>
      </c>
      <c r="J105" s="23" t="s">
        <v>189</v>
      </c>
      <c r="K105" s="23" t="s">
        <v>152</v>
      </c>
      <c r="L105" s="23" t="s">
        <v>2688</v>
      </c>
      <c r="M105" s="23" t="s">
        <v>30</v>
      </c>
      <c r="N105" s="23" t="s">
        <v>70</v>
      </c>
      <c r="O105" s="23">
        <v>64</v>
      </c>
      <c r="P105" s="23">
        <v>81.33</v>
      </c>
      <c r="Q105" s="23">
        <v>46.93</v>
      </c>
      <c r="R105" s="23">
        <v>5205.3500000000004</v>
      </c>
      <c r="S105" s="23">
        <v>0.05</v>
      </c>
      <c r="T105" s="23">
        <v>260.27</v>
      </c>
      <c r="U105" s="23">
        <v>4945.09</v>
      </c>
      <c r="V105" s="23">
        <v>3003.65</v>
      </c>
      <c r="W105" s="23">
        <v>1941.44</v>
      </c>
      <c r="X105" s="23" t="s">
        <v>129</v>
      </c>
    </row>
    <row r="106" spans="1:24" x14ac:dyDescent="0.25">
      <c r="A106" s="20" t="s">
        <v>353</v>
      </c>
      <c r="B106" s="19">
        <v>45452</v>
      </c>
      <c r="C106" s="20" t="s">
        <v>354</v>
      </c>
      <c r="D106" s="20" t="s">
        <v>163</v>
      </c>
      <c r="E106" s="20" t="s">
        <v>165</v>
      </c>
      <c r="F106" s="20" t="s">
        <v>2592</v>
      </c>
      <c r="G106" s="20" t="s">
        <v>2586</v>
      </c>
      <c r="H106" s="20" t="s">
        <v>167</v>
      </c>
      <c r="I106" s="20" t="s">
        <v>88</v>
      </c>
      <c r="J106" s="20" t="s">
        <v>135</v>
      </c>
      <c r="K106" s="20" t="s">
        <v>261</v>
      </c>
      <c r="L106" s="20" t="s">
        <v>2695</v>
      </c>
      <c r="M106" s="20" t="s">
        <v>61</v>
      </c>
      <c r="N106" s="20" t="s">
        <v>75</v>
      </c>
      <c r="O106" s="20">
        <v>46</v>
      </c>
      <c r="P106" s="20">
        <v>43.02</v>
      </c>
      <c r="Q106" s="20">
        <v>26.32</v>
      </c>
      <c r="R106" s="20">
        <v>1978.81</v>
      </c>
      <c r="S106" s="20">
        <v>0.02</v>
      </c>
      <c r="T106" s="20">
        <v>39.58</v>
      </c>
      <c r="U106" s="20">
        <v>1939.23</v>
      </c>
      <c r="V106" s="20">
        <v>1210.67</v>
      </c>
      <c r="W106" s="20">
        <v>728.56</v>
      </c>
      <c r="X106" s="20" t="s">
        <v>45</v>
      </c>
    </row>
    <row r="107" spans="1:24" x14ac:dyDescent="0.25">
      <c r="A107" s="23" t="s">
        <v>355</v>
      </c>
      <c r="B107" s="22">
        <v>45464</v>
      </c>
      <c r="C107" s="23" t="s">
        <v>356</v>
      </c>
      <c r="D107" s="23" t="s">
        <v>48</v>
      </c>
      <c r="E107" s="23" t="s">
        <v>66</v>
      </c>
      <c r="F107" s="23" t="s">
        <v>2582</v>
      </c>
      <c r="G107" s="23" t="s">
        <v>2579</v>
      </c>
      <c r="H107" s="23" t="s">
        <v>68</v>
      </c>
      <c r="I107" s="23" t="s">
        <v>53</v>
      </c>
      <c r="J107" s="23" t="s">
        <v>143</v>
      </c>
      <c r="K107" s="23" t="s">
        <v>261</v>
      </c>
      <c r="L107" s="23" t="s">
        <v>2695</v>
      </c>
      <c r="M107" s="23" t="s">
        <v>153</v>
      </c>
      <c r="N107" s="23" t="s">
        <v>84</v>
      </c>
      <c r="O107" s="23">
        <v>36</v>
      </c>
      <c r="P107" s="23">
        <v>157.25</v>
      </c>
      <c r="Q107" s="23">
        <v>109.27</v>
      </c>
      <c r="R107" s="23">
        <v>5660.88</v>
      </c>
      <c r="S107" s="23">
        <v>0.2</v>
      </c>
      <c r="T107" s="23">
        <v>1132.18</v>
      </c>
      <c r="U107" s="23">
        <v>4528.7</v>
      </c>
      <c r="V107" s="23">
        <v>3933.66</v>
      </c>
      <c r="W107" s="23">
        <v>595.04999999999995</v>
      </c>
      <c r="X107" s="23" t="s">
        <v>45</v>
      </c>
    </row>
    <row r="108" spans="1:24" x14ac:dyDescent="0.25">
      <c r="A108" s="20" t="s">
        <v>357</v>
      </c>
      <c r="B108" s="19">
        <v>45571</v>
      </c>
      <c r="C108" s="20" t="s">
        <v>358</v>
      </c>
      <c r="D108" s="20" t="s">
        <v>359</v>
      </c>
      <c r="E108" s="20" t="s">
        <v>78</v>
      </c>
      <c r="F108" s="20" t="s">
        <v>2583</v>
      </c>
      <c r="G108" s="20" t="s">
        <v>2584</v>
      </c>
      <c r="H108" s="20" t="s">
        <v>81</v>
      </c>
      <c r="I108" s="20" t="s">
        <v>88</v>
      </c>
      <c r="J108" s="20" t="s">
        <v>2112</v>
      </c>
      <c r="K108" s="20" t="s">
        <v>118</v>
      </c>
      <c r="L108" s="20" t="s">
        <v>2686</v>
      </c>
      <c r="M108" s="20" t="s">
        <v>43</v>
      </c>
      <c r="N108" s="20" t="s">
        <v>70</v>
      </c>
      <c r="O108" s="20">
        <v>63</v>
      </c>
      <c r="P108" s="20">
        <v>150.51</v>
      </c>
      <c r="Q108" s="20">
        <v>82.3</v>
      </c>
      <c r="R108" s="20">
        <v>9482.2800000000007</v>
      </c>
      <c r="S108" s="20">
        <v>0.02</v>
      </c>
      <c r="T108" s="20">
        <v>189.65</v>
      </c>
      <c r="U108" s="20">
        <v>9292.6299999999992</v>
      </c>
      <c r="V108" s="20">
        <v>5185.09</v>
      </c>
      <c r="W108" s="20">
        <v>4107.54</v>
      </c>
      <c r="X108" s="20" t="s">
        <v>129</v>
      </c>
    </row>
    <row r="109" spans="1:24" x14ac:dyDescent="0.25">
      <c r="A109" s="23" t="s">
        <v>360</v>
      </c>
      <c r="B109" s="22">
        <v>45490</v>
      </c>
      <c r="C109" s="23" t="s">
        <v>361</v>
      </c>
      <c r="D109" s="23" t="s">
        <v>35</v>
      </c>
      <c r="E109" s="23" t="s">
        <v>49</v>
      </c>
      <c r="F109" s="23" t="s">
        <v>2580</v>
      </c>
      <c r="G109" s="23" t="s">
        <v>2581</v>
      </c>
      <c r="H109" s="23" t="s">
        <v>52</v>
      </c>
      <c r="I109" s="23" t="s">
        <v>40</v>
      </c>
      <c r="J109" s="23" t="s">
        <v>41</v>
      </c>
      <c r="K109" s="23" t="s">
        <v>83</v>
      </c>
      <c r="L109" s="23" t="s">
        <v>2683</v>
      </c>
      <c r="M109" s="23" t="s">
        <v>43</v>
      </c>
      <c r="N109" s="23" t="s">
        <v>2578</v>
      </c>
      <c r="O109" s="23">
        <v>32</v>
      </c>
      <c r="P109" s="23">
        <v>25.98</v>
      </c>
      <c r="Q109" s="23">
        <v>13.17</v>
      </c>
      <c r="R109" s="23">
        <v>831.49</v>
      </c>
      <c r="S109" s="23">
        <v>0.05</v>
      </c>
      <c r="T109" s="23">
        <v>41.57</v>
      </c>
      <c r="U109" s="23">
        <v>789.92</v>
      </c>
      <c r="V109" s="23">
        <v>421.55</v>
      </c>
      <c r="W109" s="23">
        <v>368.37</v>
      </c>
      <c r="X109" s="23" t="s">
        <v>45</v>
      </c>
    </row>
    <row r="110" spans="1:24" x14ac:dyDescent="0.25">
      <c r="A110" s="20" t="s">
        <v>362</v>
      </c>
      <c r="B110" s="19">
        <v>45488</v>
      </c>
      <c r="C110" s="20" t="s">
        <v>363</v>
      </c>
      <c r="D110" s="20" t="s">
        <v>87</v>
      </c>
      <c r="E110" s="20" t="s">
        <v>126</v>
      </c>
      <c r="F110" s="20" t="s">
        <v>2589</v>
      </c>
      <c r="G110" s="20" t="s">
        <v>2586</v>
      </c>
      <c r="H110" s="20" t="s">
        <v>128</v>
      </c>
      <c r="I110" s="20" t="s">
        <v>88</v>
      </c>
      <c r="J110" s="20" t="s">
        <v>173</v>
      </c>
      <c r="K110" s="20" t="s">
        <v>111</v>
      </c>
      <c r="L110" s="20" t="s">
        <v>2685</v>
      </c>
      <c r="M110" s="20" t="s">
        <v>30</v>
      </c>
      <c r="N110" s="20" t="s">
        <v>75</v>
      </c>
      <c r="O110" s="20">
        <v>75</v>
      </c>
      <c r="P110" s="20">
        <v>94.37</v>
      </c>
      <c r="Q110" s="20">
        <v>56.64</v>
      </c>
      <c r="R110" s="20">
        <v>7077.76</v>
      </c>
      <c r="S110" s="20">
        <v>0.2</v>
      </c>
      <c r="T110" s="20">
        <v>1415.55</v>
      </c>
      <c r="U110" s="20">
        <v>5662.21</v>
      </c>
      <c r="V110" s="20">
        <v>4247.99</v>
      </c>
      <c r="W110" s="20">
        <v>1414.22</v>
      </c>
      <c r="X110" s="20" t="s">
        <v>129</v>
      </c>
    </row>
    <row r="111" spans="1:24" x14ac:dyDescent="0.25">
      <c r="A111" s="23" t="s">
        <v>364</v>
      </c>
      <c r="B111" s="22">
        <v>45654</v>
      </c>
      <c r="C111" s="23" t="s">
        <v>365</v>
      </c>
      <c r="D111" s="23" t="s">
        <v>22</v>
      </c>
      <c r="E111" s="23" t="s">
        <v>36</v>
      </c>
      <c r="F111" s="23" t="s">
        <v>37</v>
      </c>
      <c r="G111" s="23" t="s">
        <v>2579</v>
      </c>
      <c r="H111" s="23" t="s">
        <v>39</v>
      </c>
      <c r="I111" s="23" t="s">
        <v>40</v>
      </c>
      <c r="J111" s="23" t="s">
        <v>82</v>
      </c>
      <c r="K111" s="23" t="s">
        <v>170</v>
      </c>
      <c r="L111" s="23" t="s">
        <v>2671</v>
      </c>
      <c r="M111" s="23" t="s">
        <v>153</v>
      </c>
      <c r="N111" s="23" t="s">
        <v>84</v>
      </c>
      <c r="O111" s="23">
        <v>73</v>
      </c>
      <c r="P111" s="23">
        <v>161.62</v>
      </c>
      <c r="Q111" s="23">
        <v>103.38</v>
      </c>
      <c r="R111" s="23">
        <v>11798.35</v>
      </c>
      <c r="S111" s="23">
        <v>0.05</v>
      </c>
      <c r="T111" s="23">
        <v>589.91999999999996</v>
      </c>
      <c r="U111" s="23">
        <v>11208.44</v>
      </c>
      <c r="V111" s="23">
        <v>7546.62</v>
      </c>
      <c r="W111" s="23">
        <v>3661.81</v>
      </c>
      <c r="X111" s="23" t="s">
        <v>129</v>
      </c>
    </row>
    <row r="112" spans="1:24" x14ac:dyDescent="0.25">
      <c r="A112" s="20" t="s">
        <v>366</v>
      </c>
      <c r="B112" s="19">
        <v>45417</v>
      </c>
      <c r="C112" s="20" t="s">
        <v>367</v>
      </c>
      <c r="D112" s="20" t="s">
        <v>105</v>
      </c>
      <c r="E112" s="20" t="s">
        <v>78</v>
      </c>
      <c r="F112" s="20" t="s">
        <v>2583</v>
      </c>
      <c r="G112" s="20" t="s">
        <v>2584</v>
      </c>
      <c r="H112" s="20" t="s">
        <v>81</v>
      </c>
      <c r="I112" s="20" t="s">
        <v>53</v>
      </c>
      <c r="J112" s="20" t="s">
        <v>232</v>
      </c>
      <c r="K112" s="20" t="s">
        <v>144</v>
      </c>
      <c r="L112" s="20" t="s">
        <v>2687</v>
      </c>
      <c r="M112" s="20" t="s">
        <v>61</v>
      </c>
      <c r="N112" s="20" t="s">
        <v>75</v>
      </c>
      <c r="O112" s="20">
        <v>68</v>
      </c>
      <c r="P112" s="20">
        <v>148.66999999999999</v>
      </c>
      <c r="Q112" s="20">
        <v>85.67</v>
      </c>
      <c r="R112" s="20">
        <v>10109.61</v>
      </c>
      <c r="S112" s="20">
        <v>0.1</v>
      </c>
      <c r="T112" s="20">
        <v>1010.96</v>
      </c>
      <c r="U112" s="20">
        <v>9098.65</v>
      </c>
      <c r="V112" s="20">
        <v>5825.69</v>
      </c>
      <c r="W112" s="20">
        <v>3272.96</v>
      </c>
      <c r="X112" s="20" t="s">
        <v>45</v>
      </c>
    </row>
    <row r="113" spans="1:24" x14ac:dyDescent="0.25">
      <c r="A113" s="23" t="s">
        <v>369</v>
      </c>
      <c r="B113" s="22">
        <v>45628</v>
      </c>
      <c r="C113" s="23" t="s">
        <v>155</v>
      </c>
      <c r="D113" s="23" t="s">
        <v>156</v>
      </c>
      <c r="E113" s="23" t="s">
        <v>66</v>
      </c>
      <c r="F113" s="23" t="s">
        <v>2582</v>
      </c>
      <c r="G113" s="23" t="s">
        <v>2579</v>
      </c>
      <c r="H113" s="23" t="s">
        <v>68</v>
      </c>
      <c r="I113" s="23" t="s">
        <v>53</v>
      </c>
      <c r="J113" s="23" t="s">
        <v>54</v>
      </c>
      <c r="K113" s="23" t="s">
        <v>218</v>
      </c>
      <c r="L113" s="23" t="s">
        <v>2692</v>
      </c>
      <c r="M113" s="23" t="s">
        <v>61</v>
      </c>
      <c r="N113" s="23" t="s">
        <v>44</v>
      </c>
      <c r="O113" s="23">
        <v>75</v>
      </c>
      <c r="P113" s="23">
        <v>148.66</v>
      </c>
      <c r="Q113" s="23">
        <v>102.65</v>
      </c>
      <c r="R113" s="23">
        <v>11149.4</v>
      </c>
      <c r="S113" s="23">
        <v>0</v>
      </c>
      <c r="T113" s="23">
        <v>0</v>
      </c>
      <c r="U113" s="23">
        <v>11149.4</v>
      </c>
      <c r="V113" s="23">
        <v>7698.42</v>
      </c>
      <c r="W113" s="23">
        <v>3450.98</v>
      </c>
      <c r="X113" s="23" t="s">
        <v>32</v>
      </c>
    </row>
    <row r="114" spans="1:24" x14ac:dyDescent="0.25">
      <c r="A114" s="20" t="s">
        <v>370</v>
      </c>
      <c r="B114" s="19">
        <v>45499</v>
      </c>
      <c r="C114" s="20" t="s">
        <v>371</v>
      </c>
      <c r="D114" s="20" t="s">
        <v>159</v>
      </c>
      <c r="E114" s="20" t="s">
        <v>36</v>
      </c>
      <c r="F114" s="20" t="s">
        <v>37</v>
      </c>
      <c r="G114" s="20" t="s">
        <v>2579</v>
      </c>
      <c r="H114" s="20" t="s">
        <v>39</v>
      </c>
      <c r="I114" s="20" t="s">
        <v>58</v>
      </c>
      <c r="J114" s="20" t="s">
        <v>323</v>
      </c>
      <c r="K114" s="20" t="s">
        <v>195</v>
      </c>
      <c r="L114" s="20" t="s">
        <v>2691</v>
      </c>
      <c r="M114" s="20" t="s">
        <v>30</v>
      </c>
      <c r="N114" s="20" t="s">
        <v>75</v>
      </c>
      <c r="O114" s="20">
        <v>49</v>
      </c>
      <c r="P114" s="20">
        <v>158.94999999999999</v>
      </c>
      <c r="Q114" s="20">
        <v>94.28</v>
      </c>
      <c r="R114" s="20">
        <v>7788.69</v>
      </c>
      <c r="S114" s="20">
        <v>0.15</v>
      </c>
      <c r="T114" s="20">
        <v>1168.3</v>
      </c>
      <c r="U114" s="20">
        <v>6620.39</v>
      </c>
      <c r="V114" s="20">
        <v>4619.8999999999996</v>
      </c>
      <c r="W114" s="20">
        <v>2000.49</v>
      </c>
      <c r="X114" s="20" t="s">
        <v>45</v>
      </c>
    </row>
    <row r="115" spans="1:24" x14ac:dyDescent="0.25">
      <c r="A115" s="23" t="s">
        <v>372</v>
      </c>
      <c r="B115" s="22">
        <v>45412</v>
      </c>
      <c r="C115" s="23" t="s">
        <v>373</v>
      </c>
      <c r="D115" s="23" t="s">
        <v>264</v>
      </c>
      <c r="E115" s="23" t="s">
        <v>114</v>
      </c>
      <c r="F115" s="23" t="s">
        <v>2588</v>
      </c>
      <c r="G115" s="23" t="s">
        <v>2586</v>
      </c>
      <c r="H115" s="23" t="s">
        <v>116</v>
      </c>
      <c r="I115" s="23" t="s">
        <v>27</v>
      </c>
      <c r="J115" s="23" t="s">
        <v>106</v>
      </c>
      <c r="K115" s="23" t="s">
        <v>152</v>
      </c>
      <c r="L115" s="23" t="s">
        <v>2688</v>
      </c>
      <c r="M115" s="23" t="s">
        <v>43</v>
      </c>
      <c r="N115" s="23" t="s">
        <v>70</v>
      </c>
      <c r="O115" s="23">
        <v>61</v>
      </c>
      <c r="P115" s="23">
        <v>33.47</v>
      </c>
      <c r="Q115" s="23">
        <v>19.57</v>
      </c>
      <c r="R115" s="23">
        <v>2041.84</v>
      </c>
      <c r="S115" s="23">
        <v>0.05</v>
      </c>
      <c r="T115" s="23">
        <v>102.09</v>
      </c>
      <c r="U115" s="23">
        <v>1939.74</v>
      </c>
      <c r="V115" s="23">
        <v>1193.52</v>
      </c>
      <c r="W115" s="23">
        <v>746.22</v>
      </c>
      <c r="X115" s="23" t="s">
        <v>45</v>
      </c>
    </row>
    <row r="116" spans="1:24" x14ac:dyDescent="0.25">
      <c r="A116" s="20" t="s">
        <v>374</v>
      </c>
      <c r="B116" s="19">
        <v>45470</v>
      </c>
      <c r="C116" s="20" t="s">
        <v>375</v>
      </c>
      <c r="D116" s="20" t="s">
        <v>221</v>
      </c>
      <c r="E116" s="20" t="s">
        <v>187</v>
      </c>
      <c r="F116" s="20" t="s">
        <v>2594</v>
      </c>
      <c r="G116" s="20" t="s">
        <v>2577</v>
      </c>
      <c r="H116" s="20" t="s">
        <v>26</v>
      </c>
      <c r="I116" s="20" t="s">
        <v>53</v>
      </c>
      <c r="J116" s="20" t="s">
        <v>122</v>
      </c>
      <c r="K116" s="20" t="s">
        <v>248</v>
      </c>
      <c r="L116" s="20" t="s">
        <v>2693</v>
      </c>
      <c r="M116" s="20" t="s">
        <v>153</v>
      </c>
      <c r="N116" s="20" t="s">
        <v>44</v>
      </c>
      <c r="O116" s="20">
        <v>59</v>
      </c>
      <c r="P116" s="20">
        <v>49.27</v>
      </c>
      <c r="Q116" s="20">
        <v>29.11</v>
      </c>
      <c r="R116" s="20">
        <v>2906.85</v>
      </c>
      <c r="S116" s="20">
        <v>0.05</v>
      </c>
      <c r="T116" s="20">
        <v>145.34</v>
      </c>
      <c r="U116" s="20">
        <v>2761.51</v>
      </c>
      <c r="V116" s="20">
        <v>1717.31</v>
      </c>
      <c r="W116" s="20">
        <v>1044.2</v>
      </c>
      <c r="X116" s="20" t="s">
        <v>32</v>
      </c>
    </row>
    <row r="117" spans="1:24" x14ac:dyDescent="0.25">
      <c r="A117" s="23" t="s">
        <v>376</v>
      </c>
      <c r="B117" s="22">
        <v>45299</v>
      </c>
      <c r="C117" s="23" t="s">
        <v>337</v>
      </c>
      <c r="D117" s="23" t="s">
        <v>87</v>
      </c>
      <c r="E117" s="23" t="s">
        <v>78</v>
      </c>
      <c r="F117" s="23" t="s">
        <v>2583</v>
      </c>
      <c r="G117" s="23" t="s">
        <v>2584</v>
      </c>
      <c r="H117" s="23" t="s">
        <v>81</v>
      </c>
      <c r="I117" s="23" t="s">
        <v>88</v>
      </c>
      <c r="J117" s="23" t="s">
        <v>173</v>
      </c>
      <c r="K117" s="23" t="s">
        <v>184</v>
      </c>
      <c r="L117" s="23" t="s">
        <v>2690</v>
      </c>
      <c r="M117" s="23" t="s">
        <v>43</v>
      </c>
      <c r="N117" s="23" t="s">
        <v>75</v>
      </c>
      <c r="O117" s="23">
        <v>68</v>
      </c>
      <c r="P117" s="23">
        <v>141</v>
      </c>
      <c r="Q117" s="23">
        <v>75.52</v>
      </c>
      <c r="R117" s="23">
        <v>9587.77</v>
      </c>
      <c r="S117" s="23">
        <v>0.1</v>
      </c>
      <c r="T117" s="23">
        <v>958.78</v>
      </c>
      <c r="U117" s="23">
        <v>8628.99</v>
      </c>
      <c r="V117" s="23">
        <v>5135.0600000000004</v>
      </c>
      <c r="W117" s="23">
        <v>3493.93</v>
      </c>
      <c r="X117" s="23" t="s">
        <v>129</v>
      </c>
    </row>
    <row r="118" spans="1:24" x14ac:dyDescent="0.25">
      <c r="A118" s="20" t="s">
        <v>377</v>
      </c>
      <c r="B118" s="19">
        <v>45579</v>
      </c>
      <c r="C118" s="20" t="s">
        <v>378</v>
      </c>
      <c r="D118" s="20" t="s">
        <v>159</v>
      </c>
      <c r="E118" s="20" t="s">
        <v>150</v>
      </c>
      <c r="F118" s="20" t="s">
        <v>2591</v>
      </c>
      <c r="G118" s="20" t="s">
        <v>2587</v>
      </c>
      <c r="H118" s="20" t="s">
        <v>134</v>
      </c>
      <c r="I118" s="20" t="s">
        <v>53</v>
      </c>
      <c r="J118" s="20" t="s">
        <v>122</v>
      </c>
      <c r="K118" s="20" t="s">
        <v>195</v>
      </c>
      <c r="L118" s="20" t="s">
        <v>2691</v>
      </c>
      <c r="M118" s="20" t="s">
        <v>43</v>
      </c>
      <c r="N118" s="20" t="s">
        <v>44</v>
      </c>
      <c r="O118" s="20">
        <v>77</v>
      </c>
      <c r="P118" s="20">
        <v>85.63</v>
      </c>
      <c r="Q118" s="20">
        <v>54.81</v>
      </c>
      <c r="R118" s="20">
        <v>6593.62</v>
      </c>
      <c r="S118" s="20">
        <v>0.05</v>
      </c>
      <c r="T118" s="20">
        <v>329.68</v>
      </c>
      <c r="U118" s="20">
        <v>6263.94</v>
      </c>
      <c r="V118" s="20">
        <v>4220.45</v>
      </c>
      <c r="W118" s="20">
        <v>2043.49</v>
      </c>
      <c r="X118" s="20" t="s">
        <v>45</v>
      </c>
    </row>
    <row r="119" spans="1:24" x14ac:dyDescent="0.25">
      <c r="A119" s="23" t="s">
        <v>379</v>
      </c>
      <c r="B119" s="22">
        <v>45641</v>
      </c>
      <c r="C119" s="23" t="s">
        <v>380</v>
      </c>
      <c r="D119" s="23" t="s">
        <v>105</v>
      </c>
      <c r="E119" s="23" t="s">
        <v>216</v>
      </c>
      <c r="F119" s="23" t="s">
        <v>2596</v>
      </c>
      <c r="G119" s="23" t="s">
        <v>2579</v>
      </c>
      <c r="H119" s="23" t="s">
        <v>134</v>
      </c>
      <c r="I119" s="23" t="s">
        <v>88</v>
      </c>
      <c r="J119" s="23" t="s">
        <v>2112</v>
      </c>
      <c r="K119" s="23" t="s">
        <v>170</v>
      </c>
      <c r="L119" s="23" t="s">
        <v>2671</v>
      </c>
      <c r="M119" s="23" t="s">
        <v>153</v>
      </c>
      <c r="N119" s="23" t="s">
        <v>44</v>
      </c>
      <c r="O119" s="23">
        <v>66</v>
      </c>
      <c r="P119" s="23">
        <v>108.1</v>
      </c>
      <c r="Q119" s="23">
        <v>71.239999999999995</v>
      </c>
      <c r="R119" s="23">
        <v>7134.38</v>
      </c>
      <c r="S119" s="23">
        <v>0.02</v>
      </c>
      <c r="T119" s="23">
        <v>142.69</v>
      </c>
      <c r="U119" s="23">
        <v>6991.7</v>
      </c>
      <c r="V119" s="23">
        <v>4701.95</v>
      </c>
      <c r="W119" s="23">
        <v>2289.75</v>
      </c>
      <c r="X119" s="23" t="s">
        <v>129</v>
      </c>
    </row>
    <row r="120" spans="1:24" x14ac:dyDescent="0.25">
      <c r="A120" s="20" t="s">
        <v>381</v>
      </c>
      <c r="B120" s="19">
        <v>45506</v>
      </c>
      <c r="C120" s="20" t="s">
        <v>382</v>
      </c>
      <c r="D120" s="20" t="s">
        <v>22</v>
      </c>
      <c r="E120" s="20" t="s">
        <v>176</v>
      </c>
      <c r="F120" s="20" t="s">
        <v>2593</v>
      </c>
      <c r="G120" s="20" t="s">
        <v>2587</v>
      </c>
      <c r="H120" s="20" t="s">
        <v>39</v>
      </c>
      <c r="I120" s="20" t="s">
        <v>58</v>
      </c>
      <c r="J120" s="20" t="s">
        <v>59</v>
      </c>
      <c r="K120" s="20" t="s">
        <v>42</v>
      </c>
      <c r="L120" s="20" t="s">
        <v>2680</v>
      </c>
      <c r="M120" s="20" t="s">
        <v>61</v>
      </c>
      <c r="N120" s="20" t="s">
        <v>84</v>
      </c>
      <c r="O120" s="20">
        <v>52</v>
      </c>
      <c r="P120" s="20">
        <v>104.37</v>
      </c>
      <c r="Q120" s="20">
        <v>61</v>
      </c>
      <c r="R120" s="20">
        <v>5427.4</v>
      </c>
      <c r="S120" s="20">
        <v>0.1</v>
      </c>
      <c r="T120" s="20">
        <v>542.74</v>
      </c>
      <c r="U120" s="20">
        <v>4884.66</v>
      </c>
      <c r="V120" s="20">
        <v>3171.89</v>
      </c>
      <c r="W120" s="20">
        <v>1712.77</v>
      </c>
      <c r="X120" s="20" t="s">
        <v>129</v>
      </c>
    </row>
    <row r="121" spans="1:24" x14ac:dyDescent="0.25">
      <c r="A121" s="23" t="s">
        <v>383</v>
      </c>
      <c r="B121" s="22">
        <v>45489</v>
      </c>
      <c r="C121" s="23" t="s">
        <v>384</v>
      </c>
      <c r="D121" s="23" t="s">
        <v>57</v>
      </c>
      <c r="E121" s="23" t="s">
        <v>216</v>
      </c>
      <c r="F121" s="23" t="s">
        <v>2596</v>
      </c>
      <c r="G121" s="23" t="s">
        <v>2579</v>
      </c>
      <c r="H121" s="23" t="s">
        <v>134</v>
      </c>
      <c r="I121" s="23" t="s">
        <v>88</v>
      </c>
      <c r="J121" s="23" t="s">
        <v>2112</v>
      </c>
      <c r="K121" s="23" t="s">
        <v>265</v>
      </c>
      <c r="L121" s="23" t="s">
        <v>2663</v>
      </c>
      <c r="M121" s="23" t="s">
        <v>385</v>
      </c>
      <c r="N121" s="23" t="s">
        <v>75</v>
      </c>
      <c r="O121" s="23">
        <v>18</v>
      </c>
      <c r="P121" s="23">
        <v>101.62</v>
      </c>
      <c r="Q121" s="23">
        <v>70.59</v>
      </c>
      <c r="R121" s="23">
        <v>1829.11</v>
      </c>
      <c r="S121" s="23">
        <v>0.1</v>
      </c>
      <c r="T121" s="23">
        <v>182.91</v>
      </c>
      <c r="U121" s="23">
        <v>1646.2</v>
      </c>
      <c r="V121" s="23">
        <v>1270.6300000000001</v>
      </c>
      <c r="W121" s="23">
        <v>375.57</v>
      </c>
      <c r="X121" s="23" t="s">
        <v>45</v>
      </c>
    </row>
    <row r="122" spans="1:24" x14ac:dyDescent="0.25">
      <c r="A122" s="20" t="s">
        <v>386</v>
      </c>
      <c r="B122" s="19">
        <v>45335</v>
      </c>
      <c r="C122" s="20" t="s">
        <v>387</v>
      </c>
      <c r="D122" s="20" t="s">
        <v>22</v>
      </c>
      <c r="E122" s="20" t="s">
        <v>49</v>
      </c>
      <c r="F122" s="20" t="s">
        <v>2580</v>
      </c>
      <c r="G122" s="20" t="s">
        <v>2581</v>
      </c>
      <c r="H122" s="20" t="s">
        <v>52</v>
      </c>
      <c r="I122" s="20" t="s">
        <v>88</v>
      </c>
      <c r="J122" s="20" t="s">
        <v>135</v>
      </c>
      <c r="K122" s="20" t="s">
        <v>265</v>
      </c>
      <c r="L122" s="20" t="s">
        <v>2663</v>
      </c>
      <c r="M122" s="20" t="s">
        <v>43</v>
      </c>
      <c r="N122" s="20" t="s">
        <v>84</v>
      </c>
      <c r="O122" s="20">
        <v>80</v>
      </c>
      <c r="P122" s="20">
        <v>24.24</v>
      </c>
      <c r="Q122" s="20">
        <v>13.65</v>
      </c>
      <c r="R122" s="20">
        <v>1939.05</v>
      </c>
      <c r="S122" s="20">
        <v>0.05</v>
      </c>
      <c r="T122" s="20">
        <v>96.95</v>
      </c>
      <c r="U122" s="20">
        <v>1842.1</v>
      </c>
      <c r="V122" s="20">
        <v>1092.22</v>
      </c>
      <c r="W122" s="20">
        <v>749.88</v>
      </c>
      <c r="X122" s="20" t="s">
        <v>45</v>
      </c>
    </row>
    <row r="123" spans="1:24" x14ac:dyDescent="0.25">
      <c r="A123" s="23" t="s">
        <v>388</v>
      </c>
      <c r="B123" s="22">
        <v>45611</v>
      </c>
      <c r="C123" s="23" t="s">
        <v>389</v>
      </c>
      <c r="D123" s="23" t="s">
        <v>264</v>
      </c>
      <c r="E123" s="23" t="s">
        <v>141</v>
      </c>
      <c r="F123" s="23" t="s">
        <v>2590</v>
      </c>
      <c r="G123" s="23" t="s">
        <v>2577</v>
      </c>
      <c r="H123" s="23" t="s">
        <v>26</v>
      </c>
      <c r="I123" s="23" t="s">
        <v>58</v>
      </c>
      <c r="J123" s="23" t="s">
        <v>323</v>
      </c>
      <c r="K123" s="23" t="s">
        <v>111</v>
      </c>
      <c r="L123" s="23" t="s">
        <v>2685</v>
      </c>
      <c r="M123" s="23" t="s">
        <v>43</v>
      </c>
      <c r="N123" s="23" t="s">
        <v>75</v>
      </c>
      <c r="O123" s="23">
        <v>27</v>
      </c>
      <c r="P123" s="23">
        <v>91.27</v>
      </c>
      <c r="Q123" s="23">
        <v>61.16</v>
      </c>
      <c r="R123" s="23">
        <v>2464.3200000000002</v>
      </c>
      <c r="S123" s="23">
        <v>0.15</v>
      </c>
      <c r="T123" s="23">
        <v>369.65</v>
      </c>
      <c r="U123" s="23">
        <v>2094.67</v>
      </c>
      <c r="V123" s="23">
        <v>1651.41</v>
      </c>
      <c r="W123" s="23">
        <v>443.26</v>
      </c>
      <c r="X123" s="23" t="s">
        <v>45</v>
      </c>
    </row>
    <row r="124" spans="1:24" x14ac:dyDescent="0.25">
      <c r="A124" s="20" t="s">
        <v>390</v>
      </c>
      <c r="B124" s="19">
        <v>45506</v>
      </c>
      <c r="C124" s="20" t="s">
        <v>2619</v>
      </c>
      <c r="D124" s="20" t="s">
        <v>2619</v>
      </c>
      <c r="E124" s="20" t="s">
        <v>187</v>
      </c>
      <c r="F124" s="20" t="s">
        <v>2594</v>
      </c>
      <c r="G124" s="20" t="s">
        <v>2577</v>
      </c>
      <c r="H124" s="20" t="s">
        <v>26</v>
      </c>
      <c r="I124" s="20" t="s">
        <v>40</v>
      </c>
      <c r="J124" s="20" t="s">
        <v>117</v>
      </c>
      <c r="K124" s="20" t="s">
        <v>265</v>
      </c>
      <c r="L124" s="20" t="s">
        <v>2663</v>
      </c>
      <c r="M124" s="20" t="s">
        <v>61</v>
      </c>
      <c r="N124" s="20" t="s">
        <v>75</v>
      </c>
      <c r="O124" s="20">
        <v>61</v>
      </c>
      <c r="P124" s="20">
        <v>45.98</v>
      </c>
      <c r="Q124" s="20">
        <v>26.91</v>
      </c>
      <c r="R124" s="20">
        <v>2805.01</v>
      </c>
      <c r="S124" s="20">
        <v>0.05</v>
      </c>
      <c r="T124" s="20">
        <v>140.25</v>
      </c>
      <c r="U124" s="20">
        <v>2664.76</v>
      </c>
      <c r="V124" s="20">
        <v>1641.52</v>
      </c>
      <c r="W124" s="20">
        <v>1023.24</v>
      </c>
      <c r="X124" s="20" t="s">
        <v>45</v>
      </c>
    </row>
    <row r="125" spans="1:24" x14ac:dyDescent="0.25">
      <c r="A125" s="23" t="s">
        <v>391</v>
      </c>
      <c r="B125" s="22">
        <v>45308</v>
      </c>
      <c r="C125" s="23" t="s">
        <v>392</v>
      </c>
      <c r="D125" s="23" t="s">
        <v>393</v>
      </c>
      <c r="E125" s="23" t="s">
        <v>176</v>
      </c>
      <c r="F125" s="23" t="s">
        <v>2593</v>
      </c>
      <c r="G125" s="23" t="s">
        <v>2587</v>
      </c>
      <c r="H125" s="23" t="s">
        <v>39</v>
      </c>
      <c r="I125" s="23" t="s">
        <v>88</v>
      </c>
      <c r="J125" s="23" t="s">
        <v>173</v>
      </c>
      <c r="K125" s="23" t="s">
        <v>184</v>
      </c>
      <c r="L125" s="23" t="s">
        <v>2690</v>
      </c>
      <c r="M125" s="23" t="s">
        <v>153</v>
      </c>
      <c r="N125" s="23" t="s">
        <v>70</v>
      </c>
      <c r="O125" s="23">
        <v>74</v>
      </c>
      <c r="P125" s="23">
        <v>101.96</v>
      </c>
      <c r="Q125" s="23">
        <v>66.319999999999993</v>
      </c>
      <c r="R125" s="23">
        <v>7545.11</v>
      </c>
      <c r="S125" s="23">
        <v>0.2</v>
      </c>
      <c r="T125" s="23">
        <v>1509.02</v>
      </c>
      <c r="U125" s="23">
        <v>6036.08</v>
      </c>
      <c r="V125" s="23">
        <v>4907.34</v>
      </c>
      <c r="W125" s="23">
        <v>1128.74</v>
      </c>
      <c r="X125" s="23" t="s">
        <v>45</v>
      </c>
    </row>
    <row r="126" spans="1:24" x14ac:dyDescent="0.25">
      <c r="A126" s="20" t="s">
        <v>394</v>
      </c>
      <c r="B126" s="19">
        <v>45580</v>
      </c>
      <c r="C126" s="20" t="s">
        <v>395</v>
      </c>
      <c r="D126" s="20" t="s">
        <v>221</v>
      </c>
      <c r="E126" s="20" t="s">
        <v>250</v>
      </c>
      <c r="F126" s="20" t="s">
        <v>2598</v>
      </c>
      <c r="G126" s="20" t="s">
        <v>2581</v>
      </c>
      <c r="H126" s="20" t="s">
        <v>252</v>
      </c>
      <c r="I126" s="20" t="s">
        <v>53</v>
      </c>
      <c r="J126" s="20" t="s">
        <v>54</v>
      </c>
      <c r="K126" s="20" t="s">
        <v>178</v>
      </c>
      <c r="L126" s="20" t="s">
        <v>2689</v>
      </c>
      <c r="M126" s="20" t="s">
        <v>30</v>
      </c>
      <c r="N126" s="20" t="s">
        <v>70</v>
      </c>
      <c r="O126" s="20">
        <v>61</v>
      </c>
      <c r="P126" s="20">
        <v>62.99</v>
      </c>
      <c r="Q126" s="20">
        <v>35.200000000000003</v>
      </c>
      <c r="R126" s="20">
        <v>3842.2</v>
      </c>
      <c r="S126" s="20">
        <v>0.05</v>
      </c>
      <c r="T126" s="20">
        <v>192.11</v>
      </c>
      <c r="U126" s="20">
        <v>3650.09</v>
      </c>
      <c r="V126" s="20">
        <v>2147.4899999999998</v>
      </c>
      <c r="W126" s="20">
        <v>1502.6</v>
      </c>
      <c r="X126" s="20" t="s">
        <v>45</v>
      </c>
    </row>
    <row r="127" spans="1:24" x14ac:dyDescent="0.25">
      <c r="A127" s="23" t="s">
        <v>396</v>
      </c>
      <c r="B127" s="22">
        <v>45333</v>
      </c>
      <c r="C127" s="23" t="s">
        <v>397</v>
      </c>
      <c r="D127" s="23" t="s">
        <v>105</v>
      </c>
      <c r="E127" s="23" t="s">
        <v>150</v>
      </c>
      <c r="F127" s="23" t="s">
        <v>2591</v>
      </c>
      <c r="G127" s="23" t="s">
        <v>2587</v>
      </c>
      <c r="H127" s="23" t="s">
        <v>134</v>
      </c>
      <c r="I127" s="23" t="s">
        <v>27</v>
      </c>
      <c r="J127" s="23" t="s">
        <v>211</v>
      </c>
      <c r="K127" s="23" t="s">
        <v>265</v>
      </c>
      <c r="L127" s="23" t="s">
        <v>2663</v>
      </c>
      <c r="M127" s="23" t="s">
        <v>153</v>
      </c>
      <c r="N127" s="23" t="s">
        <v>2578</v>
      </c>
      <c r="O127" s="23">
        <v>1</v>
      </c>
      <c r="P127" s="23">
        <v>84.73</v>
      </c>
      <c r="Q127" s="23">
        <v>47.78</v>
      </c>
      <c r="R127" s="23">
        <v>84.73</v>
      </c>
      <c r="S127" s="23">
        <v>0</v>
      </c>
      <c r="T127" s="23">
        <v>0</v>
      </c>
      <c r="U127" s="23">
        <v>84.73</v>
      </c>
      <c r="V127" s="23">
        <v>47.78</v>
      </c>
      <c r="W127" s="23">
        <v>36.96</v>
      </c>
      <c r="X127" s="23" t="s">
        <v>129</v>
      </c>
    </row>
    <row r="128" spans="1:24" x14ac:dyDescent="0.25">
      <c r="A128" s="20" t="s">
        <v>398</v>
      </c>
      <c r="B128" s="19">
        <v>45397</v>
      </c>
      <c r="C128" s="20" t="s">
        <v>399</v>
      </c>
      <c r="D128" s="20" t="s">
        <v>48</v>
      </c>
      <c r="E128" s="20" t="s">
        <v>99</v>
      </c>
      <c r="F128" s="20" t="s">
        <v>100</v>
      </c>
      <c r="G128" s="20" t="s">
        <v>2587</v>
      </c>
      <c r="H128" s="20" t="s">
        <v>102</v>
      </c>
      <c r="I128" s="20" t="s">
        <v>53</v>
      </c>
      <c r="J128" s="20" t="s">
        <v>54</v>
      </c>
      <c r="K128" s="20" t="s">
        <v>90</v>
      </c>
      <c r="L128" s="20" t="s">
        <v>2684</v>
      </c>
      <c r="M128" s="20" t="s">
        <v>153</v>
      </c>
      <c r="N128" s="20" t="s">
        <v>44</v>
      </c>
      <c r="O128" s="20">
        <v>12</v>
      </c>
      <c r="P128" s="20">
        <v>67.540000000000006</v>
      </c>
      <c r="Q128" s="20">
        <v>43.35</v>
      </c>
      <c r="R128" s="20">
        <v>810.44</v>
      </c>
      <c r="S128" s="20">
        <v>0.02</v>
      </c>
      <c r="T128" s="20">
        <v>16.21</v>
      </c>
      <c r="U128" s="20">
        <v>794.23</v>
      </c>
      <c r="V128" s="20">
        <v>520.21</v>
      </c>
      <c r="W128" s="20">
        <v>274.02</v>
      </c>
      <c r="X128" s="20" t="s">
        <v>45</v>
      </c>
    </row>
    <row r="129" spans="1:24" x14ac:dyDescent="0.25">
      <c r="A129" s="23" t="s">
        <v>400</v>
      </c>
      <c r="B129" s="22">
        <v>45584</v>
      </c>
      <c r="C129" s="23" t="s">
        <v>309</v>
      </c>
      <c r="D129" s="23" t="s">
        <v>65</v>
      </c>
      <c r="E129" s="23" t="s">
        <v>93</v>
      </c>
      <c r="F129" s="23" t="s">
        <v>2585</v>
      </c>
      <c r="G129" s="23" t="s">
        <v>2586</v>
      </c>
      <c r="H129" s="23" t="s">
        <v>96</v>
      </c>
      <c r="I129" s="23" t="s">
        <v>88</v>
      </c>
      <c r="J129" s="23" t="s">
        <v>183</v>
      </c>
      <c r="K129" s="23" t="s">
        <v>69</v>
      </c>
      <c r="L129" s="23" t="s">
        <v>2681</v>
      </c>
      <c r="M129" s="23" t="s">
        <v>153</v>
      </c>
      <c r="N129" s="23" t="s">
        <v>2578</v>
      </c>
      <c r="O129" s="23">
        <v>44</v>
      </c>
      <c r="P129" s="23">
        <v>57.26</v>
      </c>
      <c r="Q129" s="23">
        <v>31.7</v>
      </c>
      <c r="R129" s="23">
        <v>2519.41</v>
      </c>
      <c r="S129" s="23">
        <v>0</v>
      </c>
      <c r="T129" s="23">
        <v>0</v>
      </c>
      <c r="U129" s="23">
        <v>2519.41</v>
      </c>
      <c r="V129" s="23">
        <v>1395</v>
      </c>
      <c r="W129" s="23">
        <v>1124.4100000000001</v>
      </c>
      <c r="X129" s="23" t="s">
        <v>32</v>
      </c>
    </row>
    <row r="130" spans="1:24" x14ac:dyDescent="0.25">
      <c r="A130" s="20" t="s">
        <v>401</v>
      </c>
      <c r="B130" s="19">
        <v>45488</v>
      </c>
      <c r="C130" s="20" t="s">
        <v>402</v>
      </c>
      <c r="D130" s="20" t="s">
        <v>35</v>
      </c>
      <c r="E130" s="20" t="s">
        <v>209</v>
      </c>
      <c r="F130" s="20" t="s">
        <v>2595</v>
      </c>
      <c r="G130" s="20" t="s">
        <v>2581</v>
      </c>
      <c r="H130" s="20" t="s">
        <v>116</v>
      </c>
      <c r="I130" s="20" t="s">
        <v>88</v>
      </c>
      <c r="J130" s="20" t="s">
        <v>183</v>
      </c>
      <c r="K130" s="20" t="s">
        <v>184</v>
      </c>
      <c r="L130" s="20" t="s">
        <v>2690</v>
      </c>
      <c r="M130" s="20" t="s">
        <v>43</v>
      </c>
      <c r="N130" s="20" t="s">
        <v>75</v>
      </c>
      <c r="O130" s="20">
        <v>36</v>
      </c>
      <c r="P130" s="20">
        <v>17.38</v>
      </c>
      <c r="Q130" s="20">
        <v>10.51</v>
      </c>
      <c r="R130" s="20">
        <v>625.79999999999995</v>
      </c>
      <c r="S130" s="20">
        <v>0.02</v>
      </c>
      <c r="T130" s="20">
        <v>12.52</v>
      </c>
      <c r="U130" s="20">
        <v>613.29</v>
      </c>
      <c r="V130" s="20">
        <v>378.2</v>
      </c>
      <c r="W130" s="20">
        <v>235.09</v>
      </c>
      <c r="X130" s="20" t="s">
        <v>32</v>
      </c>
    </row>
    <row r="131" spans="1:24" x14ac:dyDescent="0.25">
      <c r="A131" s="23" t="s">
        <v>403</v>
      </c>
      <c r="B131" s="22">
        <v>45502</v>
      </c>
      <c r="C131" s="23" t="s">
        <v>404</v>
      </c>
      <c r="D131" s="23" t="s">
        <v>87</v>
      </c>
      <c r="E131" s="23" t="s">
        <v>126</v>
      </c>
      <c r="F131" s="23" t="s">
        <v>2589</v>
      </c>
      <c r="G131" s="23" t="s">
        <v>2586</v>
      </c>
      <c r="H131" s="23" t="s">
        <v>128</v>
      </c>
      <c r="I131" s="23" t="s">
        <v>88</v>
      </c>
      <c r="J131" s="23" t="s">
        <v>135</v>
      </c>
      <c r="K131" s="23" t="s">
        <v>29</v>
      </c>
      <c r="L131" s="23" t="s">
        <v>2679</v>
      </c>
      <c r="M131" s="23" t="s">
        <v>43</v>
      </c>
      <c r="N131" s="23" t="s">
        <v>44</v>
      </c>
      <c r="O131" s="23">
        <v>17</v>
      </c>
      <c r="P131" s="23">
        <v>94.38</v>
      </c>
      <c r="Q131" s="23">
        <v>54.82</v>
      </c>
      <c r="R131" s="23">
        <v>1604.52</v>
      </c>
      <c r="S131" s="23">
        <v>0.15</v>
      </c>
      <c r="T131" s="23">
        <v>240.68</v>
      </c>
      <c r="U131" s="23">
        <v>1363.84</v>
      </c>
      <c r="V131" s="23">
        <v>932.01</v>
      </c>
      <c r="W131" s="23">
        <v>431.83</v>
      </c>
      <c r="X131" s="23" t="s">
        <v>45</v>
      </c>
    </row>
    <row r="132" spans="1:24" x14ac:dyDescent="0.25">
      <c r="A132" s="20" t="s">
        <v>405</v>
      </c>
      <c r="B132" s="19">
        <v>45565</v>
      </c>
      <c r="C132" s="20" t="s">
        <v>354</v>
      </c>
      <c r="D132" s="20" t="s">
        <v>406</v>
      </c>
      <c r="E132" s="20" t="s">
        <v>165</v>
      </c>
      <c r="F132" s="20" t="s">
        <v>2592</v>
      </c>
      <c r="G132" s="20" t="s">
        <v>2586</v>
      </c>
      <c r="H132" s="20" t="s">
        <v>167</v>
      </c>
      <c r="I132" s="20" t="s">
        <v>53</v>
      </c>
      <c r="J132" s="20" t="s">
        <v>54</v>
      </c>
      <c r="K132" s="20" t="s">
        <v>42</v>
      </c>
      <c r="L132" s="20" t="s">
        <v>2680</v>
      </c>
      <c r="M132" s="20" t="s">
        <v>153</v>
      </c>
      <c r="N132" s="20" t="s">
        <v>75</v>
      </c>
      <c r="O132" s="20">
        <v>60</v>
      </c>
      <c r="P132" s="20">
        <v>45.31</v>
      </c>
      <c r="Q132" s="20">
        <v>23.53</v>
      </c>
      <c r="R132" s="20">
        <v>2718.7</v>
      </c>
      <c r="S132" s="20">
        <v>0.1</v>
      </c>
      <c r="T132" s="20">
        <v>271.87</v>
      </c>
      <c r="U132" s="20">
        <v>2446.83</v>
      </c>
      <c r="V132" s="20">
        <v>1411.56</v>
      </c>
      <c r="W132" s="20">
        <v>1035.28</v>
      </c>
      <c r="X132" s="20" t="s">
        <v>45</v>
      </c>
    </row>
    <row r="133" spans="1:24" x14ac:dyDescent="0.25">
      <c r="A133" s="23" t="s">
        <v>407</v>
      </c>
      <c r="B133" s="22">
        <v>45591</v>
      </c>
      <c r="C133" s="23" t="s">
        <v>408</v>
      </c>
      <c r="D133" s="23" t="s">
        <v>65</v>
      </c>
      <c r="E133" s="23" t="s">
        <v>209</v>
      </c>
      <c r="F133" s="23" t="s">
        <v>2595</v>
      </c>
      <c r="G133" s="23" t="s">
        <v>2581</v>
      </c>
      <c r="H133" s="23" t="s">
        <v>116</v>
      </c>
      <c r="I133" s="23" t="s">
        <v>27</v>
      </c>
      <c r="J133" s="23" t="s">
        <v>106</v>
      </c>
      <c r="K133" s="23" t="s">
        <v>60</v>
      </c>
      <c r="L133" s="23" t="s">
        <v>2677</v>
      </c>
      <c r="M133" s="23" t="s">
        <v>153</v>
      </c>
      <c r="N133" s="23" t="s">
        <v>75</v>
      </c>
      <c r="O133" s="23">
        <v>68</v>
      </c>
      <c r="P133" s="23">
        <v>17.329999999999998</v>
      </c>
      <c r="Q133" s="23">
        <v>9.66</v>
      </c>
      <c r="R133" s="23">
        <v>1178.67</v>
      </c>
      <c r="S133" s="23">
        <v>0</v>
      </c>
      <c r="T133" s="23">
        <v>0</v>
      </c>
      <c r="U133" s="23">
        <v>1178.67</v>
      </c>
      <c r="V133" s="23">
        <v>656.88</v>
      </c>
      <c r="W133" s="23">
        <v>521.79</v>
      </c>
      <c r="X133" s="23" t="s">
        <v>45</v>
      </c>
    </row>
    <row r="134" spans="1:24" x14ac:dyDescent="0.25">
      <c r="A134" s="20" t="s">
        <v>409</v>
      </c>
      <c r="B134" s="19">
        <v>45368</v>
      </c>
      <c r="C134" s="20" t="s">
        <v>410</v>
      </c>
      <c r="D134" s="20" t="s">
        <v>149</v>
      </c>
      <c r="E134" s="20" t="s">
        <v>209</v>
      </c>
      <c r="F134" s="20" t="s">
        <v>2595</v>
      </c>
      <c r="G134" s="20" t="s">
        <v>2581</v>
      </c>
      <c r="H134" s="20" t="s">
        <v>116</v>
      </c>
      <c r="I134" s="20" t="s">
        <v>53</v>
      </c>
      <c r="J134" s="20" t="s">
        <v>122</v>
      </c>
      <c r="K134" s="20" t="s">
        <v>170</v>
      </c>
      <c r="L134" s="20" t="s">
        <v>2671</v>
      </c>
      <c r="M134" s="20" t="s">
        <v>30</v>
      </c>
      <c r="N134" s="20" t="s">
        <v>2578</v>
      </c>
      <c r="O134" s="20">
        <v>35</v>
      </c>
      <c r="P134" s="20">
        <v>18.91</v>
      </c>
      <c r="Q134" s="20">
        <v>9.49</v>
      </c>
      <c r="R134" s="20">
        <v>661.93</v>
      </c>
      <c r="S134" s="20">
        <v>0.05</v>
      </c>
      <c r="T134" s="20">
        <v>33.1</v>
      </c>
      <c r="U134" s="20">
        <v>628.83000000000004</v>
      </c>
      <c r="V134" s="20">
        <v>332.17</v>
      </c>
      <c r="W134" s="20">
        <v>296.66000000000003</v>
      </c>
      <c r="X134" s="20" t="s">
        <v>45</v>
      </c>
    </row>
    <row r="135" spans="1:24" x14ac:dyDescent="0.25">
      <c r="A135" s="23" t="s">
        <v>411</v>
      </c>
      <c r="B135" s="22">
        <v>45630</v>
      </c>
      <c r="C135" s="23" t="s">
        <v>98</v>
      </c>
      <c r="D135" s="23" t="s">
        <v>48</v>
      </c>
      <c r="E135" s="23" t="s">
        <v>209</v>
      </c>
      <c r="F135" s="23" t="s">
        <v>2595</v>
      </c>
      <c r="G135" s="23" t="s">
        <v>2581</v>
      </c>
      <c r="H135" s="23" t="s">
        <v>116</v>
      </c>
      <c r="I135" s="23" t="s">
        <v>27</v>
      </c>
      <c r="J135" s="23" t="s">
        <v>211</v>
      </c>
      <c r="K135" s="23" t="s">
        <v>29</v>
      </c>
      <c r="L135" s="23" t="s">
        <v>2679</v>
      </c>
      <c r="M135" s="23" t="s">
        <v>43</v>
      </c>
      <c r="N135" s="23" t="s">
        <v>70</v>
      </c>
      <c r="O135" s="23">
        <v>35</v>
      </c>
      <c r="P135" s="23">
        <v>17.670000000000002</v>
      </c>
      <c r="Q135" s="23">
        <v>10.29</v>
      </c>
      <c r="R135" s="23">
        <v>618.34</v>
      </c>
      <c r="S135" s="23">
        <v>0.2</v>
      </c>
      <c r="T135" s="23">
        <v>123.67</v>
      </c>
      <c r="U135" s="23">
        <v>494.67</v>
      </c>
      <c r="V135" s="23">
        <v>360.06</v>
      </c>
      <c r="W135" s="23">
        <v>134.61000000000001</v>
      </c>
      <c r="X135" s="23" t="s">
        <v>45</v>
      </c>
    </row>
    <row r="136" spans="1:24" x14ac:dyDescent="0.25">
      <c r="A136" s="20" t="s">
        <v>412</v>
      </c>
      <c r="B136" s="19">
        <v>45335</v>
      </c>
      <c r="C136" s="20" t="s">
        <v>199</v>
      </c>
      <c r="D136" s="20" t="s">
        <v>105</v>
      </c>
      <c r="E136" s="20" t="s">
        <v>165</v>
      </c>
      <c r="F136" s="20" t="s">
        <v>2592</v>
      </c>
      <c r="G136" s="20" t="s">
        <v>2586</v>
      </c>
      <c r="H136" s="20" t="s">
        <v>167</v>
      </c>
      <c r="I136" s="20" t="s">
        <v>53</v>
      </c>
      <c r="J136" s="20" t="s">
        <v>143</v>
      </c>
      <c r="K136" s="20" t="s">
        <v>178</v>
      </c>
      <c r="L136" s="20" t="s">
        <v>2689</v>
      </c>
      <c r="M136" s="20" t="s">
        <v>30</v>
      </c>
      <c r="N136" s="20" t="s">
        <v>2578</v>
      </c>
      <c r="O136" s="20">
        <v>24</v>
      </c>
      <c r="P136" s="20">
        <v>40.020000000000003</v>
      </c>
      <c r="Q136" s="20">
        <v>26.51</v>
      </c>
      <c r="R136" s="20">
        <v>960.4</v>
      </c>
      <c r="S136" s="20">
        <v>0.2</v>
      </c>
      <c r="T136" s="20">
        <v>192.08</v>
      </c>
      <c r="U136" s="20">
        <v>768.32</v>
      </c>
      <c r="V136" s="20">
        <v>636.27</v>
      </c>
      <c r="W136" s="20">
        <v>132.05000000000001</v>
      </c>
      <c r="X136" s="20" t="s">
        <v>45</v>
      </c>
    </row>
    <row r="137" spans="1:24" x14ac:dyDescent="0.25">
      <c r="A137" s="23" t="s">
        <v>413</v>
      </c>
      <c r="B137" s="22">
        <v>45335</v>
      </c>
      <c r="C137" s="23" t="s">
        <v>414</v>
      </c>
      <c r="D137" s="23" t="s">
        <v>22</v>
      </c>
      <c r="E137" s="23" t="s">
        <v>109</v>
      </c>
      <c r="F137" s="23" t="s">
        <v>110</v>
      </c>
      <c r="G137" s="23" t="s">
        <v>2584</v>
      </c>
      <c r="H137" s="23" t="s">
        <v>81</v>
      </c>
      <c r="I137" s="23" t="s">
        <v>88</v>
      </c>
      <c r="J137" s="23" t="s">
        <v>183</v>
      </c>
      <c r="K137" s="23" t="s">
        <v>178</v>
      </c>
      <c r="L137" s="23" t="s">
        <v>2689</v>
      </c>
      <c r="M137" s="23" t="s">
        <v>61</v>
      </c>
      <c r="N137" s="23" t="s">
        <v>44</v>
      </c>
      <c r="O137" s="23">
        <v>5</v>
      </c>
      <c r="P137" s="23">
        <v>134.76</v>
      </c>
      <c r="Q137" s="23">
        <v>69.7</v>
      </c>
      <c r="R137" s="23">
        <v>673.78</v>
      </c>
      <c r="S137" s="23">
        <v>0.15</v>
      </c>
      <c r="T137" s="23">
        <v>101.07</v>
      </c>
      <c r="U137" s="23">
        <v>572.71</v>
      </c>
      <c r="V137" s="23">
        <v>348.48</v>
      </c>
      <c r="W137" s="23">
        <v>224.23</v>
      </c>
      <c r="X137" s="23" t="s">
        <v>32</v>
      </c>
    </row>
    <row r="138" spans="1:24" x14ac:dyDescent="0.25">
      <c r="A138" s="20" t="s">
        <v>415</v>
      </c>
      <c r="B138" s="19">
        <v>45339</v>
      </c>
      <c r="C138" s="20" t="s">
        <v>416</v>
      </c>
      <c r="D138" s="20" t="s">
        <v>57</v>
      </c>
      <c r="E138" s="20" t="s">
        <v>165</v>
      </c>
      <c r="F138" s="20" t="s">
        <v>2592</v>
      </c>
      <c r="G138" s="20" t="s">
        <v>2586</v>
      </c>
      <c r="H138" s="20" t="s">
        <v>167</v>
      </c>
      <c r="I138" s="20" t="s">
        <v>88</v>
      </c>
      <c r="J138" s="20" t="s">
        <v>183</v>
      </c>
      <c r="K138" s="20" t="s">
        <v>178</v>
      </c>
      <c r="L138" s="20" t="s">
        <v>2689</v>
      </c>
      <c r="M138" s="20" t="s">
        <v>61</v>
      </c>
      <c r="N138" s="20" t="s">
        <v>2578</v>
      </c>
      <c r="O138" s="20">
        <v>78</v>
      </c>
      <c r="P138" s="20">
        <v>44.16</v>
      </c>
      <c r="Q138" s="20">
        <v>24.91</v>
      </c>
      <c r="R138" s="20">
        <v>3444.1</v>
      </c>
      <c r="S138" s="20">
        <v>0.2</v>
      </c>
      <c r="T138" s="20">
        <v>688.82</v>
      </c>
      <c r="U138" s="20">
        <v>2755.28</v>
      </c>
      <c r="V138" s="20">
        <v>1942.93</v>
      </c>
      <c r="W138" s="20">
        <v>812.34</v>
      </c>
      <c r="X138" s="20" t="s">
        <v>45</v>
      </c>
    </row>
    <row r="139" spans="1:24" x14ac:dyDescent="0.25">
      <c r="A139" s="23" t="s">
        <v>417</v>
      </c>
      <c r="B139" s="22">
        <v>45329</v>
      </c>
      <c r="C139" s="23" t="s">
        <v>418</v>
      </c>
      <c r="D139" s="23" t="s">
        <v>159</v>
      </c>
      <c r="E139" s="23" t="s">
        <v>114</v>
      </c>
      <c r="F139" s="23" t="s">
        <v>2588</v>
      </c>
      <c r="G139" s="23" t="s">
        <v>2586</v>
      </c>
      <c r="H139" s="23" t="s">
        <v>116</v>
      </c>
      <c r="I139" s="23" t="s">
        <v>58</v>
      </c>
      <c r="J139" s="23" t="s">
        <v>323</v>
      </c>
      <c r="K139" s="23" t="s">
        <v>90</v>
      </c>
      <c r="L139" s="23" t="s">
        <v>2684</v>
      </c>
      <c r="M139" s="23" t="s">
        <v>30</v>
      </c>
      <c r="N139" s="23" t="s">
        <v>44</v>
      </c>
      <c r="O139" s="23">
        <v>77</v>
      </c>
      <c r="P139" s="23">
        <v>37.06</v>
      </c>
      <c r="Q139" s="23">
        <v>22.03</v>
      </c>
      <c r="R139" s="23">
        <v>2853.71</v>
      </c>
      <c r="S139" s="23">
        <v>0.15</v>
      </c>
      <c r="T139" s="23">
        <v>428.06</v>
      </c>
      <c r="U139" s="23">
        <v>2425.65</v>
      </c>
      <c r="V139" s="23">
        <v>1696.15</v>
      </c>
      <c r="W139" s="23">
        <v>729.5</v>
      </c>
      <c r="X139" s="23" t="s">
        <v>45</v>
      </c>
    </row>
    <row r="140" spans="1:24" x14ac:dyDescent="0.25">
      <c r="A140" s="20" t="s">
        <v>419</v>
      </c>
      <c r="B140" s="19">
        <v>45397</v>
      </c>
      <c r="C140" s="20" t="s">
        <v>420</v>
      </c>
      <c r="D140" s="20" t="s">
        <v>156</v>
      </c>
      <c r="E140" s="20" t="s">
        <v>99</v>
      </c>
      <c r="F140" s="20" t="s">
        <v>100</v>
      </c>
      <c r="G140" s="20" t="s">
        <v>2587</v>
      </c>
      <c r="H140" s="20" t="s">
        <v>102</v>
      </c>
      <c r="I140" s="20" t="s">
        <v>58</v>
      </c>
      <c r="J140" s="20" t="s">
        <v>323</v>
      </c>
      <c r="K140" s="20" t="s">
        <v>111</v>
      </c>
      <c r="L140" s="20" t="s">
        <v>2685</v>
      </c>
      <c r="M140" s="20" t="s">
        <v>153</v>
      </c>
      <c r="N140" s="20" t="s">
        <v>84</v>
      </c>
      <c r="O140" s="20">
        <v>63</v>
      </c>
      <c r="P140" s="20">
        <v>65.290000000000006</v>
      </c>
      <c r="Q140" s="20">
        <v>42.52</v>
      </c>
      <c r="R140" s="20">
        <v>4113.2299999999996</v>
      </c>
      <c r="S140" s="20">
        <v>0.1</v>
      </c>
      <c r="T140" s="20">
        <v>411.32</v>
      </c>
      <c r="U140" s="20">
        <v>3701.91</v>
      </c>
      <c r="V140" s="20">
        <v>2678.67</v>
      </c>
      <c r="W140" s="20">
        <v>1023.23</v>
      </c>
      <c r="X140" s="20" t="s">
        <v>32</v>
      </c>
    </row>
    <row r="141" spans="1:24" x14ac:dyDescent="0.25">
      <c r="A141" s="23" t="s">
        <v>421</v>
      </c>
      <c r="B141" s="22">
        <v>45328</v>
      </c>
      <c r="C141" s="23" t="s">
        <v>422</v>
      </c>
      <c r="D141" s="23" t="s">
        <v>48</v>
      </c>
      <c r="E141" s="23" t="s">
        <v>141</v>
      </c>
      <c r="F141" s="23" t="s">
        <v>2590</v>
      </c>
      <c r="G141" s="23" t="s">
        <v>2577</v>
      </c>
      <c r="H141" s="23" t="s">
        <v>26</v>
      </c>
      <c r="I141" s="23" t="s">
        <v>53</v>
      </c>
      <c r="J141" s="23" t="s">
        <v>122</v>
      </c>
      <c r="K141" s="23" t="s">
        <v>195</v>
      </c>
      <c r="L141" s="23" t="s">
        <v>2691</v>
      </c>
      <c r="M141" s="23" t="s">
        <v>153</v>
      </c>
      <c r="N141" s="23" t="s">
        <v>84</v>
      </c>
      <c r="O141" s="23">
        <f>ROUND(Cleaned_Sales!$R141/Cleaned_Sales!$P141,0)</f>
        <v>11</v>
      </c>
      <c r="P141" s="23">
        <v>97.49</v>
      </c>
      <c r="Q141" s="23">
        <v>62.05</v>
      </c>
      <c r="R141" s="23">
        <v>1072.3699999999999</v>
      </c>
      <c r="S141" s="23">
        <v>0.02</v>
      </c>
      <c r="T141" s="23">
        <v>21.45</v>
      </c>
      <c r="U141" s="23">
        <v>1050.92</v>
      </c>
      <c r="V141" s="23">
        <v>682.59</v>
      </c>
      <c r="W141" s="23">
        <v>368.33</v>
      </c>
      <c r="X141" s="23" t="s">
        <v>129</v>
      </c>
    </row>
    <row r="142" spans="1:24" x14ac:dyDescent="0.25">
      <c r="A142" s="20" t="s">
        <v>423</v>
      </c>
      <c r="B142" s="19">
        <v>45332</v>
      </c>
      <c r="C142" s="20" t="s">
        <v>192</v>
      </c>
      <c r="D142" s="20" t="s">
        <v>65</v>
      </c>
      <c r="E142" s="20" t="s">
        <v>150</v>
      </c>
      <c r="F142" s="20" t="s">
        <v>2591</v>
      </c>
      <c r="G142" s="20" t="s">
        <v>2587</v>
      </c>
      <c r="H142" s="20" t="s">
        <v>134</v>
      </c>
      <c r="I142" s="20" t="s">
        <v>88</v>
      </c>
      <c r="J142" s="20" t="s">
        <v>173</v>
      </c>
      <c r="K142" s="20" t="s">
        <v>248</v>
      </c>
      <c r="L142" s="20" t="s">
        <v>2693</v>
      </c>
      <c r="M142" s="20" t="s">
        <v>43</v>
      </c>
      <c r="N142" s="20" t="s">
        <v>44</v>
      </c>
      <c r="O142" s="20">
        <v>48</v>
      </c>
      <c r="P142" s="20">
        <v>81.25</v>
      </c>
      <c r="Q142" s="20">
        <v>48.76</v>
      </c>
      <c r="R142" s="20">
        <v>3900.04</v>
      </c>
      <c r="S142" s="20">
        <v>0.2</v>
      </c>
      <c r="T142" s="20">
        <v>780.01</v>
      </c>
      <c r="U142" s="20">
        <v>3120.03</v>
      </c>
      <c r="V142" s="20">
        <v>2340.71</v>
      </c>
      <c r="W142" s="20">
        <v>779.32</v>
      </c>
      <c r="X142" s="20" t="s">
        <v>45</v>
      </c>
    </row>
    <row r="143" spans="1:24" x14ac:dyDescent="0.25">
      <c r="A143" s="23" t="s">
        <v>424</v>
      </c>
      <c r="B143" s="22">
        <v>45579</v>
      </c>
      <c r="C143" s="23" t="s">
        <v>215</v>
      </c>
      <c r="D143" s="23" t="s">
        <v>105</v>
      </c>
      <c r="E143" s="23" t="s">
        <v>78</v>
      </c>
      <c r="F143" s="23" t="s">
        <v>2583</v>
      </c>
      <c r="G143" s="23" t="s">
        <v>2584</v>
      </c>
      <c r="H143" s="23" t="s">
        <v>81</v>
      </c>
      <c r="I143" s="23" t="s">
        <v>88</v>
      </c>
      <c r="J143" s="23" t="s">
        <v>135</v>
      </c>
      <c r="K143" s="23" t="s">
        <v>144</v>
      </c>
      <c r="L143" s="23" t="s">
        <v>2687</v>
      </c>
      <c r="M143" s="23" t="s">
        <v>30</v>
      </c>
      <c r="N143" s="23" t="s">
        <v>2578</v>
      </c>
      <c r="O143" s="23">
        <v>56</v>
      </c>
      <c r="P143" s="23">
        <v>146.71</v>
      </c>
      <c r="Q143" s="23">
        <v>84.55</v>
      </c>
      <c r="R143" s="23">
        <v>8215.59</v>
      </c>
      <c r="S143" s="23">
        <v>0.1</v>
      </c>
      <c r="T143" s="23">
        <v>821.56</v>
      </c>
      <c r="U143" s="23">
        <v>7394.03</v>
      </c>
      <c r="V143" s="23">
        <v>4735.05</v>
      </c>
      <c r="W143" s="23">
        <v>2658.98</v>
      </c>
      <c r="X143" s="23" t="s">
        <v>45</v>
      </c>
    </row>
    <row r="144" spans="1:24" x14ac:dyDescent="0.25">
      <c r="A144" s="20" t="s">
        <v>425</v>
      </c>
      <c r="B144" s="19">
        <v>45519</v>
      </c>
      <c r="C144" s="20" t="s">
        <v>426</v>
      </c>
      <c r="D144" s="20" t="s">
        <v>57</v>
      </c>
      <c r="E144" s="20" t="s">
        <v>99</v>
      </c>
      <c r="F144" s="20" t="s">
        <v>100</v>
      </c>
      <c r="G144" s="20" t="s">
        <v>2587</v>
      </c>
      <c r="H144" s="20" t="s">
        <v>102</v>
      </c>
      <c r="I144" s="20" t="s">
        <v>88</v>
      </c>
      <c r="J144" s="20" t="s">
        <v>2112</v>
      </c>
      <c r="K144" s="20" t="s">
        <v>83</v>
      </c>
      <c r="L144" s="20" t="s">
        <v>2683</v>
      </c>
      <c r="M144" s="20" t="s">
        <v>43</v>
      </c>
      <c r="N144" s="20" t="s">
        <v>70</v>
      </c>
      <c r="O144" s="20">
        <v>19</v>
      </c>
      <c r="P144" s="20">
        <v>68.86</v>
      </c>
      <c r="Q144" s="20">
        <v>39.71</v>
      </c>
      <c r="R144" s="20">
        <v>1308.3</v>
      </c>
      <c r="S144" s="20">
        <v>0.2</v>
      </c>
      <c r="T144" s="20">
        <v>261.66000000000003</v>
      </c>
      <c r="U144" s="20">
        <v>1046.6400000000001</v>
      </c>
      <c r="V144" s="20">
        <v>754.44</v>
      </c>
      <c r="W144" s="20">
        <v>292.2</v>
      </c>
      <c r="X144" s="20" t="s">
        <v>32</v>
      </c>
    </row>
    <row r="145" spans="1:24" x14ac:dyDescent="0.25">
      <c r="A145" s="23" t="s">
        <v>427</v>
      </c>
      <c r="B145" s="22">
        <v>45301</v>
      </c>
      <c r="C145" s="23" t="s">
        <v>428</v>
      </c>
      <c r="D145" s="23" t="s">
        <v>57</v>
      </c>
      <c r="E145" s="23" t="s">
        <v>114</v>
      </c>
      <c r="F145" s="23" t="s">
        <v>2588</v>
      </c>
      <c r="G145" s="23" t="s">
        <v>2586</v>
      </c>
      <c r="H145" s="23" t="s">
        <v>116</v>
      </c>
      <c r="I145" s="23" t="s">
        <v>58</v>
      </c>
      <c r="J145" s="23" t="s">
        <v>59</v>
      </c>
      <c r="K145" s="23" t="s">
        <v>265</v>
      </c>
      <c r="L145" s="23" t="s">
        <v>2663</v>
      </c>
      <c r="M145" s="23" t="s">
        <v>30</v>
      </c>
      <c r="N145" s="23" t="s">
        <v>2578</v>
      </c>
      <c r="O145" s="23">
        <v>53</v>
      </c>
      <c r="P145" s="23">
        <v>34.659999999999997</v>
      </c>
      <c r="Q145" s="23">
        <v>21.37</v>
      </c>
      <c r="R145" s="23">
        <v>1836.96</v>
      </c>
      <c r="S145" s="23">
        <v>0.15</v>
      </c>
      <c r="T145" s="23">
        <v>275.54000000000002</v>
      </c>
      <c r="U145" s="23">
        <v>1561.41</v>
      </c>
      <c r="V145" s="23">
        <v>1132.69</v>
      </c>
      <c r="W145" s="23">
        <v>428.73</v>
      </c>
      <c r="X145" s="23" t="s">
        <v>45</v>
      </c>
    </row>
    <row r="146" spans="1:24" x14ac:dyDescent="0.25">
      <c r="A146" s="20" t="s">
        <v>429</v>
      </c>
      <c r="B146" s="19">
        <v>45454</v>
      </c>
      <c r="C146" s="20" t="s">
        <v>430</v>
      </c>
      <c r="D146" s="20" t="s">
        <v>156</v>
      </c>
      <c r="E146" s="20" t="s">
        <v>216</v>
      </c>
      <c r="F146" s="20" t="s">
        <v>2596</v>
      </c>
      <c r="G146" s="20" t="s">
        <v>2579</v>
      </c>
      <c r="H146" s="20" t="s">
        <v>134</v>
      </c>
      <c r="I146" s="20" t="s">
        <v>88</v>
      </c>
      <c r="J146" s="20" t="s">
        <v>135</v>
      </c>
      <c r="K146" s="20" t="s">
        <v>184</v>
      </c>
      <c r="L146" s="20" t="s">
        <v>2690</v>
      </c>
      <c r="M146" s="20" t="s">
        <v>153</v>
      </c>
      <c r="N146" s="20" t="s">
        <v>44</v>
      </c>
      <c r="O146" s="20">
        <v>60</v>
      </c>
      <c r="P146" s="20">
        <v>108.88</v>
      </c>
      <c r="Q146" s="20">
        <v>67.86</v>
      </c>
      <c r="R146" s="20">
        <v>6533.06</v>
      </c>
      <c r="S146" s="20">
        <v>0.02</v>
      </c>
      <c r="T146" s="20">
        <v>130.66</v>
      </c>
      <c r="U146" s="20">
        <v>6402.4</v>
      </c>
      <c r="V146" s="20">
        <v>4071.51</v>
      </c>
      <c r="W146" s="20">
        <v>2330.89</v>
      </c>
      <c r="X146" s="20" t="s">
        <v>32</v>
      </c>
    </row>
    <row r="147" spans="1:24" x14ac:dyDescent="0.25">
      <c r="A147" s="23" t="s">
        <v>432</v>
      </c>
      <c r="B147" s="22">
        <v>45529</v>
      </c>
      <c r="C147" s="23" t="s">
        <v>433</v>
      </c>
      <c r="D147" s="23" t="s">
        <v>22</v>
      </c>
      <c r="E147" s="23" t="s">
        <v>99</v>
      </c>
      <c r="F147" s="23" t="s">
        <v>100</v>
      </c>
      <c r="G147" s="23" t="s">
        <v>2587</v>
      </c>
      <c r="H147" s="23" t="s">
        <v>102</v>
      </c>
      <c r="I147" s="23" t="s">
        <v>27</v>
      </c>
      <c r="J147" s="23" t="s">
        <v>211</v>
      </c>
      <c r="K147" s="23" t="s">
        <v>144</v>
      </c>
      <c r="L147" s="23" t="s">
        <v>2687</v>
      </c>
      <c r="M147" s="23" t="s">
        <v>153</v>
      </c>
      <c r="N147" s="23" t="s">
        <v>2578</v>
      </c>
      <c r="O147" s="23">
        <v>18</v>
      </c>
      <c r="P147" s="23">
        <v>68.2</v>
      </c>
      <c r="Q147" s="23">
        <v>43.07</v>
      </c>
      <c r="R147" s="23">
        <v>1227.6300000000001</v>
      </c>
      <c r="S147" s="23">
        <v>0.2</v>
      </c>
      <c r="T147" s="23">
        <v>245.53</v>
      </c>
      <c r="U147" s="23">
        <v>982.11</v>
      </c>
      <c r="V147" s="23">
        <v>775.17</v>
      </c>
      <c r="W147" s="23">
        <v>206.93</v>
      </c>
      <c r="X147" s="23" t="s">
        <v>129</v>
      </c>
    </row>
    <row r="148" spans="1:24" x14ac:dyDescent="0.25">
      <c r="A148" s="20" t="s">
        <v>434</v>
      </c>
      <c r="B148" s="19">
        <v>45483</v>
      </c>
      <c r="C148" s="20" t="s">
        <v>213</v>
      </c>
      <c r="D148" s="20" t="s">
        <v>87</v>
      </c>
      <c r="E148" s="20" t="s">
        <v>109</v>
      </c>
      <c r="F148" s="20" t="s">
        <v>110</v>
      </c>
      <c r="G148" s="20" t="s">
        <v>2584</v>
      </c>
      <c r="H148" s="20" t="s">
        <v>81</v>
      </c>
      <c r="I148" s="20" t="s">
        <v>40</v>
      </c>
      <c r="J148" s="20" t="s">
        <v>41</v>
      </c>
      <c r="K148" s="20" t="s">
        <v>60</v>
      </c>
      <c r="L148" s="20" t="s">
        <v>2677</v>
      </c>
      <c r="M148" s="20" t="s">
        <v>43</v>
      </c>
      <c r="N148" s="20" t="s">
        <v>84</v>
      </c>
      <c r="O148" s="20">
        <v>33</v>
      </c>
      <c r="P148" s="20">
        <v>134.66999999999999</v>
      </c>
      <c r="Q148" s="20">
        <v>70.91</v>
      </c>
      <c r="R148" s="20">
        <v>4444.2299999999996</v>
      </c>
      <c r="S148" s="20">
        <v>0.15</v>
      </c>
      <c r="T148" s="20">
        <v>666.63</v>
      </c>
      <c r="U148" s="20">
        <v>3777.59</v>
      </c>
      <c r="V148" s="20">
        <v>2340.09</v>
      </c>
      <c r="W148" s="20">
        <v>1437.5</v>
      </c>
      <c r="X148" s="20" t="s">
        <v>45</v>
      </c>
    </row>
    <row r="149" spans="1:24" x14ac:dyDescent="0.25">
      <c r="A149" s="23" t="s">
        <v>435</v>
      </c>
      <c r="B149" s="22">
        <v>45547</v>
      </c>
      <c r="C149" s="23" t="s">
        <v>436</v>
      </c>
      <c r="D149" s="23" t="s">
        <v>57</v>
      </c>
      <c r="E149" s="23" t="s">
        <v>114</v>
      </c>
      <c r="F149" s="23" t="s">
        <v>2588</v>
      </c>
      <c r="G149" s="23" t="s">
        <v>2586</v>
      </c>
      <c r="H149" s="23" t="s">
        <v>116</v>
      </c>
      <c r="I149" s="23" t="s">
        <v>53</v>
      </c>
      <c r="J149" s="23" t="s">
        <v>143</v>
      </c>
      <c r="K149" s="23" t="s">
        <v>261</v>
      </c>
      <c r="L149" s="23" t="s">
        <v>2695</v>
      </c>
      <c r="M149" s="23" t="s">
        <v>30</v>
      </c>
      <c r="N149" s="23" t="s">
        <v>2578</v>
      </c>
      <c r="O149" s="23">
        <v>41</v>
      </c>
      <c r="P149" s="23">
        <v>32.520000000000003</v>
      </c>
      <c r="Q149" s="23">
        <v>20.58</v>
      </c>
      <c r="R149" s="23">
        <v>1333.19</v>
      </c>
      <c r="S149" s="23">
        <v>0.05</v>
      </c>
      <c r="T149" s="23">
        <v>66.66</v>
      </c>
      <c r="U149" s="23">
        <v>1266.53</v>
      </c>
      <c r="V149" s="23">
        <v>843.63</v>
      </c>
      <c r="W149" s="23">
        <v>422.9</v>
      </c>
      <c r="X149" s="23" t="s">
        <v>32</v>
      </c>
    </row>
    <row r="150" spans="1:24" x14ac:dyDescent="0.25">
      <c r="A150" s="20" t="s">
        <v>437</v>
      </c>
      <c r="B150" s="19">
        <v>45623</v>
      </c>
      <c r="C150" s="20" t="s">
        <v>438</v>
      </c>
      <c r="D150" s="20" t="s">
        <v>221</v>
      </c>
      <c r="E150" s="20" t="s">
        <v>78</v>
      </c>
      <c r="F150" s="20" t="s">
        <v>2583</v>
      </c>
      <c r="G150" s="20" t="s">
        <v>2584</v>
      </c>
      <c r="H150" s="20" t="s">
        <v>81</v>
      </c>
      <c r="I150" s="20" t="s">
        <v>53</v>
      </c>
      <c r="J150" s="20" t="s">
        <v>143</v>
      </c>
      <c r="K150" s="20" t="s">
        <v>69</v>
      </c>
      <c r="L150" s="20" t="s">
        <v>2681</v>
      </c>
      <c r="M150" s="20" t="s">
        <v>43</v>
      </c>
      <c r="N150" s="20" t="s">
        <v>84</v>
      </c>
      <c r="O150" s="20">
        <v>30</v>
      </c>
      <c r="P150" s="20">
        <v>138.6</v>
      </c>
      <c r="Q150" s="20">
        <v>78.52</v>
      </c>
      <c r="R150" s="20">
        <v>4158.1099999999997</v>
      </c>
      <c r="S150" s="20">
        <v>0.15</v>
      </c>
      <c r="T150" s="20">
        <v>623.72</v>
      </c>
      <c r="U150" s="20">
        <v>3534.39</v>
      </c>
      <c r="V150" s="20">
        <v>2355.69</v>
      </c>
      <c r="W150" s="20">
        <v>1178.71</v>
      </c>
      <c r="X150" s="20" t="s">
        <v>45</v>
      </c>
    </row>
    <row r="151" spans="1:24" x14ac:dyDescent="0.25">
      <c r="A151" s="23" t="s">
        <v>439</v>
      </c>
      <c r="B151" s="22">
        <v>45294</v>
      </c>
      <c r="C151" s="23" t="s">
        <v>203</v>
      </c>
      <c r="D151" s="23" t="s">
        <v>156</v>
      </c>
      <c r="E151" s="23" t="s">
        <v>36</v>
      </c>
      <c r="F151" s="23" t="s">
        <v>37</v>
      </c>
      <c r="G151" s="23" t="s">
        <v>2579</v>
      </c>
      <c r="H151" s="23" t="s">
        <v>39</v>
      </c>
      <c r="I151" s="23" t="s">
        <v>27</v>
      </c>
      <c r="J151" s="23" t="s">
        <v>211</v>
      </c>
      <c r="K151" s="23" t="s">
        <v>111</v>
      </c>
      <c r="L151" s="23" t="s">
        <v>2685</v>
      </c>
      <c r="M151" s="23" t="s">
        <v>43</v>
      </c>
      <c r="N151" s="23" t="s">
        <v>70</v>
      </c>
      <c r="O151" s="23">
        <v>47</v>
      </c>
      <c r="P151" s="23">
        <v>151.97</v>
      </c>
      <c r="Q151" s="23">
        <v>106.58</v>
      </c>
      <c r="R151" s="23">
        <v>7142.52</v>
      </c>
      <c r="S151" s="23">
        <v>0.15</v>
      </c>
      <c r="T151" s="23">
        <v>1071.3800000000001</v>
      </c>
      <c r="U151" s="23">
        <v>6071.14</v>
      </c>
      <c r="V151" s="23">
        <v>5009.13</v>
      </c>
      <c r="W151" s="23">
        <v>1062.01</v>
      </c>
      <c r="X151" s="23" t="s">
        <v>32</v>
      </c>
    </row>
    <row r="152" spans="1:24" x14ac:dyDescent="0.25">
      <c r="A152" s="20" t="s">
        <v>440</v>
      </c>
      <c r="B152" s="19">
        <v>45393</v>
      </c>
      <c r="C152" s="20" t="s">
        <v>305</v>
      </c>
      <c r="D152" s="20" t="s">
        <v>87</v>
      </c>
      <c r="E152" s="20" t="s">
        <v>222</v>
      </c>
      <c r="F152" s="20" t="s">
        <v>2597</v>
      </c>
      <c r="G152" s="20" t="s">
        <v>2587</v>
      </c>
      <c r="H152" s="20" t="s">
        <v>68</v>
      </c>
      <c r="I152" s="20" t="s">
        <v>58</v>
      </c>
      <c r="J152" s="20" t="s">
        <v>345</v>
      </c>
      <c r="K152" s="20" t="s">
        <v>29</v>
      </c>
      <c r="L152" s="20" t="s">
        <v>2679</v>
      </c>
      <c r="M152" s="20" t="s">
        <v>61</v>
      </c>
      <c r="N152" s="20" t="s">
        <v>75</v>
      </c>
      <c r="O152" s="20">
        <v>75</v>
      </c>
      <c r="P152" s="20">
        <v>113.38</v>
      </c>
      <c r="Q152" s="20">
        <v>74.03</v>
      </c>
      <c r="R152" s="20">
        <v>8503.5499999999993</v>
      </c>
      <c r="S152" s="20">
        <v>0.1</v>
      </c>
      <c r="T152" s="20">
        <v>850.35</v>
      </c>
      <c r="U152" s="20">
        <v>7653.19</v>
      </c>
      <c r="V152" s="20">
        <v>5552.28</v>
      </c>
      <c r="W152" s="20">
        <v>2100.91</v>
      </c>
      <c r="X152" s="20" t="s">
        <v>45</v>
      </c>
    </row>
    <row r="153" spans="1:24" x14ac:dyDescent="0.25">
      <c r="A153" s="23" t="s">
        <v>441</v>
      </c>
      <c r="B153" s="22">
        <v>45533</v>
      </c>
      <c r="C153" s="23" t="s">
        <v>442</v>
      </c>
      <c r="D153" s="23" t="s">
        <v>87</v>
      </c>
      <c r="E153" s="23" t="s">
        <v>99</v>
      </c>
      <c r="F153" s="23" t="s">
        <v>100</v>
      </c>
      <c r="G153" s="23" t="s">
        <v>2587</v>
      </c>
      <c r="H153" s="23" t="s">
        <v>102</v>
      </c>
      <c r="I153" s="23" t="s">
        <v>40</v>
      </c>
      <c r="J153" s="23" t="s">
        <v>117</v>
      </c>
      <c r="K153" s="23" t="s">
        <v>178</v>
      </c>
      <c r="L153" s="23" t="s">
        <v>2689</v>
      </c>
      <c r="M153" s="23" t="s">
        <v>153</v>
      </c>
      <c r="N153" s="23" t="s">
        <v>2578</v>
      </c>
      <c r="O153" s="23">
        <v>25</v>
      </c>
      <c r="P153" s="23">
        <v>74.55</v>
      </c>
      <c r="Q153" s="23">
        <v>41.82</v>
      </c>
      <c r="R153" s="23">
        <v>1863.81</v>
      </c>
      <c r="S153" s="23">
        <v>0.15</v>
      </c>
      <c r="T153" s="23">
        <v>279.57</v>
      </c>
      <c r="U153" s="23">
        <v>1584.24</v>
      </c>
      <c r="V153" s="23">
        <v>1045.3800000000001</v>
      </c>
      <c r="W153" s="23">
        <v>538.87</v>
      </c>
      <c r="X153" s="23" t="s">
        <v>45</v>
      </c>
    </row>
    <row r="154" spans="1:24" x14ac:dyDescent="0.25">
      <c r="A154" s="20" t="s">
        <v>443</v>
      </c>
      <c r="B154" s="19">
        <v>45557</v>
      </c>
      <c r="C154" s="20" t="s">
        <v>414</v>
      </c>
      <c r="D154" s="20" t="s">
        <v>22</v>
      </c>
      <c r="E154" s="20" t="s">
        <v>209</v>
      </c>
      <c r="F154" s="20" t="s">
        <v>2595</v>
      </c>
      <c r="G154" s="20" t="s">
        <v>2581</v>
      </c>
      <c r="H154" s="20" t="s">
        <v>116</v>
      </c>
      <c r="I154" s="20" t="s">
        <v>88</v>
      </c>
      <c r="J154" s="20" t="s">
        <v>183</v>
      </c>
      <c r="K154" s="20" t="s">
        <v>144</v>
      </c>
      <c r="L154" s="20" t="s">
        <v>2687</v>
      </c>
      <c r="M154" s="20" t="s">
        <v>30</v>
      </c>
      <c r="N154" s="20" t="s">
        <v>75</v>
      </c>
      <c r="O154" s="20">
        <v>77</v>
      </c>
      <c r="P154" s="20">
        <v>17.36</v>
      </c>
      <c r="Q154" s="20">
        <v>10.77</v>
      </c>
      <c r="R154" s="20">
        <v>1336.53</v>
      </c>
      <c r="S154" s="20">
        <v>0.05</v>
      </c>
      <c r="T154" s="20">
        <v>66.83</v>
      </c>
      <c r="U154" s="20">
        <v>1269.7</v>
      </c>
      <c r="V154" s="20">
        <v>829.57</v>
      </c>
      <c r="W154" s="20">
        <v>440.13</v>
      </c>
      <c r="X154" s="20" t="s">
        <v>32</v>
      </c>
    </row>
    <row r="155" spans="1:24" x14ac:dyDescent="0.25">
      <c r="A155" s="23" t="s">
        <v>444</v>
      </c>
      <c r="B155" s="22">
        <v>45492</v>
      </c>
      <c r="C155" s="23" t="s">
        <v>325</v>
      </c>
      <c r="D155" s="23" t="s">
        <v>35</v>
      </c>
      <c r="E155" s="23" t="s">
        <v>150</v>
      </c>
      <c r="F155" s="23" t="s">
        <v>2591</v>
      </c>
      <c r="G155" s="23" t="s">
        <v>2587</v>
      </c>
      <c r="H155" s="23" t="s">
        <v>134</v>
      </c>
      <c r="I155" s="23" t="s">
        <v>40</v>
      </c>
      <c r="J155" s="23" t="s">
        <v>117</v>
      </c>
      <c r="K155" s="23" t="s">
        <v>178</v>
      </c>
      <c r="L155" s="23" t="s">
        <v>2689</v>
      </c>
      <c r="M155" s="23" t="s">
        <v>153</v>
      </c>
      <c r="N155" s="23" t="s">
        <v>84</v>
      </c>
      <c r="O155" s="23">
        <v>34</v>
      </c>
      <c r="P155" s="23">
        <v>82.5</v>
      </c>
      <c r="Q155" s="23">
        <v>51.06</v>
      </c>
      <c r="R155" s="23">
        <v>2804.99</v>
      </c>
      <c r="S155" s="23">
        <v>0.1</v>
      </c>
      <c r="T155" s="23">
        <v>280.5</v>
      </c>
      <c r="U155" s="23">
        <v>2524.4899999999998</v>
      </c>
      <c r="V155" s="23">
        <v>1736.01</v>
      </c>
      <c r="W155" s="23">
        <v>788.48</v>
      </c>
      <c r="X155" s="23" t="s">
        <v>45</v>
      </c>
    </row>
    <row r="156" spans="1:24" x14ac:dyDescent="0.25">
      <c r="A156" s="20" t="s">
        <v>445</v>
      </c>
      <c r="B156" s="19">
        <v>45300</v>
      </c>
      <c r="C156" s="20" t="s">
        <v>356</v>
      </c>
      <c r="D156" s="20" t="s">
        <v>48</v>
      </c>
      <c r="E156" s="20" t="s">
        <v>216</v>
      </c>
      <c r="F156" s="20" t="s">
        <v>2596</v>
      </c>
      <c r="G156" s="20" t="s">
        <v>2579</v>
      </c>
      <c r="H156" s="20" t="s">
        <v>134</v>
      </c>
      <c r="I156" s="20" t="s">
        <v>27</v>
      </c>
      <c r="J156" s="20" t="s">
        <v>106</v>
      </c>
      <c r="K156" s="20" t="s">
        <v>248</v>
      </c>
      <c r="L156" s="20" t="s">
        <v>2693</v>
      </c>
      <c r="M156" s="20" t="s">
        <v>61</v>
      </c>
      <c r="N156" s="20" t="s">
        <v>44</v>
      </c>
      <c r="O156" s="20">
        <v>47</v>
      </c>
      <c r="P156" s="20">
        <v>108.93</v>
      </c>
      <c r="Q156" s="20">
        <v>68.209999999999994</v>
      </c>
      <c r="R156" s="20">
        <v>5119.88</v>
      </c>
      <c r="S156" s="20">
        <v>0</v>
      </c>
      <c r="T156" s="20">
        <v>0</v>
      </c>
      <c r="U156" s="20">
        <v>5119.88</v>
      </c>
      <c r="V156" s="20">
        <v>3205.9</v>
      </c>
      <c r="W156" s="20">
        <v>1913.97</v>
      </c>
      <c r="X156" s="20" t="s">
        <v>45</v>
      </c>
    </row>
    <row r="157" spans="1:24" x14ac:dyDescent="0.25">
      <c r="A157" s="23" t="s">
        <v>446</v>
      </c>
      <c r="B157" s="22">
        <v>45588</v>
      </c>
      <c r="C157" s="23" t="s">
        <v>447</v>
      </c>
      <c r="D157" s="23" t="s">
        <v>48</v>
      </c>
      <c r="E157" s="23" t="s">
        <v>49</v>
      </c>
      <c r="F157" s="23" t="s">
        <v>2580</v>
      </c>
      <c r="G157" s="23" t="s">
        <v>2581</v>
      </c>
      <c r="H157" s="23" t="s">
        <v>52</v>
      </c>
      <c r="I157" s="23" t="s">
        <v>53</v>
      </c>
      <c r="J157" s="23" t="s">
        <v>122</v>
      </c>
      <c r="K157" s="23" t="s">
        <v>218</v>
      </c>
      <c r="L157" s="23" t="s">
        <v>2692</v>
      </c>
      <c r="M157" s="23" t="s">
        <v>43</v>
      </c>
      <c r="N157" s="23" t="s">
        <v>2578</v>
      </c>
      <c r="O157" s="23">
        <v>77</v>
      </c>
      <c r="P157" s="23">
        <v>23.17</v>
      </c>
      <c r="Q157" s="23">
        <v>13.28</v>
      </c>
      <c r="R157" s="23">
        <v>1784.37</v>
      </c>
      <c r="S157" s="23">
        <v>0.2</v>
      </c>
      <c r="T157" s="23">
        <v>356.87</v>
      </c>
      <c r="U157" s="23">
        <v>1427.5</v>
      </c>
      <c r="V157" s="23">
        <v>1022.33</v>
      </c>
      <c r="W157" s="23">
        <v>405.17</v>
      </c>
      <c r="X157" s="23" t="s">
        <v>45</v>
      </c>
    </row>
    <row r="158" spans="1:24" x14ac:dyDescent="0.25">
      <c r="A158" s="20" t="s">
        <v>448</v>
      </c>
      <c r="B158" s="19">
        <v>45597</v>
      </c>
      <c r="C158" s="20" t="s">
        <v>449</v>
      </c>
      <c r="D158" s="20" t="s">
        <v>65</v>
      </c>
      <c r="E158" s="20" t="s">
        <v>141</v>
      </c>
      <c r="F158" s="20" t="s">
        <v>2590</v>
      </c>
      <c r="G158" s="20" t="s">
        <v>2577</v>
      </c>
      <c r="H158" s="20" t="s">
        <v>26</v>
      </c>
      <c r="I158" s="20" t="s">
        <v>88</v>
      </c>
      <c r="J158" s="20" t="s">
        <v>2112</v>
      </c>
      <c r="K158" s="20" t="s">
        <v>170</v>
      </c>
      <c r="L158" s="20" t="s">
        <v>2671</v>
      </c>
      <c r="M158" s="20" t="s">
        <v>61</v>
      </c>
      <c r="N158" s="20" t="s">
        <v>84</v>
      </c>
      <c r="O158" s="20">
        <v>37</v>
      </c>
      <c r="P158" s="20">
        <v>90.22</v>
      </c>
      <c r="Q158" s="20">
        <v>55.95</v>
      </c>
      <c r="R158" s="20">
        <v>3338</v>
      </c>
      <c r="S158" s="20">
        <v>0.1</v>
      </c>
      <c r="T158" s="20">
        <v>333.8</v>
      </c>
      <c r="U158" s="20">
        <v>3004.2</v>
      </c>
      <c r="V158" s="20">
        <v>2069.9899999999998</v>
      </c>
      <c r="W158" s="20">
        <v>934.2</v>
      </c>
      <c r="X158" s="20" t="s">
        <v>45</v>
      </c>
    </row>
    <row r="159" spans="1:24" x14ac:dyDescent="0.25">
      <c r="A159" s="23" t="s">
        <v>450</v>
      </c>
      <c r="B159" s="22">
        <v>45582</v>
      </c>
      <c r="C159" s="23" t="s">
        <v>451</v>
      </c>
      <c r="D159" s="23" t="s">
        <v>87</v>
      </c>
      <c r="E159" s="23" t="s">
        <v>132</v>
      </c>
      <c r="F159" s="23" t="s">
        <v>133</v>
      </c>
      <c r="G159" s="23" t="s">
        <v>2581</v>
      </c>
      <c r="H159" s="23" t="s">
        <v>134</v>
      </c>
      <c r="I159" s="23" t="s">
        <v>27</v>
      </c>
      <c r="J159" s="23" t="s">
        <v>28</v>
      </c>
      <c r="K159" s="23" t="s">
        <v>60</v>
      </c>
      <c r="L159" s="23" t="s">
        <v>2677</v>
      </c>
      <c r="M159" s="23" t="s">
        <v>153</v>
      </c>
      <c r="N159" s="23" t="s">
        <v>44</v>
      </c>
      <c r="O159" s="23">
        <v>64</v>
      </c>
      <c r="P159" s="23">
        <v>61.45</v>
      </c>
      <c r="Q159" s="23">
        <v>34.25</v>
      </c>
      <c r="R159" s="23">
        <v>3932.76</v>
      </c>
      <c r="S159" s="23">
        <v>0</v>
      </c>
      <c r="T159" s="23">
        <v>0</v>
      </c>
      <c r="U159" s="23">
        <v>3932.76</v>
      </c>
      <c r="V159" s="23">
        <v>2191.8200000000002</v>
      </c>
      <c r="W159" s="23">
        <v>1740.94</v>
      </c>
      <c r="X159" s="23" t="s">
        <v>45</v>
      </c>
    </row>
    <row r="160" spans="1:24" x14ac:dyDescent="0.25">
      <c r="A160" s="20" t="s">
        <v>453</v>
      </c>
      <c r="B160" s="19">
        <v>45419</v>
      </c>
      <c r="C160" s="20" t="s">
        <v>454</v>
      </c>
      <c r="D160" s="20" t="s">
        <v>156</v>
      </c>
      <c r="E160" s="20" t="s">
        <v>176</v>
      </c>
      <c r="F160" s="20" t="s">
        <v>2593</v>
      </c>
      <c r="G160" s="20" t="s">
        <v>2587</v>
      </c>
      <c r="H160" s="20" t="s">
        <v>39</v>
      </c>
      <c r="I160" s="20" t="s">
        <v>53</v>
      </c>
      <c r="J160" s="20" t="s">
        <v>54</v>
      </c>
      <c r="K160" s="20" t="s">
        <v>111</v>
      </c>
      <c r="L160" s="20" t="s">
        <v>2685</v>
      </c>
      <c r="M160" s="20" t="s">
        <v>61</v>
      </c>
      <c r="N160" s="20" t="s">
        <v>75</v>
      </c>
      <c r="O160" s="20">
        <v>30</v>
      </c>
      <c r="P160" s="20">
        <v>97.11</v>
      </c>
      <c r="Q160" s="20">
        <v>60.02</v>
      </c>
      <c r="R160" s="20">
        <v>2913.35</v>
      </c>
      <c r="S160" s="20">
        <v>0.02</v>
      </c>
      <c r="T160" s="20">
        <v>58.27</v>
      </c>
      <c r="U160" s="20">
        <v>2855.09</v>
      </c>
      <c r="V160" s="20">
        <v>1800.63</v>
      </c>
      <c r="W160" s="20">
        <v>1054.46</v>
      </c>
      <c r="X160" s="20" t="s">
        <v>129</v>
      </c>
    </row>
    <row r="161" spans="1:24" x14ac:dyDescent="0.25">
      <c r="A161" s="23" t="s">
        <v>455</v>
      </c>
      <c r="B161" s="22">
        <v>45656</v>
      </c>
      <c r="C161" s="23" t="s">
        <v>456</v>
      </c>
      <c r="D161" s="23" t="s">
        <v>22</v>
      </c>
      <c r="E161" s="23" t="s">
        <v>187</v>
      </c>
      <c r="F161" s="23" t="s">
        <v>2594</v>
      </c>
      <c r="G161" s="23" t="s">
        <v>2577</v>
      </c>
      <c r="H161" s="23" t="s">
        <v>26</v>
      </c>
      <c r="I161" s="23" t="s">
        <v>58</v>
      </c>
      <c r="J161" s="23" t="s">
        <v>345</v>
      </c>
      <c r="K161" s="23" t="s">
        <v>218</v>
      </c>
      <c r="L161" s="23" t="s">
        <v>2692</v>
      </c>
      <c r="M161" s="23" t="s">
        <v>153</v>
      </c>
      <c r="N161" s="23" t="s">
        <v>70</v>
      </c>
      <c r="O161" s="23">
        <v>71</v>
      </c>
      <c r="P161" s="23">
        <v>48.25</v>
      </c>
      <c r="Q161" s="23">
        <v>27.22</v>
      </c>
      <c r="R161" s="23">
        <v>3425.72</v>
      </c>
      <c r="S161" s="23">
        <v>0.15</v>
      </c>
      <c r="T161" s="23">
        <v>513.86</v>
      </c>
      <c r="U161" s="23">
        <v>2911.87</v>
      </c>
      <c r="V161" s="23">
        <v>1932.3</v>
      </c>
      <c r="W161" s="23">
        <v>979.57</v>
      </c>
      <c r="X161" s="23" t="s">
        <v>32</v>
      </c>
    </row>
    <row r="162" spans="1:24" x14ac:dyDescent="0.25">
      <c r="A162" s="20" t="s">
        <v>457</v>
      </c>
      <c r="B162" s="19">
        <v>45312</v>
      </c>
      <c r="C162" s="20" t="s">
        <v>458</v>
      </c>
      <c r="D162" s="20" t="s">
        <v>163</v>
      </c>
      <c r="E162" s="20" t="s">
        <v>36</v>
      </c>
      <c r="F162" s="20" t="s">
        <v>37</v>
      </c>
      <c r="G162" s="20" t="s">
        <v>2579</v>
      </c>
      <c r="H162" s="20" t="s">
        <v>39</v>
      </c>
      <c r="I162" s="20" t="s">
        <v>27</v>
      </c>
      <c r="J162" s="20" t="s">
        <v>211</v>
      </c>
      <c r="K162" s="20" t="s">
        <v>261</v>
      </c>
      <c r="L162" s="20" t="s">
        <v>2695</v>
      </c>
      <c r="M162" s="20" t="s">
        <v>61</v>
      </c>
      <c r="N162" s="20" t="s">
        <v>75</v>
      </c>
      <c r="O162" s="20">
        <f>ROUND(Cleaned_Sales!$R162/Cleaned_Sales!$P162,0)</f>
        <v>55</v>
      </c>
      <c r="P162" s="20">
        <v>155.52000000000001</v>
      </c>
      <c r="Q162" s="20">
        <v>93.87</v>
      </c>
      <c r="R162" s="20">
        <v>8553.52</v>
      </c>
      <c r="S162" s="20">
        <v>0.05</v>
      </c>
      <c r="T162" s="20">
        <v>427.68</v>
      </c>
      <c r="U162" s="20">
        <v>8125.85</v>
      </c>
      <c r="V162" s="20">
        <v>5163.07</v>
      </c>
      <c r="W162" s="20">
        <v>2962.78</v>
      </c>
      <c r="X162" s="20" t="s">
        <v>32</v>
      </c>
    </row>
    <row r="163" spans="1:24" x14ac:dyDescent="0.25">
      <c r="A163" s="23" t="s">
        <v>459</v>
      </c>
      <c r="B163" s="22">
        <v>45506</v>
      </c>
      <c r="C163" s="23" t="s">
        <v>378</v>
      </c>
      <c r="D163" s="23" t="s">
        <v>159</v>
      </c>
      <c r="E163" s="23" t="s">
        <v>23</v>
      </c>
      <c r="F163" s="23" t="s">
        <v>2576</v>
      </c>
      <c r="G163" s="23" t="s">
        <v>2577</v>
      </c>
      <c r="H163" s="23" t="s">
        <v>26</v>
      </c>
      <c r="I163" s="23" t="s">
        <v>58</v>
      </c>
      <c r="J163" s="23" t="s">
        <v>73</v>
      </c>
      <c r="K163" s="23" t="s">
        <v>83</v>
      </c>
      <c r="L163" s="23" t="s">
        <v>2683</v>
      </c>
      <c r="M163" s="23" t="s">
        <v>61</v>
      </c>
      <c r="N163" s="23" t="s">
        <v>75</v>
      </c>
      <c r="O163" s="23">
        <v>31</v>
      </c>
      <c r="P163" s="23">
        <v>78.94</v>
      </c>
      <c r="Q163" s="23">
        <v>46.04</v>
      </c>
      <c r="R163" s="23">
        <v>2447.2199999999998</v>
      </c>
      <c r="S163" s="23">
        <v>0.05</v>
      </c>
      <c r="T163" s="23">
        <v>122.36</v>
      </c>
      <c r="U163" s="23">
        <v>2324.86</v>
      </c>
      <c r="V163" s="23">
        <v>1427.14</v>
      </c>
      <c r="W163" s="23">
        <v>897.73</v>
      </c>
      <c r="X163" s="23" t="s">
        <v>45</v>
      </c>
    </row>
    <row r="164" spans="1:24" x14ac:dyDescent="0.25">
      <c r="A164" s="20" t="s">
        <v>460</v>
      </c>
      <c r="B164" s="19">
        <v>45508</v>
      </c>
      <c r="C164" s="20" t="s">
        <v>461</v>
      </c>
      <c r="D164" s="20" t="s">
        <v>87</v>
      </c>
      <c r="E164" s="20" t="s">
        <v>36</v>
      </c>
      <c r="F164" s="20" t="s">
        <v>37</v>
      </c>
      <c r="G164" s="20" t="s">
        <v>2579</v>
      </c>
      <c r="H164" s="20" t="s">
        <v>39</v>
      </c>
      <c r="I164" s="20" t="s">
        <v>40</v>
      </c>
      <c r="J164" s="20" t="s">
        <v>2619</v>
      </c>
      <c r="K164" s="20" t="s">
        <v>253</v>
      </c>
      <c r="L164" s="20" t="s">
        <v>2694</v>
      </c>
      <c r="M164" s="20" t="s">
        <v>61</v>
      </c>
      <c r="N164" s="20" t="s">
        <v>84</v>
      </c>
      <c r="O164" s="20">
        <v>46</v>
      </c>
      <c r="P164" s="20">
        <v>170.91</v>
      </c>
      <c r="Q164" s="20">
        <v>92.99</v>
      </c>
      <c r="R164" s="20">
        <v>7861.99</v>
      </c>
      <c r="S164" s="20">
        <v>0.02</v>
      </c>
      <c r="T164" s="20">
        <v>157.24</v>
      </c>
      <c r="U164" s="20">
        <v>7704.75</v>
      </c>
      <c r="V164" s="20">
        <v>4277.5200000000004</v>
      </c>
      <c r="W164" s="20">
        <v>3427.23</v>
      </c>
      <c r="X164" s="20" t="s">
        <v>45</v>
      </c>
    </row>
    <row r="165" spans="1:24" x14ac:dyDescent="0.25">
      <c r="A165" s="23" t="s">
        <v>462</v>
      </c>
      <c r="B165" s="22">
        <v>45482</v>
      </c>
      <c r="C165" s="23" t="s">
        <v>339</v>
      </c>
      <c r="D165" s="23" t="s">
        <v>221</v>
      </c>
      <c r="E165" s="23" t="s">
        <v>109</v>
      </c>
      <c r="F165" s="23" t="s">
        <v>110</v>
      </c>
      <c r="G165" s="23" t="s">
        <v>2584</v>
      </c>
      <c r="H165" s="23" t="s">
        <v>81</v>
      </c>
      <c r="I165" s="23" t="s">
        <v>53</v>
      </c>
      <c r="J165" s="23" t="s">
        <v>232</v>
      </c>
      <c r="K165" s="23" t="s">
        <v>152</v>
      </c>
      <c r="L165" s="23" t="s">
        <v>2688</v>
      </c>
      <c r="M165" s="23" t="s">
        <v>30</v>
      </c>
      <c r="N165" s="23" t="s">
        <v>75</v>
      </c>
      <c r="O165" s="23">
        <v>19</v>
      </c>
      <c r="P165" s="23">
        <v>120.17</v>
      </c>
      <c r="Q165" s="23">
        <v>73.22</v>
      </c>
      <c r="R165" s="23">
        <v>2283.31</v>
      </c>
      <c r="S165" s="23">
        <v>0.2</v>
      </c>
      <c r="T165" s="23">
        <v>456.66</v>
      </c>
      <c r="U165" s="23">
        <v>1826.65</v>
      </c>
      <c r="V165" s="23">
        <v>1391.24</v>
      </c>
      <c r="W165" s="23">
        <v>435.4</v>
      </c>
      <c r="X165" s="23" t="s">
        <v>45</v>
      </c>
    </row>
    <row r="166" spans="1:24" x14ac:dyDescent="0.25">
      <c r="A166" s="20" t="s">
        <v>463</v>
      </c>
      <c r="B166" s="19">
        <v>45382</v>
      </c>
      <c r="C166" s="20" t="s">
        <v>464</v>
      </c>
      <c r="D166" s="20" t="s">
        <v>105</v>
      </c>
      <c r="E166" s="20" t="s">
        <v>36</v>
      </c>
      <c r="F166" s="20" t="s">
        <v>37</v>
      </c>
      <c r="G166" s="20" t="s">
        <v>2579</v>
      </c>
      <c r="H166" s="20" t="s">
        <v>39</v>
      </c>
      <c r="I166" s="20" t="s">
        <v>27</v>
      </c>
      <c r="J166" s="20" t="s">
        <v>189</v>
      </c>
      <c r="K166" s="20" t="s">
        <v>253</v>
      </c>
      <c r="L166" s="20" t="s">
        <v>2694</v>
      </c>
      <c r="M166" s="20" t="s">
        <v>61</v>
      </c>
      <c r="N166" s="20" t="s">
        <v>70</v>
      </c>
      <c r="O166" s="20">
        <v>26</v>
      </c>
      <c r="P166" s="20">
        <v>165.59</v>
      </c>
      <c r="Q166" s="20">
        <v>91.95</v>
      </c>
      <c r="R166" s="20">
        <v>4305.45</v>
      </c>
      <c r="S166" s="20">
        <v>0.05</v>
      </c>
      <c r="T166" s="20">
        <v>215.27</v>
      </c>
      <c r="U166" s="20">
        <v>4090.18</v>
      </c>
      <c r="V166" s="20">
        <v>2390.58</v>
      </c>
      <c r="W166" s="20">
        <v>1699.6</v>
      </c>
      <c r="X166" s="20" t="s">
        <v>129</v>
      </c>
    </row>
    <row r="167" spans="1:24" x14ac:dyDescent="0.25">
      <c r="A167" s="23" t="s">
        <v>465</v>
      </c>
      <c r="B167" s="22">
        <v>45327</v>
      </c>
      <c r="C167" s="23" t="s">
        <v>466</v>
      </c>
      <c r="D167" s="23" t="s">
        <v>221</v>
      </c>
      <c r="E167" s="23" t="s">
        <v>250</v>
      </c>
      <c r="F167" s="23" t="s">
        <v>2598</v>
      </c>
      <c r="G167" s="23" t="s">
        <v>2581</v>
      </c>
      <c r="H167" s="23" t="s">
        <v>252</v>
      </c>
      <c r="I167" s="23" t="s">
        <v>88</v>
      </c>
      <c r="J167" s="23" t="s">
        <v>2112</v>
      </c>
      <c r="K167" s="23" t="s">
        <v>69</v>
      </c>
      <c r="L167" s="23" t="s">
        <v>2681</v>
      </c>
      <c r="M167" s="23" t="s">
        <v>61</v>
      </c>
      <c r="N167" s="23" t="s">
        <v>84</v>
      </c>
      <c r="O167" s="23">
        <v>71</v>
      </c>
      <c r="P167" s="23">
        <v>68.069999999999993</v>
      </c>
      <c r="Q167" s="23">
        <v>38.020000000000003</v>
      </c>
      <c r="R167" s="23">
        <v>4832.6899999999996</v>
      </c>
      <c r="S167" s="23">
        <v>0.02</v>
      </c>
      <c r="T167" s="23">
        <v>96.65</v>
      </c>
      <c r="U167" s="23">
        <v>4736.03</v>
      </c>
      <c r="V167" s="23">
        <v>2699.14</v>
      </c>
      <c r="W167" s="23">
        <v>2036.9</v>
      </c>
      <c r="X167" s="23" t="s">
        <v>45</v>
      </c>
    </row>
    <row r="168" spans="1:24" x14ac:dyDescent="0.25">
      <c r="A168" s="20" t="s">
        <v>467</v>
      </c>
      <c r="B168" s="19">
        <v>45307</v>
      </c>
      <c r="C168" s="20" t="s">
        <v>468</v>
      </c>
      <c r="D168" s="20" t="s">
        <v>65</v>
      </c>
      <c r="E168" s="20" t="s">
        <v>49</v>
      </c>
      <c r="F168" s="20" t="s">
        <v>2580</v>
      </c>
      <c r="G168" s="20" t="s">
        <v>2581</v>
      </c>
      <c r="H168" s="20" t="s">
        <v>52</v>
      </c>
      <c r="I168" s="20" t="s">
        <v>53</v>
      </c>
      <c r="J168" s="20" t="s">
        <v>122</v>
      </c>
      <c r="K168" s="20" t="s">
        <v>144</v>
      </c>
      <c r="L168" s="20" t="s">
        <v>2687</v>
      </c>
      <c r="M168" s="20" t="s">
        <v>153</v>
      </c>
      <c r="N168" s="20" t="s">
        <v>75</v>
      </c>
      <c r="O168" s="20">
        <v>49</v>
      </c>
      <c r="P168" s="20">
        <v>26.16</v>
      </c>
      <c r="Q168" s="20">
        <v>13</v>
      </c>
      <c r="R168" s="20">
        <v>1281.68</v>
      </c>
      <c r="S168" s="20">
        <v>0.2</v>
      </c>
      <c r="T168" s="20">
        <v>256.33999999999997</v>
      </c>
      <c r="U168" s="20">
        <v>1025.3399999999999</v>
      </c>
      <c r="V168" s="20">
        <v>636.84</v>
      </c>
      <c r="W168" s="20">
        <v>388.5</v>
      </c>
      <c r="X168" s="20" t="s">
        <v>45</v>
      </c>
    </row>
    <row r="169" spans="1:24" x14ac:dyDescent="0.25">
      <c r="A169" s="23" t="s">
        <v>469</v>
      </c>
      <c r="B169" s="22">
        <v>45487</v>
      </c>
      <c r="C169" s="23" t="s">
        <v>104</v>
      </c>
      <c r="D169" s="23" t="s">
        <v>105</v>
      </c>
      <c r="E169" s="23" t="s">
        <v>36</v>
      </c>
      <c r="F169" s="23" t="s">
        <v>37</v>
      </c>
      <c r="G169" s="23" t="s">
        <v>2579</v>
      </c>
      <c r="H169" s="23" t="s">
        <v>39</v>
      </c>
      <c r="I169" s="23" t="s">
        <v>27</v>
      </c>
      <c r="J169" s="23" t="s">
        <v>189</v>
      </c>
      <c r="K169" s="23" t="s">
        <v>118</v>
      </c>
      <c r="L169" s="23" t="s">
        <v>2686</v>
      </c>
      <c r="M169" s="23" t="s">
        <v>61</v>
      </c>
      <c r="N169" s="23" t="s">
        <v>84</v>
      </c>
      <c r="O169" s="23">
        <v>19</v>
      </c>
      <c r="P169" s="23">
        <v>160.6</v>
      </c>
      <c r="Q169" s="23">
        <v>97.39</v>
      </c>
      <c r="R169" s="23">
        <v>3051.48</v>
      </c>
      <c r="S169" s="23">
        <v>0</v>
      </c>
      <c r="T169" s="23">
        <v>0</v>
      </c>
      <c r="U169" s="23">
        <v>3051.48</v>
      </c>
      <c r="V169" s="23">
        <v>1850.35</v>
      </c>
      <c r="W169" s="23">
        <v>1201.1300000000001</v>
      </c>
      <c r="X169" s="23" t="s">
        <v>45</v>
      </c>
    </row>
    <row r="170" spans="1:24" x14ac:dyDescent="0.25">
      <c r="A170" s="20" t="s">
        <v>470</v>
      </c>
      <c r="B170" s="19">
        <v>45551</v>
      </c>
      <c r="C170" s="20" t="s">
        <v>471</v>
      </c>
      <c r="D170" s="20" t="s">
        <v>125</v>
      </c>
      <c r="E170" s="20" t="s">
        <v>222</v>
      </c>
      <c r="F170" s="20" t="s">
        <v>2597</v>
      </c>
      <c r="G170" s="20" t="s">
        <v>2587</v>
      </c>
      <c r="H170" s="20" t="s">
        <v>68</v>
      </c>
      <c r="I170" s="20" t="s">
        <v>27</v>
      </c>
      <c r="J170" s="20" t="s">
        <v>189</v>
      </c>
      <c r="K170" s="20" t="s">
        <v>178</v>
      </c>
      <c r="L170" s="20" t="s">
        <v>2689</v>
      </c>
      <c r="M170" s="20" t="s">
        <v>61</v>
      </c>
      <c r="N170" s="20" t="s">
        <v>70</v>
      </c>
      <c r="O170" s="20">
        <v>4</v>
      </c>
      <c r="P170" s="20">
        <v>124.15</v>
      </c>
      <c r="Q170" s="20">
        <v>79.98</v>
      </c>
      <c r="R170" s="20">
        <v>496.59</v>
      </c>
      <c r="S170" s="20">
        <v>0.15</v>
      </c>
      <c r="T170" s="20">
        <v>74.489999999999995</v>
      </c>
      <c r="U170" s="20">
        <v>422.1</v>
      </c>
      <c r="V170" s="20">
        <v>319.93</v>
      </c>
      <c r="W170" s="20">
        <v>102.17</v>
      </c>
      <c r="X170" s="20" t="s">
        <v>32</v>
      </c>
    </row>
    <row r="171" spans="1:24" x14ac:dyDescent="0.25">
      <c r="A171" s="23" t="s">
        <v>472</v>
      </c>
      <c r="B171" s="22">
        <v>45492</v>
      </c>
      <c r="C171" s="23" t="s">
        <v>473</v>
      </c>
      <c r="D171" s="23" t="s">
        <v>22</v>
      </c>
      <c r="E171" s="23" t="s">
        <v>23</v>
      </c>
      <c r="F171" s="23" t="s">
        <v>2576</v>
      </c>
      <c r="G171" s="23" t="s">
        <v>2577</v>
      </c>
      <c r="H171" s="23" t="s">
        <v>26</v>
      </c>
      <c r="I171" s="23" t="s">
        <v>88</v>
      </c>
      <c r="J171" s="23" t="s">
        <v>2112</v>
      </c>
      <c r="K171" s="23" t="s">
        <v>195</v>
      </c>
      <c r="L171" s="23" t="s">
        <v>2691</v>
      </c>
      <c r="M171" s="23" t="s">
        <v>30</v>
      </c>
      <c r="N171" s="23" t="s">
        <v>2578</v>
      </c>
      <c r="O171" s="23">
        <v>38</v>
      </c>
      <c r="P171" s="23">
        <v>77.010000000000005</v>
      </c>
      <c r="Q171" s="23">
        <v>41.69</v>
      </c>
      <c r="R171" s="23">
        <v>2926.41</v>
      </c>
      <c r="S171" s="23">
        <v>0.2</v>
      </c>
      <c r="T171" s="23">
        <v>585.28</v>
      </c>
      <c r="U171" s="23">
        <v>2341.13</v>
      </c>
      <c r="V171" s="23">
        <v>1584.34</v>
      </c>
      <c r="W171" s="23">
        <v>756.79</v>
      </c>
      <c r="X171" s="23" t="s">
        <v>45</v>
      </c>
    </row>
    <row r="172" spans="1:24" x14ac:dyDescent="0.25">
      <c r="A172" s="20" t="s">
        <v>474</v>
      </c>
      <c r="B172" s="19">
        <v>45347</v>
      </c>
      <c r="C172" s="20" t="s">
        <v>475</v>
      </c>
      <c r="D172" s="20" t="s">
        <v>57</v>
      </c>
      <c r="E172" s="20" t="s">
        <v>216</v>
      </c>
      <c r="F172" s="20" t="s">
        <v>2596</v>
      </c>
      <c r="G172" s="20" t="s">
        <v>2579</v>
      </c>
      <c r="H172" s="20" t="s">
        <v>134</v>
      </c>
      <c r="I172" s="20" t="s">
        <v>88</v>
      </c>
      <c r="J172" s="20" t="s">
        <v>2112</v>
      </c>
      <c r="K172" s="20" t="s">
        <v>60</v>
      </c>
      <c r="L172" s="20" t="s">
        <v>2677</v>
      </c>
      <c r="M172" s="20" t="s">
        <v>30</v>
      </c>
      <c r="N172" s="20" t="s">
        <v>2578</v>
      </c>
      <c r="O172" s="20">
        <v>24</v>
      </c>
      <c r="P172" s="20">
        <v>105.28</v>
      </c>
      <c r="Q172" s="20">
        <v>61.79</v>
      </c>
      <c r="R172" s="20">
        <v>2526.8000000000002</v>
      </c>
      <c r="S172" s="20">
        <v>0.02</v>
      </c>
      <c r="T172" s="20">
        <v>50.54</v>
      </c>
      <c r="U172" s="20">
        <v>2476.27</v>
      </c>
      <c r="V172" s="20">
        <v>1483.06</v>
      </c>
      <c r="W172" s="20">
        <v>993.21</v>
      </c>
      <c r="X172" s="20" t="s">
        <v>32</v>
      </c>
    </row>
    <row r="173" spans="1:24" x14ac:dyDescent="0.25">
      <c r="A173" s="23" t="s">
        <v>476</v>
      </c>
      <c r="B173" s="22">
        <v>45485</v>
      </c>
      <c r="C173" s="23" t="s">
        <v>477</v>
      </c>
      <c r="D173" s="23" t="s">
        <v>221</v>
      </c>
      <c r="E173" s="23" t="s">
        <v>49</v>
      </c>
      <c r="F173" s="23" t="s">
        <v>2580</v>
      </c>
      <c r="G173" s="23" t="s">
        <v>2581</v>
      </c>
      <c r="H173" s="23" t="s">
        <v>52</v>
      </c>
      <c r="I173" s="23" t="s">
        <v>53</v>
      </c>
      <c r="J173" s="23" t="s">
        <v>122</v>
      </c>
      <c r="K173" s="23" t="s">
        <v>184</v>
      </c>
      <c r="L173" s="23" t="s">
        <v>2690</v>
      </c>
      <c r="M173" s="23" t="s">
        <v>30</v>
      </c>
      <c r="N173" s="23" t="s">
        <v>84</v>
      </c>
      <c r="O173" s="23">
        <v>11</v>
      </c>
      <c r="P173" s="23">
        <v>26.03</v>
      </c>
      <c r="Q173" s="23">
        <v>12.3</v>
      </c>
      <c r="R173" s="23">
        <v>286.32</v>
      </c>
      <c r="S173" s="23">
        <v>0.1</v>
      </c>
      <c r="T173" s="23">
        <v>28.63</v>
      </c>
      <c r="U173" s="23">
        <v>257.69</v>
      </c>
      <c r="V173" s="23">
        <v>135.26</v>
      </c>
      <c r="W173" s="23">
        <v>122.43</v>
      </c>
      <c r="X173" s="23" t="s">
        <v>32</v>
      </c>
    </row>
    <row r="174" spans="1:24" x14ac:dyDescent="0.25">
      <c r="A174" s="20" t="s">
        <v>478</v>
      </c>
      <c r="B174" s="19">
        <v>45607</v>
      </c>
      <c r="C174" s="20" t="s">
        <v>234</v>
      </c>
      <c r="D174" s="20" t="s">
        <v>159</v>
      </c>
      <c r="E174" s="20" t="s">
        <v>132</v>
      </c>
      <c r="F174" s="20" t="s">
        <v>133</v>
      </c>
      <c r="G174" s="20" t="s">
        <v>2581</v>
      </c>
      <c r="H174" s="20" t="s">
        <v>134</v>
      </c>
      <c r="I174" s="20" t="s">
        <v>40</v>
      </c>
      <c r="J174" s="20" t="s">
        <v>82</v>
      </c>
      <c r="K174" s="20" t="s">
        <v>69</v>
      </c>
      <c r="L174" s="20" t="s">
        <v>2681</v>
      </c>
      <c r="M174" s="20" t="s">
        <v>43</v>
      </c>
      <c r="N174" s="20" t="s">
        <v>2578</v>
      </c>
      <c r="O174" s="20">
        <v>46</v>
      </c>
      <c r="P174" s="20">
        <v>61.12</v>
      </c>
      <c r="Q174" s="20">
        <v>36.619999999999997</v>
      </c>
      <c r="R174" s="20">
        <v>2811.63</v>
      </c>
      <c r="S174" s="20">
        <v>0.05</v>
      </c>
      <c r="T174" s="20">
        <v>140.58000000000001</v>
      </c>
      <c r="U174" s="20">
        <v>2671.05</v>
      </c>
      <c r="V174" s="20">
        <v>1684.41</v>
      </c>
      <c r="W174" s="20">
        <v>986.64</v>
      </c>
      <c r="X174" s="20" t="s">
        <v>32</v>
      </c>
    </row>
    <row r="175" spans="1:24" x14ac:dyDescent="0.25">
      <c r="A175" s="23" t="s">
        <v>479</v>
      </c>
      <c r="B175" s="22">
        <v>45390</v>
      </c>
      <c r="C175" s="23" t="s">
        <v>480</v>
      </c>
      <c r="D175" s="23" t="s">
        <v>22</v>
      </c>
      <c r="E175" s="23" t="s">
        <v>150</v>
      </c>
      <c r="F175" s="23" t="s">
        <v>2591</v>
      </c>
      <c r="G175" s="23" t="s">
        <v>2587</v>
      </c>
      <c r="H175" s="23" t="s">
        <v>134</v>
      </c>
      <c r="I175" s="23" t="s">
        <v>88</v>
      </c>
      <c r="J175" s="23" t="s">
        <v>2112</v>
      </c>
      <c r="K175" s="23" t="s">
        <v>265</v>
      </c>
      <c r="L175" s="23" t="s">
        <v>2663</v>
      </c>
      <c r="M175" s="23" t="s">
        <v>30</v>
      </c>
      <c r="N175" s="23" t="s">
        <v>75</v>
      </c>
      <c r="O175" s="23">
        <v>17</v>
      </c>
      <c r="P175" s="23">
        <v>79.06</v>
      </c>
      <c r="Q175" s="23">
        <v>55</v>
      </c>
      <c r="R175" s="23">
        <v>1344.05</v>
      </c>
      <c r="S175" s="23">
        <v>0</v>
      </c>
      <c r="T175" s="23">
        <v>0</v>
      </c>
      <c r="U175" s="23">
        <v>1344.05</v>
      </c>
      <c r="V175" s="23">
        <v>934.97</v>
      </c>
      <c r="W175" s="23">
        <v>409.09</v>
      </c>
      <c r="X175" s="23" t="s">
        <v>129</v>
      </c>
    </row>
    <row r="176" spans="1:24" x14ac:dyDescent="0.25">
      <c r="A176" s="20" t="s">
        <v>481</v>
      </c>
      <c r="B176" s="19">
        <v>45509</v>
      </c>
      <c r="C176" s="20" t="s">
        <v>208</v>
      </c>
      <c r="D176" s="20" t="s">
        <v>35</v>
      </c>
      <c r="E176" s="20" t="s">
        <v>132</v>
      </c>
      <c r="F176" s="20" t="s">
        <v>133</v>
      </c>
      <c r="G176" s="20" t="s">
        <v>2581</v>
      </c>
      <c r="H176" s="20" t="s">
        <v>134</v>
      </c>
      <c r="I176" s="20" t="s">
        <v>40</v>
      </c>
      <c r="J176" s="20" t="s">
        <v>117</v>
      </c>
      <c r="K176" s="20" t="s">
        <v>265</v>
      </c>
      <c r="L176" s="20" t="s">
        <v>2663</v>
      </c>
      <c r="M176" s="20" t="s">
        <v>153</v>
      </c>
      <c r="N176" s="20" t="s">
        <v>70</v>
      </c>
      <c r="O176" s="20">
        <v>3</v>
      </c>
      <c r="P176" s="20">
        <v>62.64</v>
      </c>
      <c r="Q176" s="20">
        <v>32.56</v>
      </c>
      <c r="R176" s="20">
        <v>187.93</v>
      </c>
      <c r="S176" s="20">
        <v>0.15</v>
      </c>
      <c r="T176" s="20">
        <v>28.19</v>
      </c>
      <c r="U176" s="20">
        <v>159.74</v>
      </c>
      <c r="V176" s="20">
        <v>97.67</v>
      </c>
      <c r="W176" s="20">
        <v>62.07</v>
      </c>
      <c r="X176" s="20" t="s">
        <v>45</v>
      </c>
    </row>
    <row r="177" spans="1:24" x14ac:dyDescent="0.25">
      <c r="A177" s="23" t="s">
        <v>482</v>
      </c>
      <c r="B177" s="22">
        <v>45558</v>
      </c>
      <c r="C177" s="23" t="s">
        <v>483</v>
      </c>
      <c r="D177" s="23" t="s">
        <v>159</v>
      </c>
      <c r="E177" s="23" t="s">
        <v>93</v>
      </c>
      <c r="F177" s="23" t="s">
        <v>2585</v>
      </c>
      <c r="G177" s="23" t="s">
        <v>2586</v>
      </c>
      <c r="H177" s="23" t="s">
        <v>96</v>
      </c>
      <c r="I177" s="23" t="s">
        <v>27</v>
      </c>
      <c r="J177" s="23" t="s">
        <v>211</v>
      </c>
      <c r="K177" s="23" t="s">
        <v>111</v>
      </c>
      <c r="L177" s="23" t="s">
        <v>2685</v>
      </c>
      <c r="M177" s="23" t="s">
        <v>61</v>
      </c>
      <c r="N177" s="23" t="s">
        <v>44</v>
      </c>
      <c r="O177" s="23">
        <v>79</v>
      </c>
      <c r="P177" s="23">
        <v>56</v>
      </c>
      <c r="Q177" s="23">
        <v>30.3</v>
      </c>
      <c r="R177" s="23">
        <v>4423.84</v>
      </c>
      <c r="S177" s="23">
        <v>0.2</v>
      </c>
      <c r="T177" s="23">
        <v>884.77</v>
      </c>
      <c r="U177" s="23">
        <v>3539.07</v>
      </c>
      <c r="V177" s="23">
        <v>2393.3200000000002</v>
      </c>
      <c r="W177" s="23">
        <v>1145.75</v>
      </c>
      <c r="X177" s="23" t="s">
        <v>45</v>
      </c>
    </row>
    <row r="178" spans="1:24" x14ac:dyDescent="0.25">
      <c r="A178" s="20" t="s">
        <v>484</v>
      </c>
      <c r="B178" s="19">
        <v>45356</v>
      </c>
      <c r="C178" s="20" t="s">
        <v>485</v>
      </c>
      <c r="D178" s="20" t="s">
        <v>22</v>
      </c>
      <c r="E178" s="20" t="s">
        <v>93</v>
      </c>
      <c r="F178" s="20" t="s">
        <v>2585</v>
      </c>
      <c r="G178" s="20" t="s">
        <v>2586</v>
      </c>
      <c r="H178" s="20" t="s">
        <v>96</v>
      </c>
      <c r="I178" s="20" t="s">
        <v>40</v>
      </c>
      <c r="J178" s="20" t="s">
        <v>117</v>
      </c>
      <c r="K178" s="20" t="s">
        <v>253</v>
      </c>
      <c r="L178" s="20" t="s">
        <v>2694</v>
      </c>
      <c r="M178" s="20" t="s">
        <v>153</v>
      </c>
      <c r="N178" s="20" t="s">
        <v>2578</v>
      </c>
      <c r="O178" s="20">
        <v>63</v>
      </c>
      <c r="P178" s="20">
        <v>56.81</v>
      </c>
      <c r="Q178" s="20">
        <v>34.18</v>
      </c>
      <c r="R178" s="20">
        <v>3578.97</v>
      </c>
      <c r="S178" s="20">
        <v>0.02</v>
      </c>
      <c r="T178" s="20">
        <v>71.58</v>
      </c>
      <c r="U178" s="20">
        <v>3507.39</v>
      </c>
      <c r="V178" s="20">
        <v>2153.17</v>
      </c>
      <c r="W178" s="20">
        <v>1354.22</v>
      </c>
      <c r="X178" s="20" t="s">
        <v>129</v>
      </c>
    </row>
    <row r="179" spans="1:24" x14ac:dyDescent="0.25">
      <c r="A179" s="23" t="s">
        <v>486</v>
      </c>
      <c r="B179" s="22">
        <v>45442</v>
      </c>
      <c r="C179" s="23" t="s">
        <v>487</v>
      </c>
      <c r="D179" s="23" t="s">
        <v>156</v>
      </c>
      <c r="E179" s="23" t="s">
        <v>126</v>
      </c>
      <c r="F179" s="23" t="s">
        <v>2589</v>
      </c>
      <c r="G179" s="23" t="s">
        <v>2586</v>
      </c>
      <c r="H179" s="23" t="s">
        <v>128</v>
      </c>
      <c r="I179" s="23" t="s">
        <v>88</v>
      </c>
      <c r="J179" s="23" t="s">
        <v>135</v>
      </c>
      <c r="K179" s="23" t="s">
        <v>60</v>
      </c>
      <c r="L179" s="23" t="s">
        <v>2677</v>
      </c>
      <c r="M179" s="23" t="s">
        <v>30</v>
      </c>
      <c r="N179" s="23" t="s">
        <v>2578</v>
      </c>
      <c r="O179" s="23">
        <v>79</v>
      </c>
      <c r="P179" s="23">
        <v>92.82</v>
      </c>
      <c r="Q179" s="23">
        <v>50.07</v>
      </c>
      <c r="R179" s="23">
        <v>7332.99</v>
      </c>
      <c r="S179" s="23">
        <v>0</v>
      </c>
      <c r="T179" s="23">
        <v>0</v>
      </c>
      <c r="U179" s="23">
        <v>7332.99</v>
      </c>
      <c r="V179" s="23">
        <v>3955.14</v>
      </c>
      <c r="W179" s="23">
        <v>3377.86</v>
      </c>
      <c r="X179" s="23" t="s">
        <v>45</v>
      </c>
    </row>
    <row r="180" spans="1:24" x14ac:dyDescent="0.25">
      <c r="A180" s="20" t="s">
        <v>488</v>
      </c>
      <c r="B180" s="19">
        <v>45499</v>
      </c>
      <c r="C180" s="20" t="s">
        <v>489</v>
      </c>
      <c r="D180" s="20" t="s">
        <v>105</v>
      </c>
      <c r="E180" s="20" t="s">
        <v>126</v>
      </c>
      <c r="F180" s="20" t="s">
        <v>2589</v>
      </c>
      <c r="G180" s="20" t="s">
        <v>2586</v>
      </c>
      <c r="H180" s="20" t="s">
        <v>128</v>
      </c>
      <c r="I180" s="20" t="s">
        <v>27</v>
      </c>
      <c r="J180" s="20" t="s">
        <v>106</v>
      </c>
      <c r="K180" s="20" t="s">
        <v>74</v>
      </c>
      <c r="L180" s="20" t="s">
        <v>2682</v>
      </c>
      <c r="M180" s="20" t="s">
        <v>61</v>
      </c>
      <c r="N180" s="20" t="s">
        <v>70</v>
      </c>
      <c r="O180" s="20">
        <v>73</v>
      </c>
      <c r="P180" s="20">
        <v>89.83</v>
      </c>
      <c r="Q180" s="20">
        <v>52.17</v>
      </c>
      <c r="R180" s="20">
        <v>6557.91</v>
      </c>
      <c r="S180" s="20">
        <v>0.02</v>
      </c>
      <c r="T180" s="20">
        <v>131.16</v>
      </c>
      <c r="U180" s="20">
        <v>6426.75</v>
      </c>
      <c r="V180" s="20">
        <v>3808.26</v>
      </c>
      <c r="W180" s="20">
        <v>2618.48</v>
      </c>
      <c r="X180" s="20" t="s">
        <v>32</v>
      </c>
    </row>
    <row r="181" spans="1:24" x14ac:dyDescent="0.25">
      <c r="A181" s="23" t="s">
        <v>490</v>
      </c>
      <c r="B181" s="22">
        <v>45641</v>
      </c>
      <c r="C181" s="23" t="s">
        <v>491</v>
      </c>
      <c r="D181" s="23" t="s">
        <v>57</v>
      </c>
      <c r="E181" s="23" t="s">
        <v>222</v>
      </c>
      <c r="F181" s="23" t="s">
        <v>2597</v>
      </c>
      <c r="G181" s="23" t="s">
        <v>2587</v>
      </c>
      <c r="H181" s="23" t="s">
        <v>68</v>
      </c>
      <c r="I181" s="23" t="s">
        <v>27</v>
      </c>
      <c r="J181" s="23" t="s">
        <v>189</v>
      </c>
      <c r="K181" s="23" t="s">
        <v>178</v>
      </c>
      <c r="L181" s="23" t="s">
        <v>2689</v>
      </c>
      <c r="M181" s="23" t="s">
        <v>43</v>
      </c>
      <c r="N181" s="23" t="s">
        <v>2578</v>
      </c>
      <c r="O181" s="23">
        <v>53</v>
      </c>
      <c r="P181" s="23">
        <v>112.76</v>
      </c>
      <c r="Q181" s="23">
        <v>82.85</v>
      </c>
      <c r="R181" s="23">
        <v>5976.28</v>
      </c>
      <c r="S181" s="23">
        <v>0.15</v>
      </c>
      <c r="T181" s="23">
        <v>896.44</v>
      </c>
      <c r="U181" s="23">
        <v>5079.84</v>
      </c>
      <c r="V181" s="23">
        <v>4391.07</v>
      </c>
      <c r="W181" s="23">
        <v>688.77</v>
      </c>
      <c r="X181" s="23" t="s">
        <v>45</v>
      </c>
    </row>
    <row r="182" spans="1:24" x14ac:dyDescent="0.25">
      <c r="A182" s="20" t="s">
        <v>492</v>
      </c>
      <c r="B182" s="19">
        <v>45567</v>
      </c>
      <c r="C182" s="20" t="s">
        <v>493</v>
      </c>
      <c r="D182" s="20" t="s">
        <v>121</v>
      </c>
      <c r="E182" s="20" t="s">
        <v>49</v>
      </c>
      <c r="F182" s="20" t="s">
        <v>2580</v>
      </c>
      <c r="G182" s="20" t="s">
        <v>2581</v>
      </c>
      <c r="H182" s="20" t="s">
        <v>52</v>
      </c>
      <c r="I182" s="20" t="s">
        <v>27</v>
      </c>
      <c r="J182" s="20" t="s">
        <v>106</v>
      </c>
      <c r="K182" s="20" t="s">
        <v>83</v>
      </c>
      <c r="L182" s="20" t="s">
        <v>2683</v>
      </c>
      <c r="M182" s="20" t="s">
        <v>43</v>
      </c>
      <c r="N182" s="20" t="s">
        <v>70</v>
      </c>
      <c r="O182" s="20">
        <v>63</v>
      </c>
      <c r="P182" s="20">
        <v>24.48</v>
      </c>
      <c r="Q182" s="20">
        <v>12.07</v>
      </c>
      <c r="R182" s="20">
        <v>1542.19</v>
      </c>
      <c r="S182" s="20">
        <v>0.05</v>
      </c>
      <c r="T182" s="20">
        <v>77.11</v>
      </c>
      <c r="U182" s="20">
        <v>1465.08</v>
      </c>
      <c r="V182" s="20">
        <v>760.34</v>
      </c>
      <c r="W182" s="20">
        <v>704.74</v>
      </c>
      <c r="X182" s="20" t="s">
        <v>32</v>
      </c>
    </row>
    <row r="183" spans="1:24" x14ac:dyDescent="0.25">
      <c r="A183" s="23" t="s">
        <v>494</v>
      </c>
      <c r="B183" s="22">
        <v>45490</v>
      </c>
      <c r="C183" s="23" t="s">
        <v>495</v>
      </c>
      <c r="D183" s="23" t="s">
        <v>125</v>
      </c>
      <c r="E183" s="23" t="s">
        <v>176</v>
      </c>
      <c r="F183" s="23" t="s">
        <v>2593</v>
      </c>
      <c r="G183" s="23" t="s">
        <v>2587</v>
      </c>
      <c r="H183" s="23" t="s">
        <v>39</v>
      </c>
      <c r="I183" s="23" t="s">
        <v>40</v>
      </c>
      <c r="J183" s="23" t="s">
        <v>82</v>
      </c>
      <c r="K183" s="23" t="s">
        <v>69</v>
      </c>
      <c r="L183" s="23" t="s">
        <v>2681</v>
      </c>
      <c r="M183" s="23" t="s">
        <v>43</v>
      </c>
      <c r="N183" s="23" t="s">
        <v>70</v>
      </c>
      <c r="O183" s="23">
        <v>42</v>
      </c>
      <c r="P183" s="23">
        <v>103.17</v>
      </c>
      <c r="Q183" s="23">
        <v>60.32</v>
      </c>
      <c r="R183" s="23">
        <v>4333.1099999999997</v>
      </c>
      <c r="S183" s="23">
        <v>0.2</v>
      </c>
      <c r="T183" s="23">
        <v>866.62</v>
      </c>
      <c r="U183" s="23">
        <v>3466.49</v>
      </c>
      <c r="V183" s="23">
        <v>2533.4699999999998</v>
      </c>
      <c r="W183" s="23">
        <v>933.02</v>
      </c>
      <c r="X183" s="23" t="s">
        <v>45</v>
      </c>
    </row>
    <row r="184" spans="1:24" x14ac:dyDescent="0.25">
      <c r="A184" s="20" t="s">
        <v>496</v>
      </c>
      <c r="B184" s="19">
        <v>45656</v>
      </c>
      <c r="C184" s="20" t="s">
        <v>497</v>
      </c>
      <c r="D184" s="20" t="s">
        <v>35</v>
      </c>
      <c r="E184" s="20" t="s">
        <v>49</v>
      </c>
      <c r="F184" s="20" t="s">
        <v>2580</v>
      </c>
      <c r="G184" s="20" t="s">
        <v>2581</v>
      </c>
      <c r="H184" s="20" t="s">
        <v>52</v>
      </c>
      <c r="I184" s="20" t="s">
        <v>27</v>
      </c>
      <c r="J184" s="20" t="s">
        <v>211</v>
      </c>
      <c r="K184" s="20" t="s">
        <v>83</v>
      </c>
      <c r="L184" s="20" t="s">
        <v>2683</v>
      </c>
      <c r="M184" s="20" t="s">
        <v>61</v>
      </c>
      <c r="N184" s="20" t="s">
        <v>70</v>
      </c>
      <c r="O184" s="20">
        <v>57</v>
      </c>
      <c r="P184" s="20">
        <v>26.76</v>
      </c>
      <c r="Q184" s="20">
        <v>13.94</v>
      </c>
      <c r="R184" s="20">
        <v>1525.42</v>
      </c>
      <c r="S184" s="20">
        <v>0</v>
      </c>
      <c r="T184" s="20">
        <v>0</v>
      </c>
      <c r="U184" s="20">
        <v>1525.42</v>
      </c>
      <c r="V184" s="20">
        <v>794.82</v>
      </c>
      <c r="W184" s="20">
        <v>730.61</v>
      </c>
      <c r="X184" s="20" t="s">
        <v>45</v>
      </c>
    </row>
    <row r="185" spans="1:24" x14ac:dyDescent="0.25">
      <c r="A185" s="23" t="s">
        <v>498</v>
      </c>
      <c r="B185" s="22">
        <v>45443</v>
      </c>
      <c r="C185" s="23" t="s">
        <v>499</v>
      </c>
      <c r="D185" s="23" t="s">
        <v>87</v>
      </c>
      <c r="E185" s="23" t="s">
        <v>216</v>
      </c>
      <c r="F185" s="23" t="s">
        <v>2596</v>
      </c>
      <c r="G185" s="23" t="s">
        <v>2579</v>
      </c>
      <c r="H185" s="23" t="s">
        <v>134</v>
      </c>
      <c r="I185" s="23" t="s">
        <v>88</v>
      </c>
      <c r="J185" s="23" t="s">
        <v>2619</v>
      </c>
      <c r="K185" s="23" t="s">
        <v>184</v>
      </c>
      <c r="L185" s="23" t="s">
        <v>2690</v>
      </c>
      <c r="M185" s="23" t="s">
        <v>30</v>
      </c>
      <c r="N185" s="23" t="s">
        <v>2578</v>
      </c>
      <c r="O185" s="23">
        <v>32</v>
      </c>
      <c r="P185" s="23">
        <v>112.3</v>
      </c>
      <c r="Q185" s="23">
        <v>66.44</v>
      </c>
      <c r="R185" s="23">
        <v>3593.74</v>
      </c>
      <c r="S185" s="23">
        <v>0</v>
      </c>
      <c r="T185" s="23">
        <v>0</v>
      </c>
      <c r="U185" s="23">
        <v>3593.74</v>
      </c>
      <c r="V185" s="23">
        <v>2126.0500000000002</v>
      </c>
      <c r="W185" s="23">
        <v>1467.69</v>
      </c>
      <c r="X185" s="23" t="s">
        <v>32</v>
      </c>
    </row>
    <row r="186" spans="1:24" x14ac:dyDescent="0.25">
      <c r="A186" s="20" t="s">
        <v>500</v>
      </c>
      <c r="B186" s="19">
        <v>45295</v>
      </c>
      <c r="C186" s="20" t="s">
        <v>293</v>
      </c>
      <c r="D186" s="20" t="s">
        <v>65</v>
      </c>
      <c r="E186" s="20" t="s">
        <v>109</v>
      </c>
      <c r="F186" s="20" t="s">
        <v>110</v>
      </c>
      <c r="G186" s="20" t="s">
        <v>2584</v>
      </c>
      <c r="H186" s="20" t="s">
        <v>81</v>
      </c>
      <c r="I186" s="20" t="s">
        <v>40</v>
      </c>
      <c r="J186" s="20" t="s">
        <v>117</v>
      </c>
      <c r="K186" s="20" t="s">
        <v>253</v>
      </c>
      <c r="L186" s="20" t="s">
        <v>2694</v>
      </c>
      <c r="M186" s="20" t="s">
        <v>153</v>
      </c>
      <c r="N186" s="20" t="s">
        <v>2619</v>
      </c>
      <c r="O186" s="20">
        <v>66</v>
      </c>
      <c r="P186" s="20">
        <v>122.18</v>
      </c>
      <c r="Q186" s="20">
        <v>78.47</v>
      </c>
      <c r="R186" s="20">
        <v>8063.66</v>
      </c>
      <c r="S186" s="20">
        <v>0.2</v>
      </c>
      <c r="T186" s="20">
        <v>1612.73</v>
      </c>
      <c r="U186" s="20">
        <v>6450.92</v>
      </c>
      <c r="V186" s="20">
        <v>5178.76</v>
      </c>
      <c r="W186" s="20">
        <v>1272.17</v>
      </c>
      <c r="X186" s="20" t="s">
        <v>129</v>
      </c>
    </row>
    <row r="187" spans="1:24" x14ac:dyDescent="0.25">
      <c r="A187" s="23" t="s">
        <v>501</v>
      </c>
      <c r="B187" s="22">
        <v>45378</v>
      </c>
      <c r="C187" s="23" t="s">
        <v>241</v>
      </c>
      <c r="D187" s="23" t="s">
        <v>87</v>
      </c>
      <c r="E187" s="23" t="s">
        <v>109</v>
      </c>
      <c r="F187" s="23" t="s">
        <v>110</v>
      </c>
      <c r="G187" s="23" t="s">
        <v>2584</v>
      </c>
      <c r="H187" s="23" t="s">
        <v>81</v>
      </c>
      <c r="I187" s="23" t="s">
        <v>27</v>
      </c>
      <c r="J187" s="23" t="s">
        <v>211</v>
      </c>
      <c r="K187" s="23" t="s">
        <v>218</v>
      </c>
      <c r="L187" s="23" t="s">
        <v>2692</v>
      </c>
      <c r="M187" s="23" t="s">
        <v>153</v>
      </c>
      <c r="N187" s="23" t="s">
        <v>70</v>
      </c>
      <c r="O187" s="23">
        <v>15</v>
      </c>
      <c r="P187" s="23">
        <v>116.31</v>
      </c>
      <c r="Q187" s="23">
        <v>73.849999999999994</v>
      </c>
      <c r="R187" s="23">
        <v>1744.61</v>
      </c>
      <c r="S187" s="23">
        <v>0.02</v>
      </c>
      <c r="T187" s="23">
        <v>34.89</v>
      </c>
      <c r="U187" s="23">
        <v>1709.72</v>
      </c>
      <c r="V187" s="23">
        <v>1107.79</v>
      </c>
      <c r="W187" s="23">
        <v>601.92999999999995</v>
      </c>
      <c r="X187" s="23" t="s">
        <v>32</v>
      </c>
    </row>
    <row r="188" spans="1:24" x14ac:dyDescent="0.25">
      <c r="A188" s="20" t="s">
        <v>502</v>
      </c>
      <c r="B188" s="19">
        <v>45383</v>
      </c>
      <c r="C188" s="20" t="s">
        <v>503</v>
      </c>
      <c r="D188" s="20" t="s">
        <v>87</v>
      </c>
      <c r="E188" s="20" t="s">
        <v>222</v>
      </c>
      <c r="F188" s="20" t="s">
        <v>2597</v>
      </c>
      <c r="G188" s="20" t="s">
        <v>2587</v>
      </c>
      <c r="H188" s="20" t="s">
        <v>68</v>
      </c>
      <c r="I188" s="20" t="s">
        <v>58</v>
      </c>
      <c r="J188" s="20" t="s">
        <v>345</v>
      </c>
      <c r="K188" s="20" t="s">
        <v>42</v>
      </c>
      <c r="L188" s="20" t="s">
        <v>2680</v>
      </c>
      <c r="M188" s="20" t="s">
        <v>61</v>
      </c>
      <c r="N188" s="20" t="s">
        <v>2578</v>
      </c>
      <c r="O188" s="20">
        <v>41</v>
      </c>
      <c r="P188" s="20">
        <v>119.3</v>
      </c>
      <c r="Q188" s="20">
        <v>76.17</v>
      </c>
      <c r="R188" s="20">
        <v>4891.42</v>
      </c>
      <c r="S188" s="20">
        <v>0</v>
      </c>
      <c r="T188" s="20">
        <v>0</v>
      </c>
      <c r="U188" s="20">
        <v>4891.42</v>
      </c>
      <c r="V188" s="20">
        <v>3122.96</v>
      </c>
      <c r="W188" s="20">
        <v>1768.46</v>
      </c>
      <c r="X188" s="20" t="s">
        <v>45</v>
      </c>
    </row>
    <row r="189" spans="1:24" x14ac:dyDescent="0.25">
      <c r="A189" s="23" t="s">
        <v>504</v>
      </c>
      <c r="B189" s="22">
        <v>45297</v>
      </c>
      <c r="C189" s="23" t="s">
        <v>408</v>
      </c>
      <c r="D189" s="23" t="s">
        <v>65</v>
      </c>
      <c r="E189" s="23" t="s">
        <v>209</v>
      </c>
      <c r="F189" s="23" t="s">
        <v>2595</v>
      </c>
      <c r="G189" s="23" t="s">
        <v>2581</v>
      </c>
      <c r="H189" s="23" t="s">
        <v>116</v>
      </c>
      <c r="I189" s="23" t="s">
        <v>27</v>
      </c>
      <c r="J189" s="23" t="s">
        <v>189</v>
      </c>
      <c r="K189" s="23" t="s">
        <v>248</v>
      </c>
      <c r="L189" s="23" t="s">
        <v>2693</v>
      </c>
      <c r="M189" s="23" t="s">
        <v>30</v>
      </c>
      <c r="N189" s="23" t="s">
        <v>44</v>
      </c>
      <c r="O189" s="23">
        <v>36</v>
      </c>
      <c r="P189" s="23">
        <v>16.71</v>
      </c>
      <c r="Q189" s="23">
        <v>10.01</v>
      </c>
      <c r="R189" s="23">
        <v>601.52</v>
      </c>
      <c r="S189" s="23">
        <v>0</v>
      </c>
      <c r="T189" s="23">
        <v>0</v>
      </c>
      <c r="U189" s="23">
        <v>601.52</v>
      </c>
      <c r="V189" s="23">
        <v>360.28</v>
      </c>
      <c r="W189" s="23">
        <v>241.24</v>
      </c>
      <c r="X189" s="23" t="s">
        <v>45</v>
      </c>
    </row>
    <row r="190" spans="1:24" x14ac:dyDescent="0.25">
      <c r="A190" s="20" t="s">
        <v>505</v>
      </c>
      <c r="B190" s="19">
        <v>45524</v>
      </c>
      <c r="C190" s="20" t="s">
        <v>506</v>
      </c>
      <c r="D190" s="20" t="s">
        <v>264</v>
      </c>
      <c r="E190" s="20" t="s">
        <v>250</v>
      </c>
      <c r="F190" s="20" t="s">
        <v>2598</v>
      </c>
      <c r="G190" s="20" t="s">
        <v>2581</v>
      </c>
      <c r="H190" s="20" t="s">
        <v>252</v>
      </c>
      <c r="I190" s="20" t="s">
        <v>88</v>
      </c>
      <c r="J190" s="20" t="s">
        <v>135</v>
      </c>
      <c r="K190" s="20" t="s">
        <v>152</v>
      </c>
      <c r="L190" s="20" t="s">
        <v>2688</v>
      </c>
      <c r="M190" s="20" t="s">
        <v>43</v>
      </c>
      <c r="N190" s="20" t="s">
        <v>75</v>
      </c>
      <c r="O190" s="20">
        <v>53</v>
      </c>
      <c r="P190" s="20">
        <v>68.77</v>
      </c>
      <c r="Q190" s="20">
        <v>39.880000000000003</v>
      </c>
      <c r="R190" s="20">
        <v>3644.6</v>
      </c>
      <c r="S190" s="20">
        <v>0.1</v>
      </c>
      <c r="T190" s="20">
        <v>364.46</v>
      </c>
      <c r="U190" s="20">
        <v>3280.14</v>
      </c>
      <c r="V190" s="20">
        <v>2113.7399999999998</v>
      </c>
      <c r="W190" s="20">
        <v>1166.4100000000001</v>
      </c>
      <c r="X190" s="20" t="s">
        <v>32</v>
      </c>
    </row>
    <row r="191" spans="1:24" x14ac:dyDescent="0.25">
      <c r="A191" s="23" t="s">
        <v>507</v>
      </c>
      <c r="B191" s="22">
        <v>45585</v>
      </c>
      <c r="C191" s="23" t="s">
        <v>155</v>
      </c>
      <c r="D191" s="23" t="s">
        <v>156</v>
      </c>
      <c r="E191" s="23" t="s">
        <v>141</v>
      </c>
      <c r="F191" s="23" t="s">
        <v>2590</v>
      </c>
      <c r="G191" s="23" t="s">
        <v>2577</v>
      </c>
      <c r="H191" s="23" t="s">
        <v>26</v>
      </c>
      <c r="I191" s="23" t="s">
        <v>40</v>
      </c>
      <c r="J191" s="23" t="s">
        <v>82</v>
      </c>
      <c r="K191" s="23" t="s">
        <v>111</v>
      </c>
      <c r="L191" s="23" t="s">
        <v>2685</v>
      </c>
      <c r="M191" s="23" t="s">
        <v>153</v>
      </c>
      <c r="N191" s="23" t="s">
        <v>70</v>
      </c>
      <c r="O191" s="23">
        <v>52</v>
      </c>
      <c r="P191" s="23">
        <v>99.7</v>
      </c>
      <c r="Q191" s="23">
        <v>60.88</v>
      </c>
      <c r="R191" s="23">
        <v>5184.5200000000004</v>
      </c>
      <c r="S191" s="23">
        <v>0.2</v>
      </c>
      <c r="T191" s="23">
        <v>1036.9000000000001</v>
      </c>
      <c r="U191" s="23">
        <v>4147.62</v>
      </c>
      <c r="V191" s="23">
        <v>3165.65</v>
      </c>
      <c r="W191" s="23">
        <v>981.97</v>
      </c>
      <c r="X191" s="23" t="s">
        <v>45</v>
      </c>
    </row>
    <row r="192" spans="1:24" x14ac:dyDescent="0.25">
      <c r="A192" s="20" t="s">
        <v>508</v>
      </c>
      <c r="B192" s="19">
        <v>45359</v>
      </c>
      <c r="C192" s="20" t="s">
        <v>509</v>
      </c>
      <c r="D192" s="20" t="s">
        <v>264</v>
      </c>
      <c r="E192" s="20" t="s">
        <v>222</v>
      </c>
      <c r="F192" s="20" t="s">
        <v>2597</v>
      </c>
      <c r="G192" s="20" t="s">
        <v>2587</v>
      </c>
      <c r="H192" s="20" t="s">
        <v>68</v>
      </c>
      <c r="I192" s="20" t="s">
        <v>88</v>
      </c>
      <c r="J192" s="20" t="s">
        <v>173</v>
      </c>
      <c r="K192" s="20" t="s">
        <v>69</v>
      </c>
      <c r="L192" s="20" t="s">
        <v>2681</v>
      </c>
      <c r="M192" s="20" t="s">
        <v>61</v>
      </c>
      <c r="N192" s="20" t="s">
        <v>75</v>
      </c>
      <c r="O192" s="20">
        <v>67</v>
      </c>
      <c r="P192" s="20">
        <v>126.52</v>
      </c>
      <c r="Q192" s="20">
        <v>71.81</v>
      </c>
      <c r="R192" s="20">
        <v>8476.5300000000007</v>
      </c>
      <c r="S192" s="20">
        <v>0.05</v>
      </c>
      <c r="T192" s="20">
        <v>423.83</v>
      </c>
      <c r="U192" s="20">
        <v>8052.7</v>
      </c>
      <c r="V192" s="20">
        <v>4811.1099999999997</v>
      </c>
      <c r="W192" s="20">
        <v>3241.58</v>
      </c>
      <c r="X192" s="20" t="s">
        <v>32</v>
      </c>
    </row>
    <row r="193" spans="1:24" x14ac:dyDescent="0.25">
      <c r="A193" s="23" t="s">
        <v>510</v>
      </c>
      <c r="B193" s="22">
        <v>45461</v>
      </c>
      <c r="C193" s="23" t="s">
        <v>511</v>
      </c>
      <c r="D193" s="23" t="s">
        <v>163</v>
      </c>
      <c r="E193" s="23" t="s">
        <v>209</v>
      </c>
      <c r="F193" s="23" t="s">
        <v>2595</v>
      </c>
      <c r="G193" s="23" t="s">
        <v>2581</v>
      </c>
      <c r="H193" s="23" t="s">
        <v>116</v>
      </c>
      <c r="I193" s="23" t="s">
        <v>40</v>
      </c>
      <c r="J193" s="23" t="s">
        <v>41</v>
      </c>
      <c r="K193" s="23" t="s">
        <v>42</v>
      </c>
      <c r="L193" s="23" t="s">
        <v>2680</v>
      </c>
      <c r="M193" s="23" t="s">
        <v>153</v>
      </c>
      <c r="N193" s="23" t="s">
        <v>75</v>
      </c>
      <c r="O193" s="23">
        <v>47</v>
      </c>
      <c r="P193" s="23">
        <v>18.21</v>
      </c>
      <c r="Q193" s="23">
        <v>10.14</v>
      </c>
      <c r="R193" s="23">
        <v>855.73</v>
      </c>
      <c r="S193" s="23">
        <v>0.2</v>
      </c>
      <c r="T193" s="23">
        <v>171.15</v>
      </c>
      <c r="U193" s="23">
        <v>684.58</v>
      </c>
      <c r="V193" s="23">
        <v>476.6</v>
      </c>
      <c r="W193" s="23">
        <v>207.98</v>
      </c>
      <c r="X193" s="23" t="s">
        <v>129</v>
      </c>
    </row>
    <row r="194" spans="1:24" x14ac:dyDescent="0.25">
      <c r="A194" s="20" t="s">
        <v>512</v>
      </c>
      <c r="B194" s="19">
        <v>45530</v>
      </c>
      <c r="C194" s="20" t="s">
        <v>513</v>
      </c>
      <c r="D194" s="20" t="s">
        <v>48</v>
      </c>
      <c r="E194" s="20" t="s">
        <v>209</v>
      </c>
      <c r="F194" s="20" t="s">
        <v>2595</v>
      </c>
      <c r="G194" s="20" t="s">
        <v>2581</v>
      </c>
      <c r="H194" s="20" t="s">
        <v>116</v>
      </c>
      <c r="I194" s="20" t="s">
        <v>53</v>
      </c>
      <c r="J194" s="20" t="s">
        <v>232</v>
      </c>
      <c r="K194" s="20" t="s">
        <v>152</v>
      </c>
      <c r="L194" s="20" t="s">
        <v>2688</v>
      </c>
      <c r="M194" s="20" t="s">
        <v>61</v>
      </c>
      <c r="N194" s="20" t="s">
        <v>84</v>
      </c>
      <c r="O194" s="20">
        <v>20</v>
      </c>
      <c r="P194" s="20">
        <v>16.61</v>
      </c>
      <c r="Q194" s="20">
        <v>10.74</v>
      </c>
      <c r="R194" s="20">
        <v>332.24</v>
      </c>
      <c r="S194" s="20">
        <v>0.15</v>
      </c>
      <c r="T194" s="20">
        <v>49.84</v>
      </c>
      <c r="U194" s="20">
        <v>282.39999999999998</v>
      </c>
      <c r="V194" s="20">
        <v>214.81</v>
      </c>
      <c r="W194" s="20">
        <v>67.59</v>
      </c>
      <c r="X194" s="20" t="s">
        <v>45</v>
      </c>
    </row>
    <row r="195" spans="1:24" x14ac:dyDescent="0.25">
      <c r="A195" s="23" t="s">
        <v>514</v>
      </c>
      <c r="B195" s="22">
        <v>45308</v>
      </c>
      <c r="C195" s="23" t="s">
        <v>515</v>
      </c>
      <c r="D195" s="23" t="s">
        <v>48</v>
      </c>
      <c r="E195" s="23" t="s">
        <v>216</v>
      </c>
      <c r="F195" s="23" t="s">
        <v>2596</v>
      </c>
      <c r="G195" s="23" t="s">
        <v>2579</v>
      </c>
      <c r="H195" s="23" t="s">
        <v>134</v>
      </c>
      <c r="I195" s="23" t="s">
        <v>27</v>
      </c>
      <c r="J195" s="23" t="s">
        <v>28</v>
      </c>
      <c r="K195" s="23" t="s">
        <v>69</v>
      </c>
      <c r="L195" s="23" t="s">
        <v>2681</v>
      </c>
      <c r="M195" s="23" t="s">
        <v>153</v>
      </c>
      <c r="N195" s="23" t="s">
        <v>84</v>
      </c>
      <c r="O195" s="23">
        <v>59</v>
      </c>
      <c r="P195" s="23">
        <v>102.37</v>
      </c>
      <c r="Q195" s="23">
        <v>69.58</v>
      </c>
      <c r="R195" s="23">
        <v>6039.85</v>
      </c>
      <c r="S195" s="23">
        <v>0</v>
      </c>
      <c r="T195" s="23">
        <v>0</v>
      </c>
      <c r="U195" s="23">
        <v>6039.85</v>
      </c>
      <c r="V195" s="23">
        <v>4105.5</v>
      </c>
      <c r="W195" s="23">
        <v>1934.35</v>
      </c>
      <c r="X195" s="23" t="s">
        <v>45</v>
      </c>
    </row>
    <row r="196" spans="1:24" x14ac:dyDescent="0.25">
      <c r="A196" s="20" t="s">
        <v>516</v>
      </c>
      <c r="B196" s="19">
        <v>45432</v>
      </c>
      <c r="C196" s="20" t="s">
        <v>517</v>
      </c>
      <c r="D196" s="20" t="s">
        <v>163</v>
      </c>
      <c r="E196" s="20" t="s">
        <v>165</v>
      </c>
      <c r="F196" s="20" t="s">
        <v>2592</v>
      </c>
      <c r="G196" s="20" t="s">
        <v>2586</v>
      </c>
      <c r="H196" s="20" t="s">
        <v>167</v>
      </c>
      <c r="I196" s="20" t="s">
        <v>88</v>
      </c>
      <c r="J196" s="20" t="s">
        <v>183</v>
      </c>
      <c r="K196" s="20" t="s">
        <v>248</v>
      </c>
      <c r="L196" s="20" t="s">
        <v>2693</v>
      </c>
      <c r="M196" s="20" t="s">
        <v>43</v>
      </c>
      <c r="N196" s="20" t="s">
        <v>75</v>
      </c>
      <c r="O196" s="20">
        <v>72</v>
      </c>
      <c r="P196" s="20">
        <v>43.94</v>
      </c>
      <c r="Q196" s="20">
        <v>26.57</v>
      </c>
      <c r="R196" s="20">
        <v>3163.8</v>
      </c>
      <c r="S196" s="20">
        <v>0.15</v>
      </c>
      <c r="T196" s="20">
        <v>474.57</v>
      </c>
      <c r="U196" s="20">
        <v>2689.23</v>
      </c>
      <c r="V196" s="20">
        <v>1912.86</v>
      </c>
      <c r="W196" s="20">
        <v>776.37</v>
      </c>
      <c r="X196" s="20" t="s">
        <v>45</v>
      </c>
    </row>
    <row r="197" spans="1:24" x14ac:dyDescent="0.25">
      <c r="A197" s="23" t="s">
        <v>518</v>
      </c>
      <c r="B197" s="22">
        <v>45594</v>
      </c>
      <c r="C197" s="23" t="s">
        <v>519</v>
      </c>
      <c r="D197" s="23" t="s">
        <v>121</v>
      </c>
      <c r="E197" s="23" t="s">
        <v>66</v>
      </c>
      <c r="F197" s="23" t="s">
        <v>2582</v>
      </c>
      <c r="G197" s="23" t="s">
        <v>2579</v>
      </c>
      <c r="H197" s="23" t="s">
        <v>68</v>
      </c>
      <c r="I197" s="23" t="s">
        <v>53</v>
      </c>
      <c r="J197" s="23" t="s">
        <v>54</v>
      </c>
      <c r="K197" s="23" t="s">
        <v>170</v>
      </c>
      <c r="L197" s="23" t="s">
        <v>2671</v>
      </c>
      <c r="M197" s="23" t="s">
        <v>43</v>
      </c>
      <c r="N197" s="23" t="s">
        <v>2578</v>
      </c>
      <c r="O197" s="23">
        <v>14</v>
      </c>
      <c r="P197" s="23">
        <v>168.01</v>
      </c>
      <c r="Q197" s="23">
        <v>107.63</v>
      </c>
      <c r="R197" s="23">
        <v>2352.17</v>
      </c>
      <c r="S197" s="23">
        <v>0.05</v>
      </c>
      <c r="T197" s="23">
        <v>117.61</v>
      </c>
      <c r="U197" s="23">
        <v>2234.5700000000002</v>
      </c>
      <c r="V197" s="23">
        <v>1506.81</v>
      </c>
      <c r="W197" s="23">
        <v>727.75</v>
      </c>
      <c r="X197" s="23" t="s">
        <v>129</v>
      </c>
    </row>
    <row r="198" spans="1:24" x14ac:dyDescent="0.25">
      <c r="A198" s="20" t="s">
        <v>521</v>
      </c>
      <c r="B198" s="19">
        <v>45581</v>
      </c>
      <c r="C198" s="20" t="s">
        <v>305</v>
      </c>
      <c r="D198" s="20" t="s">
        <v>87</v>
      </c>
      <c r="E198" s="20" t="s">
        <v>132</v>
      </c>
      <c r="F198" s="20" t="s">
        <v>133</v>
      </c>
      <c r="G198" s="20" t="s">
        <v>2581</v>
      </c>
      <c r="H198" s="20" t="s">
        <v>134</v>
      </c>
      <c r="I198" s="20" t="s">
        <v>27</v>
      </c>
      <c r="J198" s="20" t="s">
        <v>106</v>
      </c>
      <c r="K198" s="20" t="s">
        <v>118</v>
      </c>
      <c r="L198" s="20" t="s">
        <v>2686</v>
      </c>
      <c r="M198" s="20" t="s">
        <v>43</v>
      </c>
      <c r="N198" s="20" t="s">
        <v>44</v>
      </c>
      <c r="O198" s="20">
        <v>62</v>
      </c>
      <c r="P198" s="20">
        <v>61.61</v>
      </c>
      <c r="Q198" s="20">
        <v>34.51</v>
      </c>
      <c r="R198" s="20">
        <v>3819.88</v>
      </c>
      <c r="S198" s="20">
        <v>0.2</v>
      </c>
      <c r="T198" s="20">
        <v>763.98</v>
      </c>
      <c r="U198" s="20">
        <v>3055.9</v>
      </c>
      <c r="V198" s="20">
        <v>2139.44</v>
      </c>
      <c r="W198" s="20">
        <v>916.46</v>
      </c>
      <c r="X198" s="20" t="s">
        <v>129</v>
      </c>
    </row>
    <row r="199" spans="1:24" x14ac:dyDescent="0.25">
      <c r="A199" s="23" t="s">
        <v>522</v>
      </c>
      <c r="B199" s="22">
        <v>45322</v>
      </c>
      <c r="C199" s="23" t="s">
        <v>451</v>
      </c>
      <c r="D199" s="23" t="s">
        <v>87</v>
      </c>
      <c r="E199" s="23" t="s">
        <v>165</v>
      </c>
      <c r="F199" s="23" t="s">
        <v>2592</v>
      </c>
      <c r="G199" s="23" t="s">
        <v>2586</v>
      </c>
      <c r="H199" s="23" t="s">
        <v>167</v>
      </c>
      <c r="I199" s="23" t="s">
        <v>40</v>
      </c>
      <c r="J199" s="23" t="s">
        <v>82</v>
      </c>
      <c r="K199" s="23" t="s">
        <v>90</v>
      </c>
      <c r="L199" s="23" t="s">
        <v>2684</v>
      </c>
      <c r="M199" s="23" t="s">
        <v>30</v>
      </c>
      <c r="N199" s="23" t="s">
        <v>44</v>
      </c>
      <c r="O199" s="23">
        <v>1</v>
      </c>
      <c r="P199" s="23">
        <v>43.71</v>
      </c>
      <c r="Q199" s="23">
        <v>25.31</v>
      </c>
      <c r="R199" s="23">
        <v>43.71</v>
      </c>
      <c r="S199" s="23">
        <v>0.15</v>
      </c>
      <c r="T199" s="23">
        <v>6.56</v>
      </c>
      <c r="U199" s="23">
        <v>37.15</v>
      </c>
      <c r="V199" s="23">
        <v>25.31</v>
      </c>
      <c r="W199" s="23">
        <v>11.84</v>
      </c>
      <c r="X199" s="23" t="s">
        <v>32</v>
      </c>
    </row>
    <row r="200" spans="1:24" x14ac:dyDescent="0.25">
      <c r="A200" s="20" t="s">
        <v>523</v>
      </c>
      <c r="B200" s="19">
        <v>45533</v>
      </c>
      <c r="C200" s="20" t="s">
        <v>524</v>
      </c>
      <c r="D200" s="20" t="s">
        <v>125</v>
      </c>
      <c r="E200" s="20" t="s">
        <v>78</v>
      </c>
      <c r="F200" s="20" t="s">
        <v>2583</v>
      </c>
      <c r="G200" s="20" t="s">
        <v>2584</v>
      </c>
      <c r="H200" s="20" t="s">
        <v>81</v>
      </c>
      <c r="I200" s="20" t="s">
        <v>27</v>
      </c>
      <c r="J200" s="20" t="s">
        <v>28</v>
      </c>
      <c r="K200" s="20" t="s">
        <v>83</v>
      </c>
      <c r="L200" s="20" t="s">
        <v>2683</v>
      </c>
      <c r="M200" s="20" t="s">
        <v>61</v>
      </c>
      <c r="N200" s="20" t="s">
        <v>70</v>
      </c>
      <c r="O200" s="20">
        <v>4</v>
      </c>
      <c r="P200" s="20">
        <v>143.35</v>
      </c>
      <c r="Q200" s="20">
        <v>86.58</v>
      </c>
      <c r="R200" s="20">
        <v>573.41</v>
      </c>
      <c r="S200" s="20">
        <v>0.15</v>
      </c>
      <c r="T200" s="20">
        <v>86.01</v>
      </c>
      <c r="U200" s="20">
        <v>487.4</v>
      </c>
      <c r="V200" s="20">
        <v>346.33</v>
      </c>
      <c r="W200" s="20">
        <v>141.07</v>
      </c>
      <c r="X200" s="20" t="s">
        <v>129</v>
      </c>
    </row>
    <row r="201" spans="1:24" x14ac:dyDescent="0.25">
      <c r="A201" s="23" t="s">
        <v>525</v>
      </c>
      <c r="B201" s="22">
        <v>45475</v>
      </c>
      <c r="C201" s="23" t="s">
        <v>526</v>
      </c>
      <c r="D201" s="23" t="s">
        <v>159</v>
      </c>
      <c r="E201" s="23" t="s">
        <v>93</v>
      </c>
      <c r="F201" s="23" t="s">
        <v>2585</v>
      </c>
      <c r="G201" s="23" t="s">
        <v>2586</v>
      </c>
      <c r="H201" s="23" t="s">
        <v>96</v>
      </c>
      <c r="I201" s="23" t="s">
        <v>58</v>
      </c>
      <c r="J201" s="23" t="s">
        <v>73</v>
      </c>
      <c r="K201" s="23" t="s">
        <v>170</v>
      </c>
      <c r="L201" s="23" t="s">
        <v>2671</v>
      </c>
      <c r="M201" s="23" t="s">
        <v>61</v>
      </c>
      <c r="N201" s="23" t="s">
        <v>75</v>
      </c>
      <c r="O201" s="23">
        <v>25</v>
      </c>
      <c r="P201" s="23">
        <v>52.79</v>
      </c>
      <c r="Q201" s="23">
        <v>33.25</v>
      </c>
      <c r="R201" s="23">
        <v>1319.67</v>
      </c>
      <c r="S201" s="23">
        <v>0.02</v>
      </c>
      <c r="T201" s="23">
        <v>26.39</v>
      </c>
      <c r="U201" s="23">
        <v>1293.27</v>
      </c>
      <c r="V201" s="23">
        <v>831.23</v>
      </c>
      <c r="W201" s="23">
        <v>462.05</v>
      </c>
      <c r="X201" s="23" t="s">
        <v>129</v>
      </c>
    </row>
    <row r="202" spans="1:24" x14ac:dyDescent="0.25">
      <c r="A202" s="20" t="s">
        <v>527</v>
      </c>
      <c r="B202" s="19">
        <v>45490</v>
      </c>
      <c r="C202" s="20" t="s">
        <v>408</v>
      </c>
      <c r="D202" s="20" t="s">
        <v>65</v>
      </c>
      <c r="E202" s="20" t="s">
        <v>132</v>
      </c>
      <c r="F202" s="20" t="s">
        <v>133</v>
      </c>
      <c r="G202" s="20" t="s">
        <v>2581</v>
      </c>
      <c r="H202" s="20" t="s">
        <v>134</v>
      </c>
      <c r="I202" s="20" t="s">
        <v>58</v>
      </c>
      <c r="J202" s="20" t="s">
        <v>59</v>
      </c>
      <c r="K202" s="20" t="s">
        <v>111</v>
      </c>
      <c r="L202" s="20" t="s">
        <v>2685</v>
      </c>
      <c r="M202" s="20" t="s">
        <v>30</v>
      </c>
      <c r="N202" s="20" t="s">
        <v>44</v>
      </c>
      <c r="O202" s="20">
        <v>48</v>
      </c>
      <c r="P202" s="20">
        <v>61.78</v>
      </c>
      <c r="Q202" s="20">
        <v>33.090000000000003</v>
      </c>
      <c r="R202" s="20">
        <v>2965.45</v>
      </c>
      <c r="S202" s="20">
        <f>ROUND(Cleaned_Sales!$T202/Cleaned_Sales!$R202,2)</f>
        <v>0.02</v>
      </c>
      <c r="T202" s="20">
        <v>59.31</v>
      </c>
      <c r="U202" s="20">
        <v>2906.14</v>
      </c>
      <c r="V202" s="20">
        <v>1588.25</v>
      </c>
      <c r="W202" s="20">
        <v>1317.89</v>
      </c>
      <c r="X202" s="20" t="s">
        <v>32</v>
      </c>
    </row>
    <row r="203" spans="1:24" x14ac:dyDescent="0.25">
      <c r="A203" s="23" t="s">
        <v>528</v>
      </c>
      <c r="B203" s="22">
        <v>45294</v>
      </c>
      <c r="C203" s="23" t="s">
        <v>529</v>
      </c>
      <c r="D203" s="23" t="s">
        <v>256</v>
      </c>
      <c r="E203" s="23" t="s">
        <v>150</v>
      </c>
      <c r="F203" s="23" t="s">
        <v>2591</v>
      </c>
      <c r="G203" s="23" t="s">
        <v>2587</v>
      </c>
      <c r="H203" s="23" t="s">
        <v>134</v>
      </c>
      <c r="I203" s="23" t="s">
        <v>58</v>
      </c>
      <c r="J203" s="23" t="s">
        <v>59</v>
      </c>
      <c r="K203" s="23" t="s">
        <v>111</v>
      </c>
      <c r="L203" s="23" t="s">
        <v>2685</v>
      </c>
      <c r="M203" s="23" t="s">
        <v>61</v>
      </c>
      <c r="N203" s="23" t="s">
        <v>84</v>
      </c>
      <c r="O203" s="23">
        <v>53</v>
      </c>
      <c r="P203" s="23">
        <v>79.260000000000005</v>
      </c>
      <c r="Q203" s="23">
        <v>50.25</v>
      </c>
      <c r="R203" s="23">
        <v>4200.57</v>
      </c>
      <c r="S203" s="23">
        <v>0.02</v>
      </c>
      <c r="T203" s="23">
        <v>84.01</v>
      </c>
      <c r="U203" s="23">
        <v>4595.32</v>
      </c>
      <c r="V203" s="23">
        <v>2663.01</v>
      </c>
      <c r="W203" s="23">
        <v>1453.54</v>
      </c>
      <c r="X203" s="23" t="s">
        <v>45</v>
      </c>
    </row>
    <row r="204" spans="1:24" x14ac:dyDescent="0.25">
      <c r="A204" s="20" t="s">
        <v>530</v>
      </c>
      <c r="B204" s="19">
        <v>45305</v>
      </c>
      <c r="C204" s="20" t="s">
        <v>531</v>
      </c>
      <c r="D204" s="20" t="s">
        <v>264</v>
      </c>
      <c r="E204" s="20" t="s">
        <v>165</v>
      </c>
      <c r="F204" s="20" t="s">
        <v>2592</v>
      </c>
      <c r="G204" s="20" t="s">
        <v>2586</v>
      </c>
      <c r="H204" s="20" t="s">
        <v>167</v>
      </c>
      <c r="I204" s="20" t="s">
        <v>88</v>
      </c>
      <c r="J204" s="20" t="s">
        <v>183</v>
      </c>
      <c r="K204" s="20" t="s">
        <v>195</v>
      </c>
      <c r="L204" s="20" t="s">
        <v>2691</v>
      </c>
      <c r="M204" s="20" t="s">
        <v>61</v>
      </c>
      <c r="N204" s="20" t="s">
        <v>2578</v>
      </c>
      <c r="O204" s="20">
        <v>64</v>
      </c>
      <c r="P204" s="20">
        <v>39.630000000000003</v>
      </c>
      <c r="Q204" s="20">
        <v>23.03</v>
      </c>
      <c r="R204" s="20">
        <v>2536.31</v>
      </c>
      <c r="S204" s="20">
        <v>0.02</v>
      </c>
      <c r="T204" s="20">
        <v>50.73</v>
      </c>
      <c r="U204" s="20">
        <v>2485.59</v>
      </c>
      <c r="V204" s="20">
        <v>1474.01</v>
      </c>
      <c r="W204" s="20">
        <v>1011.58</v>
      </c>
      <c r="X204" s="20" t="s">
        <v>129</v>
      </c>
    </row>
    <row r="205" spans="1:24" x14ac:dyDescent="0.25">
      <c r="A205" s="23" t="s">
        <v>532</v>
      </c>
      <c r="B205" s="22">
        <v>45296</v>
      </c>
      <c r="C205" s="23" t="s">
        <v>533</v>
      </c>
      <c r="D205" s="23" t="s">
        <v>163</v>
      </c>
      <c r="E205" s="23" t="s">
        <v>78</v>
      </c>
      <c r="F205" s="23" t="s">
        <v>2583</v>
      </c>
      <c r="G205" s="23" t="s">
        <v>2584</v>
      </c>
      <c r="H205" s="23" t="s">
        <v>81</v>
      </c>
      <c r="I205" s="23" t="s">
        <v>88</v>
      </c>
      <c r="J205" s="23" t="s">
        <v>173</v>
      </c>
      <c r="K205" s="23" t="s">
        <v>90</v>
      </c>
      <c r="L205" s="23" t="s">
        <v>2684</v>
      </c>
      <c r="M205" s="23" t="s">
        <v>61</v>
      </c>
      <c r="N205" s="23" t="s">
        <v>75</v>
      </c>
      <c r="O205" s="23">
        <v>55</v>
      </c>
      <c r="P205" s="23">
        <v>138.81</v>
      </c>
      <c r="Q205" s="23">
        <v>82.02</v>
      </c>
      <c r="R205" s="23">
        <v>7634.35</v>
      </c>
      <c r="S205" s="23">
        <v>0.02</v>
      </c>
      <c r="T205" s="23">
        <v>152.69</v>
      </c>
      <c r="U205" s="23">
        <v>7481.67</v>
      </c>
      <c r="V205" s="23">
        <v>4511.1000000000004</v>
      </c>
      <c r="W205" s="23">
        <v>2970.57</v>
      </c>
      <c r="X205" s="23" t="s">
        <v>45</v>
      </c>
    </row>
    <row r="206" spans="1:24" x14ac:dyDescent="0.25">
      <c r="A206" s="20" t="s">
        <v>534</v>
      </c>
      <c r="B206" s="19">
        <v>45440</v>
      </c>
      <c r="C206" s="20" t="s">
        <v>535</v>
      </c>
      <c r="D206" s="20" t="s">
        <v>221</v>
      </c>
      <c r="E206" s="20" t="s">
        <v>216</v>
      </c>
      <c r="F206" s="20" t="s">
        <v>2596</v>
      </c>
      <c r="G206" s="20" t="s">
        <v>2579</v>
      </c>
      <c r="H206" s="20" t="s">
        <v>134</v>
      </c>
      <c r="I206" s="20" t="s">
        <v>88</v>
      </c>
      <c r="J206" s="20" t="s">
        <v>135</v>
      </c>
      <c r="K206" s="20" t="s">
        <v>218</v>
      </c>
      <c r="L206" s="20" t="s">
        <v>2692</v>
      </c>
      <c r="M206" s="20" t="s">
        <v>153</v>
      </c>
      <c r="N206" s="20" t="s">
        <v>2578</v>
      </c>
      <c r="O206" s="20">
        <v>71</v>
      </c>
      <c r="P206" s="20">
        <v>106.07</v>
      </c>
      <c r="Q206" s="20">
        <v>67.989999999999995</v>
      </c>
      <c r="R206" s="20">
        <v>7531.12</v>
      </c>
      <c r="S206" s="20">
        <v>0.1</v>
      </c>
      <c r="T206" s="20">
        <v>753.11</v>
      </c>
      <c r="U206" s="20">
        <v>6778.01</v>
      </c>
      <c r="V206" s="20">
        <v>4827.29</v>
      </c>
      <c r="W206" s="20">
        <v>1950.72</v>
      </c>
      <c r="X206" s="20" t="s">
        <v>32</v>
      </c>
    </row>
    <row r="207" spans="1:24" x14ac:dyDescent="0.25">
      <c r="A207" s="23" t="s">
        <v>536</v>
      </c>
      <c r="B207" s="22">
        <v>45644</v>
      </c>
      <c r="C207" s="23" t="s">
        <v>537</v>
      </c>
      <c r="D207" s="23" t="s">
        <v>359</v>
      </c>
      <c r="E207" s="23" t="s">
        <v>114</v>
      </c>
      <c r="F207" s="23" t="s">
        <v>2588</v>
      </c>
      <c r="G207" s="23" t="s">
        <v>2586</v>
      </c>
      <c r="H207" s="23" t="s">
        <v>116</v>
      </c>
      <c r="I207" s="23" t="s">
        <v>58</v>
      </c>
      <c r="J207" s="23" t="s">
        <v>323</v>
      </c>
      <c r="K207" s="23" t="s">
        <v>170</v>
      </c>
      <c r="L207" s="23" t="s">
        <v>2671</v>
      </c>
      <c r="M207" s="23" t="s">
        <v>153</v>
      </c>
      <c r="N207" s="23" t="s">
        <v>84</v>
      </c>
      <c r="O207" s="23">
        <v>65</v>
      </c>
      <c r="P207" s="23">
        <v>35.19</v>
      </c>
      <c r="Q207" s="23">
        <v>22.24</v>
      </c>
      <c r="R207" s="23">
        <v>2287.15</v>
      </c>
      <c r="S207" s="23">
        <v>0.1</v>
      </c>
      <c r="T207" s="23">
        <v>228.72</v>
      </c>
      <c r="U207" s="23">
        <v>2058.44</v>
      </c>
      <c r="V207" s="23">
        <v>1445.8</v>
      </c>
      <c r="W207" s="23">
        <v>612.64</v>
      </c>
      <c r="X207" s="23" t="s">
        <v>32</v>
      </c>
    </row>
    <row r="208" spans="1:24" x14ac:dyDescent="0.25">
      <c r="A208" s="20" t="s">
        <v>538</v>
      </c>
      <c r="B208" s="19">
        <v>45649</v>
      </c>
      <c r="C208" s="20" t="s">
        <v>511</v>
      </c>
      <c r="D208" s="20" t="s">
        <v>163</v>
      </c>
      <c r="E208" s="20" t="s">
        <v>126</v>
      </c>
      <c r="F208" s="20" t="s">
        <v>2589</v>
      </c>
      <c r="G208" s="20" t="s">
        <v>2586</v>
      </c>
      <c r="H208" s="20" t="s">
        <v>128</v>
      </c>
      <c r="I208" s="20" t="s">
        <v>88</v>
      </c>
      <c r="J208" s="20" t="s">
        <v>173</v>
      </c>
      <c r="K208" s="20" t="s">
        <v>111</v>
      </c>
      <c r="L208" s="20" t="s">
        <v>2685</v>
      </c>
      <c r="M208" s="20" t="s">
        <v>30</v>
      </c>
      <c r="N208" s="20" t="s">
        <v>2578</v>
      </c>
      <c r="O208" s="20">
        <v>70</v>
      </c>
      <c r="P208" s="20">
        <v>96.15</v>
      </c>
      <c r="Q208" s="20">
        <v>49.65</v>
      </c>
      <c r="R208" s="20">
        <v>6730.53</v>
      </c>
      <c r="S208" s="20">
        <v>0.15</v>
      </c>
      <c r="T208" s="20">
        <v>1009.58</v>
      </c>
      <c r="U208" s="20">
        <v>5720.95</v>
      </c>
      <c r="V208" s="20">
        <v>3475.76</v>
      </c>
      <c r="W208" s="20">
        <v>2245.19</v>
      </c>
      <c r="X208" s="20" t="s">
        <v>32</v>
      </c>
    </row>
    <row r="209" spans="1:24" x14ac:dyDescent="0.25">
      <c r="A209" s="23" t="s">
        <v>539</v>
      </c>
      <c r="B209" s="22">
        <v>45327</v>
      </c>
      <c r="C209" s="23" t="s">
        <v>454</v>
      </c>
      <c r="D209" s="23" t="s">
        <v>156</v>
      </c>
      <c r="E209" s="23" t="s">
        <v>66</v>
      </c>
      <c r="F209" s="23" t="s">
        <v>2582</v>
      </c>
      <c r="G209" s="23" t="s">
        <v>2579</v>
      </c>
      <c r="H209" s="23" t="s">
        <v>68</v>
      </c>
      <c r="I209" s="23" t="s">
        <v>58</v>
      </c>
      <c r="J209" s="23" t="s">
        <v>59</v>
      </c>
      <c r="K209" s="23" t="s">
        <v>83</v>
      </c>
      <c r="L209" s="23" t="s">
        <v>2683</v>
      </c>
      <c r="M209" s="23" t="s">
        <v>30</v>
      </c>
      <c r="N209" s="23" t="s">
        <v>70</v>
      </c>
      <c r="O209" s="23">
        <v>27</v>
      </c>
      <c r="P209" s="23">
        <v>164.45</v>
      </c>
      <c r="Q209" s="23">
        <v>96.72</v>
      </c>
      <c r="R209" s="23">
        <v>4440.26</v>
      </c>
      <c r="S209" s="23">
        <v>0</v>
      </c>
      <c r="T209" s="23">
        <v>0</v>
      </c>
      <c r="U209" s="23">
        <v>4440.26</v>
      </c>
      <c r="V209" s="23">
        <v>2611.4699999999998</v>
      </c>
      <c r="W209" s="23">
        <v>1828.8</v>
      </c>
      <c r="X209" s="23" t="s">
        <v>32</v>
      </c>
    </row>
    <row r="210" spans="1:24" x14ac:dyDescent="0.25">
      <c r="A210" s="20" t="s">
        <v>540</v>
      </c>
      <c r="B210" s="19">
        <v>45323</v>
      </c>
      <c r="C210" s="20" t="s">
        <v>541</v>
      </c>
      <c r="D210" s="20" t="s">
        <v>159</v>
      </c>
      <c r="E210" s="20" t="s">
        <v>114</v>
      </c>
      <c r="F210" s="20" t="s">
        <v>2588</v>
      </c>
      <c r="G210" s="20" t="s">
        <v>2586</v>
      </c>
      <c r="H210" s="20" t="s">
        <v>116</v>
      </c>
      <c r="I210" s="20" t="s">
        <v>40</v>
      </c>
      <c r="J210" s="20" t="s">
        <v>41</v>
      </c>
      <c r="K210" s="20" t="s">
        <v>29</v>
      </c>
      <c r="L210" s="20" t="s">
        <v>2679</v>
      </c>
      <c r="M210" s="20" t="s">
        <v>43</v>
      </c>
      <c r="N210" s="20" t="s">
        <v>44</v>
      </c>
      <c r="O210" s="20">
        <v>34</v>
      </c>
      <c r="P210" s="20">
        <v>35.76</v>
      </c>
      <c r="Q210" s="20">
        <v>19.489999999999998</v>
      </c>
      <c r="R210" s="20">
        <v>1215.97</v>
      </c>
      <c r="S210" s="20">
        <v>0.05</v>
      </c>
      <c r="T210" s="20">
        <v>60.8</v>
      </c>
      <c r="U210" s="20">
        <v>1155.17</v>
      </c>
      <c r="V210" s="20">
        <v>662.72</v>
      </c>
      <c r="W210" s="20">
        <v>492.45</v>
      </c>
      <c r="X210" s="20" t="s">
        <v>45</v>
      </c>
    </row>
    <row r="211" spans="1:24" x14ac:dyDescent="0.25">
      <c r="A211" s="23" t="s">
        <v>542</v>
      </c>
      <c r="B211" s="22">
        <v>45341</v>
      </c>
      <c r="C211" s="23" t="s">
        <v>72</v>
      </c>
      <c r="D211" s="23" t="s">
        <v>48</v>
      </c>
      <c r="E211" s="23" t="s">
        <v>216</v>
      </c>
      <c r="F211" s="23" t="s">
        <v>2596</v>
      </c>
      <c r="G211" s="23" t="s">
        <v>2579</v>
      </c>
      <c r="H211" s="23" t="s">
        <v>134</v>
      </c>
      <c r="I211" s="23" t="s">
        <v>27</v>
      </c>
      <c r="J211" s="23" t="s">
        <v>28</v>
      </c>
      <c r="K211" s="23" t="s">
        <v>118</v>
      </c>
      <c r="L211" s="23" t="s">
        <v>2686</v>
      </c>
      <c r="M211" s="23" t="s">
        <v>30</v>
      </c>
      <c r="N211" s="23" t="s">
        <v>44</v>
      </c>
      <c r="O211" s="23">
        <v>22</v>
      </c>
      <c r="P211" s="23">
        <v>113.31</v>
      </c>
      <c r="Q211" s="23">
        <v>66.33</v>
      </c>
      <c r="R211" s="23">
        <v>2492.85</v>
      </c>
      <c r="S211" s="23">
        <v>0.2</v>
      </c>
      <c r="T211" s="23">
        <v>498.57</v>
      </c>
      <c r="U211" s="23">
        <v>1994.28</v>
      </c>
      <c r="V211" s="23">
        <v>1459.28</v>
      </c>
      <c r="W211" s="23">
        <v>534.99</v>
      </c>
      <c r="X211" s="23" t="s">
        <v>45</v>
      </c>
    </row>
    <row r="212" spans="1:24" x14ac:dyDescent="0.25">
      <c r="A212" s="20" t="s">
        <v>543</v>
      </c>
      <c r="B212" s="19">
        <v>45363</v>
      </c>
      <c r="C212" s="20" t="s">
        <v>511</v>
      </c>
      <c r="D212" s="20" t="s">
        <v>163</v>
      </c>
      <c r="E212" s="20" t="s">
        <v>109</v>
      </c>
      <c r="F212" s="20" t="s">
        <v>110</v>
      </c>
      <c r="G212" s="20" t="s">
        <v>2584</v>
      </c>
      <c r="H212" s="20" t="s">
        <v>81</v>
      </c>
      <c r="I212" s="20" t="s">
        <v>58</v>
      </c>
      <c r="J212" s="20" t="s">
        <v>345</v>
      </c>
      <c r="K212" s="20" t="s">
        <v>118</v>
      </c>
      <c r="L212" s="20" t="s">
        <v>2686</v>
      </c>
      <c r="M212" s="20" t="s">
        <v>43</v>
      </c>
      <c r="N212" s="20" t="s">
        <v>70</v>
      </c>
      <c r="O212" s="20">
        <v>24</v>
      </c>
      <c r="P212" s="20">
        <v>123.16</v>
      </c>
      <c r="Q212" s="20">
        <v>68.260000000000005</v>
      </c>
      <c r="R212" s="20">
        <v>2955.91</v>
      </c>
      <c r="S212" s="20">
        <f>ROUND(Cleaned_Sales!$T212/Cleaned_Sales!$R212,2)</f>
        <v>0</v>
      </c>
      <c r="T212" s="20">
        <v>0</v>
      </c>
      <c r="U212" s="20">
        <v>2955.91</v>
      </c>
      <c r="V212" s="20">
        <v>1638.29</v>
      </c>
      <c r="W212" s="20">
        <v>1317.62</v>
      </c>
      <c r="X212" s="20" t="s">
        <v>45</v>
      </c>
    </row>
    <row r="213" spans="1:24" x14ac:dyDescent="0.25">
      <c r="A213" s="23" t="s">
        <v>544</v>
      </c>
      <c r="B213" s="22">
        <v>45614</v>
      </c>
      <c r="C213" s="23" t="s">
        <v>545</v>
      </c>
      <c r="D213" s="23" t="s">
        <v>105</v>
      </c>
      <c r="E213" s="23" t="s">
        <v>78</v>
      </c>
      <c r="F213" s="23" t="s">
        <v>2583</v>
      </c>
      <c r="G213" s="23" t="s">
        <v>2584</v>
      </c>
      <c r="H213" s="23" t="s">
        <v>81</v>
      </c>
      <c r="I213" s="23" t="s">
        <v>53</v>
      </c>
      <c r="J213" s="23" t="s">
        <v>54</v>
      </c>
      <c r="K213" s="23" t="s">
        <v>111</v>
      </c>
      <c r="L213" s="23" t="s">
        <v>2685</v>
      </c>
      <c r="M213" s="23" t="s">
        <v>61</v>
      </c>
      <c r="N213" s="23" t="s">
        <v>75</v>
      </c>
      <c r="O213" s="23">
        <v>32</v>
      </c>
      <c r="P213" s="23">
        <v>133.65</v>
      </c>
      <c r="Q213" s="23">
        <v>76.7</v>
      </c>
      <c r="R213" s="23">
        <v>4276.96</v>
      </c>
      <c r="S213" s="23">
        <v>0.02</v>
      </c>
      <c r="T213" s="23">
        <v>85.54</v>
      </c>
      <c r="U213" s="23">
        <v>4191.42</v>
      </c>
      <c r="V213" s="23">
        <v>2454.2600000000002</v>
      </c>
      <c r="W213" s="23">
        <v>1737.16</v>
      </c>
      <c r="X213" s="23" t="s">
        <v>45</v>
      </c>
    </row>
    <row r="214" spans="1:24" x14ac:dyDescent="0.25">
      <c r="A214" s="20" t="s">
        <v>546</v>
      </c>
      <c r="B214" s="19">
        <v>45362</v>
      </c>
      <c r="C214" s="20" t="s">
        <v>531</v>
      </c>
      <c r="D214" s="20" t="s">
        <v>264</v>
      </c>
      <c r="E214" s="20" t="s">
        <v>114</v>
      </c>
      <c r="F214" s="20" t="s">
        <v>2588</v>
      </c>
      <c r="G214" s="20" t="s">
        <v>2586</v>
      </c>
      <c r="H214" s="20" t="s">
        <v>116</v>
      </c>
      <c r="I214" s="20" t="s">
        <v>27</v>
      </c>
      <c r="J214" s="20" t="s">
        <v>28</v>
      </c>
      <c r="K214" s="20" t="s">
        <v>69</v>
      </c>
      <c r="L214" s="20" t="s">
        <v>2681</v>
      </c>
      <c r="M214" s="20" t="s">
        <v>547</v>
      </c>
      <c r="N214" s="20" t="s">
        <v>2578</v>
      </c>
      <c r="O214" s="20">
        <v>76</v>
      </c>
      <c r="P214" s="20">
        <v>36.81</v>
      </c>
      <c r="Q214" s="20">
        <v>22.2</v>
      </c>
      <c r="R214" s="20">
        <v>2797.22</v>
      </c>
      <c r="S214" s="20">
        <v>0.1</v>
      </c>
      <c r="T214" s="20">
        <v>279.72000000000003</v>
      </c>
      <c r="U214" s="20">
        <v>2517.5</v>
      </c>
      <c r="V214" s="20">
        <v>1687.31</v>
      </c>
      <c r="W214" s="20">
        <v>830.19</v>
      </c>
      <c r="X214" s="20" t="s">
        <v>45</v>
      </c>
    </row>
    <row r="215" spans="1:24" x14ac:dyDescent="0.25">
      <c r="A215" s="23" t="s">
        <v>548</v>
      </c>
      <c r="B215" s="22">
        <v>45415</v>
      </c>
      <c r="C215" s="23" t="s">
        <v>549</v>
      </c>
      <c r="D215" s="23" t="s">
        <v>35</v>
      </c>
      <c r="E215" s="23" t="s">
        <v>132</v>
      </c>
      <c r="F215" s="23" t="s">
        <v>133</v>
      </c>
      <c r="G215" s="23" t="s">
        <v>2581</v>
      </c>
      <c r="H215" s="23" t="s">
        <v>134</v>
      </c>
      <c r="I215" s="23" t="s">
        <v>40</v>
      </c>
      <c r="J215" s="23" t="s">
        <v>289</v>
      </c>
      <c r="K215" s="23" t="s">
        <v>111</v>
      </c>
      <c r="L215" s="23" t="s">
        <v>2685</v>
      </c>
      <c r="M215" s="23" t="s">
        <v>43</v>
      </c>
      <c r="N215" s="23" t="s">
        <v>70</v>
      </c>
      <c r="O215" s="23">
        <v>64</v>
      </c>
      <c r="P215" s="23">
        <v>55.76</v>
      </c>
      <c r="Q215" s="23">
        <v>36.49</v>
      </c>
      <c r="R215" s="23">
        <v>3568.34</v>
      </c>
      <c r="S215" s="23">
        <v>0.2</v>
      </c>
      <c r="T215" s="23">
        <v>713.67</v>
      </c>
      <c r="U215" s="23">
        <v>2854.67</v>
      </c>
      <c r="V215" s="23">
        <v>2335.38</v>
      </c>
      <c r="W215" s="23">
        <v>519.29</v>
      </c>
      <c r="X215" s="23" t="s">
        <v>32</v>
      </c>
    </row>
    <row r="216" spans="1:24" x14ac:dyDescent="0.25">
      <c r="A216" s="20" t="s">
        <v>551</v>
      </c>
      <c r="B216" s="19">
        <v>45504</v>
      </c>
      <c r="C216" s="20" t="s">
        <v>552</v>
      </c>
      <c r="D216" s="20" t="s">
        <v>163</v>
      </c>
      <c r="E216" s="20" t="s">
        <v>66</v>
      </c>
      <c r="F216" s="20" t="s">
        <v>2582</v>
      </c>
      <c r="G216" s="20" t="s">
        <v>2579</v>
      </c>
      <c r="H216" s="20" t="s">
        <v>68</v>
      </c>
      <c r="I216" s="20" t="s">
        <v>53</v>
      </c>
      <c r="J216" s="20" t="s">
        <v>122</v>
      </c>
      <c r="K216" s="20" t="s">
        <v>152</v>
      </c>
      <c r="L216" s="20" t="s">
        <v>2688</v>
      </c>
      <c r="M216" s="20" t="s">
        <v>43</v>
      </c>
      <c r="N216" s="20" t="s">
        <v>84</v>
      </c>
      <c r="O216" s="20">
        <v>69</v>
      </c>
      <c r="P216" s="20">
        <v>160.79</v>
      </c>
      <c r="Q216" s="20">
        <v>105.58</v>
      </c>
      <c r="R216" s="20">
        <v>11094.65</v>
      </c>
      <c r="S216" s="20">
        <v>0.1</v>
      </c>
      <c r="T216" s="20">
        <v>1109.46</v>
      </c>
      <c r="U216" s="20">
        <v>9985.18</v>
      </c>
      <c r="V216" s="20">
        <v>7285.23</v>
      </c>
      <c r="W216" s="20">
        <v>2699.96</v>
      </c>
      <c r="X216" s="20" t="s">
        <v>45</v>
      </c>
    </row>
    <row r="217" spans="1:24" x14ac:dyDescent="0.25">
      <c r="A217" s="23" t="s">
        <v>553</v>
      </c>
      <c r="B217" s="22">
        <v>45454</v>
      </c>
      <c r="C217" s="23" t="s">
        <v>506</v>
      </c>
      <c r="D217" s="23" t="s">
        <v>264</v>
      </c>
      <c r="E217" s="23" t="s">
        <v>49</v>
      </c>
      <c r="F217" s="23" t="s">
        <v>2580</v>
      </c>
      <c r="G217" s="23" t="s">
        <v>2581</v>
      </c>
      <c r="H217" s="23" t="s">
        <v>52</v>
      </c>
      <c r="I217" s="23" t="s">
        <v>58</v>
      </c>
      <c r="J217" s="23" t="s">
        <v>59</v>
      </c>
      <c r="K217" s="23" t="s">
        <v>253</v>
      </c>
      <c r="L217" s="23" t="s">
        <v>2694</v>
      </c>
      <c r="M217" s="23" t="s">
        <v>153</v>
      </c>
      <c r="N217" s="23" t="s">
        <v>2578</v>
      </c>
      <c r="O217" s="23">
        <v>45</v>
      </c>
      <c r="P217" s="23">
        <v>23.57</v>
      </c>
      <c r="Q217" s="23">
        <v>12.68</v>
      </c>
      <c r="R217" s="23">
        <v>1060.55</v>
      </c>
      <c r="S217" s="23">
        <v>0.1</v>
      </c>
      <c r="T217" s="23">
        <v>106.06</v>
      </c>
      <c r="U217" s="23">
        <v>954.5</v>
      </c>
      <c r="V217" s="23">
        <v>570.77</v>
      </c>
      <c r="W217" s="23">
        <v>383.73</v>
      </c>
      <c r="X217" s="23" t="s">
        <v>32</v>
      </c>
    </row>
    <row r="218" spans="1:24" x14ac:dyDescent="0.25">
      <c r="A218" s="20" t="s">
        <v>554</v>
      </c>
      <c r="B218" s="19">
        <v>45446</v>
      </c>
      <c r="C218" s="20" t="s">
        <v>205</v>
      </c>
      <c r="D218" s="20" t="s">
        <v>22</v>
      </c>
      <c r="E218" s="20" t="s">
        <v>187</v>
      </c>
      <c r="F218" s="20" t="s">
        <v>2594</v>
      </c>
      <c r="G218" s="20" t="s">
        <v>2577</v>
      </c>
      <c r="H218" s="20" t="s">
        <v>26</v>
      </c>
      <c r="I218" s="20" t="s">
        <v>27</v>
      </c>
      <c r="J218" s="20" t="s">
        <v>189</v>
      </c>
      <c r="K218" s="20" t="s">
        <v>152</v>
      </c>
      <c r="L218" s="20" t="s">
        <v>2688</v>
      </c>
      <c r="M218" s="20" t="s">
        <v>61</v>
      </c>
      <c r="N218" s="20" t="s">
        <v>44</v>
      </c>
      <c r="O218" s="20">
        <v>2</v>
      </c>
      <c r="P218" s="20">
        <v>49.2</v>
      </c>
      <c r="Q218" s="20">
        <v>28.19</v>
      </c>
      <c r="R218" s="20">
        <v>98.41</v>
      </c>
      <c r="S218" s="20">
        <v>0</v>
      </c>
      <c r="T218" s="20">
        <v>0</v>
      </c>
      <c r="U218" s="20">
        <v>98.41</v>
      </c>
      <c r="V218" s="20">
        <v>56.38</v>
      </c>
      <c r="W218" s="20">
        <v>42.03</v>
      </c>
      <c r="X218" s="20" t="s">
        <v>45</v>
      </c>
    </row>
    <row r="219" spans="1:24" x14ac:dyDescent="0.25">
      <c r="A219" s="23" t="s">
        <v>555</v>
      </c>
      <c r="B219" s="22">
        <v>45537</v>
      </c>
      <c r="C219" s="23" t="s">
        <v>408</v>
      </c>
      <c r="D219" s="23" t="s">
        <v>65</v>
      </c>
      <c r="E219" s="23" t="s">
        <v>99</v>
      </c>
      <c r="F219" s="23" t="s">
        <v>100</v>
      </c>
      <c r="G219" s="23" t="s">
        <v>2587</v>
      </c>
      <c r="H219" s="23" t="s">
        <v>102</v>
      </c>
      <c r="I219" s="23" t="s">
        <v>40</v>
      </c>
      <c r="J219" s="23" t="s">
        <v>41</v>
      </c>
      <c r="K219" s="23" t="s">
        <v>170</v>
      </c>
      <c r="L219" s="23" t="s">
        <v>2671</v>
      </c>
      <c r="M219" s="23" t="s">
        <v>61</v>
      </c>
      <c r="N219" s="23" t="s">
        <v>75</v>
      </c>
      <c r="O219" s="23">
        <v>27</v>
      </c>
      <c r="P219" s="23">
        <v>67.599999999999994</v>
      </c>
      <c r="Q219" s="23">
        <v>43.42</v>
      </c>
      <c r="R219" s="23">
        <v>1825.2</v>
      </c>
      <c r="S219" s="23">
        <v>0.05</v>
      </c>
      <c r="T219" s="23">
        <v>91.26</v>
      </c>
      <c r="U219" s="23">
        <v>1733.94</v>
      </c>
      <c r="V219" s="23">
        <v>1172.29</v>
      </c>
      <c r="W219" s="23">
        <v>561.65</v>
      </c>
      <c r="X219" s="23" t="s">
        <v>129</v>
      </c>
    </row>
    <row r="220" spans="1:24" x14ac:dyDescent="0.25">
      <c r="A220" s="20" t="s">
        <v>556</v>
      </c>
      <c r="B220" s="19">
        <v>45481</v>
      </c>
      <c r="C220" s="20" t="s">
        <v>557</v>
      </c>
      <c r="D220" s="20" t="s">
        <v>159</v>
      </c>
      <c r="E220" s="20" t="s">
        <v>114</v>
      </c>
      <c r="F220" s="20" t="s">
        <v>2588</v>
      </c>
      <c r="G220" s="20" t="s">
        <v>2586</v>
      </c>
      <c r="H220" s="20" t="s">
        <v>116</v>
      </c>
      <c r="I220" s="20" t="s">
        <v>53</v>
      </c>
      <c r="J220" s="20" t="s">
        <v>54</v>
      </c>
      <c r="K220" s="20" t="s">
        <v>178</v>
      </c>
      <c r="L220" s="20" t="s">
        <v>2689</v>
      </c>
      <c r="M220" s="20" t="s">
        <v>30</v>
      </c>
      <c r="N220" s="20" t="s">
        <v>75</v>
      </c>
      <c r="O220" s="20">
        <v>13</v>
      </c>
      <c r="P220" s="20">
        <v>32.39</v>
      </c>
      <c r="Q220" s="20">
        <v>20.34</v>
      </c>
      <c r="R220" s="20">
        <v>421.02</v>
      </c>
      <c r="S220" s="20">
        <v>0</v>
      </c>
      <c r="T220" s="20">
        <v>0</v>
      </c>
      <c r="U220" s="20">
        <v>421.02</v>
      </c>
      <c r="V220" s="20">
        <v>264.44</v>
      </c>
      <c r="W220" s="20">
        <v>156.58000000000001</v>
      </c>
      <c r="X220" s="20" t="s">
        <v>45</v>
      </c>
    </row>
    <row r="221" spans="1:24" x14ac:dyDescent="0.25">
      <c r="A221" s="23" t="s">
        <v>558</v>
      </c>
      <c r="B221" s="22">
        <v>45382</v>
      </c>
      <c r="C221" s="23" t="s">
        <v>559</v>
      </c>
      <c r="D221" s="23" t="s">
        <v>221</v>
      </c>
      <c r="E221" s="23" t="s">
        <v>109</v>
      </c>
      <c r="F221" s="23" t="s">
        <v>110</v>
      </c>
      <c r="G221" s="23" t="s">
        <v>2584</v>
      </c>
      <c r="H221" s="23" t="s">
        <v>81</v>
      </c>
      <c r="I221" s="23" t="s">
        <v>40</v>
      </c>
      <c r="J221" s="23" t="s">
        <v>289</v>
      </c>
      <c r="K221" s="23" t="s">
        <v>170</v>
      </c>
      <c r="L221" s="23" t="s">
        <v>2671</v>
      </c>
      <c r="M221" s="23" t="s">
        <v>30</v>
      </c>
      <c r="N221" s="23" t="s">
        <v>70</v>
      </c>
      <c r="O221" s="23">
        <v>70</v>
      </c>
      <c r="P221" s="23">
        <v>129.37</v>
      </c>
      <c r="Q221" s="23">
        <v>76.75</v>
      </c>
      <c r="R221" s="23">
        <v>9056.24</v>
      </c>
      <c r="S221" s="23">
        <v>0.2</v>
      </c>
      <c r="T221" s="23">
        <v>1811.25</v>
      </c>
      <c r="U221" s="23">
        <v>7244.99</v>
      </c>
      <c r="V221" s="23">
        <v>5372.61</v>
      </c>
      <c r="W221" s="23">
        <v>1872.37</v>
      </c>
      <c r="X221" s="23" t="s">
        <v>45</v>
      </c>
    </row>
    <row r="222" spans="1:24" x14ac:dyDescent="0.25">
      <c r="A222" s="20" t="s">
        <v>560</v>
      </c>
      <c r="B222" s="19">
        <v>45582</v>
      </c>
      <c r="C222" s="20" t="s">
        <v>559</v>
      </c>
      <c r="D222" s="20" t="s">
        <v>221</v>
      </c>
      <c r="E222" s="20" t="s">
        <v>36</v>
      </c>
      <c r="F222" s="20" t="s">
        <v>37</v>
      </c>
      <c r="G222" s="20" t="s">
        <v>2579</v>
      </c>
      <c r="H222" s="20" t="s">
        <v>39</v>
      </c>
      <c r="I222" s="20" t="s">
        <v>27</v>
      </c>
      <c r="J222" s="20" t="s">
        <v>211</v>
      </c>
      <c r="K222" s="20" t="s">
        <v>118</v>
      </c>
      <c r="L222" s="20" t="s">
        <v>2686</v>
      </c>
      <c r="M222" s="20" t="s">
        <v>61</v>
      </c>
      <c r="N222" s="20" t="s">
        <v>75</v>
      </c>
      <c r="O222" s="20">
        <v>28</v>
      </c>
      <c r="P222" s="20">
        <v>172.89</v>
      </c>
      <c r="Q222" s="20">
        <v>95.72</v>
      </c>
      <c r="R222" s="20">
        <v>4840.8100000000004</v>
      </c>
      <c r="S222" s="20">
        <v>0.02</v>
      </c>
      <c r="T222" s="20">
        <v>96.82</v>
      </c>
      <c r="U222" s="20">
        <v>4743.99</v>
      </c>
      <c r="V222" s="20">
        <v>2680.11</v>
      </c>
      <c r="W222" s="20">
        <v>2063.88</v>
      </c>
      <c r="X222" s="20" t="s">
        <v>45</v>
      </c>
    </row>
    <row r="223" spans="1:24" x14ac:dyDescent="0.25">
      <c r="A223" s="23" t="s">
        <v>561</v>
      </c>
      <c r="B223" s="22">
        <v>45341</v>
      </c>
      <c r="C223" s="23" t="s">
        <v>529</v>
      </c>
      <c r="D223" s="23" t="s">
        <v>256</v>
      </c>
      <c r="E223" s="23" t="s">
        <v>126</v>
      </c>
      <c r="F223" s="23" t="s">
        <v>2589</v>
      </c>
      <c r="G223" s="23" t="s">
        <v>2586</v>
      </c>
      <c r="H223" s="23" t="s">
        <v>128</v>
      </c>
      <c r="I223" s="23" t="s">
        <v>40</v>
      </c>
      <c r="J223" s="23" t="s">
        <v>289</v>
      </c>
      <c r="K223" s="23" t="s">
        <v>83</v>
      </c>
      <c r="L223" s="23" t="s">
        <v>2683</v>
      </c>
      <c r="M223" s="23" t="s">
        <v>61</v>
      </c>
      <c r="N223" s="23" t="s">
        <v>70</v>
      </c>
      <c r="O223" s="23">
        <v>29</v>
      </c>
      <c r="P223" s="23">
        <v>88.66</v>
      </c>
      <c r="Q223" s="23">
        <v>49.32</v>
      </c>
      <c r="R223" s="23">
        <v>2571.21</v>
      </c>
      <c r="S223" s="23">
        <v>0.02</v>
      </c>
      <c r="T223" s="23">
        <v>51.42</v>
      </c>
      <c r="U223" s="23">
        <v>2519.7800000000002</v>
      </c>
      <c r="V223" s="23">
        <v>1430.27</v>
      </c>
      <c r="W223" s="23">
        <v>1089.51</v>
      </c>
      <c r="X223" s="23" t="s">
        <v>32</v>
      </c>
    </row>
    <row r="224" spans="1:24" x14ac:dyDescent="0.25">
      <c r="A224" s="20" t="s">
        <v>562</v>
      </c>
      <c r="B224" s="19">
        <v>45296</v>
      </c>
      <c r="C224" s="20" t="s">
        <v>563</v>
      </c>
      <c r="D224" s="20" t="s">
        <v>156</v>
      </c>
      <c r="E224" s="20" t="s">
        <v>93</v>
      </c>
      <c r="F224" s="20" t="s">
        <v>2585</v>
      </c>
      <c r="G224" s="20" t="s">
        <v>2586</v>
      </c>
      <c r="H224" s="20" t="s">
        <v>96</v>
      </c>
      <c r="I224" s="20" t="s">
        <v>88</v>
      </c>
      <c r="J224" s="20" t="s">
        <v>135</v>
      </c>
      <c r="K224" s="20" t="s">
        <v>60</v>
      </c>
      <c r="L224" s="20" t="s">
        <v>2677</v>
      </c>
      <c r="M224" s="20" t="s">
        <v>153</v>
      </c>
      <c r="N224" s="20" t="s">
        <v>2578</v>
      </c>
      <c r="O224" s="20">
        <v>23</v>
      </c>
      <c r="P224" s="20">
        <v>51.33</v>
      </c>
      <c r="Q224" s="20">
        <v>32.53</v>
      </c>
      <c r="R224" s="20">
        <v>1180.56</v>
      </c>
      <c r="S224" s="20">
        <v>0.1</v>
      </c>
      <c r="T224" s="20">
        <v>118.06</v>
      </c>
      <c r="U224" s="20">
        <v>1062.5</v>
      </c>
      <c r="V224" s="20">
        <v>748.15</v>
      </c>
      <c r="W224" s="20">
        <v>314.36</v>
      </c>
      <c r="X224" s="20" t="s">
        <v>45</v>
      </c>
    </row>
    <row r="225" spans="1:24" x14ac:dyDescent="0.25">
      <c r="A225" s="23" t="s">
        <v>564</v>
      </c>
      <c r="B225" s="22">
        <v>45384</v>
      </c>
      <c r="C225" s="23" t="s">
        <v>565</v>
      </c>
      <c r="D225" s="23" t="s">
        <v>121</v>
      </c>
      <c r="E225" s="23" t="s">
        <v>49</v>
      </c>
      <c r="F225" s="23" t="s">
        <v>2580</v>
      </c>
      <c r="G225" s="23" t="s">
        <v>2581</v>
      </c>
      <c r="H225" s="23" t="s">
        <v>52</v>
      </c>
      <c r="I225" s="23" t="s">
        <v>27</v>
      </c>
      <c r="J225" s="23" t="s">
        <v>28</v>
      </c>
      <c r="K225" s="23" t="s">
        <v>83</v>
      </c>
      <c r="L225" s="23" t="s">
        <v>2683</v>
      </c>
      <c r="M225" s="23" t="s">
        <v>61</v>
      </c>
      <c r="N225" s="23" t="s">
        <v>44</v>
      </c>
      <c r="O225" s="23">
        <v>71</v>
      </c>
      <c r="P225" s="23">
        <v>23.26</v>
      </c>
      <c r="Q225" s="23">
        <v>12.62</v>
      </c>
      <c r="R225" s="23">
        <v>1651.56</v>
      </c>
      <c r="S225" s="23">
        <v>0.1</v>
      </c>
      <c r="T225" s="23">
        <v>165.16</v>
      </c>
      <c r="U225" s="23">
        <v>1486.41</v>
      </c>
      <c r="V225" s="23">
        <v>895.72</v>
      </c>
      <c r="W225" s="23">
        <v>590.67999999999995</v>
      </c>
      <c r="X225" s="23" t="s">
        <v>32</v>
      </c>
    </row>
    <row r="226" spans="1:24" x14ac:dyDescent="0.25">
      <c r="A226" s="20" t="s">
        <v>566</v>
      </c>
      <c r="B226" s="19">
        <v>45449</v>
      </c>
      <c r="C226" s="20" t="s">
        <v>567</v>
      </c>
      <c r="D226" s="20" t="s">
        <v>22</v>
      </c>
      <c r="E226" s="20" t="s">
        <v>126</v>
      </c>
      <c r="F226" s="20" t="s">
        <v>2589</v>
      </c>
      <c r="G226" s="20" t="s">
        <v>2586</v>
      </c>
      <c r="H226" s="20" t="s">
        <v>128</v>
      </c>
      <c r="I226" s="20" t="s">
        <v>58</v>
      </c>
      <c r="J226" s="20" t="s">
        <v>73</v>
      </c>
      <c r="K226" s="20" t="s">
        <v>248</v>
      </c>
      <c r="L226" s="20" t="s">
        <v>2693</v>
      </c>
      <c r="M226" s="20" t="s">
        <v>153</v>
      </c>
      <c r="N226" s="20" t="s">
        <v>84</v>
      </c>
      <c r="O226" s="20">
        <v>80</v>
      </c>
      <c r="P226" s="20">
        <v>94.26</v>
      </c>
      <c r="Q226" s="20">
        <v>50.25</v>
      </c>
      <c r="R226" s="20">
        <v>7540.91</v>
      </c>
      <c r="S226" s="20">
        <v>0</v>
      </c>
      <c r="T226" s="20">
        <v>0</v>
      </c>
      <c r="U226" s="20">
        <v>7540.91</v>
      </c>
      <c r="V226" s="20">
        <v>4019.6</v>
      </c>
      <c r="W226" s="20">
        <v>3521.3</v>
      </c>
      <c r="X226" s="20" t="s">
        <v>45</v>
      </c>
    </row>
    <row r="227" spans="1:24" x14ac:dyDescent="0.25">
      <c r="A227" s="23" t="s">
        <v>568</v>
      </c>
      <c r="B227" s="22">
        <v>45320</v>
      </c>
      <c r="C227" s="23" t="s">
        <v>569</v>
      </c>
      <c r="D227" s="23" t="s">
        <v>121</v>
      </c>
      <c r="E227" s="23" t="s">
        <v>222</v>
      </c>
      <c r="F227" s="23" t="s">
        <v>2597</v>
      </c>
      <c r="G227" s="23" t="s">
        <v>2587</v>
      </c>
      <c r="H227" s="23" t="s">
        <v>68</v>
      </c>
      <c r="I227" s="23" t="s">
        <v>58</v>
      </c>
      <c r="J227" s="23" t="s">
        <v>345</v>
      </c>
      <c r="K227" s="23" t="s">
        <v>195</v>
      </c>
      <c r="L227" s="23" t="s">
        <v>2691</v>
      </c>
      <c r="M227" s="23" t="s">
        <v>61</v>
      </c>
      <c r="N227" s="23" t="s">
        <v>84</v>
      </c>
      <c r="O227" s="23">
        <v>58</v>
      </c>
      <c r="P227" s="23">
        <v>111.3</v>
      </c>
      <c r="Q227" s="23">
        <v>75.209999999999994</v>
      </c>
      <c r="R227" s="23">
        <v>6455.37</v>
      </c>
      <c r="S227" s="23">
        <v>0.15</v>
      </c>
      <c r="T227" s="23">
        <v>968.31</v>
      </c>
      <c r="U227" s="23">
        <v>5487.07</v>
      </c>
      <c r="V227" s="23">
        <v>4361.9799999999996</v>
      </c>
      <c r="W227" s="23">
        <v>1125.0899999999999</v>
      </c>
      <c r="X227" s="23" t="s">
        <v>129</v>
      </c>
    </row>
    <row r="228" spans="1:24" x14ac:dyDescent="0.25">
      <c r="A228" s="20" t="s">
        <v>570</v>
      </c>
      <c r="B228" s="19">
        <v>45453</v>
      </c>
      <c r="C228" s="20" t="s">
        <v>280</v>
      </c>
      <c r="D228" s="20" t="s">
        <v>35</v>
      </c>
      <c r="E228" s="20" t="s">
        <v>132</v>
      </c>
      <c r="F228" s="20" t="s">
        <v>133</v>
      </c>
      <c r="G228" s="20" t="s">
        <v>2581</v>
      </c>
      <c r="H228" s="20" t="s">
        <v>134</v>
      </c>
      <c r="I228" s="20" t="s">
        <v>40</v>
      </c>
      <c r="J228" s="20" t="s">
        <v>41</v>
      </c>
      <c r="K228" s="20" t="s">
        <v>261</v>
      </c>
      <c r="L228" s="20" t="s">
        <v>2695</v>
      </c>
      <c r="M228" s="20" t="s">
        <v>153</v>
      </c>
      <c r="N228" s="20" t="s">
        <v>70</v>
      </c>
      <c r="O228" s="20">
        <v>76</v>
      </c>
      <c r="P228" s="20">
        <v>56.74</v>
      </c>
      <c r="Q228" s="20">
        <v>34.94</v>
      </c>
      <c r="R228" s="20">
        <v>4312.2</v>
      </c>
      <c r="S228" s="20">
        <v>0.02</v>
      </c>
      <c r="T228" s="20">
        <v>86.24</v>
      </c>
      <c r="U228" s="20">
        <v>4225.96</v>
      </c>
      <c r="V228" s="20">
        <v>2655.79</v>
      </c>
      <c r="W228" s="20">
        <v>1570.17</v>
      </c>
      <c r="X228" s="20" t="s">
        <v>45</v>
      </c>
    </row>
    <row r="229" spans="1:24" x14ac:dyDescent="0.25">
      <c r="A229" s="23" t="s">
        <v>571</v>
      </c>
      <c r="B229" s="22">
        <v>45571</v>
      </c>
      <c r="C229" s="23" t="s">
        <v>572</v>
      </c>
      <c r="D229" s="23" t="s">
        <v>57</v>
      </c>
      <c r="E229" s="23" t="s">
        <v>176</v>
      </c>
      <c r="F229" s="23" t="s">
        <v>2593</v>
      </c>
      <c r="G229" s="23" t="s">
        <v>2587</v>
      </c>
      <c r="H229" s="23" t="s">
        <v>39</v>
      </c>
      <c r="I229" s="23" t="s">
        <v>53</v>
      </c>
      <c r="J229" s="23" t="s">
        <v>54</v>
      </c>
      <c r="K229" s="23" t="s">
        <v>42</v>
      </c>
      <c r="L229" s="23" t="s">
        <v>2680</v>
      </c>
      <c r="M229" s="23" t="s">
        <v>43</v>
      </c>
      <c r="N229" s="23" t="s">
        <v>2578</v>
      </c>
      <c r="O229" s="23">
        <v>14</v>
      </c>
      <c r="P229" s="23">
        <v>103.05</v>
      </c>
      <c r="Q229" s="23">
        <v>58.35</v>
      </c>
      <c r="R229" s="23">
        <v>1442.77</v>
      </c>
      <c r="S229" s="23">
        <v>0.1</v>
      </c>
      <c r="T229" s="23">
        <v>144.28</v>
      </c>
      <c r="U229" s="23">
        <v>1298.49</v>
      </c>
      <c r="V229" s="23">
        <v>816.94</v>
      </c>
      <c r="W229" s="23">
        <v>481.55</v>
      </c>
      <c r="X229" s="23" t="s">
        <v>45</v>
      </c>
    </row>
    <row r="230" spans="1:24" x14ac:dyDescent="0.25">
      <c r="A230" s="20" t="s">
        <v>573</v>
      </c>
      <c r="B230" s="19">
        <v>45379</v>
      </c>
      <c r="C230" s="20" t="s">
        <v>499</v>
      </c>
      <c r="D230" s="20" t="s">
        <v>87</v>
      </c>
      <c r="E230" s="20" t="s">
        <v>23</v>
      </c>
      <c r="F230" s="20" t="s">
        <v>2576</v>
      </c>
      <c r="G230" s="20" t="s">
        <v>2577</v>
      </c>
      <c r="H230" s="20" t="s">
        <v>26</v>
      </c>
      <c r="I230" s="20" t="s">
        <v>40</v>
      </c>
      <c r="J230" s="20" t="s">
        <v>41</v>
      </c>
      <c r="K230" s="20" t="s">
        <v>83</v>
      </c>
      <c r="L230" s="20" t="s">
        <v>2683</v>
      </c>
      <c r="M230" s="20" t="s">
        <v>30</v>
      </c>
      <c r="N230" s="20" t="s">
        <v>70</v>
      </c>
      <c r="O230" s="20">
        <v>10</v>
      </c>
      <c r="P230" s="20">
        <v>78.989999999999995</v>
      </c>
      <c r="Q230" s="20">
        <v>44.05</v>
      </c>
      <c r="R230" s="20">
        <v>789.86</v>
      </c>
      <c r="S230" s="20">
        <v>0.05</v>
      </c>
      <c r="T230" s="20">
        <v>39.49</v>
      </c>
      <c r="U230" s="20">
        <v>750.36</v>
      </c>
      <c r="V230" s="20">
        <v>440.53</v>
      </c>
      <c r="W230" s="20">
        <v>309.83999999999997</v>
      </c>
      <c r="X230" s="20" t="s">
        <v>45</v>
      </c>
    </row>
    <row r="231" spans="1:24" x14ac:dyDescent="0.25">
      <c r="A231" s="23" t="s">
        <v>574</v>
      </c>
      <c r="B231" s="22">
        <v>45387</v>
      </c>
      <c r="C231" s="23" t="s">
        <v>278</v>
      </c>
      <c r="D231" s="23" t="s">
        <v>48</v>
      </c>
      <c r="E231" s="23" t="s">
        <v>187</v>
      </c>
      <c r="F231" s="23" t="s">
        <v>2594</v>
      </c>
      <c r="G231" s="23" t="s">
        <v>2577</v>
      </c>
      <c r="H231" s="23" t="s">
        <v>26</v>
      </c>
      <c r="I231" s="23" t="s">
        <v>27</v>
      </c>
      <c r="J231" s="23" t="s">
        <v>106</v>
      </c>
      <c r="K231" s="23" t="s">
        <v>144</v>
      </c>
      <c r="L231" s="23" t="s">
        <v>2687</v>
      </c>
      <c r="M231" s="23" t="s">
        <v>153</v>
      </c>
      <c r="N231" s="23" t="s">
        <v>2578</v>
      </c>
      <c r="O231" s="23">
        <v>69</v>
      </c>
      <c r="P231" s="23">
        <v>51.64</v>
      </c>
      <c r="Q231" s="23">
        <v>28.84</v>
      </c>
      <c r="R231" s="23">
        <v>3562.85</v>
      </c>
      <c r="S231" s="23">
        <v>0.05</v>
      </c>
      <c r="T231" s="23">
        <v>178.14</v>
      </c>
      <c r="U231" s="23">
        <v>3384.71</v>
      </c>
      <c r="V231" s="23">
        <v>1989.8</v>
      </c>
      <c r="W231" s="23">
        <v>1394.91</v>
      </c>
      <c r="X231" s="23" t="s">
        <v>45</v>
      </c>
    </row>
    <row r="232" spans="1:24" x14ac:dyDescent="0.25">
      <c r="A232" s="20" t="s">
        <v>575</v>
      </c>
      <c r="B232" s="19">
        <v>45597</v>
      </c>
      <c r="C232" s="20" t="s">
        <v>282</v>
      </c>
      <c r="D232" s="20" t="s">
        <v>125</v>
      </c>
      <c r="E232" s="20" t="s">
        <v>222</v>
      </c>
      <c r="F232" s="20" t="s">
        <v>2597</v>
      </c>
      <c r="G232" s="20" t="s">
        <v>2587</v>
      </c>
      <c r="H232" s="20" t="s">
        <v>68</v>
      </c>
      <c r="I232" s="20" t="s">
        <v>58</v>
      </c>
      <c r="J232" s="20" t="s">
        <v>345</v>
      </c>
      <c r="K232" s="20" t="s">
        <v>170</v>
      </c>
      <c r="L232" s="20" t="s">
        <v>2671</v>
      </c>
      <c r="M232" s="20" t="s">
        <v>153</v>
      </c>
      <c r="N232" s="20" t="s">
        <v>2578</v>
      </c>
      <c r="O232" s="20">
        <v>77</v>
      </c>
      <c r="P232" s="20">
        <v>128.63999999999999</v>
      </c>
      <c r="Q232" s="20">
        <v>80.819999999999993</v>
      </c>
      <c r="R232" s="20">
        <v>9904.98</v>
      </c>
      <c r="S232" s="20">
        <v>0.05</v>
      </c>
      <c r="T232" s="20">
        <v>495.25</v>
      </c>
      <c r="U232" s="20">
        <v>9409.73</v>
      </c>
      <c r="V232" s="20">
        <v>6222.91</v>
      </c>
      <c r="W232" s="20">
        <v>3186.83</v>
      </c>
      <c r="X232" s="20" t="s">
        <v>45</v>
      </c>
    </row>
    <row r="233" spans="1:24" x14ac:dyDescent="0.25">
      <c r="A233" s="23" t="s">
        <v>576</v>
      </c>
      <c r="B233" s="22">
        <v>45467</v>
      </c>
      <c r="C233" s="23" t="s">
        <v>280</v>
      </c>
      <c r="D233" s="23" t="s">
        <v>35</v>
      </c>
      <c r="E233" s="23" t="s">
        <v>93</v>
      </c>
      <c r="F233" s="23" t="s">
        <v>2585</v>
      </c>
      <c r="G233" s="23" t="s">
        <v>2586</v>
      </c>
      <c r="H233" s="23" t="s">
        <v>96</v>
      </c>
      <c r="I233" s="23" t="s">
        <v>58</v>
      </c>
      <c r="J233" s="23" t="s">
        <v>345</v>
      </c>
      <c r="K233" s="23" t="s">
        <v>184</v>
      </c>
      <c r="L233" s="23" t="s">
        <v>2690</v>
      </c>
      <c r="M233" s="23" t="s">
        <v>43</v>
      </c>
      <c r="N233" s="23" t="s">
        <v>84</v>
      </c>
      <c r="O233" s="23">
        <v>15</v>
      </c>
      <c r="P233" s="23">
        <v>53.21</v>
      </c>
      <c r="Q233" s="23">
        <v>30.64</v>
      </c>
      <c r="R233" s="23">
        <v>798.11</v>
      </c>
      <c r="S233" s="23">
        <v>0.05</v>
      </c>
      <c r="T233" s="23">
        <v>39.909999999999997</v>
      </c>
      <c r="U233" s="23">
        <v>758.21</v>
      </c>
      <c r="V233" s="23">
        <v>459.54</v>
      </c>
      <c r="W233" s="23">
        <v>298.67</v>
      </c>
      <c r="X233" s="23" t="s">
        <v>45</v>
      </c>
    </row>
    <row r="234" spans="1:24" x14ac:dyDescent="0.25">
      <c r="A234" s="20" t="s">
        <v>577</v>
      </c>
      <c r="B234" s="19">
        <v>45538</v>
      </c>
      <c r="C234" s="20" t="s">
        <v>578</v>
      </c>
      <c r="D234" s="20" t="s">
        <v>221</v>
      </c>
      <c r="E234" s="20" t="s">
        <v>216</v>
      </c>
      <c r="F234" s="20" t="s">
        <v>2596</v>
      </c>
      <c r="G234" s="20" t="s">
        <v>2579</v>
      </c>
      <c r="H234" s="20" t="s">
        <v>134</v>
      </c>
      <c r="I234" s="20" t="s">
        <v>53</v>
      </c>
      <c r="J234" s="20" t="s">
        <v>122</v>
      </c>
      <c r="K234" s="20" t="s">
        <v>152</v>
      </c>
      <c r="L234" s="20" t="s">
        <v>2688</v>
      </c>
      <c r="M234" s="20" t="s">
        <v>61</v>
      </c>
      <c r="N234" s="20" t="s">
        <v>44</v>
      </c>
      <c r="O234" s="20">
        <v>22</v>
      </c>
      <c r="P234" s="20">
        <v>104.86</v>
      </c>
      <c r="Q234" s="20">
        <v>61.92</v>
      </c>
      <c r="R234" s="20">
        <v>2306.89</v>
      </c>
      <c r="S234" s="20">
        <v>0.02</v>
      </c>
      <c r="T234" s="20">
        <v>46.14</v>
      </c>
      <c r="U234" s="20">
        <v>2260.7600000000002</v>
      </c>
      <c r="V234" s="20">
        <v>1362.34</v>
      </c>
      <c r="W234" s="20">
        <v>898.42</v>
      </c>
      <c r="X234" s="20" t="s">
        <v>45</v>
      </c>
    </row>
    <row r="235" spans="1:24" x14ac:dyDescent="0.25">
      <c r="A235" s="23" t="s">
        <v>579</v>
      </c>
      <c r="B235" s="22">
        <v>45354</v>
      </c>
      <c r="C235" s="23" t="s">
        <v>580</v>
      </c>
      <c r="D235" s="23" t="s">
        <v>156</v>
      </c>
      <c r="E235" s="23" t="s">
        <v>114</v>
      </c>
      <c r="F235" s="23" t="s">
        <v>2588</v>
      </c>
      <c r="G235" s="23" t="s">
        <v>2586</v>
      </c>
      <c r="H235" s="23" t="s">
        <v>116</v>
      </c>
      <c r="I235" s="23" t="s">
        <v>40</v>
      </c>
      <c r="J235" s="23" t="s">
        <v>41</v>
      </c>
      <c r="K235" s="23" t="s">
        <v>74</v>
      </c>
      <c r="L235" s="23" t="s">
        <v>2682</v>
      </c>
      <c r="M235" s="23" t="s">
        <v>153</v>
      </c>
      <c r="N235" s="23" t="s">
        <v>2578</v>
      </c>
      <c r="O235" s="23">
        <v>59</v>
      </c>
      <c r="P235" s="23">
        <v>32.340000000000003</v>
      </c>
      <c r="Q235" s="23">
        <v>19.68</v>
      </c>
      <c r="R235" s="23">
        <v>1908.2</v>
      </c>
      <c r="S235" s="23">
        <v>0.02</v>
      </c>
      <c r="T235" s="23">
        <v>38.159999999999997</v>
      </c>
      <c r="U235" s="23">
        <v>1870.03</v>
      </c>
      <c r="V235" s="23">
        <v>1161.27</v>
      </c>
      <c r="W235" s="23">
        <v>708.77</v>
      </c>
      <c r="X235" s="23" t="s">
        <v>32</v>
      </c>
    </row>
    <row r="236" spans="1:24" x14ac:dyDescent="0.25">
      <c r="A236" s="20" t="s">
        <v>581</v>
      </c>
      <c r="B236" s="19">
        <v>45302</v>
      </c>
      <c r="C236" s="20" t="s">
        <v>464</v>
      </c>
      <c r="D236" s="20" t="s">
        <v>105</v>
      </c>
      <c r="E236" s="20" t="s">
        <v>187</v>
      </c>
      <c r="F236" s="20" t="s">
        <v>2594</v>
      </c>
      <c r="G236" s="20" t="s">
        <v>2577</v>
      </c>
      <c r="H236" s="20" t="s">
        <v>26</v>
      </c>
      <c r="I236" s="20" t="s">
        <v>88</v>
      </c>
      <c r="J236" s="20" t="s">
        <v>183</v>
      </c>
      <c r="K236" s="20" t="s">
        <v>118</v>
      </c>
      <c r="L236" s="20" t="s">
        <v>2686</v>
      </c>
      <c r="M236" s="20" t="s">
        <v>30</v>
      </c>
      <c r="N236" s="20" t="s">
        <v>2578</v>
      </c>
      <c r="O236" s="20">
        <v>56</v>
      </c>
      <c r="P236" s="20">
        <v>49.2</v>
      </c>
      <c r="Q236" s="20">
        <v>27.8</v>
      </c>
      <c r="R236" s="20">
        <v>2755.36</v>
      </c>
      <c r="S236" s="20">
        <v>0.05</v>
      </c>
      <c r="T236" s="20">
        <v>137.77000000000001</v>
      </c>
      <c r="U236" s="20">
        <v>2617.6</v>
      </c>
      <c r="V236" s="20">
        <v>1556.55</v>
      </c>
      <c r="W236" s="20">
        <v>1061.05</v>
      </c>
      <c r="X236" s="20" t="s">
        <v>129</v>
      </c>
    </row>
    <row r="237" spans="1:24" x14ac:dyDescent="0.25">
      <c r="A237" s="23" t="s">
        <v>582</v>
      </c>
      <c r="B237" s="22">
        <v>45397</v>
      </c>
      <c r="C237" s="23" t="s">
        <v>392</v>
      </c>
      <c r="D237" s="23" t="s">
        <v>393</v>
      </c>
      <c r="E237" s="23" t="s">
        <v>216</v>
      </c>
      <c r="F237" s="23" t="s">
        <v>2596</v>
      </c>
      <c r="G237" s="23" t="s">
        <v>2579</v>
      </c>
      <c r="H237" s="23" t="s">
        <v>134</v>
      </c>
      <c r="I237" s="23" t="s">
        <v>88</v>
      </c>
      <c r="J237" s="23" t="s">
        <v>183</v>
      </c>
      <c r="K237" s="23" t="s">
        <v>83</v>
      </c>
      <c r="L237" s="23" t="s">
        <v>2683</v>
      </c>
      <c r="M237" s="23" t="s">
        <v>30</v>
      </c>
      <c r="N237" s="23" t="s">
        <v>2578</v>
      </c>
      <c r="O237" s="23">
        <v>64</v>
      </c>
      <c r="P237" s="23">
        <v>113.61</v>
      </c>
      <c r="Q237" s="23">
        <v>70.400000000000006</v>
      </c>
      <c r="R237" s="23">
        <v>7270.77</v>
      </c>
      <c r="S237" s="23">
        <v>0.2</v>
      </c>
      <c r="T237" s="23">
        <v>1454.15</v>
      </c>
      <c r="U237" s="23">
        <v>5816.61</v>
      </c>
      <c r="V237" s="23">
        <v>4505.58</v>
      </c>
      <c r="W237" s="23">
        <v>1311.04</v>
      </c>
      <c r="X237" s="23" t="s">
        <v>32</v>
      </c>
    </row>
    <row r="238" spans="1:24" x14ac:dyDescent="0.25">
      <c r="A238" s="20" t="s">
        <v>583</v>
      </c>
      <c r="B238" s="19">
        <v>45594</v>
      </c>
      <c r="C238" s="20" t="s">
        <v>584</v>
      </c>
      <c r="D238" s="20" t="s">
        <v>105</v>
      </c>
      <c r="E238" s="20" t="s">
        <v>99</v>
      </c>
      <c r="F238" s="20" t="s">
        <v>100</v>
      </c>
      <c r="G238" s="20" t="s">
        <v>2587</v>
      </c>
      <c r="H238" s="20" t="s">
        <v>102</v>
      </c>
      <c r="I238" s="20" t="s">
        <v>53</v>
      </c>
      <c r="J238" s="20" t="s">
        <v>232</v>
      </c>
      <c r="K238" s="20" t="s">
        <v>90</v>
      </c>
      <c r="L238" s="20" t="s">
        <v>2684</v>
      </c>
      <c r="M238" s="20" t="s">
        <v>30</v>
      </c>
      <c r="N238" s="20" t="s">
        <v>44</v>
      </c>
      <c r="O238" s="20">
        <v>56</v>
      </c>
      <c r="P238" s="20">
        <v>75.5</v>
      </c>
      <c r="Q238" s="20">
        <v>41.29</v>
      </c>
      <c r="R238" s="20">
        <v>4228.16</v>
      </c>
      <c r="S238" s="20">
        <v>0.2</v>
      </c>
      <c r="T238" s="20">
        <v>845.63</v>
      </c>
      <c r="U238" s="20">
        <v>3382.53</v>
      </c>
      <c r="V238" s="20">
        <v>2312.34</v>
      </c>
      <c r="W238" s="20">
        <v>1070.19</v>
      </c>
      <c r="X238" s="20" t="s">
        <v>32</v>
      </c>
    </row>
    <row r="239" spans="1:24" x14ac:dyDescent="0.25">
      <c r="A239" s="23" t="s">
        <v>585</v>
      </c>
      <c r="B239" s="22">
        <v>45316</v>
      </c>
      <c r="C239" s="23" t="s">
        <v>237</v>
      </c>
      <c r="D239" s="23" t="s">
        <v>105</v>
      </c>
      <c r="E239" s="23" t="s">
        <v>99</v>
      </c>
      <c r="F239" s="23" t="s">
        <v>100</v>
      </c>
      <c r="G239" s="23" t="s">
        <v>2587</v>
      </c>
      <c r="H239" s="23" t="s">
        <v>102</v>
      </c>
      <c r="I239" s="23" t="s">
        <v>88</v>
      </c>
      <c r="J239" s="23" t="s">
        <v>2112</v>
      </c>
      <c r="K239" s="23" t="s">
        <v>265</v>
      </c>
      <c r="L239" s="23" t="s">
        <v>2663</v>
      </c>
      <c r="M239" s="23" t="s">
        <v>30</v>
      </c>
      <c r="N239" s="23" t="s">
        <v>70</v>
      </c>
      <c r="O239" s="23">
        <v>37</v>
      </c>
      <c r="P239" s="23">
        <v>66.59</v>
      </c>
      <c r="Q239" s="23">
        <v>37.770000000000003</v>
      </c>
      <c r="R239" s="23">
        <v>2463.9299999999998</v>
      </c>
      <c r="S239" s="23">
        <v>0.05</v>
      </c>
      <c r="T239" s="23">
        <v>123.2</v>
      </c>
      <c r="U239" s="23">
        <v>2340.73</v>
      </c>
      <c r="V239" s="23">
        <v>1397.48</v>
      </c>
      <c r="W239" s="23">
        <v>943.26</v>
      </c>
      <c r="X239" s="23" t="s">
        <v>45</v>
      </c>
    </row>
    <row r="240" spans="1:24" x14ac:dyDescent="0.25">
      <c r="A240" s="20" t="s">
        <v>586</v>
      </c>
      <c r="B240" s="19">
        <v>45293</v>
      </c>
      <c r="C240" s="20" t="s">
        <v>428</v>
      </c>
      <c r="D240" s="20" t="s">
        <v>57</v>
      </c>
      <c r="E240" s="20" t="s">
        <v>150</v>
      </c>
      <c r="F240" s="20" t="s">
        <v>2591</v>
      </c>
      <c r="G240" s="20" t="s">
        <v>2587</v>
      </c>
      <c r="H240" s="20" t="s">
        <v>134</v>
      </c>
      <c r="I240" s="20" t="s">
        <v>53</v>
      </c>
      <c r="J240" s="20" t="s">
        <v>232</v>
      </c>
      <c r="K240" s="20" t="s">
        <v>218</v>
      </c>
      <c r="L240" s="20" t="s">
        <v>2692</v>
      </c>
      <c r="M240" s="20" t="s">
        <v>153</v>
      </c>
      <c r="N240" s="20" t="s">
        <v>44</v>
      </c>
      <c r="O240" s="20">
        <v>52</v>
      </c>
      <c r="P240" s="20">
        <v>90.15</v>
      </c>
      <c r="Q240" s="20">
        <v>50.22</v>
      </c>
      <c r="R240" s="20">
        <v>4687.6899999999996</v>
      </c>
      <c r="S240" s="20">
        <v>0.02</v>
      </c>
      <c r="T240" s="20">
        <v>93.75</v>
      </c>
      <c r="U240" s="20">
        <v>4593.93</v>
      </c>
      <c r="V240" s="20">
        <v>2611.3200000000002</v>
      </c>
      <c r="W240" s="20">
        <v>1982.61</v>
      </c>
      <c r="X240" s="20" t="s">
        <v>45</v>
      </c>
    </row>
    <row r="241" spans="1:24" x14ac:dyDescent="0.25">
      <c r="A241" s="23" t="s">
        <v>587</v>
      </c>
      <c r="B241" s="22">
        <v>45303</v>
      </c>
      <c r="C241" s="23" t="s">
        <v>309</v>
      </c>
      <c r="D241" s="23" t="s">
        <v>65</v>
      </c>
      <c r="E241" s="23" t="s">
        <v>132</v>
      </c>
      <c r="F241" s="23" t="s">
        <v>133</v>
      </c>
      <c r="G241" s="23" t="s">
        <v>2581</v>
      </c>
      <c r="H241" s="23" t="s">
        <v>134</v>
      </c>
      <c r="I241" s="23" t="s">
        <v>40</v>
      </c>
      <c r="J241" s="23" t="s">
        <v>289</v>
      </c>
      <c r="K241" s="23" t="s">
        <v>178</v>
      </c>
      <c r="L241" s="23" t="s">
        <v>2689</v>
      </c>
      <c r="M241" s="23" t="s">
        <v>153</v>
      </c>
      <c r="N241" s="23" t="s">
        <v>70</v>
      </c>
      <c r="O241" s="23">
        <v>29</v>
      </c>
      <c r="P241" s="23">
        <v>62.34</v>
      </c>
      <c r="Q241" s="23">
        <v>34.03</v>
      </c>
      <c r="R241" s="23">
        <v>1807.82</v>
      </c>
      <c r="S241" s="23">
        <v>0.05</v>
      </c>
      <c r="T241" s="23">
        <v>90.39</v>
      </c>
      <c r="U241" s="23">
        <v>1717.43</v>
      </c>
      <c r="V241" s="23">
        <v>986.99</v>
      </c>
      <c r="W241" s="23">
        <v>730.44</v>
      </c>
      <c r="X241" s="23" t="s">
        <v>45</v>
      </c>
    </row>
    <row r="242" spans="1:24" x14ac:dyDescent="0.25">
      <c r="A242" s="20" t="s">
        <v>588</v>
      </c>
      <c r="B242" s="19">
        <v>45326</v>
      </c>
      <c r="C242" s="20" t="s">
        <v>384</v>
      </c>
      <c r="D242" s="20" t="s">
        <v>57</v>
      </c>
      <c r="E242" s="20" t="s">
        <v>216</v>
      </c>
      <c r="F242" s="20" t="s">
        <v>2596</v>
      </c>
      <c r="G242" s="20" t="s">
        <v>2579</v>
      </c>
      <c r="H242" s="20" t="s">
        <v>134</v>
      </c>
      <c r="I242" s="20" t="s">
        <v>88</v>
      </c>
      <c r="J242" s="20" t="s">
        <v>173</v>
      </c>
      <c r="K242" s="20" t="s">
        <v>111</v>
      </c>
      <c r="L242" s="20" t="s">
        <v>2685</v>
      </c>
      <c r="M242" s="20" t="s">
        <v>153</v>
      </c>
      <c r="N242" s="20" t="s">
        <v>2578</v>
      </c>
      <c r="O242" s="20">
        <v>33</v>
      </c>
      <c r="P242" s="20">
        <v>106.23</v>
      </c>
      <c r="Q242" s="20">
        <v>66.28</v>
      </c>
      <c r="R242" s="20">
        <v>3505.57</v>
      </c>
      <c r="S242" s="20">
        <v>0.1</v>
      </c>
      <c r="T242" s="20">
        <v>350.56</v>
      </c>
      <c r="U242" s="20">
        <v>3155.01</v>
      </c>
      <c r="V242" s="20">
        <v>2187.2199999999998</v>
      </c>
      <c r="W242" s="20">
        <v>967.8</v>
      </c>
      <c r="X242" s="20" t="s">
        <v>45</v>
      </c>
    </row>
    <row r="243" spans="1:24" x14ac:dyDescent="0.25">
      <c r="A243" s="23" t="s">
        <v>589</v>
      </c>
      <c r="B243" s="22">
        <v>45522</v>
      </c>
      <c r="C243" s="23" t="s">
        <v>56</v>
      </c>
      <c r="D243" s="23" t="s">
        <v>57</v>
      </c>
      <c r="E243" s="23" t="s">
        <v>176</v>
      </c>
      <c r="F243" s="23" t="s">
        <v>2593</v>
      </c>
      <c r="G243" s="23" t="s">
        <v>2587</v>
      </c>
      <c r="H243" s="23" t="s">
        <v>39</v>
      </c>
      <c r="I243" s="23" t="s">
        <v>40</v>
      </c>
      <c r="J243" s="23" t="s">
        <v>117</v>
      </c>
      <c r="K243" s="23" t="s">
        <v>195</v>
      </c>
      <c r="L243" s="23" t="s">
        <v>2691</v>
      </c>
      <c r="M243" s="23" t="s">
        <v>153</v>
      </c>
      <c r="N243" s="23" t="s">
        <v>75</v>
      </c>
      <c r="O243" s="23">
        <v>57</v>
      </c>
      <c r="P243" s="23">
        <v>101.16</v>
      </c>
      <c r="Q243" s="23">
        <v>59.88</v>
      </c>
      <c r="R243" s="23">
        <v>5766.32</v>
      </c>
      <c r="S243" s="23">
        <v>0.1</v>
      </c>
      <c r="T243" s="23">
        <v>576.63</v>
      </c>
      <c r="U243" s="23">
        <v>5189.68</v>
      </c>
      <c r="V243" s="23">
        <v>3413.24</v>
      </c>
      <c r="W243" s="23">
        <v>1776.45</v>
      </c>
      <c r="X243" s="23" t="s">
        <v>45</v>
      </c>
    </row>
    <row r="244" spans="1:24" x14ac:dyDescent="0.25">
      <c r="A244" s="20" t="s">
        <v>590</v>
      </c>
      <c r="B244" s="19">
        <v>45495</v>
      </c>
      <c r="C244" s="20" t="s">
        <v>344</v>
      </c>
      <c r="D244" s="20" t="s">
        <v>87</v>
      </c>
      <c r="E244" s="20" t="s">
        <v>99</v>
      </c>
      <c r="F244" s="20" t="s">
        <v>100</v>
      </c>
      <c r="G244" s="20" t="s">
        <v>2587</v>
      </c>
      <c r="H244" s="20" t="s">
        <v>102</v>
      </c>
      <c r="I244" s="20" t="s">
        <v>88</v>
      </c>
      <c r="J244" s="20" t="s">
        <v>183</v>
      </c>
      <c r="K244" s="20" t="s">
        <v>195</v>
      </c>
      <c r="L244" s="20" t="s">
        <v>2691</v>
      </c>
      <c r="M244" s="20" t="s">
        <v>43</v>
      </c>
      <c r="N244" s="20" t="s">
        <v>70</v>
      </c>
      <c r="O244" s="20">
        <v>41</v>
      </c>
      <c r="P244" s="20">
        <v>71.510000000000005</v>
      </c>
      <c r="Q244" s="20">
        <v>38.020000000000003</v>
      </c>
      <c r="R244" s="20">
        <v>2932.04</v>
      </c>
      <c r="S244" s="20">
        <v>0.2</v>
      </c>
      <c r="T244" s="20">
        <v>586.41</v>
      </c>
      <c r="U244" s="20">
        <v>2345.63</v>
      </c>
      <c r="V244" s="20">
        <v>1558.7</v>
      </c>
      <c r="W244" s="20">
        <v>786.92</v>
      </c>
      <c r="X244" s="20" t="s">
        <v>32</v>
      </c>
    </row>
    <row r="245" spans="1:24" x14ac:dyDescent="0.25">
      <c r="A245" s="23" t="s">
        <v>591</v>
      </c>
      <c r="B245" s="22">
        <v>45588</v>
      </c>
      <c r="C245" s="23" t="s">
        <v>2619</v>
      </c>
      <c r="D245" s="23" t="s">
        <v>2619</v>
      </c>
      <c r="E245" s="23" t="s">
        <v>78</v>
      </c>
      <c r="F245" s="23" t="s">
        <v>2583</v>
      </c>
      <c r="G245" s="23" t="s">
        <v>2584</v>
      </c>
      <c r="H245" s="23" t="s">
        <v>81</v>
      </c>
      <c r="I245" s="23" t="s">
        <v>53</v>
      </c>
      <c r="J245" s="23" t="s">
        <v>122</v>
      </c>
      <c r="K245" s="23" t="s">
        <v>74</v>
      </c>
      <c r="L245" s="23" t="s">
        <v>2682</v>
      </c>
      <c r="M245" s="23" t="s">
        <v>61</v>
      </c>
      <c r="N245" s="23" t="s">
        <v>2578</v>
      </c>
      <c r="O245" s="23">
        <v>2</v>
      </c>
      <c r="P245" s="23">
        <v>135.66</v>
      </c>
      <c r="Q245" s="23">
        <v>83.63</v>
      </c>
      <c r="R245" s="23">
        <v>271.32</v>
      </c>
      <c r="S245" s="23">
        <v>0.1</v>
      </c>
      <c r="T245" s="23">
        <v>27.13</v>
      </c>
      <c r="U245" s="23">
        <v>244.19</v>
      </c>
      <c r="V245" s="23">
        <v>167.25</v>
      </c>
      <c r="W245" s="23">
        <v>76.94</v>
      </c>
      <c r="X245" s="23" t="s">
        <v>45</v>
      </c>
    </row>
    <row r="246" spans="1:24" x14ac:dyDescent="0.25">
      <c r="A246" s="20" t="s">
        <v>592</v>
      </c>
      <c r="B246" s="19">
        <v>45487</v>
      </c>
      <c r="C246" s="20" t="s">
        <v>572</v>
      </c>
      <c r="D246" s="20" t="s">
        <v>57</v>
      </c>
      <c r="E246" s="20" t="s">
        <v>99</v>
      </c>
      <c r="F246" s="20" t="s">
        <v>100</v>
      </c>
      <c r="G246" s="20" t="s">
        <v>2587</v>
      </c>
      <c r="H246" s="20" t="s">
        <v>102</v>
      </c>
      <c r="I246" s="20" t="s">
        <v>27</v>
      </c>
      <c r="J246" s="20" t="s">
        <v>28</v>
      </c>
      <c r="K246" s="20" t="s">
        <v>42</v>
      </c>
      <c r="L246" s="20" t="s">
        <v>2680</v>
      </c>
      <c r="M246" s="20" t="s">
        <v>30</v>
      </c>
      <c r="N246" s="20" t="s">
        <v>44</v>
      </c>
      <c r="O246" s="20">
        <v>11</v>
      </c>
      <c r="P246" s="20">
        <v>65.760000000000005</v>
      </c>
      <c r="Q246" s="20">
        <v>40.47</v>
      </c>
      <c r="R246" s="20">
        <v>723.31</v>
      </c>
      <c r="S246" s="20">
        <v>0</v>
      </c>
      <c r="T246" s="20">
        <v>0</v>
      </c>
      <c r="U246" s="20">
        <v>723.31</v>
      </c>
      <c r="V246" s="20">
        <v>445.15</v>
      </c>
      <c r="W246" s="20">
        <v>278.16000000000003</v>
      </c>
      <c r="X246" s="20" t="s">
        <v>129</v>
      </c>
    </row>
    <row r="247" spans="1:24" x14ac:dyDescent="0.25">
      <c r="A247" s="23" t="s">
        <v>593</v>
      </c>
      <c r="B247" s="22">
        <v>45554</v>
      </c>
      <c r="C247" s="23" t="s">
        <v>594</v>
      </c>
      <c r="D247" s="23" t="s">
        <v>105</v>
      </c>
      <c r="E247" s="23" t="s">
        <v>165</v>
      </c>
      <c r="F247" s="23" t="s">
        <v>2592</v>
      </c>
      <c r="G247" s="23" t="s">
        <v>2586</v>
      </c>
      <c r="H247" s="23" t="s">
        <v>167</v>
      </c>
      <c r="I247" s="23" t="s">
        <v>27</v>
      </c>
      <c r="J247" s="23" t="s">
        <v>189</v>
      </c>
      <c r="K247" s="23" t="s">
        <v>111</v>
      </c>
      <c r="L247" s="23" t="s">
        <v>2685</v>
      </c>
      <c r="M247" s="23" t="s">
        <v>43</v>
      </c>
      <c r="N247" s="23" t="s">
        <v>2578</v>
      </c>
      <c r="O247" s="23">
        <v>14</v>
      </c>
      <c r="P247" s="23">
        <v>44.04</v>
      </c>
      <c r="Q247" s="23">
        <v>25.16</v>
      </c>
      <c r="R247" s="23">
        <v>616.51</v>
      </c>
      <c r="S247" s="23">
        <v>0.15</v>
      </c>
      <c r="T247" s="23">
        <v>92.48</v>
      </c>
      <c r="U247" s="23">
        <v>524.03</v>
      </c>
      <c r="V247" s="23">
        <v>352.19</v>
      </c>
      <c r="W247" s="23">
        <v>171.84</v>
      </c>
      <c r="X247" s="23" t="s">
        <v>129</v>
      </c>
    </row>
    <row r="248" spans="1:24" x14ac:dyDescent="0.25">
      <c r="A248" s="20" t="s">
        <v>595</v>
      </c>
      <c r="B248" s="19">
        <v>45505</v>
      </c>
      <c r="C248" s="20" t="s">
        <v>596</v>
      </c>
      <c r="D248" s="20" t="s">
        <v>597</v>
      </c>
      <c r="E248" s="20" t="s">
        <v>93</v>
      </c>
      <c r="F248" s="20" t="s">
        <v>2585</v>
      </c>
      <c r="G248" s="20" t="s">
        <v>2586</v>
      </c>
      <c r="H248" s="20" t="s">
        <v>96</v>
      </c>
      <c r="I248" s="20" t="s">
        <v>58</v>
      </c>
      <c r="J248" s="20" t="s">
        <v>73</v>
      </c>
      <c r="K248" s="20" t="s">
        <v>74</v>
      </c>
      <c r="L248" s="20" t="s">
        <v>2682</v>
      </c>
      <c r="M248" s="20" t="s">
        <v>30</v>
      </c>
      <c r="N248" s="20" t="s">
        <v>2578</v>
      </c>
      <c r="O248" s="20">
        <v>8</v>
      </c>
      <c r="P248" s="20">
        <v>59.12</v>
      </c>
      <c r="Q248" s="20">
        <v>31.69</v>
      </c>
      <c r="R248" s="20">
        <v>472.93</v>
      </c>
      <c r="S248" s="20">
        <v>0.05</v>
      </c>
      <c r="T248" s="20">
        <v>23.65</v>
      </c>
      <c r="U248" s="20">
        <v>449.28</v>
      </c>
      <c r="V248" s="20">
        <v>253.53</v>
      </c>
      <c r="W248" s="20">
        <v>195.75</v>
      </c>
      <c r="X248" s="20" t="s">
        <v>32</v>
      </c>
    </row>
    <row r="249" spans="1:24" x14ac:dyDescent="0.25">
      <c r="A249" s="23" t="s">
        <v>598</v>
      </c>
      <c r="B249" s="22">
        <v>45590</v>
      </c>
      <c r="C249" s="23" t="s">
        <v>578</v>
      </c>
      <c r="D249" s="23" t="s">
        <v>221</v>
      </c>
      <c r="E249" s="23" t="s">
        <v>49</v>
      </c>
      <c r="F249" s="23" t="s">
        <v>2580</v>
      </c>
      <c r="G249" s="23" t="s">
        <v>2581</v>
      </c>
      <c r="H249" s="23" t="s">
        <v>52</v>
      </c>
      <c r="I249" s="23" t="s">
        <v>88</v>
      </c>
      <c r="J249" s="23" t="s">
        <v>2112</v>
      </c>
      <c r="K249" s="23" t="s">
        <v>60</v>
      </c>
      <c r="L249" s="23" t="s">
        <v>2677</v>
      </c>
      <c r="M249" s="23" t="s">
        <v>43</v>
      </c>
      <c r="N249" s="23" t="s">
        <v>84</v>
      </c>
      <c r="O249" s="23">
        <v>57</v>
      </c>
      <c r="P249" s="23">
        <v>23.85</v>
      </c>
      <c r="Q249" s="23">
        <v>14.03</v>
      </c>
      <c r="R249" s="23">
        <v>1359.25</v>
      </c>
      <c r="S249" s="23">
        <v>0.2</v>
      </c>
      <c r="T249" s="23">
        <v>271.85000000000002</v>
      </c>
      <c r="U249" s="23">
        <v>1087.4000000000001</v>
      </c>
      <c r="V249" s="23">
        <v>799.76</v>
      </c>
      <c r="W249" s="23">
        <v>287.64</v>
      </c>
      <c r="X249" s="23" t="s">
        <v>45</v>
      </c>
    </row>
    <row r="250" spans="1:24" x14ac:dyDescent="0.25">
      <c r="A250" s="20" t="s">
        <v>599</v>
      </c>
      <c r="B250" s="19">
        <v>45493</v>
      </c>
      <c r="C250" s="20" t="s">
        <v>600</v>
      </c>
      <c r="D250" s="20" t="s">
        <v>87</v>
      </c>
      <c r="E250" s="20" t="s">
        <v>78</v>
      </c>
      <c r="F250" s="20" t="s">
        <v>2583</v>
      </c>
      <c r="G250" s="20" t="s">
        <v>2584</v>
      </c>
      <c r="H250" s="20" t="s">
        <v>81</v>
      </c>
      <c r="I250" s="20" t="s">
        <v>40</v>
      </c>
      <c r="J250" s="20" t="s">
        <v>82</v>
      </c>
      <c r="K250" s="20" t="s">
        <v>248</v>
      </c>
      <c r="L250" s="20" t="s">
        <v>2693</v>
      </c>
      <c r="M250" s="20" t="s">
        <v>30</v>
      </c>
      <c r="N250" s="20" t="s">
        <v>44</v>
      </c>
      <c r="O250" s="20">
        <v>6</v>
      </c>
      <c r="P250" s="20">
        <v>136.99</v>
      </c>
      <c r="Q250" s="20">
        <v>78.400000000000006</v>
      </c>
      <c r="R250" s="20">
        <v>821.95</v>
      </c>
      <c r="S250" s="20">
        <v>0.05</v>
      </c>
      <c r="T250" s="20">
        <v>41.1</v>
      </c>
      <c r="U250" s="20">
        <v>780.85</v>
      </c>
      <c r="V250" s="20">
        <v>470.38</v>
      </c>
      <c r="W250" s="20">
        <v>310.47000000000003</v>
      </c>
      <c r="X250" s="20" t="s">
        <v>32</v>
      </c>
    </row>
    <row r="251" spans="1:24" x14ac:dyDescent="0.25">
      <c r="A251" s="23" t="s">
        <v>601</v>
      </c>
      <c r="B251" s="22">
        <v>45654</v>
      </c>
      <c r="C251" s="23" t="s">
        <v>602</v>
      </c>
      <c r="D251" s="23" t="s">
        <v>159</v>
      </c>
      <c r="E251" s="23" t="s">
        <v>109</v>
      </c>
      <c r="F251" s="23" t="s">
        <v>110</v>
      </c>
      <c r="G251" s="23" t="s">
        <v>2584</v>
      </c>
      <c r="H251" s="23" t="s">
        <v>81</v>
      </c>
      <c r="I251" s="23" t="s">
        <v>88</v>
      </c>
      <c r="J251" s="23" t="s">
        <v>135</v>
      </c>
      <c r="K251" s="23" t="s">
        <v>261</v>
      </c>
      <c r="L251" s="23" t="s">
        <v>2695</v>
      </c>
      <c r="M251" s="23" t="s">
        <v>43</v>
      </c>
      <c r="N251" s="23" t="s">
        <v>70</v>
      </c>
      <c r="O251" s="23">
        <v>55</v>
      </c>
      <c r="P251" s="23">
        <v>119.75</v>
      </c>
      <c r="Q251" s="23">
        <v>72.5</v>
      </c>
      <c r="R251" s="23">
        <v>6586.3</v>
      </c>
      <c r="S251" s="23">
        <v>0.2</v>
      </c>
      <c r="T251" s="23">
        <v>1317.26</v>
      </c>
      <c r="U251" s="23">
        <v>5269.04</v>
      </c>
      <c r="V251" s="23">
        <v>3987.46</v>
      </c>
      <c r="W251" s="23">
        <v>1281.58</v>
      </c>
      <c r="X251" s="23" t="s">
        <v>32</v>
      </c>
    </row>
    <row r="252" spans="1:24" x14ac:dyDescent="0.25">
      <c r="A252" s="20" t="s">
        <v>603</v>
      </c>
      <c r="B252" s="19">
        <v>45562</v>
      </c>
      <c r="C252" s="20" t="s">
        <v>485</v>
      </c>
      <c r="D252" s="20" t="s">
        <v>22</v>
      </c>
      <c r="E252" s="20" t="s">
        <v>250</v>
      </c>
      <c r="F252" s="20" t="s">
        <v>2598</v>
      </c>
      <c r="G252" s="20" t="s">
        <v>2581</v>
      </c>
      <c r="H252" s="20" t="s">
        <v>252</v>
      </c>
      <c r="I252" s="20" t="s">
        <v>53</v>
      </c>
      <c r="J252" s="20" t="s">
        <v>143</v>
      </c>
      <c r="K252" s="20" t="s">
        <v>60</v>
      </c>
      <c r="L252" s="20" t="s">
        <v>2677</v>
      </c>
      <c r="M252" s="20" t="s">
        <v>30</v>
      </c>
      <c r="N252" s="20" t="s">
        <v>44</v>
      </c>
      <c r="O252" s="20">
        <v>2</v>
      </c>
      <c r="P252" s="20">
        <v>61.8</v>
      </c>
      <c r="Q252" s="20">
        <v>35.21</v>
      </c>
      <c r="R252" s="20">
        <v>123.6</v>
      </c>
      <c r="S252" s="20">
        <v>0.05</v>
      </c>
      <c r="T252" s="20">
        <v>6.18</v>
      </c>
      <c r="U252" s="20">
        <v>117.42</v>
      </c>
      <c r="V252" s="20">
        <v>70.42</v>
      </c>
      <c r="W252" s="20">
        <v>47</v>
      </c>
      <c r="X252" s="20" t="s">
        <v>45</v>
      </c>
    </row>
    <row r="253" spans="1:24" x14ac:dyDescent="0.25">
      <c r="A253" s="23" t="s">
        <v>604</v>
      </c>
      <c r="B253" s="22">
        <v>45538</v>
      </c>
      <c r="C253" s="23" t="s">
        <v>220</v>
      </c>
      <c r="D253" s="23" t="s">
        <v>221</v>
      </c>
      <c r="E253" s="23" t="s">
        <v>150</v>
      </c>
      <c r="F253" s="23" t="s">
        <v>2591</v>
      </c>
      <c r="G253" s="23" t="s">
        <v>2587</v>
      </c>
      <c r="H253" s="23" t="s">
        <v>134</v>
      </c>
      <c r="I253" s="23" t="s">
        <v>53</v>
      </c>
      <c r="J253" s="23" t="s">
        <v>122</v>
      </c>
      <c r="K253" s="23" t="s">
        <v>144</v>
      </c>
      <c r="L253" s="23" t="s">
        <v>2687</v>
      </c>
      <c r="M253" s="23" t="s">
        <v>30</v>
      </c>
      <c r="N253" s="23" t="s">
        <v>70</v>
      </c>
      <c r="O253" s="23">
        <v>28</v>
      </c>
      <c r="P253" s="23">
        <v>82.44</v>
      </c>
      <c r="Q253" s="23">
        <v>51.16</v>
      </c>
      <c r="R253" s="23">
        <v>2308.3000000000002</v>
      </c>
      <c r="S253" s="23">
        <v>0.1</v>
      </c>
      <c r="T253" s="23">
        <v>230.83</v>
      </c>
      <c r="U253" s="23">
        <v>2077.4699999999998</v>
      </c>
      <c r="V253" s="23">
        <v>1432.59</v>
      </c>
      <c r="W253" s="23">
        <v>644.88</v>
      </c>
      <c r="X253" s="23" t="s">
        <v>45</v>
      </c>
    </row>
    <row r="254" spans="1:24" x14ac:dyDescent="0.25">
      <c r="A254" s="20" t="s">
        <v>605</v>
      </c>
      <c r="B254" s="19">
        <v>45509</v>
      </c>
      <c r="C254" s="20" t="s">
        <v>320</v>
      </c>
      <c r="D254" s="20" t="s">
        <v>264</v>
      </c>
      <c r="E254" s="20" t="s">
        <v>150</v>
      </c>
      <c r="F254" s="20" t="s">
        <v>2591</v>
      </c>
      <c r="G254" s="20" t="s">
        <v>2587</v>
      </c>
      <c r="H254" s="20" t="s">
        <v>134</v>
      </c>
      <c r="I254" s="20" t="s">
        <v>27</v>
      </c>
      <c r="J254" s="20" t="s">
        <v>106</v>
      </c>
      <c r="K254" s="20" t="s">
        <v>42</v>
      </c>
      <c r="L254" s="20" t="s">
        <v>2680</v>
      </c>
      <c r="M254" s="20" t="s">
        <v>61</v>
      </c>
      <c r="N254" s="20" t="s">
        <v>2578</v>
      </c>
      <c r="O254" s="20">
        <v>33</v>
      </c>
      <c r="P254" s="20">
        <v>79.11</v>
      </c>
      <c r="Q254" s="20">
        <v>54.08</v>
      </c>
      <c r="R254" s="20">
        <v>2610.66</v>
      </c>
      <c r="S254" s="20">
        <v>0.2</v>
      </c>
      <c r="T254" s="20">
        <v>522.13</v>
      </c>
      <c r="U254" s="20">
        <v>2088.5300000000002</v>
      </c>
      <c r="V254" s="20">
        <v>1784.61</v>
      </c>
      <c r="W254" s="20">
        <v>303.91000000000003</v>
      </c>
      <c r="X254" s="20" t="s">
        <v>129</v>
      </c>
    </row>
    <row r="255" spans="1:24" x14ac:dyDescent="0.25">
      <c r="A255" s="23" t="s">
        <v>606</v>
      </c>
      <c r="B255" s="22">
        <v>45539</v>
      </c>
      <c r="C255" s="23" t="s">
        <v>180</v>
      </c>
      <c r="D255" s="23" t="s">
        <v>163</v>
      </c>
      <c r="E255" s="23" t="s">
        <v>66</v>
      </c>
      <c r="F255" s="23" t="s">
        <v>2582</v>
      </c>
      <c r="G255" s="23" t="s">
        <v>2579</v>
      </c>
      <c r="H255" s="23" t="s">
        <v>68</v>
      </c>
      <c r="I255" s="23" t="s">
        <v>53</v>
      </c>
      <c r="J255" s="23" t="s">
        <v>143</v>
      </c>
      <c r="K255" s="23" t="s">
        <v>170</v>
      </c>
      <c r="L255" s="23" t="s">
        <v>2671</v>
      </c>
      <c r="M255" s="23" t="s">
        <v>61</v>
      </c>
      <c r="N255" s="23" t="s">
        <v>44</v>
      </c>
      <c r="O255" s="23">
        <v>54</v>
      </c>
      <c r="P255" s="23">
        <v>154.19</v>
      </c>
      <c r="Q255" s="23">
        <v>104.3</v>
      </c>
      <c r="R255" s="23">
        <v>8326.2900000000009</v>
      </c>
      <c r="S255" s="23">
        <v>0.15</v>
      </c>
      <c r="T255" s="23">
        <v>1248.94</v>
      </c>
      <c r="U255" s="23">
        <v>7077.35</v>
      </c>
      <c r="V255" s="23">
        <v>5632.24</v>
      </c>
      <c r="W255" s="23">
        <v>1445.1</v>
      </c>
      <c r="X255" s="23" t="s">
        <v>45</v>
      </c>
    </row>
    <row r="256" spans="1:24" x14ac:dyDescent="0.25">
      <c r="A256" s="20" t="s">
        <v>607</v>
      </c>
      <c r="B256" s="19">
        <v>45298</v>
      </c>
      <c r="C256" s="20" t="s">
        <v>608</v>
      </c>
      <c r="D256" s="20" t="s">
        <v>22</v>
      </c>
      <c r="E256" s="20" t="s">
        <v>78</v>
      </c>
      <c r="F256" s="20" t="s">
        <v>2583</v>
      </c>
      <c r="G256" s="20" t="s">
        <v>2584</v>
      </c>
      <c r="H256" s="20" t="s">
        <v>81</v>
      </c>
      <c r="I256" s="20" t="s">
        <v>27</v>
      </c>
      <c r="J256" s="20" t="s">
        <v>106</v>
      </c>
      <c r="K256" s="20" t="s">
        <v>111</v>
      </c>
      <c r="L256" s="20" t="s">
        <v>2685</v>
      </c>
      <c r="M256" s="20" t="s">
        <v>43</v>
      </c>
      <c r="N256" s="20" t="s">
        <v>2578</v>
      </c>
      <c r="O256" s="20">
        <v>54</v>
      </c>
      <c r="P256" s="20">
        <v>147.12</v>
      </c>
      <c r="Q256" s="20">
        <v>86.73</v>
      </c>
      <c r="R256" s="20">
        <v>7944.67</v>
      </c>
      <c r="S256" s="20">
        <v>0.1</v>
      </c>
      <c r="T256" s="20">
        <v>794.47</v>
      </c>
      <c r="U256" s="20">
        <v>7150.2</v>
      </c>
      <c r="V256" s="20">
        <v>4683.57</v>
      </c>
      <c r="W256" s="20">
        <v>2466.63</v>
      </c>
      <c r="X256" s="20" t="s">
        <v>129</v>
      </c>
    </row>
    <row r="257" spans="1:24" x14ac:dyDescent="0.25">
      <c r="A257" s="23" t="s">
        <v>610</v>
      </c>
      <c r="B257" s="22">
        <v>45368</v>
      </c>
      <c r="C257" s="23" t="s">
        <v>611</v>
      </c>
      <c r="D257" s="23" t="s">
        <v>264</v>
      </c>
      <c r="E257" s="23" t="s">
        <v>126</v>
      </c>
      <c r="F257" s="23" t="s">
        <v>2589</v>
      </c>
      <c r="G257" s="23" t="s">
        <v>2586</v>
      </c>
      <c r="H257" s="23" t="s">
        <v>128</v>
      </c>
      <c r="I257" s="23" t="s">
        <v>53</v>
      </c>
      <c r="J257" s="23" t="s">
        <v>122</v>
      </c>
      <c r="K257" s="23" t="s">
        <v>152</v>
      </c>
      <c r="L257" s="23" t="s">
        <v>2688</v>
      </c>
      <c r="M257" s="23" t="s">
        <v>30</v>
      </c>
      <c r="N257" s="23" t="s">
        <v>2578</v>
      </c>
      <c r="O257" s="23">
        <v>42</v>
      </c>
      <c r="P257" s="23">
        <v>87.6</v>
      </c>
      <c r="Q257" s="23">
        <v>54.44</v>
      </c>
      <c r="R257" s="23">
        <v>3679</v>
      </c>
      <c r="S257" s="23">
        <v>0</v>
      </c>
      <c r="T257" s="23">
        <v>0</v>
      </c>
      <c r="U257" s="23">
        <v>3679</v>
      </c>
      <c r="V257" s="23">
        <v>2286.36</v>
      </c>
      <c r="W257" s="23">
        <v>1392.64</v>
      </c>
      <c r="X257" s="23" t="s">
        <v>45</v>
      </c>
    </row>
    <row r="258" spans="1:24" x14ac:dyDescent="0.25">
      <c r="A258" s="20" t="s">
        <v>612</v>
      </c>
      <c r="B258" s="19">
        <v>45571</v>
      </c>
      <c r="C258" s="20" t="s">
        <v>613</v>
      </c>
      <c r="D258" s="20" t="s">
        <v>87</v>
      </c>
      <c r="E258" s="20" t="s">
        <v>78</v>
      </c>
      <c r="F258" s="20" t="s">
        <v>2583</v>
      </c>
      <c r="G258" s="20" t="s">
        <v>2584</v>
      </c>
      <c r="H258" s="20" t="s">
        <v>81</v>
      </c>
      <c r="I258" s="20" t="s">
        <v>27</v>
      </c>
      <c r="J258" s="20" t="s">
        <v>106</v>
      </c>
      <c r="K258" s="20" t="s">
        <v>195</v>
      </c>
      <c r="L258" s="20" t="s">
        <v>2691</v>
      </c>
      <c r="M258" s="20" t="s">
        <v>153</v>
      </c>
      <c r="N258" s="20" t="s">
        <v>75</v>
      </c>
      <c r="O258" s="20">
        <v>55</v>
      </c>
      <c r="P258" s="20">
        <v>137.62</v>
      </c>
      <c r="Q258" s="20">
        <v>83.98</v>
      </c>
      <c r="R258" s="20">
        <v>7569.24</v>
      </c>
      <c r="S258" s="20">
        <v>0.1</v>
      </c>
      <c r="T258" s="20">
        <v>756.92</v>
      </c>
      <c r="U258" s="20">
        <v>6812.32</v>
      </c>
      <c r="V258" s="20">
        <v>4619.13</v>
      </c>
      <c r="W258" s="20">
        <v>2193.19</v>
      </c>
      <c r="X258" s="20" t="s">
        <v>45</v>
      </c>
    </row>
    <row r="259" spans="1:24" x14ac:dyDescent="0.25">
      <c r="A259" s="23" t="s">
        <v>614</v>
      </c>
      <c r="B259" s="22">
        <v>45551</v>
      </c>
      <c r="C259" s="23" t="s">
        <v>615</v>
      </c>
      <c r="D259" s="23" t="s">
        <v>264</v>
      </c>
      <c r="E259" s="23" t="s">
        <v>150</v>
      </c>
      <c r="F259" s="23" t="s">
        <v>2591</v>
      </c>
      <c r="G259" s="23" t="s">
        <v>2587</v>
      </c>
      <c r="H259" s="23" t="s">
        <v>134</v>
      </c>
      <c r="I259" s="23" t="s">
        <v>58</v>
      </c>
      <c r="J259" s="23" t="s">
        <v>323</v>
      </c>
      <c r="K259" s="23" t="s">
        <v>265</v>
      </c>
      <c r="L259" s="23" t="s">
        <v>2663</v>
      </c>
      <c r="M259" s="23" t="s">
        <v>30</v>
      </c>
      <c r="N259" s="23" t="s">
        <v>2578</v>
      </c>
      <c r="O259" s="23">
        <v>6</v>
      </c>
      <c r="P259" s="23">
        <v>79.53</v>
      </c>
      <c r="Q259" s="23">
        <v>50.9</v>
      </c>
      <c r="R259" s="23">
        <v>477.2</v>
      </c>
      <c r="S259" s="23">
        <v>0.1</v>
      </c>
      <c r="T259" s="23">
        <v>47.72</v>
      </c>
      <c r="U259" s="23">
        <v>429.48</v>
      </c>
      <c r="V259" s="23">
        <v>305.42</v>
      </c>
      <c r="W259" s="23">
        <v>124.06</v>
      </c>
      <c r="X259" s="23" t="s">
        <v>45</v>
      </c>
    </row>
    <row r="260" spans="1:24" x14ac:dyDescent="0.25">
      <c r="A260" s="20" t="s">
        <v>616</v>
      </c>
      <c r="B260" s="19">
        <v>45569</v>
      </c>
      <c r="C260" s="20" t="s">
        <v>617</v>
      </c>
      <c r="D260" s="20" t="s">
        <v>22</v>
      </c>
      <c r="E260" s="20" t="s">
        <v>187</v>
      </c>
      <c r="F260" s="20" t="s">
        <v>2594</v>
      </c>
      <c r="G260" s="20" t="s">
        <v>2577</v>
      </c>
      <c r="H260" s="20" t="s">
        <v>26</v>
      </c>
      <c r="I260" s="20" t="s">
        <v>40</v>
      </c>
      <c r="J260" s="20" t="s">
        <v>289</v>
      </c>
      <c r="K260" s="20" t="s">
        <v>253</v>
      </c>
      <c r="L260" s="20" t="s">
        <v>2694</v>
      </c>
      <c r="M260" s="20" t="s">
        <v>61</v>
      </c>
      <c r="N260" s="20" t="s">
        <v>2578</v>
      </c>
      <c r="O260" s="20">
        <v>6</v>
      </c>
      <c r="P260" s="20">
        <v>45.21</v>
      </c>
      <c r="Q260" s="20">
        <v>26.75</v>
      </c>
      <c r="R260" s="20">
        <v>271.24</v>
      </c>
      <c r="S260" s="20">
        <v>0.2</v>
      </c>
      <c r="T260" s="20">
        <v>54.25</v>
      </c>
      <c r="U260" s="20">
        <v>217</v>
      </c>
      <c r="V260" s="20">
        <v>160.47999999999999</v>
      </c>
      <c r="W260" s="20">
        <v>56.51</v>
      </c>
      <c r="X260" s="20" t="s">
        <v>45</v>
      </c>
    </row>
    <row r="261" spans="1:24" x14ac:dyDescent="0.25">
      <c r="A261" s="23" t="s">
        <v>618</v>
      </c>
      <c r="B261" s="22">
        <v>45324</v>
      </c>
      <c r="C261" s="23" t="s">
        <v>426</v>
      </c>
      <c r="D261" s="23" t="s">
        <v>57</v>
      </c>
      <c r="E261" s="23" t="s">
        <v>187</v>
      </c>
      <c r="F261" s="23" t="s">
        <v>2594</v>
      </c>
      <c r="G261" s="23" t="s">
        <v>2577</v>
      </c>
      <c r="H261" s="23" t="s">
        <v>26</v>
      </c>
      <c r="I261" s="23" t="s">
        <v>53</v>
      </c>
      <c r="J261" s="23" t="s">
        <v>232</v>
      </c>
      <c r="K261" s="23" t="s">
        <v>111</v>
      </c>
      <c r="L261" s="23" t="s">
        <v>2685</v>
      </c>
      <c r="M261" s="23" t="s">
        <v>153</v>
      </c>
      <c r="N261" s="23" t="s">
        <v>2578</v>
      </c>
      <c r="O261" s="23">
        <v>22</v>
      </c>
      <c r="P261" s="23">
        <v>51.32</v>
      </c>
      <c r="Q261" s="23">
        <v>30.7</v>
      </c>
      <c r="R261" s="23">
        <v>1129.1099999999999</v>
      </c>
      <c r="S261" s="23">
        <v>0.1</v>
      </c>
      <c r="T261" s="23">
        <v>112.91</v>
      </c>
      <c r="U261" s="23">
        <v>1016.2</v>
      </c>
      <c r="V261" s="23">
        <v>675.37</v>
      </c>
      <c r="W261" s="23">
        <v>340.83</v>
      </c>
      <c r="X261" s="23" t="s">
        <v>45</v>
      </c>
    </row>
    <row r="262" spans="1:24" x14ac:dyDescent="0.25">
      <c r="A262" s="20" t="s">
        <v>619</v>
      </c>
      <c r="B262" s="19">
        <v>45298</v>
      </c>
      <c r="C262" s="20" t="s">
        <v>569</v>
      </c>
      <c r="D262" s="20" t="s">
        <v>121</v>
      </c>
      <c r="E262" s="20" t="s">
        <v>187</v>
      </c>
      <c r="F262" s="20" t="s">
        <v>2594</v>
      </c>
      <c r="G262" s="20" t="s">
        <v>2577</v>
      </c>
      <c r="H262" s="20" t="s">
        <v>26</v>
      </c>
      <c r="I262" s="20" t="s">
        <v>40</v>
      </c>
      <c r="J262" s="20" t="s">
        <v>82</v>
      </c>
      <c r="K262" s="20" t="s">
        <v>111</v>
      </c>
      <c r="L262" s="20" t="s">
        <v>2685</v>
      </c>
      <c r="M262" s="20" t="s">
        <v>43</v>
      </c>
      <c r="N262" s="20" t="s">
        <v>2578</v>
      </c>
      <c r="O262" s="20">
        <v>80</v>
      </c>
      <c r="P262" s="20">
        <v>46.12</v>
      </c>
      <c r="Q262" s="20">
        <v>29.84</v>
      </c>
      <c r="R262" s="20">
        <v>3689.25</v>
      </c>
      <c r="S262" s="20">
        <v>0.15</v>
      </c>
      <c r="T262" s="20">
        <v>553.39</v>
      </c>
      <c r="U262" s="20">
        <v>3135.86</v>
      </c>
      <c r="V262" s="20">
        <v>2387.37</v>
      </c>
      <c r="W262" s="20">
        <v>748.49</v>
      </c>
      <c r="X262" s="20" t="s">
        <v>45</v>
      </c>
    </row>
    <row r="263" spans="1:24" x14ac:dyDescent="0.25">
      <c r="A263" s="23" t="s">
        <v>620</v>
      </c>
      <c r="B263" s="22">
        <v>45591</v>
      </c>
      <c r="C263" s="23" t="s">
        <v>395</v>
      </c>
      <c r="D263" s="23" t="s">
        <v>221</v>
      </c>
      <c r="E263" s="23" t="s">
        <v>36</v>
      </c>
      <c r="F263" s="23" t="s">
        <v>37</v>
      </c>
      <c r="G263" s="23" t="s">
        <v>2579</v>
      </c>
      <c r="H263" s="23" t="s">
        <v>39</v>
      </c>
      <c r="I263" s="23" t="s">
        <v>27</v>
      </c>
      <c r="J263" s="23" t="s">
        <v>28</v>
      </c>
      <c r="K263" s="23" t="s">
        <v>111</v>
      </c>
      <c r="L263" s="23" t="s">
        <v>2685</v>
      </c>
      <c r="M263" s="23" t="s">
        <v>153</v>
      </c>
      <c r="N263" s="23" t="s">
        <v>2578</v>
      </c>
      <c r="O263" s="23">
        <v>70</v>
      </c>
      <c r="P263" s="23">
        <v>173.34</v>
      </c>
      <c r="Q263" s="23">
        <v>94.64</v>
      </c>
      <c r="R263" s="23">
        <v>12133.66</v>
      </c>
      <c r="S263" s="23">
        <v>0.02</v>
      </c>
      <c r="T263" s="23">
        <v>242.67</v>
      </c>
      <c r="U263" s="23">
        <v>11890.99</v>
      </c>
      <c r="V263" s="23">
        <v>6624.46</v>
      </c>
      <c r="W263" s="23">
        <v>5266.53</v>
      </c>
      <c r="X263" s="23" t="s">
        <v>45</v>
      </c>
    </row>
    <row r="264" spans="1:24" x14ac:dyDescent="0.25">
      <c r="A264" s="20" t="s">
        <v>621</v>
      </c>
      <c r="B264" s="19">
        <v>45385</v>
      </c>
      <c r="C264" s="20" t="s">
        <v>295</v>
      </c>
      <c r="D264" s="20" t="s">
        <v>22</v>
      </c>
      <c r="E264" s="20" t="s">
        <v>250</v>
      </c>
      <c r="F264" s="20" t="s">
        <v>2598</v>
      </c>
      <c r="G264" s="20" t="s">
        <v>2581</v>
      </c>
      <c r="H264" s="20" t="s">
        <v>252</v>
      </c>
      <c r="I264" s="20" t="s">
        <v>58</v>
      </c>
      <c r="J264" s="20" t="s">
        <v>345</v>
      </c>
      <c r="K264" s="20" t="s">
        <v>74</v>
      </c>
      <c r="L264" s="20" t="s">
        <v>2682</v>
      </c>
      <c r="M264" s="20" t="s">
        <v>30</v>
      </c>
      <c r="N264" s="20" t="s">
        <v>2578</v>
      </c>
      <c r="O264" s="20">
        <v>48</v>
      </c>
      <c r="P264" s="20">
        <v>65.209999999999994</v>
      </c>
      <c r="Q264" s="20">
        <v>40.14</v>
      </c>
      <c r="R264" s="20">
        <v>3130.07</v>
      </c>
      <c r="S264" s="20">
        <v>0.2</v>
      </c>
      <c r="T264" s="20">
        <v>626.01</v>
      </c>
      <c r="U264" s="20">
        <v>2504.0500000000002</v>
      </c>
      <c r="V264" s="20">
        <v>1926.78</v>
      </c>
      <c r="W264" s="20">
        <v>577.27</v>
      </c>
      <c r="X264" s="20" t="s">
        <v>32</v>
      </c>
    </row>
    <row r="265" spans="1:24" x14ac:dyDescent="0.25">
      <c r="A265" s="23" t="s">
        <v>622</v>
      </c>
      <c r="B265" s="22">
        <v>45640</v>
      </c>
      <c r="C265" s="23" t="s">
        <v>623</v>
      </c>
      <c r="D265" s="23" t="s">
        <v>156</v>
      </c>
      <c r="E265" s="23" t="s">
        <v>126</v>
      </c>
      <c r="F265" s="23" t="s">
        <v>2589</v>
      </c>
      <c r="G265" s="23" t="s">
        <v>2586</v>
      </c>
      <c r="H265" s="23" t="s">
        <v>128</v>
      </c>
      <c r="I265" s="23" t="s">
        <v>88</v>
      </c>
      <c r="J265" s="23" t="s">
        <v>173</v>
      </c>
      <c r="K265" s="23" t="s">
        <v>90</v>
      </c>
      <c r="L265" s="23" t="s">
        <v>2684</v>
      </c>
      <c r="M265" s="23" t="s">
        <v>30</v>
      </c>
      <c r="N265" s="23" t="s">
        <v>44</v>
      </c>
      <c r="O265" s="23">
        <v>3</v>
      </c>
      <c r="P265" s="23">
        <v>94.79</v>
      </c>
      <c r="Q265" s="23">
        <v>55.59</v>
      </c>
      <c r="R265" s="23">
        <v>284.36</v>
      </c>
      <c r="S265" s="23">
        <v>0</v>
      </c>
      <c r="T265" s="23">
        <v>0</v>
      </c>
      <c r="U265" s="23">
        <v>284.36</v>
      </c>
      <c r="V265" s="23">
        <v>166.78</v>
      </c>
      <c r="W265" s="23">
        <v>117.58</v>
      </c>
      <c r="X265" s="23" t="s">
        <v>45</v>
      </c>
    </row>
    <row r="266" spans="1:24" x14ac:dyDescent="0.25">
      <c r="A266" s="20" t="s">
        <v>624</v>
      </c>
      <c r="B266" s="19">
        <v>45549</v>
      </c>
      <c r="C266" s="20" t="s">
        <v>2619</v>
      </c>
      <c r="D266" s="20" t="s">
        <v>2619</v>
      </c>
      <c r="E266" s="20" t="s">
        <v>222</v>
      </c>
      <c r="F266" s="20" t="s">
        <v>2597</v>
      </c>
      <c r="G266" s="20" t="s">
        <v>2587</v>
      </c>
      <c r="H266" s="20" t="s">
        <v>68</v>
      </c>
      <c r="I266" s="20" t="s">
        <v>53</v>
      </c>
      <c r="J266" s="20" t="s">
        <v>143</v>
      </c>
      <c r="K266" s="20" t="s">
        <v>152</v>
      </c>
      <c r="L266" s="20" t="s">
        <v>2688</v>
      </c>
      <c r="M266" s="20" t="s">
        <v>61</v>
      </c>
      <c r="N266" s="20" t="s">
        <v>75</v>
      </c>
      <c r="O266" s="20">
        <v>74</v>
      </c>
      <c r="P266" s="20">
        <v>116.86</v>
      </c>
      <c r="Q266" s="20">
        <v>73.44</v>
      </c>
      <c r="R266" s="20">
        <v>8647.85</v>
      </c>
      <c r="S266" s="20">
        <v>0.15</v>
      </c>
      <c r="T266" s="20">
        <v>1297.18</v>
      </c>
      <c r="U266" s="20">
        <v>7350.67</v>
      </c>
      <c r="V266" s="20">
        <v>5434.37</v>
      </c>
      <c r="W266" s="20">
        <v>1916.3</v>
      </c>
      <c r="X266" s="20" t="s">
        <v>45</v>
      </c>
    </row>
    <row r="267" spans="1:24" x14ac:dyDescent="0.25">
      <c r="A267" s="23" t="s">
        <v>625</v>
      </c>
      <c r="B267" s="22">
        <v>45515</v>
      </c>
      <c r="C267" s="23" t="s">
        <v>626</v>
      </c>
      <c r="D267" s="23" t="s">
        <v>163</v>
      </c>
      <c r="E267" s="23" t="s">
        <v>49</v>
      </c>
      <c r="F267" s="23" t="s">
        <v>2580</v>
      </c>
      <c r="G267" s="23" t="s">
        <v>2581</v>
      </c>
      <c r="H267" s="23" t="s">
        <v>52</v>
      </c>
      <c r="I267" s="23" t="s">
        <v>40</v>
      </c>
      <c r="J267" s="23" t="s">
        <v>41</v>
      </c>
      <c r="K267" s="23" t="s">
        <v>184</v>
      </c>
      <c r="L267" s="23" t="s">
        <v>2690</v>
      </c>
      <c r="M267" s="23" t="s">
        <v>30</v>
      </c>
      <c r="N267" s="23" t="s">
        <v>44</v>
      </c>
      <c r="O267" s="23">
        <v>74</v>
      </c>
      <c r="P267" s="23">
        <v>27</v>
      </c>
      <c r="Q267" s="23">
        <v>12.64</v>
      </c>
      <c r="R267" s="23">
        <v>1997.67</v>
      </c>
      <c r="S267" s="23">
        <v>0</v>
      </c>
      <c r="T267" s="23">
        <v>0</v>
      </c>
      <c r="U267" s="23">
        <v>1997.67</v>
      </c>
      <c r="V267" s="23">
        <v>935.32</v>
      </c>
      <c r="W267" s="23">
        <v>1062.3599999999999</v>
      </c>
      <c r="X267" s="23" t="s">
        <v>129</v>
      </c>
    </row>
    <row r="268" spans="1:24" x14ac:dyDescent="0.25">
      <c r="A268" s="20" t="s">
        <v>627</v>
      </c>
      <c r="B268" s="19">
        <v>45536</v>
      </c>
      <c r="C268" s="20" t="s">
        <v>461</v>
      </c>
      <c r="D268" s="20" t="s">
        <v>87</v>
      </c>
      <c r="E268" s="20" t="s">
        <v>150</v>
      </c>
      <c r="F268" s="20" t="s">
        <v>2591</v>
      </c>
      <c r="G268" s="20" t="s">
        <v>2587</v>
      </c>
      <c r="H268" s="20" t="s">
        <v>134</v>
      </c>
      <c r="I268" s="20" t="s">
        <v>53</v>
      </c>
      <c r="J268" s="20" t="s">
        <v>122</v>
      </c>
      <c r="K268" s="20" t="s">
        <v>60</v>
      </c>
      <c r="L268" s="20" t="s">
        <v>2677</v>
      </c>
      <c r="M268" s="20" t="s">
        <v>153</v>
      </c>
      <c r="N268" s="20" t="s">
        <v>44</v>
      </c>
      <c r="O268" s="20">
        <v>61</v>
      </c>
      <c r="P268" s="20">
        <v>81.55</v>
      </c>
      <c r="Q268" s="20">
        <v>50.76</v>
      </c>
      <c r="R268" s="20">
        <v>4974.83</v>
      </c>
      <c r="S268" s="20">
        <v>0.05</v>
      </c>
      <c r="T268" s="20">
        <v>248.74</v>
      </c>
      <c r="U268" s="20">
        <v>4726.09</v>
      </c>
      <c r="V268" s="20">
        <v>3096.55</v>
      </c>
      <c r="W268" s="20">
        <v>1629.54</v>
      </c>
      <c r="X268" s="20" t="s">
        <v>45</v>
      </c>
    </row>
    <row r="269" spans="1:24" x14ac:dyDescent="0.25">
      <c r="A269" s="23" t="s">
        <v>628</v>
      </c>
      <c r="B269" s="22">
        <v>45592</v>
      </c>
      <c r="C269" s="23" t="s">
        <v>569</v>
      </c>
      <c r="D269" s="23" t="s">
        <v>121</v>
      </c>
      <c r="E269" s="23" t="s">
        <v>150</v>
      </c>
      <c r="F269" s="23" t="s">
        <v>2591</v>
      </c>
      <c r="G269" s="23" t="s">
        <v>2587</v>
      </c>
      <c r="H269" s="23" t="s">
        <v>134</v>
      </c>
      <c r="I269" s="23" t="s">
        <v>58</v>
      </c>
      <c r="J269" s="23" t="s">
        <v>323</v>
      </c>
      <c r="K269" s="23" t="s">
        <v>29</v>
      </c>
      <c r="L269" s="23" t="s">
        <v>2679</v>
      </c>
      <c r="M269" s="23" t="s">
        <v>30</v>
      </c>
      <c r="N269" s="23" t="s">
        <v>2578</v>
      </c>
      <c r="O269" s="23">
        <v>65</v>
      </c>
      <c r="P269" s="23">
        <v>82.07</v>
      </c>
      <c r="Q269" s="23">
        <v>48.01</v>
      </c>
      <c r="R269" s="23">
        <v>5334.3</v>
      </c>
      <c r="S269" s="23">
        <v>0.05</v>
      </c>
      <c r="T269" s="23">
        <v>266.70999999999998</v>
      </c>
      <c r="U269" s="23">
        <v>5067.58</v>
      </c>
      <c r="V269" s="23">
        <v>3120.78</v>
      </c>
      <c r="W269" s="23">
        <v>1946.8</v>
      </c>
      <c r="X269" s="23" t="s">
        <v>129</v>
      </c>
    </row>
    <row r="270" spans="1:24" x14ac:dyDescent="0.25">
      <c r="A270" s="20" t="s">
        <v>629</v>
      </c>
      <c r="B270" s="19">
        <v>45622</v>
      </c>
      <c r="C270" s="20" t="s">
        <v>447</v>
      </c>
      <c r="D270" s="20" t="s">
        <v>48</v>
      </c>
      <c r="E270" s="20" t="s">
        <v>93</v>
      </c>
      <c r="F270" s="20" t="s">
        <v>2585</v>
      </c>
      <c r="G270" s="20" t="s">
        <v>2586</v>
      </c>
      <c r="H270" s="20" t="s">
        <v>96</v>
      </c>
      <c r="I270" s="20" t="s">
        <v>88</v>
      </c>
      <c r="J270" s="20" t="s">
        <v>183</v>
      </c>
      <c r="K270" s="20" t="s">
        <v>152</v>
      </c>
      <c r="L270" s="20" t="s">
        <v>2688</v>
      </c>
      <c r="M270" s="20" t="s">
        <v>153</v>
      </c>
      <c r="N270" s="20" t="s">
        <v>70</v>
      </c>
      <c r="O270" s="20">
        <v>11</v>
      </c>
      <c r="P270" s="20">
        <v>58.49</v>
      </c>
      <c r="Q270" s="20">
        <v>31.87</v>
      </c>
      <c r="R270" s="20">
        <v>643.41</v>
      </c>
      <c r="S270" s="20">
        <v>0.02</v>
      </c>
      <c r="T270" s="20">
        <v>12.87</v>
      </c>
      <c r="U270" s="20">
        <v>630.54</v>
      </c>
      <c r="V270" s="20">
        <v>350.53</v>
      </c>
      <c r="W270" s="20">
        <v>280.01</v>
      </c>
      <c r="X270" s="20" t="s">
        <v>129</v>
      </c>
    </row>
    <row r="271" spans="1:24" x14ac:dyDescent="0.25">
      <c r="A271" s="23" t="s">
        <v>630</v>
      </c>
      <c r="B271" s="22">
        <v>45387</v>
      </c>
      <c r="C271" s="23" t="s">
        <v>631</v>
      </c>
      <c r="D271" s="23" t="s">
        <v>105</v>
      </c>
      <c r="E271" s="23" t="s">
        <v>176</v>
      </c>
      <c r="F271" s="23" t="s">
        <v>2593</v>
      </c>
      <c r="G271" s="23" t="s">
        <v>2587</v>
      </c>
      <c r="H271" s="23" t="s">
        <v>39</v>
      </c>
      <c r="I271" s="23" t="s">
        <v>40</v>
      </c>
      <c r="J271" s="23" t="s">
        <v>41</v>
      </c>
      <c r="K271" s="23" t="s">
        <v>265</v>
      </c>
      <c r="L271" s="23" t="s">
        <v>2663</v>
      </c>
      <c r="M271" s="23" t="s">
        <v>30</v>
      </c>
      <c r="N271" s="23" t="s">
        <v>44</v>
      </c>
      <c r="O271" s="23">
        <v>10</v>
      </c>
      <c r="P271" s="23">
        <v>99.61</v>
      </c>
      <c r="Q271" s="23">
        <v>65.069999999999993</v>
      </c>
      <c r="R271" s="23">
        <v>996.13</v>
      </c>
      <c r="S271" s="23">
        <v>0</v>
      </c>
      <c r="T271" s="23">
        <v>0</v>
      </c>
      <c r="U271" s="23">
        <v>996.13</v>
      </c>
      <c r="V271" s="23">
        <v>650.67999999999995</v>
      </c>
      <c r="W271" s="23">
        <v>345.45</v>
      </c>
      <c r="X271" s="23" t="s">
        <v>32</v>
      </c>
    </row>
    <row r="272" spans="1:24" x14ac:dyDescent="0.25">
      <c r="A272" s="20" t="s">
        <v>632</v>
      </c>
      <c r="B272" s="19">
        <v>45312</v>
      </c>
      <c r="C272" s="20" t="s">
        <v>344</v>
      </c>
      <c r="D272" s="20" t="s">
        <v>87</v>
      </c>
      <c r="E272" s="20" t="s">
        <v>165</v>
      </c>
      <c r="F272" s="20" t="s">
        <v>2592</v>
      </c>
      <c r="G272" s="20" t="s">
        <v>2586</v>
      </c>
      <c r="H272" s="20" t="s">
        <v>167</v>
      </c>
      <c r="I272" s="20" t="s">
        <v>53</v>
      </c>
      <c r="J272" s="20" t="s">
        <v>143</v>
      </c>
      <c r="K272" s="20" t="s">
        <v>218</v>
      </c>
      <c r="L272" s="20" t="s">
        <v>2692</v>
      </c>
      <c r="M272" s="20" t="s">
        <v>61</v>
      </c>
      <c r="N272" s="20" t="s">
        <v>2578</v>
      </c>
      <c r="O272" s="20">
        <v>26</v>
      </c>
      <c r="P272" s="20">
        <v>41.89</v>
      </c>
      <c r="Q272" s="20">
        <v>26.35</v>
      </c>
      <c r="R272" s="20">
        <v>1089.06</v>
      </c>
      <c r="S272" s="20">
        <v>0</v>
      </c>
      <c r="T272" s="20">
        <v>0</v>
      </c>
      <c r="U272" s="20">
        <v>1089.06</v>
      </c>
      <c r="V272" s="20">
        <v>685.18</v>
      </c>
      <c r="W272" s="20">
        <v>403.89</v>
      </c>
      <c r="X272" s="20" t="s">
        <v>129</v>
      </c>
    </row>
    <row r="273" spans="1:24" x14ac:dyDescent="0.25">
      <c r="A273" s="23" t="s">
        <v>633</v>
      </c>
      <c r="B273" s="22">
        <v>45458</v>
      </c>
      <c r="C273" s="23" t="s">
        <v>322</v>
      </c>
      <c r="D273" s="23" t="s">
        <v>65</v>
      </c>
      <c r="E273" s="23" t="s">
        <v>109</v>
      </c>
      <c r="F273" s="23" t="s">
        <v>110</v>
      </c>
      <c r="G273" s="23" t="s">
        <v>2584</v>
      </c>
      <c r="H273" s="23" t="s">
        <v>81</v>
      </c>
      <c r="I273" s="23" t="s">
        <v>40</v>
      </c>
      <c r="J273" s="23" t="s">
        <v>289</v>
      </c>
      <c r="K273" s="23" t="s">
        <v>118</v>
      </c>
      <c r="L273" s="23" t="s">
        <v>2686</v>
      </c>
      <c r="M273" s="23" t="s">
        <v>61</v>
      </c>
      <c r="N273" s="23" t="s">
        <v>75</v>
      </c>
      <c r="O273" s="23">
        <v>76</v>
      </c>
      <c r="P273" s="23">
        <v>122.36</v>
      </c>
      <c r="Q273" s="23">
        <v>72.98</v>
      </c>
      <c r="R273" s="23">
        <v>9298.99</v>
      </c>
      <c r="S273" s="23">
        <v>0</v>
      </c>
      <c r="T273" s="23">
        <v>0</v>
      </c>
      <c r="U273" s="23">
        <v>9298.99</v>
      </c>
      <c r="V273" s="23">
        <v>5546.73</v>
      </c>
      <c r="W273" s="23">
        <v>3752.26</v>
      </c>
      <c r="X273" s="23" t="s">
        <v>45</v>
      </c>
    </row>
    <row r="274" spans="1:24" x14ac:dyDescent="0.25">
      <c r="A274" s="20" t="s">
        <v>634</v>
      </c>
      <c r="B274" s="19">
        <v>45418</v>
      </c>
      <c r="C274" s="20" t="s">
        <v>471</v>
      </c>
      <c r="D274" s="20" t="s">
        <v>125</v>
      </c>
      <c r="E274" s="20" t="s">
        <v>209</v>
      </c>
      <c r="F274" s="20" t="s">
        <v>2595</v>
      </c>
      <c r="G274" s="20" t="s">
        <v>2581</v>
      </c>
      <c r="H274" s="20" t="s">
        <v>116</v>
      </c>
      <c r="I274" s="20" t="s">
        <v>53</v>
      </c>
      <c r="J274" s="20" t="s">
        <v>232</v>
      </c>
      <c r="K274" s="20" t="s">
        <v>195</v>
      </c>
      <c r="L274" s="20" t="s">
        <v>2691</v>
      </c>
      <c r="M274" s="20" t="s">
        <v>61</v>
      </c>
      <c r="N274" s="20" t="s">
        <v>44</v>
      </c>
      <c r="O274" s="20">
        <v>42</v>
      </c>
      <c r="P274" s="20">
        <v>16.649999999999999</v>
      </c>
      <c r="Q274" s="20">
        <v>10.7</v>
      </c>
      <c r="R274" s="20">
        <v>699.34</v>
      </c>
      <c r="S274" s="20">
        <v>0.1</v>
      </c>
      <c r="T274" s="20">
        <v>69.930000000000007</v>
      </c>
      <c r="U274" s="20">
        <v>629.41</v>
      </c>
      <c r="V274" s="20">
        <v>449.31</v>
      </c>
      <c r="W274" s="20">
        <v>180.09</v>
      </c>
      <c r="X274" s="20" t="s">
        <v>45</v>
      </c>
    </row>
    <row r="275" spans="1:24" x14ac:dyDescent="0.25">
      <c r="A275" s="23" t="s">
        <v>635</v>
      </c>
      <c r="B275" s="22">
        <v>45501</v>
      </c>
      <c r="C275" s="23" t="s">
        <v>636</v>
      </c>
      <c r="D275" s="23" t="s">
        <v>87</v>
      </c>
      <c r="E275" s="23" t="s">
        <v>109</v>
      </c>
      <c r="F275" s="23" t="s">
        <v>110</v>
      </c>
      <c r="G275" s="23" t="s">
        <v>2584</v>
      </c>
      <c r="H275" s="23" t="s">
        <v>81</v>
      </c>
      <c r="I275" s="23" t="s">
        <v>88</v>
      </c>
      <c r="J275" s="23" t="s">
        <v>183</v>
      </c>
      <c r="K275" s="23" t="s">
        <v>111</v>
      </c>
      <c r="L275" s="23" t="s">
        <v>2685</v>
      </c>
      <c r="M275" s="23" t="s">
        <v>153</v>
      </c>
      <c r="N275" s="23" t="s">
        <v>84</v>
      </c>
      <c r="O275" s="23">
        <v>47</v>
      </c>
      <c r="P275" s="23">
        <v>126.04</v>
      </c>
      <c r="Q275" s="23">
        <v>73.239999999999995</v>
      </c>
      <c r="R275" s="23">
        <v>5923.92</v>
      </c>
      <c r="S275" s="23">
        <v>0</v>
      </c>
      <c r="T275" s="23">
        <v>0</v>
      </c>
      <c r="U275" s="23">
        <v>5923.92</v>
      </c>
      <c r="V275" s="23">
        <v>3442.46</v>
      </c>
      <c r="W275" s="23">
        <v>2481.4699999999998</v>
      </c>
      <c r="X275" s="23" t="s">
        <v>32</v>
      </c>
    </row>
    <row r="276" spans="1:24" x14ac:dyDescent="0.25">
      <c r="A276" s="20" t="s">
        <v>637</v>
      </c>
      <c r="B276" s="19">
        <v>45528</v>
      </c>
      <c r="C276" s="20" t="s">
        <v>638</v>
      </c>
      <c r="D276" s="20" t="s">
        <v>87</v>
      </c>
      <c r="E276" s="20" t="s">
        <v>141</v>
      </c>
      <c r="F276" s="20" t="s">
        <v>2590</v>
      </c>
      <c r="G276" s="20" t="s">
        <v>2577</v>
      </c>
      <c r="H276" s="20" t="s">
        <v>26</v>
      </c>
      <c r="I276" s="20" t="s">
        <v>40</v>
      </c>
      <c r="J276" s="20" t="s">
        <v>82</v>
      </c>
      <c r="K276" s="20" t="s">
        <v>144</v>
      </c>
      <c r="L276" s="20" t="s">
        <v>2687</v>
      </c>
      <c r="M276" s="20" t="s">
        <v>61</v>
      </c>
      <c r="N276" s="20" t="s">
        <v>2578</v>
      </c>
      <c r="O276" s="20">
        <v>30</v>
      </c>
      <c r="P276" s="20">
        <v>101.9</v>
      </c>
      <c r="Q276" s="20">
        <v>58.99</v>
      </c>
      <c r="R276" s="20">
        <v>3057.05</v>
      </c>
      <c r="S276" s="20">
        <v>0.1</v>
      </c>
      <c r="T276" s="20">
        <v>305.7</v>
      </c>
      <c r="U276" s="20">
        <v>2751.34</v>
      </c>
      <c r="V276" s="20">
        <v>1769.56</v>
      </c>
      <c r="W276" s="20">
        <v>981.78</v>
      </c>
      <c r="X276" s="20" t="s">
        <v>45</v>
      </c>
    </row>
    <row r="277" spans="1:24" x14ac:dyDescent="0.25">
      <c r="A277" s="23" t="s">
        <v>639</v>
      </c>
      <c r="B277" s="22">
        <v>45480</v>
      </c>
      <c r="C277" s="23" t="s">
        <v>552</v>
      </c>
      <c r="D277" s="23" t="s">
        <v>163</v>
      </c>
      <c r="E277" s="23" t="s">
        <v>132</v>
      </c>
      <c r="F277" s="23" t="s">
        <v>133</v>
      </c>
      <c r="G277" s="23" t="s">
        <v>2581</v>
      </c>
      <c r="H277" s="23" t="s">
        <v>134</v>
      </c>
      <c r="I277" s="23" t="s">
        <v>88</v>
      </c>
      <c r="J277" s="23" t="s">
        <v>135</v>
      </c>
      <c r="K277" s="23" t="s">
        <v>118</v>
      </c>
      <c r="L277" s="23" t="s">
        <v>2686</v>
      </c>
      <c r="M277" s="23" t="s">
        <v>43</v>
      </c>
      <c r="N277" s="23" t="s">
        <v>84</v>
      </c>
      <c r="O277" s="23">
        <v>79</v>
      </c>
      <c r="P277" s="23">
        <v>57.54</v>
      </c>
      <c r="Q277" s="23">
        <v>34.31</v>
      </c>
      <c r="R277" s="23">
        <v>4545.3900000000003</v>
      </c>
      <c r="S277" s="23">
        <v>0.05</v>
      </c>
      <c r="T277" s="23">
        <v>227.27</v>
      </c>
      <c r="U277" s="23">
        <v>4318.12</v>
      </c>
      <c r="V277" s="23">
        <v>2710.64</v>
      </c>
      <c r="W277" s="23">
        <v>1607.48</v>
      </c>
      <c r="X277" s="23" t="s">
        <v>32</v>
      </c>
    </row>
    <row r="278" spans="1:24" x14ac:dyDescent="0.25">
      <c r="A278" s="20" t="s">
        <v>640</v>
      </c>
      <c r="B278" s="19">
        <v>45652</v>
      </c>
      <c r="C278" s="20" t="s">
        <v>234</v>
      </c>
      <c r="D278" s="20" t="s">
        <v>159</v>
      </c>
      <c r="E278" s="20" t="s">
        <v>216</v>
      </c>
      <c r="F278" s="20" t="s">
        <v>2596</v>
      </c>
      <c r="G278" s="20" t="s">
        <v>2579</v>
      </c>
      <c r="H278" s="20" t="s">
        <v>134</v>
      </c>
      <c r="I278" s="20" t="s">
        <v>53</v>
      </c>
      <c r="J278" s="20" t="s">
        <v>54</v>
      </c>
      <c r="K278" s="20" t="s">
        <v>60</v>
      </c>
      <c r="L278" s="20" t="s">
        <v>2677</v>
      </c>
      <c r="M278" s="20" t="s">
        <v>61</v>
      </c>
      <c r="N278" s="20" t="s">
        <v>75</v>
      </c>
      <c r="O278" s="20">
        <v>49</v>
      </c>
      <c r="P278" s="20">
        <v>118.53</v>
      </c>
      <c r="Q278" s="20">
        <v>71.69</v>
      </c>
      <c r="R278" s="20">
        <v>5807.98</v>
      </c>
      <c r="S278" s="20">
        <v>0</v>
      </c>
      <c r="T278" s="20">
        <v>0</v>
      </c>
      <c r="U278" s="20">
        <v>5807.98</v>
      </c>
      <c r="V278" s="20">
        <v>3512.75</v>
      </c>
      <c r="W278" s="20">
        <v>2295.23</v>
      </c>
      <c r="X278" s="20" t="s">
        <v>129</v>
      </c>
    </row>
    <row r="279" spans="1:24" x14ac:dyDescent="0.25">
      <c r="A279" s="23" t="s">
        <v>641</v>
      </c>
      <c r="B279" s="22">
        <v>45602</v>
      </c>
      <c r="C279" s="23" t="s">
        <v>389</v>
      </c>
      <c r="D279" s="23" t="s">
        <v>264</v>
      </c>
      <c r="E279" s="23" t="s">
        <v>165</v>
      </c>
      <c r="F279" s="23" t="s">
        <v>2592</v>
      </c>
      <c r="G279" s="23" t="s">
        <v>2586</v>
      </c>
      <c r="H279" s="23" t="s">
        <v>167</v>
      </c>
      <c r="I279" s="23" t="s">
        <v>88</v>
      </c>
      <c r="J279" s="23" t="s">
        <v>135</v>
      </c>
      <c r="K279" s="23" t="s">
        <v>69</v>
      </c>
      <c r="L279" s="23" t="s">
        <v>2681</v>
      </c>
      <c r="M279" s="23" t="s">
        <v>61</v>
      </c>
      <c r="N279" s="23" t="s">
        <v>70</v>
      </c>
      <c r="O279" s="23">
        <v>16</v>
      </c>
      <c r="P279" s="23">
        <v>43.98</v>
      </c>
      <c r="Q279" s="23">
        <v>25.83</v>
      </c>
      <c r="R279" s="23">
        <v>703.67</v>
      </c>
      <c r="S279" s="23">
        <v>0</v>
      </c>
      <c r="T279" s="23">
        <v>0</v>
      </c>
      <c r="U279" s="23">
        <v>703.67</v>
      </c>
      <c r="V279" s="23">
        <v>413.25</v>
      </c>
      <c r="W279" s="23">
        <v>290.41000000000003</v>
      </c>
      <c r="X279" s="23" t="s">
        <v>32</v>
      </c>
    </row>
    <row r="280" spans="1:24" x14ac:dyDescent="0.25">
      <c r="A280" s="20" t="s">
        <v>642</v>
      </c>
      <c r="B280" s="19">
        <v>45559</v>
      </c>
      <c r="C280" s="20" t="s">
        <v>643</v>
      </c>
      <c r="D280" s="20" t="s">
        <v>359</v>
      </c>
      <c r="E280" s="20" t="s">
        <v>99</v>
      </c>
      <c r="F280" s="20" t="s">
        <v>100</v>
      </c>
      <c r="G280" s="20" t="s">
        <v>2587</v>
      </c>
      <c r="H280" s="20" t="s">
        <v>102</v>
      </c>
      <c r="I280" s="20" t="s">
        <v>27</v>
      </c>
      <c r="J280" s="20" t="s">
        <v>28</v>
      </c>
      <c r="K280" s="20" t="s">
        <v>83</v>
      </c>
      <c r="L280" s="20" t="s">
        <v>2683</v>
      </c>
      <c r="M280" s="20" t="s">
        <v>153</v>
      </c>
      <c r="N280" s="20" t="s">
        <v>44</v>
      </c>
      <c r="O280" s="20">
        <v>76</v>
      </c>
      <c r="P280" s="20">
        <v>67.3</v>
      </c>
      <c r="Q280" s="20">
        <v>39</v>
      </c>
      <c r="R280" s="20">
        <v>5115.1499999999996</v>
      </c>
      <c r="S280" s="20">
        <v>0.2</v>
      </c>
      <c r="T280" s="20">
        <v>1023.03</v>
      </c>
      <c r="U280" s="20">
        <v>4092.12</v>
      </c>
      <c r="V280" s="20">
        <v>2963.75</v>
      </c>
      <c r="W280" s="20">
        <v>1128.3699999999999</v>
      </c>
      <c r="X280" s="20" t="s">
        <v>129</v>
      </c>
    </row>
    <row r="281" spans="1:24" x14ac:dyDescent="0.25">
      <c r="A281" s="23" t="s">
        <v>644</v>
      </c>
      <c r="B281" s="22">
        <v>45452</v>
      </c>
      <c r="C281" s="23" t="s">
        <v>645</v>
      </c>
      <c r="D281" s="23" t="s">
        <v>149</v>
      </c>
      <c r="E281" s="23" t="s">
        <v>114</v>
      </c>
      <c r="F281" s="23" t="s">
        <v>2588</v>
      </c>
      <c r="G281" s="23" t="s">
        <v>2586</v>
      </c>
      <c r="H281" s="23" t="s">
        <v>116</v>
      </c>
      <c r="I281" s="23" t="s">
        <v>40</v>
      </c>
      <c r="J281" s="23" t="s">
        <v>117</v>
      </c>
      <c r="K281" s="23" t="s">
        <v>184</v>
      </c>
      <c r="L281" s="23" t="s">
        <v>2690</v>
      </c>
      <c r="M281" s="23" t="s">
        <v>61</v>
      </c>
      <c r="N281" s="23" t="s">
        <v>70</v>
      </c>
      <c r="O281" s="23">
        <v>8</v>
      </c>
      <c r="P281" s="23">
        <v>37.630000000000003</v>
      </c>
      <c r="Q281" s="23">
        <v>21.92</v>
      </c>
      <c r="R281" s="23">
        <v>301.04000000000002</v>
      </c>
      <c r="S281" s="23">
        <v>0</v>
      </c>
      <c r="T281" s="23">
        <v>0</v>
      </c>
      <c r="U281" s="23">
        <v>301.04000000000002</v>
      </c>
      <c r="V281" s="23">
        <v>175.4</v>
      </c>
      <c r="W281" s="23">
        <v>125.64</v>
      </c>
      <c r="X281" s="23" t="s">
        <v>32</v>
      </c>
    </row>
    <row r="282" spans="1:24" x14ac:dyDescent="0.25">
      <c r="A282" s="20" t="s">
        <v>646</v>
      </c>
      <c r="B282" s="19">
        <v>45497</v>
      </c>
      <c r="C282" s="20" t="s">
        <v>647</v>
      </c>
      <c r="D282" s="20" t="s">
        <v>159</v>
      </c>
      <c r="E282" s="20" t="s">
        <v>222</v>
      </c>
      <c r="F282" s="20" t="s">
        <v>2597</v>
      </c>
      <c r="G282" s="20" t="s">
        <v>2587</v>
      </c>
      <c r="H282" s="20" t="s">
        <v>68</v>
      </c>
      <c r="I282" s="20" t="s">
        <v>88</v>
      </c>
      <c r="J282" s="20" t="s">
        <v>183</v>
      </c>
      <c r="K282" s="20" t="s">
        <v>265</v>
      </c>
      <c r="L282" s="20" t="s">
        <v>2663</v>
      </c>
      <c r="M282" s="20" t="s">
        <v>153</v>
      </c>
      <c r="N282" s="20" t="s">
        <v>2578</v>
      </c>
      <c r="O282" s="20">
        <v>26</v>
      </c>
      <c r="P282" s="20">
        <v>-25</v>
      </c>
      <c r="Q282" s="20">
        <v>74.22</v>
      </c>
      <c r="R282" s="20">
        <v>3349.94</v>
      </c>
      <c r="S282" s="20">
        <v>0.02</v>
      </c>
      <c r="T282" s="20">
        <v>67</v>
      </c>
      <c r="U282" s="20">
        <v>3282.95</v>
      </c>
      <c r="V282" s="20">
        <v>1929.66</v>
      </c>
      <c r="W282" s="20">
        <v>1353.29</v>
      </c>
      <c r="X282" s="20" t="s">
        <v>45</v>
      </c>
    </row>
    <row r="283" spans="1:24" x14ac:dyDescent="0.25">
      <c r="A283" s="23" t="s">
        <v>648</v>
      </c>
      <c r="B283" s="22">
        <v>45293</v>
      </c>
      <c r="C283" s="23" t="s">
        <v>649</v>
      </c>
      <c r="D283" s="23" t="s">
        <v>87</v>
      </c>
      <c r="E283" s="23" t="s">
        <v>165</v>
      </c>
      <c r="F283" s="23" t="s">
        <v>2592</v>
      </c>
      <c r="G283" s="23" t="s">
        <v>2586</v>
      </c>
      <c r="H283" s="23" t="s">
        <v>167</v>
      </c>
      <c r="I283" s="23" t="s">
        <v>27</v>
      </c>
      <c r="J283" s="23" t="s">
        <v>28</v>
      </c>
      <c r="K283" s="23" t="s">
        <v>184</v>
      </c>
      <c r="L283" s="23" t="s">
        <v>2690</v>
      </c>
      <c r="M283" s="23" t="s">
        <v>30</v>
      </c>
      <c r="N283" s="23" t="s">
        <v>70</v>
      </c>
      <c r="O283" s="23">
        <v>53</v>
      </c>
      <c r="P283" s="23">
        <v>43.16</v>
      </c>
      <c r="Q283" s="23">
        <v>26.05</v>
      </c>
      <c r="R283" s="23">
        <v>2287.31</v>
      </c>
      <c r="S283" s="23">
        <v>0.1</v>
      </c>
      <c r="T283" s="23">
        <v>228.73</v>
      </c>
      <c r="U283" s="23">
        <v>2058.58</v>
      </c>
      <c r="V283" s="23">
        <v>1380.46</v>
      </c>
      <c r="W283" s="23">
        <v>678.11</v>
      </c>
      <c r="X283" s="23" t="s">
        <v>45</v>
      </c>
    </row>
    <row r="284" spans="1:24" x14ac:dyDescent="0.25">
      <c r="A284" s="20" t="s">
        <v>650</v>
      </c>
      <c r="B284" s="19">
        <v>45561</v>
      </c>
      <c r="C284" s="20" t="s">
        <v>651</v>
      </c>
      <c r="D284" s="20" t="s">
        <v>105</v>
      </c>
      <c r="E284" s="20" t="s">
        <v>150</v>
      </c>
      <c r="F284" s="20" t="s">
        <v>2591</v>
      </c>
      <c r="G284" s="20" t="s">
        <v>2587</v>
      </c>
      <c r="H284" s="20" t="s">
        <v>134</v>
      </c>
      <c r="I284" s="20" t="s">
        <v>58</v>
      </c>
      <c r="J284" s="20" t="s">
        <v>59</v>
      </c>
      <c r="K284" s="20" t="s">
        <v>184</v>
      </c>
      <c r="L284" s="20" t="s">
        <v>2690</v>
      </c>
      <c r="M284" s="20" t="s">
        <v>153</v>
      </c>
      <c r="N284" s="20" t="s">
        <v>44</v>
      </c>
      <c r="O284" s="20">
        <v>62</v>
      </c>
      <c r="P284" s="20">
        <v>78.989999999999995</v>
      </c>
      <c r="Q284" s="20">
        <v>55.04</v>
      </c>
      <c r="R284" s="20">
        <v>4897.4399999999996</v>
      </c>
      <c r="S284" s="20">
        <v>0.2</v>
      </c>
      <c r="T284" s="20">
        <v>979.49</v>
      </c>
      <c r="U284" s="20">
        <v>3917.95</v>
      </c>
      <c r="V284" s="20">
        <v>3412.36</v>
      </c>
      <c r="W284" s="20">
        <v>505.59</v>
      </c>
      <c r="X284" s="20" t="s">
        <v>45</v>
      </c>
    </row>
    <row r="285" spans="1:24" x14ac:dyDescent="0.25">
      <c r="A285" s="23" t="s">
        <v>652</v>
      </c>
      <c r="B285" s="22">
        <v>45643</v>
      </c>
      <c r="C285" s="23" t="s">
        <v>653</v>
      </c>
      <c r="D285" s="23" t="s">
        <v>87</v>
      </c>
      <c r="E285" s="23" t="s">
        <v>216</v>
      </c>
      <c r="F285" s="23" t="s">
        <v>2596</v>
      </c>
      <c r="G285" s="23" t="s">
        <v>2579</v>
      </c>
      <c r="H285" s="23" t="s">
        <v>134</v>
      </c>
      <c r="I285" s="23" t="s">
        <v>58</v>
      </c>
      <c r="J285" s="23" t="s">
        <v>323</v>
      </c>
      <c r="K285" s="23" t="s">
        <v>261</v>
      </c>
      <c r="L285" s="23" t="s">
        <v>2695</v>
      </c>
      <c r="M285" s="23" t="s">
        <v>43</v>
      </c>
      <c r="N285" s="23" t="s">
        <v>70</v>
      </c>
      <c r="O285" s="23">
        <v>34</v>
      </c>
      <c r="P285" s="23">
        <v>106.14</v>
      </c>
      <c r="Q285" s="23">
        <v>67.459999999999994</v>
      </c>
      <c r="R285" s="23">
        <v>3608.91</v>
      </c>
      <c r="S285" s="23">
        <v>0.15</v>
      </c>
      <c r="T285" s="23">
        <v>541.34</v>
      </c>
      <c r="U285" s="23">
        <v>3067.57</v>
      </c>
      <c r="V285" s="23">
        <v>2293.56</v>
      </c>
      <c r="W285" s="23">
        <v>774.01</v>
      </c>
      <c r="X285" s="23" t="s">
        <v>129</v>
      </c>
    </row>
    <row r="286" spans="1:24" x14ac:dyDescent="0.25">
      <c r="A286" s="20" t="s">
        <v>654</v>
      </c>
      <c r="B286" s="19">
        <v>45642</v>
      </c>
      <c r="C286" s="20" t="s">
        <v>655</v>
      </c>
      <c r="D286" s="20" t="s">
        <v>57</v>
      </c>
      <c r="E286" s="20" t="s">
        <v>78</v>
      </c>
      <c r="F286" s="20" t="s">
        <v>2583</v>
      </c>
      <c r="G286" s="20" t="s">
        <v>2584</v>
      </c>
      <c r="H286" s="20" t="s">
        <v>81</v>
      </c>
      <c r="I286" s="20" t="s">
        <v>40</v>
      </c>
      <c r="J286" s="20" t="s">
        <v>117</v>
      </c>
      <c r="K286" s="20" t="s">
        <v>90</v>
      </c>
      <c r="L286" s="20" t="s">
        <v>2684</v>
      </c>
      <c r="M286" s="20" t="s">
        <v>30</v>
      </c>
      <c r="N286" s="20" t="s">
        <v>2578</v>
      </c>
      <c r="O286" s="20">
        <v>17</v>
      </c>
      <c r="P286" s="20">
        <v>139.15</v>
      </c>
      <c r="Q286" s="20">
        <v>87.87</v>
      </c>
      <c r="R286" s="20">
        <v>2365.5300000000002</v>
      </c>
      <c r="S286" s="20">
        <v>0.1</v>
      </c>
      <c r="T286" s="20">
        <v>236.55</v>
      </c>
      <c r="U286" s="20">
        <v>2128.98</v>
      </c>
      <c r="V286" s="20">
        <v>1493.76</v>
      </c>
      <c r="W286" s="20">
        <v>635.22</v>
      </c>
      <c r="X286" s="20" t="s">
        <v>45</v>
      </c>
    </row>
    <row r="287" spans="1:24" x14ac:dyDescent="0.25">
      <c r="A287" s="23" t="s">
        <v>656</v>
      </c>
      <c r="B287" s="22">
        <v>45518</v>
      </c>
      <c r="C287" s="23" t="s">
        <v>643</v>
      </c>
      <c r="D287" s="23" t="s">
        <v>359</v>
      </c>
      <c r="E287" s="23" t="s">
        <v>222</v>
      </c>
      <c r="F287" s="23" t="s">
        <v>2597</v>
      </c>
      <c r="G287" s="23" t="s">
        <v>2587</v>
      </c>
      <c r="H287" s="23" t="s">
        <v>68</v>
      </c>
      <c r="I287" s="23" t="s">
        <v>53</v>
      </c>
      <c r="J287" s="23" t="s">
        <v>122</v>
      </c>
      <c r="K287" s="23" t="s">
        <v>152</v>
      </c>
      <c r="L287" s="23" t="s">
        <v>2688</v>
      </c>
      <c r="M287" s="23" t="s">
        <v>30</v>
      </c>
      <c r="N287" s="23" t="s">
        <v>70</v>
      </c>
      <c r="O287" s="23">
        <v>20</v>
      </c>
      <c r="P287" s="23">
        <v>112.18</v>
      </c>
      <c r="Q287" s="23">
        <v>81.099999999999994</v>
      </c>
      <c r="R287" s="23">
        <v>2243.5700000000002</v>
      </c>
      <c r="S287" s="23">
        <v>0.2</v>
      </c>
      <c r="T287" s="23">
        <v>448.71</v>
      </c>
      <c r="U287" s="23">
        <v>1794.85</v>
      </c>
      <c r="V287" s="23">
        <v>1622</v>
      </c>
      <c r="W287" s="23">
        <v>172.86</v>
      </c>
      <c r="X287" s="23" t="s">
        <v>32</v>
      </c>
    </row>
    <row r="288" spans="1:24" x14ac:dyDescent="0.25">
      <c r="A288" s="20" t="s">
        <v>657</v>
      </c>
      <c r="B288" s="19">
        <v>45536</v>
      </c>
      <c r="C288" s="20" t="s">
        <v>658</v>
      </c>
      <c r="D288" s="20" t="s">
        <v>264</v>
      </c>
      <c r="E288" s="20" t="s">
        <v>165</v>
      </c>
      <c r="F288" s="20" t="s">
        <v>2592</v>
      </c>
      <c r="G288" s="20" t="s">
        <v>2586</v>
      </c>
      <c r="H288" s="20" t="s">
        <v>167</v>
      </c>
      <c r="I288" s="20" t="s">
        <v>27</v>
      </c>
      <c r="J288" s="20" t="s">
        <v>211</v>
      </c>
      <c r="K288" s="20" t="s">
        <v>218</v>
      </c>
      <c r="L288" s="20" t="s">
        <v>2692</v>
      </c>
      <c r="M288" s="20" t="s">
        <v>61</v>
      </c>
      <c r="N288" s="20" t="s">
        <v>70</v>
      </c>
      <c r="O288" s="20">
        <v>39</v>
      </c>
      <c r="P288" s="20">
        <v>40.299999999999997</v>
      </c>
      <c r="Q288" s="20">
        <v>26.28</v>
      </c>
      <c r="R288" s="20">
        <v>1571.54</v>
      </c>
      <c r="S288" s="20">
        <v>0</v>
      </c>
      <c r="T288" s="20">
        <v>0</v>
      </c>
      <c r="U288" s="20">
        <v>1571.54</v>
      </c>
      <c r="V288" s="20">
        <v>1024.78</v>
      </c>
      <c r="W288" s="20">
        <v>546.76</v>
      </c>
      <c r="X288" s="20" t="s">
        <v>32</v>
      </c>
    </row>
    <row r="289" spans="1:24" x14ac:dyDescent="0.25">
      <c r="A289" s="23" t="s">
        <v>659</v>
      </c>
      <c r="B289" s="22">
        <v>45596</v>
      </c>
      <c r="C289" s="23" t="s">
        <v>660</v>
      </c>
      <c r="D289" s="23" t="s">
        <v>264</v>
      </c>
      <c r="E289" s="23" t="s">
        <v>141</v>
      </c>
      <c r="F289" s="23" t="s">
        <v>2590</v>
      </c>
      <c r="G289" s="23" t="s">
        <v>2577</v>
      </c>
      <c r="H289" s="23" t="s">
        <v>26</v>
      </c>
      <c r="I289" s="23" t="s">
        <v>27</v>
      </c>
      <c r="J289" s="23" t="s">
        <v>28</v>
      </c>
      <c r="K289" s="23" t="s">
        <v>178</v>
      </c>
      <c r="L289" s="23" t="s">
        <v>2689</v>
      </c>
      <c r="M289" s="23" t="s">
        <v>61</v>
      </c>
      <c r="N289" s="23" t="s">
        <v>2578</v>
      </c>
      <c r="O289" s="23">
        <v>20</v>
      </c>
      <c r="P289" s="23">
        <v>-25</v>
      </c>
      <c r="Q289" s="23">
        <v>62.12</v>
      </c>
      <c r="R289" s="23">
        <v>1879.43</v>
      </c>
      <c r="S289" s="23">
        <v>0.1</v>
      </c>
      <c r="T289" s="23">
        <v>187.94</v>
      </c>
      <c r="U289" s="23">
        <v>1691.49</v>
      </c>
      <c r="V289" s="23">
        <v>1242.3399999999999</v>
      </c>
      <c r="W289" s="23">
        <v>449.15</v>
      </c>
      <c r="X289" s="23" t="s">
        <v>129</v>
      </c>
    </row>
    <row r="290" spans="1:24" x14ac:dyDescent="0.25">
      <c r="A290" s="20" t="s">
        <v>661</v>
      </c>
      <c r="B290" s="19">
        <v>45468</v>
      </c>
      <c r="C290" s="20" t="s">
        <v>662</v>
      </c>
      <c r="D290" s="20" t="s">
        <v>156</v>
      </c>
      <c r="E290" s="20" t="s">
        <v>209</v>
      </c>
      <c r="F290" s="20" t="s">
        <v>2595</v>
      </c>
      <c r="G290" s="20" t="s">
        <v>2581</v>
      </c>
      <c r="H290" s="20" t="s">
        <v>116</v>
      </c>
      <c r="I290" s="20" t="s">
        <v>58</v>
      </c>
      <c r="J290" s="20" t="s">
        <v>345</v>
      </c>
      <c r="K290" s="20" t="s">
        <v>90</v>
      </c>
      <c r="L290" s="20" t="s">
        <v>2684</v>
      </c>
      <c r="M290" s="20" t="s">
        <v>153</v>
      </c>
      <c r="N290" s="20" t="s">
        <v>75</v>
      </c>
      <c r="O290" s="20">
        <v>31</v>
      </c>
      <c r="P290" s="20">
        <v>18.16</v>
      </c>
      <c r="Q290" s="20">
        <v>10.18</v>
      </c>
      <c r="R290" s="20">
        <v>562.85</v>
      </c>
      <c r="S290" s="20">
        <v>0.2</v>
      </c>
      <c r="T290" s="20">
        <v>112.57</v>
      </c>
      <c r="U290" s="20">
        <v>450.28</v>
      </c>
      <c r="V290" s="20">
        <v>315.54000000000002</v>
      </c>
      <c r="W290" s="20">
        <v>134.74</v>
      </c>
      <c r="X290" s="20" t="s">
        <v>45</v>
      </c>
    </row>
    <row r="291" spans="1:24" x14ac:dyDescent="0.25">
      <c r="A291" s="23" t="s">
        <v>663</v>
      </c>
      <c r="B291" s="22">
        <v>45354</v>
      </c>
      <c r="C291" s="23" t="s">
        <v>664</v>
      </c>
      <c r="D291" s="23" t="s">
        <v>125</v>
      </c>
      <c r="E291" s="23" t="s">
        <v>165</v>
      </c>
      <c r="F291" s="23" t="s">
        <v>2592</v>
      </c>
      <c r="G291" s="23" t="s">
        <v>2586</v>
      </c>
      <c r="H291" s="23" t="s">
        <v>167</v>
      </c>
      <c r="I291" s="23" t="s">
        <v>58</v>
      </c>
      <c r="J291" s="23" t="s">
        <v>59</v>
      </c>
      <c r="K291" s="23" t="s">
        <v>178</v>
      </c>
      <c r="L291" s="23" t="s">
        <v>2689</v>
      </c>
      <c r="M291" s="23" t="s">
        <v>30</v>
      </c>
      <c r="N291" s="23" t="s">
        <v>84</v>
      </c>
      <c r="O291" s="23">
        <v>74</v>
      </c>
      <c r="P291" s="23">
        <v>41.26</v>
      </c>
      <c r="Q291" s="23">
        <v>23.04</v>
      </c>
      <c r="R291" s="23">
        <v>3052.9</v>
      </c>
      <c r="S291" s="23">
        <v>0.2</v>
      </c>
      <c r="T291" s="23">
        <v>610.58000000000004</v>
      </c>
      <c r="U291" s="23">
        <v>2442.3200000000002</v>
      </c>
      <c r="V291" s="23">
        <v>1705.21</v>
      </c>
      <c r="W291" s="23">
        <v>737.11</v>
      </c>
      <c r="X291" s="23" t="s">
        <v>45</v>
      </c>
    </row>
    <row r="292" spans="1:24" x14ac:dyDescent="0.25">
      <c r="A292" s="20" t="s">
        <v>665</v>
      </c>
      <c r="B292" s="19">
        <v>45293</v>
      </c>
      <c r="C292" s="20" t="s">
        <v>666</v>
      </c>
      <c r="D292" s="20" t="s">
        <v>156</v>
      </c>
      <c r="E292" s="20" t="s">
        <v>78</v>
      </c>
      <c r="F292" s="20" t="s">
        <v>2583</v>
      </c>
      <c r="G292" s="20" t="s">
        <v>2584</v>
      </c>
      <c r="H292" s="20" t="s">
        <v>81</v>
      </c>
      <c r="I292" s="20" t="s">
        <v>58</v>
      </c>
      <c r="J292" s="20" t="s">
        <v>345</v>
      </c>
      <c r="K292" s="20" t="s">
        <v>83</v>
      </c>
      <c r="L292" s="20" t="s">
        <v>2683</v>
      </c>
      <c r="M292" s="20" t="s">
        <v>61</v>
      </c>
      <c r="N292" s="20" t="s">
        <v>2578</v>
      </c>
      <c r="O292" s="20">
        <v>20</v>
      </c>
      <c r="P292" s="24">
        <f>Cleaned_Sales!$R292/Cleaned_Sales!$O292</f>
        <v>140.726</v>
      </c>
      <c r="Q292" s="20">
        <v>80.83</v>
      </c>
      <c r="R292" s="20">
        <v>2814.52</v>
      </c>
      <c r="S292" s="20">
        <v>0.2</v>
      </c>
      <c r="T292" s="20">
        <v>562.9</v>
      </c>
      <c r="U292" s="20">
        <v>2251.62</v>
      </c>
      <c r="V292" s="20">
        <v>1616.67</v>
      </c>
      <c r="W292" s="20">
        <v>634.95000000000005</v>
      </c>
      <c r="X292" s="20" t="s">
        <v>45</v>
      </c>
    </row>
    <row r="293" spans="1:24" x14ac:dyDescent="0.25">
      <c r="A293" s="23" t="s">
        <v>667</v>
      </c>
      <c r="B293" s="22">
        <v>45641</v>
      </c>
      <c r="C293" s="23" t="s">
        <v>602</v>
      </c>
      <c r="D293" s="23" t="s">
        <v>159</v>
      </c>
      <c r="E293" s="23" t="s">
        <v>176</v>
      </c>
      <c r="F293" s="23" t="s">
        <v>2593</v>
      </c>
      <c r="G293" s="23" t="s">
        <v>2587</v>
      </c>
      <c r="H293" s="23" t="s">
        <v>39</v>
      </c>
      <c r="I293" s="23" t="s">
        <v>27</v>
      </c>
      <c r="J293" s="23" t="s">
        <v>211</v>
      </c>
      <c r="K293" s="23" t="s">
        <v>253</v>
      </c>
      <c r="L293" s="23" t="s">
        <v>2694</v>
      </c>
      <c r="M293" s="23" t="s">
        <v>30</v>
      </c>
      <c r="N293" s="23" t="s">
        <v>75</v>
      </c>
      <c r="O293" s="23">
        <v>8</v>
      </c>
      <c r="P293" s="23">
        <v>102.31</v>
      </c>
      <c r="Q293" s="23">
        <v>58.76</v>
      </c>
      <c r="R293" s="23">
        <v>818.49</v>
      </c>
      <c r="S293" s="23">
        <v>0.02</v>
      </c>
      <c r="T293" s="23">
        <v>16.37</v>
      </c>
      <c r="U293" s="23">
        <v>802.12</v>
      </c>
      <c r="V293" s="23">
        <v>470.05</v>
      </c>
      <c r="W293" s="23">
        <v>332.08</v>
      </c>
      <c r="X293" s="23" t="s">
        <v>45</v>
      </c>
    </row>
    <row r="294" spans="1:24" x14ac:dyDescent="0.25">
      <c r="A294" s="20" t="s">
        <v>668</v>
      </c>
      <c r="B294" s="19">
        <v>45362</v>
      </c>
      <c r="C294" s="20" t="s">
        <v>180</v>
      </c>
      <c r="D294" s="20" t="s">
        <v>163</v>
      </c>
      <c r="E294" s="20" t="s">
        <v>209</v>
      </c>
      <c r="F294" s="20" t="s">
        <v>2595</v>
      </c>
      <c r="G294" s="20" t="s">
        <v>2581</v>
      </c>
      <c r="H294" s="20" t="s">
        <v>116</v>
      </c>
      <c r="I294" s="20" t="s">
        <v>40</v>
      </c>
      <c r="J294" s="20" t="s">
        <v>41</v>
      </c>
      <c r="K294" s="20" t="s">
        <v>265</v>
      </c>
      <c r="L294" s="20" t="s">
        <v>2663</v>
      </c>
      <c r="M294" s="20" t="s">
        <v>30</v>
      </c>
      <c r="N294" s="20" t="s">
        <v>70</v>
      </c>
      <c r="O294" s="20">
        <v>79</v>
      </c>
      <c r="P294" s="20">
        <v>17.73</v>
      </c>
      <c r="Q294" s="20">
        <v>10.65</v>
      </c>
      <c r="R294" s="20">
        <v>1400.41</v>
      </c>
      <c r="S294" s="20">
        <v>0.15</v>
      </c>
      <c r="T294" s="20">
        <v>210.06</v>
      </c>
      <c r="U294" s="20">
        <v>1190.3499999999999</v>
      </c>
      <c r="V294" s="20">
        <v>841.33</v>
      </c>
      <c r="W294" s="20">
        <v>349.02</v>
      </c>
      <c r="X294" s="20" t="s">
        <v>45</v>
      </c>
    </row>
    <row r="295" spans="1:24" x14ac:dyDescent="0.25">
      <c r="A295" s="23" t="s">
        <v>669</v>
      </c>
      <c r="B295" s="22">
        <v>45401</v>
      </c>
      <c r="C295" s="23" t="s">
        <v>347</v>
      </c>
      <c r="D295" s="23" t="s">
        <v>163</v>
      </c>
      <c r="E295" s="23" t="s">
        <v>109</v>
      </c>
      <c r="F295" s="23" t="s">
        <v>110</v>
      </c>
      <c r="G295" s="23" t="s">
        <v>2584</v>
      </c>
      <c r="H295" s="23" t="s">
        <v>81</v>
      </c>
      <c r="I295" s="23" t="s">
        <v>27</v>
      </c>
      <c r="J295" s="23" t="s">
        <v>189</v>
      </c>
      <c r="K295" s="23" t="s">
        <v>60</v>
      </c>
      <c r="L295" s="23" t="s">
        <v>2677</v>
      </c>
      <c r="M295" s="23" t="s">
        <v>30</v>
      </c>
      <c r="N295" s="23" t="s">
        <v>70</v>
      </c>
      <c r="O295" s="23">
        <v>73</v>
      </c>
      <c r="P295" s="23">
        <v>119.37</v>
      </c>
      <c r="Q295" s="23">
        <v>70.239999999999995</v>
      </c>
      <c r="R295" s="23">
        <v>8714.32</v>
      </c>
      <c r="S295" s="23">
        <v>0.15</v>
      </c>
      <c r="T295" s="23">
        <v>1307.1500000000001</v>
      </c>
      <c r="U295" s="23">
        <v>7407.17</v>
      </c>
      <c r="V295" s="23">
        <v>5127.87</v>
      </c>
      <c r="W295" s="23">
        <v>2279.3000000000002</v>
      </c>
      <c r="X295" s="23" t="s">
        <v>45</v>
      </c>
    </row>
    <row r="296" spans="1:24" x14ac:dyDescent="0.25">
      <c r="A296" s="20" t="s">
        <v>670</v>
      </c>
      <c r="B296" s="19">
        <v>45311</v>
      </c>
      <c r="C296" s="20" t="s">
        <v>511</v>
      </c>
      <c r="D296" s="20" t="s">
        <v>163</v>
      </c>
      <c r="E296" s="20" t="s">
        <v>141</v>
      </c>
      <c r="F296" s="20" t="s">
        <v>2590</v>
      </c>
      <c r="G296" s="20" t="s">
        <v>2577</v>
      </c>
      <c r="H296" s="20" t="s">
        <v>26</v>
      </c>
      <c r="I296" s="20" t="s">
        <v>40</v>
      </c>
      <c r="J296" s="20" t="s">
        <v>82</v>
      </c>
      <c r="K296" s="20" t="s">
        <v>261</v>
      </c>
      <c r="L296" s="20" t="s">
        <v>2695</v>
      </c>
      <c r="M296" s="20" t="s">
        <v>153</v>
      </c>
      <c r="N296" s="20" t="s">
        <v>44</v>
      </c>
      <c r="O296" s="20">
        <v>79</v>
      </c>
      <c r="P296" s="20">
        <v>93.81</v>
      </c>
      <c r="Q296" s="20">
        <v>57.17</v>
      </c>
      <c r="R296" s="20">
        <v>7411.13</v>
      </c>
      <c r="S296" s="20">
        <v>0.05</v>
      </c>
      <c r="T296" s="20">
        <v>370.56</v>
      </c>
      <c r="U296" s="20">
        <v>7040.57</v>
      </c>
      <c r="V296" s="20">
        <v>4516.7700000000004</v>
      </c>
      <c r="W296" s="20">
        <v>2523.81</v>
      </c>
      <c r="X296" s="20" t="s">
        <v>45</v>
      </c>
    </row>
    <row r="297" spans="1:24" x14ac:dyDescent="0.25">
      <c r="A297" s="23" t="s">
        <v>671</v>
      </c>
      <c r="B297" s="22">
        <v>45636</v>
      </c>
      <c r="C297" s="23" t="s">
        <v>458</v>
      </c>
      <c r="D297" s="23" t="s">
        <v>163</v>
      </c>
      <c r="E297" s="23" t="s">
        <v>176</v>
      </c>
      <c r="F297" s="23" t="s">
        <v>2593</v>
      </c>
      <c r="G297" s="23" t="s">
        <v>2587</v>
      </c>
      <c r="H297" s="23" t="s">
        <v>39</v>
      </c>
      <c r="I297" s="23" t="s">
        <v>27</v>
      </c>
      <c r="J297" s="23" t="s">
        <v>189</v>
      </c>
      <c r="K297" s="23" t="s">
        <v>184</v>
      </c>
      <c r="L297" s="23" t="s">
        <v>2690</v>
      </c>
      <c r="M297" s="23" t="s">
        <v>30</v>
      </c>
      <c r="N297" s="23" t="s">
        <v>44</v>
      </c>
      <c r="O297" s="23">
        <v>23</v>
      </c>
      <c r="P297" s="23">
        <v>109.74</v>
      </c>
      <c r="Q297" s="23">
        <v>65.099999999999994</v>
      </c>
      <c r="R297" s="23">
        <v>2523.98</v>
      </c>
      <c r="S297" s="23">
        <v>0.1</v>
      </c>
      <c r="T297" s="23">
        <v>252.4</v>
      </c>
      <c r="U297" s="23">
        <v>2271.58</v>
      </c>
      <c r="V297" s="23">
        <v>1497.4</v>
      </c>
      <c r="W297" s="23">
        <v>774.18</v>
      </c>
      <c r="X297" s="23" t="s">
        <v>45</v>
      </c>
    </row>
    <row r="298" spans="1:24" x14ac:dyDescent="0.25">
      <c r="A298" s="20" t="s">
        <v>672</v>
      </c>
      <c r="B298" s="19">
        <v>45544</v>
      </c>
      <c r="C298" s="20" t="s">
        <v>229</v>
      </c>
      <c r="D298" s="20" t="s">
        <v>87</v>
      </c>
      <c r="E298" s="20" t="s">
        <v>49</v>
      </c>
      <c r="F298" s="20" t="s">
        <v>2580</v>
      </c>
      <c r="G298" s="20" t="s">
        <v>2581</v>
      </c>
      <c r="H298" s="20" t="s">
        <v>52</v>
      </c>
      <c r="I298" s="20" t="s">
        <v>40</v>
      </c>
      <c r="J298" s="20" t="s">
        <v>289</v>
      </c>
      <c r="K298" s="20" t="s">
        <v>184</v>
      </c>
      <c r="L298" s="20" t="s">
        <v>2690</v>
      </c>
      <c r="M298" s="20" t="s">
        <v>153</v>
      </c>
      <c r="N298" s="20" t="s">
        <v>84</v>
      </c>
      <c r="O298" s="20">
        <v>23</v>
      </c>
      <c r="P298" s="20">
        <v>26.37</v>
      </c>
      <c r="Q298" s="20">
        <v>12.61</v>
      </c>
      <c r="R298" s="20">
        <v>606.53</v>
      </c>
      <c r="S298" s="20">
        <v>0.05</v>
      </c>
      <c r="T298" s="20">
        <v>30.33</v>
      </c>
      <c r="U298" s="20">
        <v>576.20000000000005</v>
      </c>
      <c r="V298" s="20">
        <v>290.07</v>
      </c>
      <c r="W298" s="20">
        <v>286.13</v>
      </c>
      <c r="X298" s="20" t="s">
        <v>45</v>
      </c>
    </row>
    <row r="299" spans="1:24" x14ac:dyDescent="0.25">
      <c r="A299" s="23" t="s">
        <v>673</v>
      </c>
      <c r="B299" s="22">
        <v>45587</v>
      </c>
      <c r="C299" s="23" t="s">
        <v>674</v>
      </c>
      <c r="D299" s="23" t="s">
        <v>264</v>
      </c>
      <c r="E299" s="23" t="s">
        <v>150</v>
      </c>
      <c r="F299" s="23" t="s">
        <v>2591</v>
      </c>
      <c r="G299" s="23" t="s">
        <v>2587</v>
      </c>
      <c r="H299" s="23" t="s">
        <v>134</v>
      </c>
      <c r="I299" s="23" t="s">
        <v>53</v>
      </c>
      <c r="J299" s="23" t="s">
        <v>143</v>
      </c>
      <c r="K299" s="23" t="s">
        <v>74</v>
      </c>
      <c r="L299" s="23" t="s">
        <v>2682</v>
      </c>
      <c r="M299" s="23" t="s">
        <v>153</v>
      </c>
      <c r="N299" s="23" t="s">
        <v>2578</v>
      </c>
      <c r="O299" s="23">
        <v>64</v>
      </c>
      <c r="P299" s="23">
        <v>84.85</v>
      </c>
      <c r="Q299" s="23">
        <v>53.21</v>
      </c>
      <c r="R299" s="23">
        <v>5430.12</v>
      </c>
      <c r="S299" s="23">
        <v>0.2</v>
      </c>
      <c r="T299" s="23">
        <v>1086.02</v>
      </c>
      <c r="U299" s="23">
        <v>4344.09</v>
      </c>
      <c r="V299" s="23">
        <v>3405.22</v>
      </c>
      <c r="W299" s="23">
        <v>938.87</v>
      </c>
      <c r="X299" s="23" t="s">
        <v>32</v>
      </c>
    </row>
    <row r="300" spans="1:24" x14ac:dyDescent="0.25">
      <c r="A300" s="20" t="s">
        <v>675</v>
      </c>
      <c r="B300" s="19">
        <v>45425</v>
      </c>
      <c r="C300" s="20" t="s">
        <v>676</v>
      </c>
      <c r="D300" s="20" t="s">
        <v>359</v>
      </c>
      <c r="E300" s="20" t="s">
        <v>66</v>
      </c>
      <c r="F300" s="20" t="s">
        <v>2582</v>
      </c>
      <c r="G300" s="20" t="s">
        <v>2579</v>
      </c>
      <c r="H300" s="20" t="s">
        <v>68</v>
      </c>
      <c r="I300" s="20" t="s">
        <v>53</v>
      </c>
      <c r="J300" s="20" t="s">
        <v>54</v>
      </c>
      <c r="K300" s="20" t="s">
        <v>253</v>
      </c>
      <c r="L300" s="20" t="s">
        <v>2694</v>
      </c>
      <c r="M300" s="20" t="s">
        <v>153</v>
      </c>
      <c r="N300" s="20" t="s">
        <v>84</v>
      </c>
      <c r="O300" s="20">
        <v>47</v>
      </c>
      <c r="P300" s="20">
        <v>154.59</v>
      </c>
      <c r="Q300" s="20">
        <v>101.6</v>
      </c>
      <c r="R300" s="20">
        <v>7265.76</v>
      </c>
      <c r="S300" s="20">
        <v>0.05</v>
      </c>
      <c r="T300" s="20">
        <v>363.29</v>
      </c>
      <c r="U300" s="20">
        <v>6902.47</v>
      </c>
      <c r="V300" s="20">
        <v>4775.12</v>
      </c>
      <c r="W300" s="20">
        <v>2127.34</v>
      </c>
      <c r="X300" s="20" t="s">
        <v>45</v>
      </c>
    </row>
    <row r="301" spans="1:24" x14ac:dyDescent="0.25">
      <c r="A301" s="23" t="s">
        <v>677</v>
      </c>
      <c r="B301" s="22">
        <v>45321</v>
      </c>
      <c r="C301" s="23" t="s">
        <v>182</v>
      </c>
      <c r="D301" s="23" t="s">
        <v>35</v>
      </c>
      <c r="E301" s="23" t="s">
        <v>36</v>
      </c>
      <c r="F301" s="23" t="s">
        <v>37</v>
      </c>
      <c r="G301" s="23" t="s">
        <v>2579</v>
      </c>
      <c r="H301" s="23" t="s">
        <v>39</v>
      </c>
      <c r="I301" s="23" t="s">
        <v>27</v>
      </c>
      <c r="J301" s="23" t="s">
        <v>211</v>
      </c>
      <c r="K301" s="23" t="s">
        <v>144</v>
      </c>
      <c r="L301" s="23" t="s">
        <v>2687</v>
      </c>
      <c r="M301" s="23" t="s">
        <v>153</v>
      </c>
      <c r="N301" s="23" t="s">
        <v>2578</v>
      </c>
      <c r="O301" s="23">
        <v>48</v>
      </c>
      <c r="P301" s="23">
        <v>152.31</v>
      </c>
      <c r="Q301" s="23">
        <v>95.2</v>
      </c>
      <c r="R301" s="23">
        <v>7310.72</v>
      </c>
      <c r="S301" s="23">
        <v>0.15</v>
      </c>
      <c r="T301" s="23">
        <v>1096.6099999999999</v>
      </c>
      <c r="U301" s="23">
        <v>6214.11</v>
      </c>
      <c r="V301" s="23">
        <v>4569.38</v>
      </c>
      <c r="W301" s="23">
        <v>1644.73</v>
      </c>
      <c r="X301" s="23" t="s">
        <v>45</v>
      </c>
    </row>
    <row r="302" spans="1:24" x14ac:dyDescent="0.25">
      <c r="A302" s="20" t="s">
        <v>678</v>
      </c>
      <c r="B302" s="19">
        <v>45526</v>
      </c>
      <c r="C302" s="20" t="s">
        <v>679</v>
      </c>
      <c r="D302" s="20" t="s">
        <v>105</v>
      </c>
      <c r="E302" s="20" t="s">
        <v>114</v>
      </c>
      <c r="F302" s="20" t="s">
        <v>2588</v>
      </c>
      <c r="G302" s="20" t="s">
        <v>2586</v>
      </c>
      <c r="H302" s="20" t="s">
        <v>116</v>
      </c>
      <c r="I302" s="20" t="s">
        <v>88</v>
      </c>
      <c r="J302" s="20" t="s">
        <v>173</v>
      </c>
      <c r="K302" s="20" t="s">
        <v>265</v>
      </c>
      <c r="L302" s="20" t="s">
        <v>2663</v>
      </c>
      <c r="M302" s="20" t="s">
        <v>61</v>
      </c>
      <c r="N302" s="20" t="s">
        <v>2578</v>
      </c>
      <c r="O302" s="20">
        <v>24</v>
      </c>
      <c r="P302" s="20">
        <v>35.36</v>
      </c>
      <c r="Q302" s="20">
        <v>21.91</v>
      </c>
      <c r="R302" s="20">
        <v>848.75</v>
      </c>
      <c r="S302" s="20">
        <v>0.02</v>
      </c>
      <c r="T302" s="20">
        <v>16.97</v>
      </c>
      <c r="U302" s="20">
        <v>831.77</v>
      </c>
      <c r="V302" s="20">
        <v>525.9</v>
      </c>
      <c r="W302" s="20">
        <v>305.87</v>
      </c>
      <c r="X302" s="20" t="s">
        <v>45</v>
      </c>
    </row>
    <row r="303" spans="1:24" x14ac:dyDescent="0.25">
      <c r="A303" s="23" t="s">
        <v>680</v>
      </c>
      <c r="B303" s="22">
        <v>45376</v>
      </c>
      <c r="C303" s="23" t="s">
        <v>681</v>
      </c>
      <c r="D303" s="23" t="s">
        <v>105</v>
      </c>
      <c r="E303" s="23" t="s">
        <v>216</v>
      </c>
      <c r="F303" s="23" t="s">
        <v>2596</v>
      </c>
      <c r="G303" s="23" t="s">
        <v>2579</v>
      </c>
      <c r="H303" s="23" t="s">
        <v>134</v>
      </c>
      <c r="I303" s="23" t="s">
        <v>40</v>
      </c>
      <c r="J303" s="23" t="s">
        <v>41</v>
      </c>
      <c r="K303" s="23" t="s">
        <v>90</v>
      </c>
      <c r="L303" s="23" t="s">
        <v>2684</v>
      </c>
      <c r="M303" s="23" t="s">
        <v>61</v>
      </c>
      <c r="N303" s="23" t="s">
        <v>44</v>
      </c>
      <c r="O303" s="23">
        <v>42</v>
      </c>
      <c r="P303" s="23">
        <v>102.48</v>
      </c>
      <c r="Q303" s="23">
        <v>70.45</v>
      </c>
      <c r="R303" s="23">
        <v>4304.1899999999996</v>
      </c>
      <c r="S303" s="23">
        <v>0.15</v>
      </c>
      <c r="T303" s="23">
        <v>645.63</v>
      </c>
      <c r="U303" s="23">
        <v>3658.56</v>
      </c>
      <c r="V303" s="23">
        <v>2958.91</v>
      </c>
      <c r="W303" s="23">
        <v>699.64</v>
      </c>
      <c r="X303" s="23" t="s">
        <v>45</v>
      </c>
    </row>
    <row r="304" spans="1:24" x14ac:dyDescent="0.25">
      <c r="A304" s="20" t="s">
        <v>682</v>
      </c>
      <c r="B304" s="19">
        <v>45461</v>
      </c>
      <c r="C304" s="20" t="s">
        <v>466</v>
      </c>
      <c r="D304" s="20" t="s">
        <v>221</v>
      </c>
      <c r="E304" s="20" t="s">
        <v>99</v>
      </c>
      <c r="F304" s="20" t="s">
        <v>100</v>
      </c>
      <c r="G304" s="20" t="s">
        <v>2587</v>
      </c>
      <c r="H304" s="20" t="s">
        <v>102</v>
      </c>
      <c r="I304" s="20" t="s">
        <v>58</v>
      </c>
      <c r="J304" s="20" t="s">
        <v>73</v>
      </c>
      <c r="K304" s="20" t="s">
        <v>261</v>
      </c>
      <c r="L304" s="20" t="s">
        <v>2695</v>
      </c>
      <c r="M304" s="20" t="s">
        <v>153</v>
      </c>
      <c r="N304" s="20" t="s">
        <v>75</v>
      </c>
      <c r="O304" s="20">
        <v>59</v>
      </c>
      <c r="P304" s="20">
        <v>64.53</v>
      </c>
      <c r="Q304" s="20">
        <v>42.89</v>
      </c>
      <c r="R304" s="20">
        <v>3807.07</v>
      </c>
      <c r="S304" s="20">
        <v>0.1</v>
      </c>
      <c r="T304" s="20">
        <v>380.71</v>
      </c>
      <c r="U304" s="20">
        <v>3426.36</v>
      </c>
      <c r="V304" s="20">
        <v>2530.2199999999998</v>
      </c>
      <c r="W304" s="20">
        <v>896.14</v>
      </c>
      <c r="X304" s="20" t="s">
        <v>45</v>
      </c>
    </row>
    <row r="305" spans="1:24" x14ac:dyDescent="0.25">
      <c r="A305" s="23" t="s">
        <v>683</v>
      </c>
      <c r="B305" s="22">
        <v>45449</v>
      </c>
      <c r="C305" s="23" t="s">
        <v>636</v>
      </c>
      <c r="D305" s="23" t="s">
        <v>87</v>
      </c>
      <c r="E305" s="23" t="s">
        <v>99</v>
      </c>
      <c r="F305" s="23" t="s">
        <v>100</v>
      </c>
      <c r="G305" s="23" t="s">
        <v>2587</v>
      </c>
      <c r="H305" s="23" t="s">
        <v>102</v>
      </c>
      <c r="I305" s="23" t="s">
        <v>53</v>
      </c>
      <c r="J305" s="23" t="s">
        <v>232</v>
      </c>
      <c r="K305" s="23" t="s">
        <v>195</v>
      </c>
      <c r="L305" s="23" t="s">
        <v>2691</v>
      </c>
      <c r="M305" s="23" t="s">
        <v>43</v>
      </c>
      <c r="N305" s="23" t="s">
        <v>44</v>
      </c>
      <c r="O305" s="23">
        <v>43</v>
      </c>
      <c r="P305" s="23">
        <v>74.55</v>
      </c>
      <c r="Q305" s="23">
        <v>39.36</v>
      </c>
      <c r="R305" s="23">
        <v>3205.65</v>
      </c>
      <c r="S305" s="23">
        <v>0.1</v>
      </c>
      <c r="T305" s="23">
        <v>320.57</v>
      </c>
      <c r="U305" s="23">
        <v>2885.09</v>
      </c>
      <c r="V305" s="23">
        <v>1692.35</v>
      </c>
      <c r="W305" s="23">
        <v>1192.73</v>
      </c>
      <c r="X305" s="23" t="s">
        <v>129</v>
      </c>
    </row>
    <row r="306" spans="1:24" x14ac:dyDescent="0.25">
      <c r="A306" s="20" t="s">
        <v>684</v>
      </c>
      <c r="B306" s="19">
        <v>45644</v>
      </c>
      <c r="C306" s="20" t="s">
        <v>258</v>
      </c>
      <c r="D306" s="20" t="s">
        <v>259</v>
      </c>
      <c r="E306" s="20" t="s">
        <v>250</v>
      </c>
      <c r="F306" s="20" t="s">
        <v>2598</v>
      </c>
      <c r="G306" s="20" t="s">
        <v>2581</v>
      </c>
      <c r="H306" s="20" t="s">
        <v>252</v>
      </c>
      <c r="I306" s="20" t="s">
        <v>53</v>
      </c>
      <c r="J306" s="20" t="s">
        <v>232</v>
      </c>
      <c r="K306" s="20" t="s">
        <v>261</v>
      </c>
      <c r="L306" s="20" t="s">
        <v>2695</v>
      </c>
      <c r="M306" s="20" t="s">
        <v>61</v>
      </c>
      <c r="N306" s="20" t="s">
        <v>2578</v>
      </c>
      <c r="O306" s="20">
        <v>36</v>
      </c>
      <c r="P306" s="20">
        <v>64.489999999999995</v>
      </c>
      <c r="Q306" s="20">
        <v>36.08</v>
      </c>
      <c r="R306" s="20">
        <v>2321.7600000000002</v>
      </c>
      <c r="S306" s="20">
        <v>0.1</v>
      </c>
      <c r="T306" s="20">
        <v>232.18</v>
      </c>
      <c r="U306" s="20">
        <v>2089.59</v>
      </c>
      <c r="V306" s="20">
        <v>1298.71</v>
      </c>
      <c r="W306" s="20">
        <v>790.88</v>
      </c>
      <c r="X306" s="20" t="s">
        <v>45</v>
      </c>
    </row>
    <row r="307" spans="1:24" x14ac:dyDescent="0.25">
      <c r="A307" s="23" t="s">
        <v>685</v>
      </c>
      <c r="B307" s="22">
        <v>45301</v>
      </c>
      <c r="C307" s="23" t="s">
        <v>466</v>
      </c>
      <c r="D307" s="23" t="s">
        <v>221</v>
      </c>
      <c r="E307" s="23" t="s">
        <v>209</v>
      </c>
      <c r="F307" s="23" t="s">
        <v>2595</v>
      </c>
      <c r="G307" s="23" t="s">
        <v>2581</v>
      </c>
      <c r="H307" s="23" t="s">
        <v>116</v>
      </c>
      <c r="I307" s="23" t="s">
        <v>53</v>
      </c>
      <c r="J307" s="23" t="s">
        <v>232</v>
      </c>
      <c r="K307" s="23" t="s">
        <v>90</v>
      </c>
      <c r="L307" s="23" t="s">
        <v>2684</v>
      </c>
      <c r="M307" s="23" t="s">
        <v>61</v>
      </c>
      <c r="N307" s="23" t="s">
        <v>44</v>
      </c>
      <c r="O307" s="23">
        <v>35</v>
      </c>
      <c r="P307" s="23">
        <v>19.23</v>
      </c>
      <c r="Q307" s="23">
        <v>9.58</v>
      </c>
      <c r="R307" s="23">
        <v>673.06</v>
      </c>
      <c r="S307" s="23">
        <v>0.15</v>
      </c>
      <c r="T307" s="23">
        <v>100.96</v>
      </c>
      <c r="U307" s="23">
        <v>572.1</v>
      </c>
      <c r="V307" s="23">
        <v>335.14</v>
      </c>
      <c r="W307" s="23">
        <v>236.96</v>
      </c>
      <c r="X307" s="23" t="s">
        <v>129</v>
      </c>
    </row>
    <row r="308" spans="1:24" x14ac:dyDescent="0.25">
      <c r="A308" s="20" t="s">
        <v>686</v>
      </c>
      <c r="B308" s="19">
        <v>45615</v>
      </c>
      <c r="C308" s="20" t="s">
        <v>337</v>
      </c>
      <c r="D308" s="20" t="s">
        <v>87</v>
      </c>
      <c r="E308" s="20" t="s">
        <v>93</v>
      </c>
      <c r="F308" s="20" t="s">
        <v>2585</v>
      </c>
      <c r="G308" s="20" t="s">
        <v>2586</v>
      </c>
      <c r="H308" s="20" t="s">
        <v>96</v>
      </c>
      <c r="I308" s="20" t="s">
        <v>40</v>
      </c>
      <c r="J308" s="20" t="s">
        <v>82</v>
      </c>
      <c r="K308" s="20" t="s">
        <v>170</v>
      </c>
      <c r="L308" s="20" t="s">
        <v>2671</v>
      </c>
      <c r="M308" s="20" t="s">
        <v>61</v>
      </c>
      <c r="N308" s="20" t="s">
        <v>70</v>
      </c>
      <c r="O308" s="20">
        <v>26</v>
      </c>
      <c r="P308" s="20">
        <v>56.2</v>
      </c>
      <c r="Q308" s="20">
        <v>34.119999999999997</v>
      </c>
      <c r="R308" s="20">
        <v>1461.14</v>
      </c>
      <c r="S308" s="20">
        <v>0.02</v>
      </c>
      <c r="T308" s="20">
        <v>29.22</v>
      </c>
      <c r="U308" s="20">
        <v>1431.92</v>
      </c>
      <c r="V308" s="20">
        <v>887.02</v>
      </c>
      <c r="W308" s="20">
        <v>544.9</v>
      </c>
      <c r="X308" s="20" t="s">
        <v>45</v>
      </c>
    </row>
    <row r="309" spans="1:24" x14ac:dyDescent="0.25">
      <c r="A309" s="23" t="s">
        <v>687</v>
      </c>
      <c r="B309" s="22">
        <v>45418</v>
      </c>
      <c r="C309" s="23" t="s">
        <v>688</v>
      </c>
      <c r="D309" s="23" t="s">
        <v>156</v>
      </c>
      <c r="E309" s="23" t="s">
        <v>222</v>
      </c>
      <c r="F309" s="23" t="s">
        <v>2597</v>
      </c>
      <c r="G309" s="23" t="s">
        <v>2587</v>
      </c>
      <c r="H309" s="23" t="s">
        <v>68</v>
      </c>
      <c r="I309" s="23" t="s">
        <v>27</v>
      </c>
      <c r="J309" s="23" t="s">
        <v>189</v>
      </c>
      <c r="K309" s="23" t="s">
        <v>60</v>
      </c>
      <c r="L309" s="23" t="s">
        <v>2677</v>
      </c>
      <c r="M309" s="23" t="s">
        <v>61</v>
      </c>
      <c r="N309" s="23" t="s">
        <v>75</v>
      </c>
      <c r="O309" s="23">
        <v>26</v>
      </c>
      <c r="P309" s="23">
        <v>127.54</v>
      </c>
      <c r="Q309" s="23">
        <v>78.489999999999995</v>
      </c>
      <c r="R309" s="23">
        <v>3315.97</v>
      </c>
      <c r="S309" s="23">
        <v>0</v>
      </c>
      <c r="T309" s="23">
        <v>0</v>
      </c>
      <c r="U309" s="23">
        <v>3315.97</v>
      </c>
      <c r="V309" s="23">
        <v>2040.77</v>
      </c>
      <c r="W309" s="23">
        <v>1275.2</v>
      </c>
      <c r="X309" s="23" t="s">
        <v>45</v>
      </c>
    </row>
    <row r="310" spans="1:24" x14ac:dyDescent="0.25">
      <c r="A310" s="20" t="s">
        <v>689</v>
      </c>
      <c r="B310" s="19">
        <v>45340</v>
      </c>
      <c r="C310" s="20" t="s">
        <v>158</v>
      </c>
      <c r="D310" s="20" t="s">
        <v>159</v>
      </c>
      <c r="E310" s="20" t="s">
        <v>109</v>
      </c>
      <c r="F310" s="20" t="s">
        <v>110</v>
      </c>
      <c r="G310" s="20" t="s">
        <v>2584</v>
      </c>
      <c r="H310" s="20" t="s">
        <v>81</v>
      </c>
      <c r="I310" s="20" t="s">
        <v>53</v>
      </c>
      <c r="J310" s="20" t="s">
        <v>232</v>
      </c>
      <c r="K310" s="20" t="s">
        <v>90</v>
      </c>
      <c r="L310" s="20" t="s">
        <v>2684</v>
      </c>
      <c r="M310" s="20" t="s">
        <v>43</v>
      </c>
      <c r="N310" s="20" t="s">
        <v>70</v>
      </c>
      <c r="O310" s="20">
        <v>60</v>
      </c>
      <c r="P310" s="20">
        <v>119.23</v>
      </c>
      <c r="Q310" s="20">
        <v>71.959999999999994</v>
      </c>
      <c r="R310" s="20">
        <v>7153.74</v>
      </c>
      <c r="S310" s="20">
        <v>0</v>
      </c>
      <c r="T310" s="20">
        <v>0</v>
      </c>
      <c r="U310" s="20">
        <v>7153.74</v>
      </c>
      <c r="V310" s="20">
        <v>4317.45</v>
      </c>
      <c r="W310" s="20">
        <v>2836.28</v>
      </c>
      <c r="X310" s="20" t="s">
        <v>45</v>
      </c>
    </row>
    <row r="311" spans="1:24" x14ac:dyDescent="0.25">
      <c r="A311" s="23" t="s">
        <v>690</v>
      </c>
      <c r="B311" s="22">
        <v>45514</v>
      </c>
      <c r="C311" s="23" t="s">
        <v>691</v>
      </c>
      <c r="D311" s="23" t="s">
        <v>35</v>
      </c>
      <c r="E311" s="23" t="s">
        <v>109</v>
      </c>
      <c r="F311" s="23" t="s">
        <v>110</v>
      </c>
      <c r="G311" s="23" t="s">
        <v>2584</v>
      </c>
      <c r="H311" s="23" t="s">
        <v>81</v>
      </c>
      <c r="I311" s="23" t="s">
        <v>27</v>
      </c>
      <c r="J311" s="23" t="s">
        <v>189</v>
      </c>
      <c r="K311" s="23" t="s">
        <v>261</v>
      </c>
      <c r="L311" s="23" t="s">
        <v>2695</v>
      </c>
      <c r="M311" s="23" t="s">
        <v>153</v>
      </c>
      <c r="N311" s="23" t="s">
        <v>2578</v>
      </c>
      <c r="O311" s="23">
        <v>17</v>
      </c>
      <c r="P311" s="23">
        <v>125.23</v>
      </c>
      <c r="Q311" s="23">
        <v>74.38</v>
      </c>
      <c r="R311" s="23">
        <v>2128.9699999999998</v>
      </c>
      <c r="S311" s="23">
        <v>0.02</v>
      </c>
      <c r="T311" s="23">
        <v>42.58</v>
      </c>
      <c r="U311" s="23">
        <v>2086.39</v>
      </c>
      <c r="V311" s="23">
        <v>1264.46</v>
      </c>
      <c r="W311" s="23">
        <v>821.93</v>
      </c>
      <c r="X311" s="23" t="s">
        <v>129</v>
      </c>
    </row>
    <row r="312" spans="1:24" x14ac:dyDescent="0.25">
      <c r="A312" s="20" t="s">
        <v>692</v>
      </c>
      <c r="B312" s="19">
        <v>45618</v>
      </c>
      <c r="C312" s="20" t="s">
        <v>693</v>
      </c>
      <c r="D312" s="20" t="s">
        <v>57</v>
      </c>
      <c r="E312" s="20" t="s">
        <v>165</v>
      </c>
      <c r="F312" s="20" t="s">
        <v>2592</v>
      </c>
      <c r="G312" s="20" t="s">
        <v>2586</v>
      </c>
      <c r="H312" s="20" t="s">
        <v>167</v>
      </c>
      <c r="I312" s="20" t="s">
        <v>58</v>
      </c>
      <c r="J312" s="20" t="s">
        <v>323</v>
      </c>
      <c r="K312" s="20" t="s">
        <v>42</v>
      </c>
      <c r="L312" s="20" t="s">
        <v>2680</v>
      </c>
      <c r="M312" s="20" t="s">
        <v>30</v>
      </c>
      <c r="N312" s="20" t="s">
        <v>2578</v>
      </c>
      <c r="O312" s="20">
        <v>63</v>
      </c>
      <c r="P312" s="20">
        <v>42.74</v>
      </c>
      <c r="Q312" s="20">
        <v>25.01</v>
      </c>
      <c r="R312" s="20">
        <v>2692.39</v>
      </c>
      <c r="S312" s="20">
        <v>0</v>
      </c>
      <c r="T312" s="20">
        <v>0</v>
      </c>
      <c r="U312" s="20">
        <v>2692.39</v>
      </c>
      <c r="V312" s="20">
        <v>1575.68</v>
      </c>
      <c r="W312" s="20">
        <v>1116.71</v>
      </c>
      <c r="X312" s="20" t="s">
        <v>45</v>
      </c>
    </row>
    <row r="313" spans="1:24" x14ac:dyDescent="0.25">
      <c r="A313" s="23" t="s">
        <v>695</v>
      </c>
      <c r="B313" s="22">
        <v>45491</v>
      </c>
      <c r="C313" s="23" t="s">
        <v>696</v>
      </c>
      <c r="D313" s="23" t="s">
        <v>105</v>
      </c>
      <c r="E313" s="23" t="s">
        <v>165</v>
      </c>
      <c r="F313" s="23" t="s">
        <v>2592</v>
      </c>
      <c r="G313" s="23" t="s">
        <v>2586</v>
      </c>
      <c r="H313" s="23" t="s">
        <v>167</v>
      </c>
      <c r="I313" s="23" t="s">
        <v>40</v>
      </c>
      <c r="J313" s="23" t="s">
        <v>117</v>
      </c>
      <c r="K313" s="23" t="s">
        <v>178</v>
      </c>
      <c r="L313" s="23" t="s">
        <v>2689</v>
      </c>
      <c r="M313" s="23" t="s">
        <v>153</v>
      </c>
      <c r="N313" s="23" t="s">
        <v>84</v>
      </c>
      <c r="O313" s="23">
        <v>61</v>
      </c>
      <c r="P313" s="23">
        <v>45.06</v>
      </c>
      <c r="Q313" s="23">
        <v>25.95</v>
      </c>
      <c r="R313" s="23">
        <v>2748.46</v>
      </c>
      <c r="S313" s="23">
        <v>0</v>
      </c>
      <c r="T313" s="23">
        <v>0</v>
      </c>
      <c r="U313" s="23">
        <v>2748.46</v>
      </c>
      <c r="V313" s="23">
        <v>1583.05</v>
      </c>
      <c r="W313" s="23">
        <v>1165.4100000000001</v>
      </c>
      <c r="X313" s="23" t="s">
        <v>129</v>
      </c>
    </row>
    <row r="314" spans="1:24" x14ac:dyDescent="0.25">
      <c r="A314" s="20" t="s">
        <v>697</v>
      </c>
      <c r="B314" s="19">
        <v>45294</v>
      </c>
      <c r="C314" s="20" t="s">
        <v>649</v>
      </c>
      <c r="D314" s="20" t="s">
        <v>87</v>
      </c>
      <c r="E314" s="20" t="s">
        <v>109</v>
      </c>
      <c r="F314" s="20" t="s">
        <v>110</v>
      </c>
      <c r="G314" s="20" t="s">
        <v>2584</v>
      </c>
      <c r="H314" s="20" t="s">
        <v>81</v>
      </c>
      <c r="I314" s="20" t="s">
        <v>40</v>
      </c>
      <c r="J314" s="20" t="s">
        <v>117</v>
      </c>
      <c r="K314" s="20" t="s">
        <v>265</v>
      </c>
      <c r="L314" s="20" t="s">
        <v>2663</v>
      </c>
      <c r="M314" s="20" t="s">
        <v>153</v>
      </c>
      <c r="N314" s="20" t="s">
        <v>2578</v>
      </c>
      <c r="O314" s="20">
        <v>40</v>
      </c>
      <c r="P314" s="20">
        <v>132.44</v>
      </c>
      <c r="Q314" s="20">
        <v>68.430000000000007</v>
      </c>
      <c r="R314" s="20">
        <v>5297.47</v>
      </c>
      <c r="S314" s="20">
        <v>0</v>
      </c>
      <c r="T314" s="20">
        <v>0</v>
      </c>
      <c r="U314" s="20">
        <v>5297.47</v>
      </c>
      <c r="V314" s="20">
        <v>2737.05</v>
      </c>
      <c r="W314" s="20">
        <v>2560.42</v>
      </c>
      <c r="X314" s="20" t="s">
        <v>45</v>
      </c>
    </row>
    <row r="315" spans="1:24" x14ac:dyDescent="0.25">
      <c r="A315" s="23" t="s">
        <v>698</v>
      </c>
      <c r="B315" s="22">
        <v>45379</v>
      </c>
      <c r="C315" s="23" t="s">
        <v>623</v>
      </c>
      <c r="D315" s="23" t="s">
        <v>156</v>
      </c>
      <c r="E315" s="23" t="s">
        <v>23</v>
      </c>
      <c r="F315" s="23" t="s">
        <v>2576</v>
      </c>
      <c r="G315" s="23" t="s">
        <v>2577</v>
      </c>
      <c r="H315" s="23" t="s">
        <v>26</v>
      </c>
      <c r="I315" s="23" t="s">
        <v>58</v>
      </c>
      <c r="J315" s="23" t="s">
        <v>345</v>
      </c>
      <c r="K315" s="23" t="s">
        <v>195</v>
      </c>
      <c r="L315" s="23" t="s">
        <v>2691</v>
      </c>
      <c r="M315" s="23" t="s">
        <v>153</v>
      </c>
      <c r="N315" s="23" t="s">
        <v>70</v>
      </c>
      <c r="O315" s="23">
        <v>29</v>
      </c>
      <c r="P315" s="23">
        <v>71.23</v>
      </c>
      <c r="Q315" s="23">
        <v>46.13</v>
      </c>
      <c r="R315" s="23">
        <v>2065.7600000000002</v>
      </c>
      <c r="S315" s="23">
        <v>0</v>
      </c>
      <c r="T315" s="23">
        <v>0</v>
      </c>
      <c r="U315" s="23">
        <v>2065.7600000000002</v>
      </c>
      <c r="V315" s="23">
        <v>1337.79</v>
      </c>
      <c r="W315" s="23">
        <v>727.98</v>
      </c>
      <c r="X315" s="23" t="s">
        <v>129</v>
      </c>
    </row>
    <row r="316" spans="1:24" x14ac:dyDescent="0.25">
      <c r="A316" s="20" t="s">
        <v>699</v>
      </c>
      <c r="B316" s="19">
        <v>45446</v>
      </c>
      <c r="C316" s="20" t="s">
        <v>307</v>
      </c>
      <c r="D316" s="20" t="s">
        <v>105</v>
      </c>
      <c r="E316" s="20" t="s">
        <v>250</v>
      </c>
      <c r="F316" s="20" t="s">
        <v>2598</v>
      </c>
      <c r="G316" s="20" t="s">
        <v>2581</v>
      </c>
      <c r="H316" s="20" t="s">
        <v>252</v>
      </c>
      <c r="I316" s="20" t="s">
        <v>58</v>
      </c>
      <c r="J316" s="20" t="s">
        <v>73</v>
      </c>
      <c r="K316" s="20" t="s">
        <v>144</v>
      </c>
      <c r="L316" s="20" t="s">
        <v>2687</v>
      </c>
      <c r="M316" s="20" t="s">
        <v>43</v>
      </c>
      <c r="N316" s="20" t="s">
        <v>84</v>
      </c>
      <c r="O316" s="20">
        <v>28</v>
      </c>
      <c r="P316" s="20">
        <v>67.05</v>
      </c>
      <c r="Q316" s="20">
        <v>39.1</v>
      </c>
      <c r="R316" s="20">
        <v>1877.5</v>
      </c>
      <c r="S316" s="20">
        <v>0.15</v>
      </c>
      <c r="T316" s="20">
        <v>281.63</v>
      </c>
      <c r="U316" s="20">
        <v>1595.88</v>
      </c>
      <c r="V316" s="20">
        <v>1094.67</v>
      </c>
      <c r="W316" s="20">
        <v>501.21</v>
      </c>
      <c r="X316" s="20" t="s">
        <v>45</v>
      </c>
    </row>
    <row r="317" spans="1:24" x14ac:dyDescent="0.25">
      <c r="A317" s="23" t="s">
        <v>700</v>
      </c>
      <c r="B317" s="22">
        <v>45333</v>
      </c>
      <c r="C317" s="23" t="s">
        <v>701</v>
      </c>
      <c r="D317" s="23" t="s">
        <v>48</v>
      </c>
      <c r="E317" s="23" t="s">
        <v>99</v>
      </c>
      <c r="F317" s="23" t="s">
        <v>100</v>
      </c>
      <c r="G317" s="23" t="s">
        <v>2587</v>
      </c>
      <c r="H317" s="23" t="s">
        <v>102</v>
      </c>
      <c r="I317" s="23" t="s">
        <v>40</v>
      </c>
      <c r="J317" s="23" t="s">
        <v>41</v>
      </c>
      <c r="K317" s="23" t="s">
        <v>42</v>
      </c>
      <c r="L317" s="23" t="s">
        <v>2680</v>
      </c>
      <c r="M317" s="23" t="s">
        <v>43</v>
      </c>
      <c r="N317" s="23" t="s">
        <v>70</v>
      </c>
      <c r="O317" s="23">
        <v>43</v>
      </c>
      <c r="P317" s="23">
        <v>72.150000000000006</v>
      </c>
      <c r="Q317" s="23">
        <v>39.07</v>
      </c>
      <c r="R317" s="23">
        <v>3102.5</v>
      </c>
      <c r="S317" s="23">
        <v>0.02</v>
      </c>
      <c r="T317" s="23">
        <v>62.05</v>
      </c>
      <c r="U317" s="23">
        <v>3040.45</v>
      </c>
      <c r="V317" s="23">
        <v>1680.14</v>
      </c>
      <c r="W317" s="23">
        <v>1360.31</v>
      </c>
      <c r="X317" s="23" t="s">
        <v>45</v>
      </c>
    </row>
    <row r="318" spans="1:24" x14ac:dyDescent="0.25">
      <c r="A318" s="20" t="s">
        <v>702</v>
      </c>
      <c r="B318" s="19">
        <v>45560</v>
      </c>
      <c r="C318" s="20" t="s">
        <v>420</v>
      </c>
      <c r="D318" s="20" t="s">
        <v>156</v>
      </c>
      <c r="E318" s="20" t="s">
        <v>209</v>
      </c>
      <c r="F318" s="20" t="s">
        <v>2595</v>
      </c>
      <c r="G318" s="20" t="s">
        <v>2581</v>
      </c>
      <c r="H318" s="20" t="s">
        <v>116</v>
      </c>
      <c r="I318" s="20" t="s">
        <v>53</v>
      </c>
      <c r="J318" s="20" t="s">
        <v>143</v>
      </c>
      <c r="K318" s="20" t="s">
        <v>29</v>
      </c>
      <c r="L318" s="20" t="s">
        <v>2679</v>
      </c>
      <c r="M318" s="20" t="s">
        <v>61</v>
      </c>
      <c r="N318" s="20" t="s">
        <v>84</v>
      </c>
      <c r="O318" s="20">
        <v>14</v>
      </c>
      <c r="P318" s="20">
        <v>18.440000000000001</v>
      </c>
      <c r="Q318" s="20">
        <v>9.7899999999999991</v>
      </c>
      <c r="R318" s="20">
        <v>258.12</v>
      </c>
      <c r="S318" s="20">
        <v>0.2</v>
      </c>
      <c r="T318" s="20">
        <v>51.62</v>
      </c>
      <c r="U318" s="20">
        <v>206.49</v>
      </c>
      <c r="V318" s="20">
        <v>137.05000000000001</v>
      </c>
      <c r="W318" s="20">
        <v>69.44</v>
      </c>
      <c r="X318" s="20" t="s">
        <v>45</v>
      </c>
    </row>
    <row r="319" spans="1:24" x14ac:dyDescent="0.25">
      <c r="A319" s="23" t="s">
        <v>703</v>
      </c>
      <c r="B319" s="22">
        <v>45373</v>
      </c>
      <c r="C319" s="23" t="s">
        <v>704</v>
      </c>
      <c r="D319" s="23" t="s">
        <v>105</v>
      </c>
      <c r="E319" s="23" t="s">
        <v>99</v>
      </c>
      <c r="F319" s="23" t="s">
        <v>100</v>
      </c>
      <c r="G319" s="23" t="s">
        <v>2587</v>
      </c>
      <c r="H319" s="23" t="s">
        <v>102</v>
      </c>
      <c r="I319" s="23" t="s">
        <v>40</v>
      </c>
      <c r="J319" s="23" t="s">
        <v>82</v>
      </c>
      <c r="K319" s="23" t="s">
        <v>170</v>
      </c>
      <c r="L319" s="23" t="s">
        <v>2671</v>
      </c>
      <c r="M319" s="23" t="s">
        <v>61</v>
      </c>
      <c r="N319" s="23" t="s">
        <v>44</v>
      </c>
      <c r="O319" s="23">
        <v>50</v>
      </c>
      <c r="P319" s="23">
        <v>67.31</v>
      </c>
      <c r="Q319" s="23">
        <v>44.08</v>
      </c>
      <c r="R319" s="23">
        <v>3365.42</v>
      </c>
      <c r="S319" s="23">
        <v>0.15</v>
      </c>
      <c r="T319" s="23">
        <v>504.81</v>
      </c>
      <c r="U319" s="23">
        <v>2860.6</v>
      </c>
      <c r="V319" s="23">
        <v>2204.0700000000002</v>
      </c>
      <c r="W319" s="23">
        <v>656.53</v>
      </c>
      <c r="X319" s="23" t="s">
        <v>45</v>
      </c>
    </row>
    <row r="320" spans="1:24" x14ac:dyDescent="0.25">
      <c r="A320" s="20" t="s">
        <v>705</v>
      </c>
      <c r="B320" s="19">
        <v>45518</v>
      </c>
      <c r="C320" s="20" t="s">
        <v>301</v>
      </c>
      <c r="D320" s="20" t="s">
        <v>259</v>
      </c>
      <c r="E320" s="20" t="s">
        <v>132</v>
      </c>
      <c r="F320" s="20" t="s">
        <v>133</v>
      </c>
      <c r="G320" s="20" t="s">
        <v>2581</v>
      </c>
      <c r="H320" s="20" t="s">
        <v>134</v>
      </c>
      <c r="I320" s="20" t="s">
        <v>58</v>
      </c>
      <c r="J320" s="20" t="s">
        <v>73</v>
      </c>
      <c r="K320" s="20" t="s">
        <v>74</v>
      </c>
      <c r="L320" s="20" t="s">
        <v>2682</v>
      </c>
      <c r="M320" s="20" t="s">
        <v>30</v>
      </c>
      <c r="N320" s="20" t="s">
        <v>75</v>
      </c>
      <c r="O320" s="20">
        <v>57</v>
      </c>
      <c r="P320" s="20">
        <v>56.35</v>
      </c>
      <c r="Q320" s="20">
        <v>35.159999999999997</v>
      </c>
      <c r="R320" s="20">
        <v>3211.84</v>
      </c>
      <c r="S320" s="20">
        <v>0.2</v>
      </c>
      <c r="T320" s="20">
        <v>642.37</v>
      </c>
      <c r="U320" s="20">
        <v>2569.4699999999998</v>
      </c>
      <c r="V320" s="20">
        <v>2004.12</v>
      </c>
      <c r="W320" s="20">
        <v>565.35</v>
      </c>
      <c r="X320" s="20" t="s">
        <v>129</v>
      </c>
    </row>
    <row r="321" spans="1:24" x14ac:dyDescent="0.25">
      <c r="A321" s="23" t="s">
        <v>706</v>
      </c>
      <c r="B321" s="22">
        <v>45296</v>
      </c>
      <c r="C321" s="23" t="s">
        <v>707</v>
      </c>
      <c r="D321" s="23" t="s">
        <v>65</v>
      </c>
      <c r="E321" s="23" t="s">
        <v>93</v>
      </c>
      <c r="F321" s="23" t="s">
        <v>2585</v>
      </c>
      <c r="G321" s="23" t="s">
        <v>2586</v>
      </c>
      <c r="H321" s="23" t="s">
        <v>96</v>
      </c>
      <c r="I321" s="23" t="s">
        <v>40</v>
      </c>
      <c r="J321" s="23" t="s">
        <v>117</v>
      </c>
      <c r="K321" s="23" t="s">
        <v>265</v>
      </c>
      <c r="L321" s="23" t="s">
        <v>2663</v>
      </c>
      <c r="M321" s="23" t="s">
        <v>61</v>
      </c>
      <c r="N321" s="23" t="s">
        <v>75</v>
      </c>
      <c r="O321" s="23">
        <v>14</v>
      </c>
      <c r="P321" s="23">
        <v>52.9</v>
      </c>
      <c r="Q321" s="23">
        <v>30.7</v>
      </c>
      <c r="R321" s="23">
        <v>740.64</v>
      </c>
      <c r="S321" s="23">
        <v>0.15</v>
      </c>
      <c r="T321" s="23">
        <v>111.1</v>
      </c>
      <c r="U321" s="23">
        <v>629.54999999999995</v>
      </c>
      <c r="V321" s="23">
        <v>429.86</v>
      </c>
      <c r="W321" s="23">
        <v>199.68</v>
      </c>
      <c r="X321" s="23" t="s">
        <v>45</v>
      </c>
    </row>
    <row r="322" spans="1:24" x14ac:dyDescent="0.25">
      <c r="A322" s="20" t="s">
        <v>708</v>
      </c>
      <c r="B322" s="19">
        <v>45362</v>
      </c>
      <c r="C322" s="20" t="s">
        <v>631</v>
      </c>
      <c r="D322" s="20" t="s">
        <v>105</v>
      </c>
      <c r="E322" s="20" t="s">
        <v>109</v>
      </c>
      <c r="F322" s="20" t="s">
        <v>110</v>
      </c>
      <c r="G322" s="20" t="s">
        <v>2584</v>
      </c>
      <c r="H322" s="20" t="s">
        <v>81</v>
      </c>
      <c r="I322" s="20" t="s">
        <v>40</v>
      </c>
      <c r="J322" s="20" t="s">
        <v>41</v>
      </c>
      <c r="K322" s="20" t="s">
        <v>265</v>
      </c>
      <c r="L322" s="20" t="s">
        <v>2663</v>
      </c>
      <c r="M322" s="20" t="s">
        <v>61</v>
      </c>
      <c r="N322" s="20" t="s">
        <v>75</v>
      </c>
      <c r="O322" s="20">
        <v>16</v>
      </c>
      <c r="P322" s="20">
        <v>123.45</v>
      </c>
      <c r="Q322" s="20">
        <v>72.180000000000007</v>
      </c>
      <c r="R322" s="20">
        <v>1975.27</v>
      </c>
      <c r="S322" s="20">
        <v>0</v>
      </c>
      <c r="T322" s="20">
        <v>0</v>
      </c>
      <c r="U322" s="20">
        <v>1975.27</v>
      </c>
      <c r="V322" s="20">
        <v>1154.93</v>
      </c>
      <c r="W322" s="20">
        <v>820.35</v>
      </c>
      <c r="X322" s="20" t="s">
        <v>45</v>
      </c>
    </row>
    <row r="323" spans="1:24" x14ac:dyDescent="0.25">
      <c r="A323" s="23" t="s">
        <v>709</v>
      </c>
      <c r="B323" s="22">
        <v>45375</v>
      </c>
      <c r="C323" s="23" t="s">
        <v>361</v>
      </c>
      <c r="D323" s="23" t="s">
        <v>35</v>
      </c>
      <c r="E323" s="23" t="s">
        <v>150</v>
      </c>
      <c r="F323" s="23" t="s">
        <v>2591</v>
      </c>
      <c r="G323" s="23" t="s">
        <v>2587</v>
      </c>
      <c r="H323" s="23" t="s">
        <v>134</v>
      </c>
      <c r="I323" s="23" t="s">
        <v>58</v>
      </c>
      <c r="J323" s="23" t="s">
        <v>345</v>
      </c>
      <c r="K323" s="23" t="s">
        <v>218</v>
      </c>
      <c r="L323" s="23" t="s">
        <v>2692</v>
      </c>
      <c r="M323" s="23" t="s">
        <v>30</v>
      </c>
      <c r="N323" s="23" t="s">
        <v>84</v>
      </c>
      <c r="O323" s="23">
        <v>4</v>
      </c>
      <c r="P323" s="23">
        <v>82.79</v>
      </c>
      <c r="Q323" s="23">
        <v>47.08</v>
      </c>
      <c r="R323" s="23">
        <v>331.15</v>
      </c>
      <c r="S323" s="23">
        <v>0.1</v>
      </c>
      <c r="T323" s="23">
        <v>33.119999999999997</v>
      </c>
      <c r="U323" s="23">
        <v>298.04000000000002</v>
      </c>
      <c r="V323" s="23">
        <v>188.31</v>
      </c>
      <c r="W323" s="23">
        <v>109.73</v>
      </c>
      <c r="X323" s="23" t="s">
        <v>45</v>
      </c>
    </row>
    <row r="324" spans="1:24" x14ac:dyDescent="0.25">
      <c r="A324" s="20" t="s">
        <v>710</v>
      </c>
      <c r="B324" s="19">
        <v>45534</v>
      </c>
      <c r="C324" s="20" t="s">
        <v>711</v>
      </c>
      <c r="D324" s="20" t="s">
        <v>57</v>
      </c>
      <c r="E324" s="20" t="s">
        <v>141</v>
      </c>
      <c r="F324" s="20" t="s">
        <v>2590</v>
      </c>
      <c r="G324" s="20" t="s">
        <v>2577</v>
      </c>
      <c r="H324" s="20" t="s">
        <v>26</v>
      </c>
      <c r="I324" s="20" t="s">
        <v>58</v>
      </c>
      <c r="J324" s="20" t="s">
        <v>73</v>
      </c>
      <c r="K324" s="20" t="s">
        <v>184</v>
      </c>
      <c r="L324" s="20" t="s">
        <v>2690</v>
      </c>
      <c r="M324" s="20" t="s">
        <v>61</v>
      </c>
      <c r="N324" s="20" t="s">
        <v>2578</v>
      </c>
      <c r="O324" s="20">
        <v>5</v>
      </c>
      <c r="P324" s="20">
        <v>91.46</v>
      </c>
      <c r="Q324" s="20">
        <v>61.51</v>
      </c>
      <c r="R324" s="20">
        <v>457.29</v>
      </c>
      <c r="S324" s="20">
        <v>0.2</v>
      </c>
      <c r="T324" s="20">
        <v>91.46</v>
      </c>
      <c r="U324" s="20">
        <v>365.84</v>
      </c>
      <c r="V324" s="20">
        <v>307.57</v>
      </c>
      <c r="W324" s="20">
        <v>58.27</v>
      </c>
      <c r="X324" s="20" t="s">
        <v>32</v>
      </c>
    </row>
    <row r="325" spans="1:24" x14ac:dyDescent="0.25">
      <c r="A325" s="23" t="s">
        <v>713</v>
      </c>
      <c r="B325" s="22">
        <v>45559</v>
      </c>
      <c r="C325" s="23" t="s">
        <v>681</v>
      </c>
      <c r="D325" s="23" t="s">
        <v>105</v>
      </c>
      <c r="E325" s="23" t="s">
        <v>132</v>
      </c>
      <c r="F325" s="23" t="s">
        <v>133</v>
      </c>
      <c r="G325" s="23" t="s">
        <v>2581</v>
      </c>
      <c r="H325" s="23" t="s">
        <v>134</v>
      </c>
      <c r="I325" s="23" t="s">
        <v>40</v>
      </c>
      <c r="J325" s="23" t="s">
        <v>41</v>
      </c>
      <c r="K325" s="23" t="s">
        <v>218</v>
      </c>
      <c r="L325" s="23" t="s">
        <v>2692</v>
      </c>
      <c r="M325" s="23" t="s">
        <v>30</v>
      </c>
      <c r="N325" s="23" t="s">
        <v>84</v>
      </c>
      <c r="O325" s="23">
        <v>49</v>
      </c>
      <c r="P325" s="23">
        <v>56.59</v>
      </c>
      <c r="Q325" s="23">
        <v>33.94</v>
      </c>
      <c r="R325" s="23">
        <v>2772.96</v>
      </c>
      <c r="S325" s="23">
        <v>0.1</v>
      </c>
      <c r="T325" s="23">
        <v>277.3</v>
      </c>
      <c r="U325" s="23">
        <v>2495.66</v>
      </c>
      <c r="V325" s="23">
        <v>1663.19</v>
      </c>
      <c r="W325" s="23">
        <v>832.47</v>
      </c>
      <c r="X325" s="23" t="s">
        <v>32</v>
      </c>
    </row>
    <row r="326" spans="1:24" x14ac:dyDescent="0.25">
      <c r="A326" s="20" t="s">
        <v>714</v>
      </c>
      <c r="B326" s="19">
        <v>45474</v>
      </c>
      <c r="C326" s="20" t="s">
        <v>715</v>
      </c>
      <c r="D326" s="20" t="s">
        <v>264</v>
      </c>
      <c r="E326" s="20" t="s">
        <v>126</v>
      </c>
      <c r="F326" s="20" t="s">
        <v>2589</v>
      </c>
      <c r="G326" s="20" t="s">
        <v>2586</v>
      </c>
      <c r="H326" s="20" t="s">
        <v>128</v>
      </c>
      <c r="I326" s="20" t="s">
        <v>53</v>
      </c>
      <c r="J326" s="20" t="s">
        <v>122</v>
      </c>
      <c r="K326" s="20" t="s">
        <v>152</v>
      </c>
      <c r="L326" s="20" t="s">
        <v>2688</v>
      </c>
      <c r="M326" s="20" t="s">
        <v>61</v>
      </c>
      <c r="N326" s="20" t="s">
        <v>75</v>
      </c>
      <c r="O326" s="20">
        <v>51</v>
      </c>
      <c r="P326" s="24">
        <f>Cleaned_Sales!$R326/Cleaned_Sales!$O326</f>
        <v>87.223921568627446</v>
      </c>
      <c r="Q326" s="20">
        <v>53.39</v>
      </c>
      <c r="R326" s="20">
        <v>4448.42</v>
      </c>
      <c r="S326" s="20">
        <v>0.15</v>
      </c>
      <c r="T326" s="20">
        <v>667.26</v>
      </c>
      <c r="U326" s="20">
        <v>3781.16</v>
      </c>
      <c r="V326" s="20">
        <v>2723.09</v>
      </c>
      <c r="W326" s="20">
        <v>1058.06</v>
      </c>
      <c r="X326" s="20" t="s">
        <v>45</v>
      </c>
    </row>
    <row r="327" spans="1:24" x14ac:dyDescent="0.25">
      <c r="A327" s="23" t="s">
        <v>716</v>
      </c>
      <c r="B327" s="22">
        <v>45332</v>
      </c>
      <c r="C327" s="23" t="s">
        <v>717</v>
      </c>
      <c r="D327" s="23" t="s">
        <v>35</v>
      </c>
      <c r="E327" s="23" t="s">
        <v>250</v>
      </c>
      <c r="F327" s="23" t="s">
        <v>2598</v>
      </c>
      <c r="G327" s="23" t="s">
        <v>2581</v>
      </c>
      <c r="H327" s="23" t="s">
        <v>252</v>
      </c>
      <c r="I327" s="23" t="s">
        <v>88</v>
      </c>
      <c r="J327" s="23" t="s">
        <v>173</v>
      </c>
      <c r="K327" s="23" t="s">
        <v>74</v>
      </c>
      <c r="L327" s="23" t="s">
        <v>2682</v>
      </c>
      <c r="M327" s="23" t="s">
        <v>61</v>
      </c>
      <c r="N327" s="23" t="s">
        <v>2578</v>
      </c>
      <c r="O327" s="23">
        <v>50</v>
      </c>
      <c r="P327" s="23">
        <v>61.13</v>
      </c>
      <c r="Q327" s="23">
        <v>39.61</v>
      </c>
      <c r="R327" s="23">
        <v>3056.49</v>
      </c>
      <c r="S327" s="23">
        <v>0.05</v>
      </c>
      <c r="T327" s="23">
        <v>152.82</v>
      </c>
      <c r="U327" s="23">
        <v>2903.67</v>
      </c>
      <c r="V327" s="23">
        <v>1980.73</v>
      </c>
      <c r="W327" s="23">
        <v>922.94</v>
      </c>
      <c r="X327" s="23" t="s">
        <v>45</v>
      </c>
    </row>
    <row r="328" spans="1:24" x14ac:dyDescent="0.25">
      <c r="A328" s="20" t="s">
        <v>718</v>
      </c>
      <c r="B328" s="19">
        <v>45612</v>
      </c>
      <c r="C328" s="20" t="s">
        <v>2619</v>
      </c>
      <c r="D328" s="20" t="s">
        <v>2619</v>
      </c>
      <c r="E328" s="20" t="s">
        <v>93</v>
      </c>
      <c r="F328" s="20" t="s">
        <v>2585</v>
      </c>
      <c r="G328" s="20" t="s">
        <v>2586</v>
      </c>
      <c r="H328" s="20" t="s">
        <v>96</v>
      </c>
      <c r="I328" s="20" t="s">
        <v>88</v>
      </c>
      <c r="J328" s="20" t="s">
        <v>135</v>
      </c>
      <c r="K328" s="20" t="s">
        <v>218</v>
      </c>
      <c r="L328" s="20" t="s">
        <v>2692</v>
      </c>
      <c r="M328" s="20" t="s">
        <v>30</v>
      </c>
      <c r="N328" s="20" t="s">
        <v>75</v>
      </c>
      <c r="O328" s="20">
        <v>69</v>
      </c>
      <c r="P328" s="20">
        <v>55.59</v>
      </c>
      <c r="Q328" s="20">
        <v>30.75</v>
      </c>
      <c r="R328" s="20">
        <v>3835.87</v>
      </c>
      <c r="S328" s="20">
        <v>0.02</v>
      </c>
      <c r="T328" s="20">
        <v>76.72</v>
      </c>
      <c r="U328" s="20">
        <v>3759.15</v>
      </c>
      <c r="V328" s="20">
        <v>2122</v>
      </c>
      <c r="W328" s="20">
        <v>1637.16</v>
      </c>
      <c r="X328" s="20" t="s">
        <v>45</v>
      </c>
    </row>
    <row r="329" spans="1:24" x14ac:dyDescent="0.25">
      <c r="A329" s="23" t="s">
        <v>719</v>
      </c>
      <c r="B329" s="22">
        <v>45524</v>
      </c>
      <c r="C329" s="23" t="s">
        <v>572</v>
      </c>
      <c r="D329" s="23" t="s">
        <v>57</v>
      </c>
      <c r="E329" s="23" t="s">
        <v>126</v>
      </c>
      <c r="F329" s="23" t="s">
        <v>2589</v>
      </c>
      <c r="G329" s="23" t="s">
        <v>2586</v>
      </c>
      <c r="H329" s="23" t="s">
        <v>128</v>
      </c>
      <c r="I329" s="23" t="s">
        <v>53</v>
      </c>
      <c r="J329" s="23" t="s">
        <v>232</v>
      </c>
      <c r="K329" s="23" t="s">
        <v>60</v>
      </c>
      <c r="L329" s="23" t="s">
        <v>2677</v>
      </c>
      <c r="M329" s="23" t="s">
        <v>153</v>
      </c>
      <c r="N329" s="23" t="s">
        <v>75</v>
      </c>
      <c r="O329" s="23">
        <v>69</v>
      </c>
      <c r="P329" s="23">
        <v>90.92</v>
      </c>
      <c r="Q329" s="23">
        <v>51.8</v>
      </c>
      <c r="R329" s="23">
        <v>6273.66</v>
      </c>
      <c r="S329" s="23">
        <v>0.05</v>
      </c>
      <c r="T329" s="23">
        <v>313.68</v>
      </c>
      <c r="U329" s="23">
        <v>6117.86</v>
      </c>
      <c r="V329" s="23">
        <v>3574.25</v>
      </c>
      <c r="W329" s="23">
        <v>2385.73</v>
      </c>
      <c r="X329" s="23" t="s">
        <v>45</v>
      </c>
    </row>
    <row r="330" spans="1:24" x14ac:dyDescent="0.25">
      <c r="A330" s="20" t="s">
        <v>720</v>
      </c>
      <c r="B330" s="19">
        <v>45639</v>
      </c>
      <c r="C330" s="20" t="s">
        <v>721</v>
      </c>
      <c r="D330" s="20" t="s">
        <v>359</v>
      </c>
      <c r="E330" s="20" t="s">
        <v>49</v>
      </c>
      <c r="F330" s="20" t="s">
        <v>2580</v>
      </c>
      <c r="G330" s="20" t="s">
        <v>2581</v>
      </c>
      <c r="H330" s="20" t="s">
        <v>52</v>
      </c>
      <c r="I330" s="20" t="s">
        <v>27</v>
      </c>
      <c r="J330" s="20" t="s">
        <v>106</v>
      </c>
      <c r="K330" s="20" t="s">
        <v>42</v>
      </c>
      <c r="L330" s="20" t="s">
        <v>2680</v>
      </c>
      <c r="M330" s="20" t="s">
        <v>61</v>
      </c>
      <c r="N330" s="20" t="s">
        <v>84</v>
      </c>
      <c r="O330" s="20">
        <v>78</v>
      </c>
      <c r="P330" s="20">
        <v>25.88</v>
      </c>
      <c r="Q330" s="20">
        <v>12.58</v>
      </c>
      <c r="R330" s="20">
        <v>2018.34</v>
      </c>
      <c r="S330" s="20">
        <v>0.02</v>
      </c>
      <c r="T330" s="20">
        <v>40.369999999999997</v>
      </c>
      <c r="U330" s="20">
        <v>1977.98</v>
      </c>
      <c r="V330" s="20">
        <v>981.09</v>
      </c>
      <c r="W330" s="20">
        <v>996.89</v>
      </c>
      <c r="X330" s="20" t="s">
        <v>45</v>
      </c>
    </row>
    <row r="331" spans="1:24" x14ac:dyDescent="0.25">
      <c r="A331" s="23" t="s">
        <v>722</v>
      </c>
      <c r="B331" s="22">
        <v>45402</v>
      </c>
      <c r="C331" s="23" t="s">
        <v>723</v>
      </c>
      <c r="D331" s="23" t="s">
        <v>156</v>
      </c>
      <c r="E331" s="23" t="s">
        <v>216</v>
      </c>
      <c r="F331" s="23" t="s">
        <v>2596</v>
      </c>
      <c r="G331" s="23" t="s">
        <v>2579</v>
      </c>
      <c r="H331" s="23" t="s">
        <v>134</v>
      </c>
      <c r="I331" s="23" t="s">
        <v>88</v>
      </c>
      <c r="J331" s="23" t="s">
        <v>183</v>
      </c>
      <c r="K331" s="23" t="s">
        <v>69</v>
      </c>
      <c r="L331" s="23" t="s">
        <v>2681</v>
      </c>
      <c r="M331" s="23" t="s">
        <v>153</v>
      </c>
      <c r="N331" s="23" t="s">
        <v>84</v>
      </c>
      <c r="O331" s="23">
        <v>18</v>
      </c>
      <c r="P331" s="23">
        <v>112.04</v>
      </c>
      <c r="Q331" s="23">
        <v>63.66</v>
      </c>
      <c r="R331" s="23">
        <v>2016.74</v>
      </c>
      <c r="S331" s="23">
        <v>0.15</v>
      </c>
      <c r="T331" s="23">
        <v>302.51</v>
      </c>
      <c r="U331" s="23">
        <v>1714.23</v>
      </c>
      <c r="V331" s="23">
        <v>1145.8</v>
      </c>
      <c r="W331" s="23">
        <v>568.42999999999995</v>
      </c>
      <c r="X331" s="23" t="s">
        <v>45</v>
      </c>
    </row>
    <row r="332" spans="1:24" x14ac:dyDescent="0.25">
      <c r="A332" s="20" t="s">
        <v>724</v>
      </c>
      <c r="B332" s="19">
        <v>45356</v>
      </c>
      <c r="C332" s="20" t="s">
        <v>653</v>
      </c>
      <c r="D332" s="20" t="s">
        <v>87</v>
      </c>
      <c r="E332" s="20" t="s">
        <v>250</v>
      </c>
      <c r="F332" s="20" t="s">
        <v>2598</v>
      </c>
      <c r="G332" s="20" t="s">
        <v>2581</v>
      </c>
      <c r="H332" s="20" t="s">
        <v>252</v>
      </c>
      <c r="I332" s="20" t="s">
        <v>27</v>
      </c>
      <c r="J332" s="20" t="s">
        <v>106</v>
      </c>
      <c r="K332" s="20" t="s">
        <v>69</v>
      </c>
      <c r="L332" s="20" t="s">
        <v>2681</v>
      </c>
      <c r="M332" s="20" t="s">
        <v>43</v>
      </c>
      <c r="N332" s="20" t="s">
        <v>2578</v>
      </c>
      <c r="O332" s="20">
        <v>66</v>
      </c>
      <c r="P332" s="20">
        <v>61.38</v>
      </c>
      <c r="Q332" s="20">
        <v>35.33</v>
      </c>
      <c r="R332" s="20">
        <v>4051.15</v>
      </c>
      <c r="S332" s="20">
        <v>0.15</v>
      </c>
      <c r="T332" s="20">
        <v>607.66999999999996</v>
      </c>
      <c r="U332" s="20">
        <v>3443.48</v>
      </c>
      <c r="V332" s="20">
        <v>2331.98</v>
      </c>
      <c r="W332" s="20">
        <v>1111.5</v>
      </c>
      <c r="X332" s="20" t="s">
        <v>129</v>
      </c>
    </row>
    <row r="333" spans="1:24" x14ac:dyDescent="0.25">
      <c r="A333" s="23" t="s">
        <v>725</v>
      </c>
      <c r="B333" s="22">
        <v>45302</v>
      </c>
      <c r="C333" s="23" t="s">
        <v>140</v>
      </c>
      <c r="D333" s="23" t="s">
        <v>87</v>
      </c>
      <c r="E333" s="23" t="s">
        <v>109</v>
      </c>
      <c r="F333" s="23" t="s">
        <v>110</v>
      </c>
      <c r="G333" s="23" t="s">
        <v>2584</v>
      </c>
      <c r="H333" s="23" t="s">
        <v>81</v>
      </c>
      <c r="I333" s="23" t="s">
        <v>58</v>
      </c>
      <c r="J333" s="23" t="s">
        <v>323</v>
      </c>
      <c r="K333" s="23" t="s">
        <v>261</v>
      </c>
      <c r="L333" s="23" t="s">
        <v>2695</v>
      </c>
      <c r="M333" s="23" t="s">
        <v>30</v>
      </c>
      <c r="N333" s="23" t="s">
        <v>44</v>
      </c>
      <c r="O333" s="23">
        <v>74</v>
      </c>
      <c r="P333" s="23">
        <v>130.54</v>
      </c>
      <c r="Q333" s="23">
        <v>78.290000000000006</v>
      </c>
      <c r="R333" s="23">
        <v>9660.0300000000007</v>
      </c>
      <c r="S333" s="23">
        <v>0.05</v>
      </c>
      <c r="T333" s="23">
        <v>483</v>
      </c>
      <c r="U333" s="23">
        <v>9177.0300000000007</v>
      </c>
      <c r="V333" s="23">
        <v>5793.35</v>
      </c>
      <c r="W333" s="23">
        <v>3383.68</v>
      </c>
      <c r="X333" s="23" t="s">
        <v>129</v>
      </c>
    </row>
    <row r="334" spans="1:24" x14ac:dyDescent="0.25">
      <c r="A334" s="20" t="s">
        <v>726</v>
      </c>
      <c r="B334" s="19">
        <v>45515</v>
      </c>
      <c r="C334" s="20" t="s">
        <v>727</v>
      </c>
      <c r="D334" s="20" t="s">
        <v>65</v>
      </c>
      <c r="E334" s="20" t="s">
        <v>187</v>
      </c>
      <c r="F334" s="20" t="s">
        <v>2594</v>
      </c>
      <c r="G334" s="20" t="s">
        <v>2577</v>
      </c>
      <c r="H334" s="20" t="s">
        <v>26</v>
      </c>
      <c r="I334" s="20" t="s">
        <v>88</v>
      </c>
      <c r="J334" s="20" t="s">
        <v>135</v>
      </c>
      <c r="K334" s="20" t="s">
        <v>170</v>
      </c>
      <c r="L334" s="20" t="s">
        <v>2671</v>
      </c>
      <c r="M334" s="20" t="s">
        <v>30</v>
      </c>
      <c r="N334" s="20" t="s">
        <v>44</v>
      </c>
      <c r="O334" s="20">
        <v>68</v>
      </c>
      <c r="P334" s="20">
        <v>51.18</v>
      </c>
      <c r="Q334" s="20">
        <v>28.69</v>
      </c>
      <c r="R334" s="20">
        <v>3480.49</v>
      </c>
      <c r="S334" s="20">
        <v>0.05</v>
      </c>
      <c r="T334" s="20">
        <v>174.02</v>
      </c>
      <c r="U334" s="20">
        <v>3306.47</v>
      </c>
      <c r="V334" s="20">
        <v>1951.18</v>
      </c>
      <c r="W334" s="20">
        <v>1355.29</v>
      </c>
      <c r="X334" s="20" t="s">
        <v>32</v>
      </c>
    </row>
    <row r="335" spans="1:24" x14ac:dyDescent="0.25">
      <c r="A335" s="23" t="s">
        <v>728</v>
      </c>
      <c r="B335" s="22">
        <v>45576</v>
      </c>
      <c r="C335" s="23" t="s">
        <v>255</v>
      </c>
      <c r="D335" s="23" t="s">
        <v>256</v>
      </c>
      <c r="E335" s="23" t="s">
        <v>150</v>
      </c>
      <c r="F335" s="23" t="s">
        <v>2591</v>
      </c>
      <c r="G335" s="23" t="s">
        <v>2587</v>
      </c>
      <c r="H335" s="23" t="s">
        <v>134</v>
      </c>
      <c r="I335" s="23" t="s">
        <v>88</v>
      </c>
      <c r="J335" s="23" t="s">
        <v>135</v>
      </c>
      <c r="K335" s="23" t="s">
        <v>2619</v>
      </c>
      <c r="L335" s="23" t="s">
        <v>2619</v>
      </c>
      <c r="M335" s="23" t="s">
        <v>153</v>
      </c>
      <c r="N335" s="23" t="s">
        <v>75</v>
      </c>
      <c r="O335" s="23">
        <v>58</v>
      </c>
      <c r="P335" s="23">
        <v>91.7</v>
      </c>
      <c r="Q335" s="23">
        <v>54.48</v>
      </c>
      <c r="R335" s="23">
        <v>5318.47</v>
      </c>
      <c r="S335" s="23">
        <v>0</v>
      </c>
      <c r="T335" s="23">
        <v>0</v>
      </c>
      <c r="U335" s="23">
        <v>5318.47</v>
      </c>
      <c r="V335" s="23">
        <v>3160.09</v>
      </c>
      <c r="W335" s="23">
        <v>2158.38</v>
      </c>
      <c r="X335" s="23" t="s">
        <v>45</v>
      </c>
    </row>
    <row r="336" spans="1:24" x14ac:dyDescent="0.25">
      <c r="A336" s="20" t="s">
        <v>729</v>
      </c>
      <c r="B336" s="19">
        <v>45539</v>
      </c>
      <c r="C336" s="20" t="s">
        <v>428</v>
      </c>
      <c r="D336" s="20" t="s">
        <v>57</v>
      </c>
      <c r="E336" s="20" t="s">
        <v>209</v>
      </c>
      <c r="F336" s="20" t="s">
        <v>2595</v>
      </c>
      <c r="G336" s="20" t="s">
        <v>2581</v>
      </c>
      <c r="H336" s="20" t="s">
        <v>116</v>
      </c>
      <c r="I336" s="20" t="s">
        <v>40</v>
      </c>
      <c r="J336" s="20" t="s">
        <v>82</v>
      </c>
      <c r="K336" s="20" t="s">
        <v>42</v>
      </c>
      <c r="L336" s="20" t="s">
        <v>2680</v>
      </c>
      <c r="M336" s="20" t="s">
        <v>30</v>
      </c>
      <c r="N336" s="20" t="s">
        <v>2578</v>
      </c>
      <c r="O336" s="20">
        <v>45</v>
      </c>
      <c r="P336" s="20">
        <v>16.920000000000002</v>
      </c>
      <c r="Q336" s="20">
        <v>9.23</v>
      </c>
      <c r="R336" s="20">
        <v>761.47</v>
      </c>
      <c r="S336" s="20">
        <v>0.02</v>
      </c>
      <c r="T336" s="20">
        <v>15.23</v>
      </c>
      <c r="U336" s="20">
        <v>746.24</v>
      </c>
      <c r="V336" s="20">
        <v>415.22</v>
      </c>
      <c r="W336" s="20">
        <v>331.02</v>
      </c>
      <c r="X336" s="20" t="s">
        <v>45</v>
      </c>
    </row>
    <row r="337" spans="1:24" x14ac:dyDescent="0.25">
      <c r="A337" s="23" t="s">
        <v>730</v>
      </c>
      <c r="B337" s="22">
        <v>45325</v>
      </c>
      <c r="C337" s="23" t="s">
        <v>237</v>
      </c>
      <c r="D337" s="23" t="s">
        <v>105</v>
      </c>
      <c r="E337" s="23" t="s">
        <v>23</v>
      </c>
      <c r="F337" s="23" t="s">
        <v>2576</v>
      </c>
      <c r="G337" s="23" t="s">
        <v>2577</v>
      </c>
      <c r="H337" s="23" t="s">
        <v>26</v>
      </c>
      <c r="I337" s="23" t="s">
        <v>40</v>
      </c>
      <c r="J337" s="23" t="s">
        <v>82</v>
      </c>
      <c r="K337" s="23" t="s">
        <v>253</v>
      </c>
      <c r="L337" s="23" t="s">
        <v>2694</v>
      </c>
      <c r="M337" s="23" t="s">
        <v>43</v>
      </c>
      <c r="N337" s="23" t="s">
        <v>84</v>
      </c>
      <c r="O337" s="23">
        <v>14</v>
      </c>
      <c r="P337" s="23">
        <v>69.97</v>
      </c>
      <c r="Q337" s="23">
        <v>43.32</v>
      </c>
      <c r="R337" s="23">
        <v>979.59</v>
      </c>
      <c r="S337" s="23">
        <v>0.2</v>
      </c>
      <c r="T337" s="23">
        <v>195.92</v>
      </c>
      <c r="U337" s="23">
        <v>783.68</v>
      </c>
      <c r="V337" s="23">
        <v>606.44000000000005</v>
      </c>
      <c r="W337" s="23">
        <v>177.24</v>
      </c>
      <c r="X337" s="23" t="s">
        <v>45</v>
      </c>
    </row>
    <row r="338" spans="1:24" x14ac:dyDescent="0.25">
      <c r="A338" s="20" t="s">
        <v>731</v>
      </c>
      <c r="B338" s="19">
        <v>45589</v>
      </c>
      <c r="C338" s="20" t="s">
        <v>732</v>
      </c>
      <c r="D338" s="20" t="s">
        <v>35</v>
      </c>
      <c r="E338" s="20" t="s">
        <v>78</v>
      </c>
      <c r="F338" s="20" t="s">
        <v>2583</v>
      </c>
      <c r="G338" s="20" t="s">
        <v>2584</v>
      </c>
      <c r="H338" s="20" t="s">
        <v>81</v>
      </c>
      <c r="I338" s="20" t="s">
        <v>53</v>
      </c>
      <c r="J338" s="20" t="s">
        <v>232</v>
      </c>
      <c r="K338" s="20" t="s">
        <v>29</v>
      </c>
      <c r="L338" s="20" t="s">
        <v>2679</v>
      </c>
      <c r="M338" s="20" t="s">
        <v>153</v>
      </c>
      <c r="N338" s="20" t="s">
        <v>75</v>
      </c>
      <c r="O338" s="20">
        <v>52</v>
      </c>
      <c r="P338" s="20">
        <v>141.61000000000001</v>
      </c>
      <c r="Q338" s="20">
        <v>86.37</v>
      </c>
      <c r="R338" s="20">
        <v>7363.57</v>
      </c>
      <c r="S338" s="20">
        <v>0.05</v>
      </c>
      <c r="T338" s="20">
        <v>368.18</v>
      </c>
      <c r="U338" s="20">
        <v>6995.39</v>
      </c>
      <c r="V338" s="20">
        <v>4491.07</v>
      </c>
      <c r="W338" s="20">
        <v>2504.3200000000002</v>
      </c>
      <c r="X338" s="20" t="s">
        <v>129</v>
      </c>
    </row>
    <row r="339" spans="1:24" x14ac:dyDescent="0.25">
      <c r="A339" s="23" t="s">
        <v>733</v>
      </c>
      <c r="B339" s="22">
        <v>45575</v>
      </c>
      <c r="C339" s="23" t="s">
        <v>477</v>
      </c>
      <c r="D339" s="23" t="s">
        <v>221</v>
      </c>
      <c r="E339" s="23" t="s">
        <v>176</v>
      </c>
      <c r="F339" s="23" t="s">
        <v>2593</v>
      </c>
      <c r="G339" s="23" t="s">
        <v>2587</v>
      </c>
      <c r="H339" s="23" t="s">
        <v>39</v>
      </c>
      <c r="I339" s="23" t="s">
        <v>88</v>
      </c>
      <c r="J339" s="23" t="s">
        <v>2112</v>
      </c>
      <c r="K339" s="23" t="s">
        <v>253</v>
      </c>
      <c r="L339" s="23" t="s">
        <v>2694</v>
      </c>
      <c r="M339" s="23" t="s">
        <v>61</v>
      </c>
      <c r="N339" s="23" t="s">
        <v>2578</v>
      </c>
      <c r="O339" s="23">
        <v>60</v>
      </c>
      <c r="P339" s="23">
        <v>110.1</v>
      </c>
      <c r="Q339" s="23">
        <v>59.34</v>
      </c>
      <c r="R339" s="23">
        <v>6606.24</v>
      </c>
      <c r="S339" s="23">
        <v>0.05</v>
      </c>
      <c r="T339" s="23">
        <v>330.31</v>
      </c>
      <c r="U339" s="23">
        <v>6275.92</v>
      </c>
      <c r="V339" s="23">
        <v>3560.55</v>
      </c>
      <c r="W339" s="23">
        <v>2715.38</v>
      </c>
      <c r="X339" s="23" t="s">
        <v>45</v>
      </c>
    </row>
    <row r="340" spans="1:24" x14ac:dyDescent="0.25">
      <c r="A340" s="20" t="s">
        <v>734</v>
      </c>
      <c r="B340" s="19">
        <v>45427</v>
      </c>
      <c r="C340" s="20" t="s">
        <v>735</v>
      </c>
      <c r="D340" s="20" t="s">
        <v>22</v>
      </c>
      <c r="E340" s="20" t="s">
        <v>99</v>
      </c>
      <c r="F340" s="20" t="s">
        <v>100</v>
      </c>
      <c r="G340" s="20" t="s">
        <v>2587</v>
      </c>
      <c r="H340" s="20" t="s">
        <v>102</v>
      </c>
      <c r="I340" s="20" t="s">
        <v>58</v>
      </c>
      <c r="J340" s="20" t="s">
        <v>73</v>
      </c>
      <c r="K340" s="20" t="s">
        <v>118</v>
      </c>
      <c r="L340" s="20" t="s">
        <v>2686</v>
      </c>
      <c r="M340" s="20" t="s">
        <v>61</v>
      </c>
      <c r="N340" s="20" t="s">
        <v>2578</v>
      </c>
      <c r="O340" s="20">
        <v>1</v>
      </c>
      <c r="P340" s="20">
        <v>66.41</v>
      </c>
      <c r="Q340" s="20">
        <v>42.27</v>
      </c>
      <c r="R340" s="20">
        <v>66.41</v>
      </c>
      <c r="S340" s="20">
        <v>0.15</v>
      </c>
      <c r="T340" s="20">
        <v>9.9600000000000009</v>
      </c>
      <c r="U340" s="20">
        <v>56.45</v>
      </c>
      <c r="V340" s="20">
        <v>42.27</v>
      </c>
      <c r="W340" s="20">
        <v>14.17</v>
      </c>
      <c r="X340" s="20" t="s">
        <v>45</v>
      </c>
    </row>
    <row r="341" spans="1:24" x14ac:dyDescent="0.25">
      <c r="A341" s="23" t="s">
        <v>736</v>
      </c>
      <c r="B341" s="22">
        <v>45649</v>
      </c>
      <c r="C341" s="23" t="s">
        <v>737</v>
      </c>
      <c r="D341" s="23" t="s">
        <v>22</v>
      </c>
      <c r="E341" s="23" t="s">
        <v>250</v>
      </c>
      <c r="F341" s="23" t="s">
        <v>2598</v>
      </c>
      <c r="G341" s="23" t="s">
        <v>2581</v>
      </c>
      <c r="H341" s="23" t="s">
        <v>252</v>
      </c>
      <c r="I341" s="23" t="s">
        <v>58</v>
      </c>
      <c r="J341" s="23" t="s">
        <v>59</v>
      </c>
      <c r="K341" s="23" t="s">
        <v>170</v>
      </c>
      <c r="L341" s="23" t="s">
        <v>2671</v>
      </c>
      <c r="M341" s="23" t="s">
        <v>43</v>
      </c>
      <c r="N341" s="23" t="s">
        <v>75</v>
      </c>
      <c r="O341" s="23">
        <v>11</v>
      </c>
      <c r="P341" s="23">
        <v>64.099999999999994</v>
      </c>
      <c r="Q341" s="23">
        <v>39.07</v>
      </c>
      <c r="R341" s="23">
        <v>705.07</v>
      </c>
      <c r="S341" s="23">
        <v>0.2</v>
      </c>
      <c r="T341" s="23">
        <v>141.01</v>
      </c>
      <c r="U341" s="23">
        <v>564.04999999999995</v>
      </c>
      <c r="V341" s="23">
        <v>429.76</v>
      </c>
      <c r="W341" s="23">
        <v>134.29</v>
      </c>
      <c r="X341" s="23" t="s">
        <v>45</v>
      </c>
    </row>
    <row r="342" spans="1:24" x14ac:dyDescent="0.25">
      <c r="A342" s="20" t="s">
        <v>738</v>
      </c>
      <c r="B342" s="19">
        <v>45325</v>
      </c>
      <c r="C342" s="20" t="s">
        <v>739</v>
      </c>
      <c r="D342" s="20" t="s">
        <v>48</v>
      </c>
      <c r="E342" s="20" t="s">
        <v>66</v>
      </c>
      <c r="F342" s="20" t="s">
        <v>2582</v>
      </c>
      <c r="G342" s="20" t="s">
        <v>2579</v>
      </c>
      <c r="H342" s="20" t="s">
        <v>68</v>
      </c>
      <c r="I342" s="20" t="s">
        <v>27</v>
      </c>
      <c r="J342" s="20" t="s">
        <v>28</v>
      </c>
      <c r="K342" s="20" t="s">
        <v>248</v>
      </c>
      <c r="L342" s="20" t="s">
        <v>2693</v>
      </c>
      <c r="M342" s="20" t="s">
        <v>153</v>
      </c>
      <c r="N342" s="20" t="s">
        <v>70</v>
      </c>
      <c r="O342" s="20">
        <v>35</v>
      </c>
      <c r="P342" s="20">
        <v>151.44</v>
      </c>
      <c r="Q342" s="20">
        <v>110.5</v>
      </c>
      <c r="R342" s="20">
        <v>5300.51</v>
      </c>
      <c r="S342" s="20">
        <v>0.02</v>
      </c>
      <c r="T342" s="20">
        <v>106.01</v>
      </c>
      <c r="U342" s="20">
        <v>5194.5</v>
      </c>
      <c r="V342" s="20">
        <v>3867.63</v>
      </c>
      <c r="W342" s="20">
        <v>1326.87</v>
      </c>
      <c r="X342" s="20" t="s">
        <v>32</v>
      </c>
    </row>
    <row r="343" spans="1:24" x14ac:dyDescent="0.25">
      <c r="A343" s="23" t="s">
        <v>740</v>
      </c>
      <c r="B343" s="22">
        <v>45630</v>
      </c>
      <c r="C343" s="23" t="s">
        <v>674</v>
      </c>
      <c r="D343" s="23" t="s">
        <v>264</v>
      </c>
      <c r="E343" s="23" t="s">
        <v>165</v>
      </c>
      <c r="F343" s="23" t="s">
        <v>2592</v>
      </c>
      <c r="G343" s="23" t="s">
        <v>2586</v>
      </c>
      <c r="H343" s="23" t="s">
        <v>167</v>
      </c>
      <c r="I343" s="23" t="s">
        <v>40</v>
      </c>
      <c r="J343" s="23" t="s">
        <v>289</v>
      </c>
      <c r="K343" s="23" t="s">
        <v>90</v>
      </c>
      <c r="L343" s="23" t="s">
        <v>2684</v>
      </c>
      <c r="M343" s="23" t="s">
        <v>43</v>
      </c>
      <c r="N343" s="23" t="s">
        <v>2578</v>
      </c>
      <c r="O343" s="23">
        <v>37</v>
      </c>
      <c r="P343" s="23">
        <v>43.81</v>
      </c>
      <c r="Q343" s="23">
        <v>23.75</v>
      </c>
      <c r="R343" s="23">
        <v>1621.01</v>
      </c>
      <c r="S343" s="23">
        <v>0.05</v>
      </c>
      <c r="T343" s="23">
        <v>81.05</v>
      </c>
      <c r="U343" s="23">
        <v>1539.96</v>
      </c>
      <c r="V343" s="23">
        <v>878.68</v>
      </c>
      <c r="W343" s="23">
        <v>661.27</v>
      </c>
      <c r="X343" s="23" t="s">
        <v>32</v>
      </c>
    </row>
    <row r="344" spans="1:24" x14ac:dyDescent="0.25">
      <c r="A344" s="20" t="s">
        <v>741</v>
      </c>
      <c r="B344" s="19">
        <v>45499</v>
      </c>
      <c r="C344" s="20" t="s">
        <v>408</v>
      </c>
      <c r="D344" s="20" t="s">
        <v>65</v>
      </c>
      <c r="E344" s="20" t="s">
        <v>150</v>
      </c>
      <c r="F344" s="20" t="s">
        <v>2591</v>
      </c>
      <c r="G344" s="20" t="s">
        <v>2587</v>
      </c>
      <c r="H344" s="20" t="s">
        <v>134</v>
      </c>
      <c r="I344" s="20" t="s">
        <v>40</v>
      </c>
      <c r="J344" s="20" t="s">
        <v>289</v>
      </c>
      <c r="K344" s="20" t="s">
        <v>218</v>
      </c>
      <c r="L344" s="20" t="s">
        <v>2692</v>
      </c>
      <c r="M344" s="20" t="s">
        <v>61</v>
      </c>
      <c r="N344" s="20" t="s">
        <v>2578</v>
      </c>
      <c r="O344" s="20">
        <v>-2</v>
      </c>
      <c r="P344" s="20">
        <v>90.27</v>
      </c>
      <c r="Q344" s="20">
        <v>50.77</v>
      </c>
      <c r="R344" s="20">
        <v>6408.89</v>
      </c>
      <c r="S344" s="20">
        <v>0</v>
      </c>
      <c r="T344" s="20">
        <v>0</v>
      </c>
      <c r="U344" s="20">
        <v>6408.89</v>
      </c>
      <c r="V344" s="20">
        <v>3604.9</v>
      </c>
      <c r="W344" s="20">
        <v>2803.99</v>
      </c>
      <c r="X344" s="20" t="s">
        <v>32</v>
      </c>
    </row>
    <row r="345" spans="1:24" x14ac:dyDescent="0.25">
      <c r="A345" s="23" t="s">
        <v>742</v>
      </c>
      <c r="B345" s="22">
        <v>45365</v>
      </c>
      <c r="C345" s="23" t="s">
        <v>239</v>
      </c>
      <c r="D345" s="23" t="s">
        <v>65</v>
      </c>
      <c r="E345" s="23" t="s">
        <v>141</v>
      </c>
      <c r="F345" s="23" t="s">
        <v>2590</v>
      </c>
      <c r="G345" s="23" t="s">
        <v>2577</v>
      </c>
      <c r="H345" s="23" t="s">
        <v>26</v>
      </c>
      <c r="I345" s="23" t="s">
        <v>53</v>
      </c>
      <c r="J345" s="23" t="s">
        <v>54</v>
      </c>
      <c r="K345" s="23" t="s">
        <v>152</v>
      </c>
      <c r="L345" s="23" t="s">
        <v>2688</v>
      </c>
      <c r="M345" s="23" t="s">
        <v>30</v>
      </c>
      <c r="N345" s="23" t="s">
        <v>84</v>
      </c>
      <c r="O345" s="23">
        <v>19</v>
      </c>
      <c r="P345" s="23">
        <v>98.12</v>
      </c>
      <c r="Q345" s="23">
        <v>57.33</v>
      </c>
      <c r="R345" s="23">
        <v>1864.34</v>
      </c>
      <c r="S345" s="23">
        <v>0.02</v>
      </c>
      <c r="T345" s="23">
        <v>37.29</v>
      </c>
      <c r="U345" s="23">
        <v>1827.05</v>
      </c>
      <c r="V345" s="23">
        <v>1089.23</v>
      </c>
      <c r="W345" s="23">
        <v>737.82</v>
      </c>
      <c r="X345" s="23" t="s">
        <v>45</v>
      </c>
    </row>
    <row r="346" spans="1:24" x14ac:dyDescent="0.25">
      <c r="A346" s="20" t="s">
        <v>743</v>
      </c>
      <c r="B346" s="19">
        <v>45332</v>
      </c>
      <c r="C346" s="20" t="s">
        <v>744</v>
      </c>
      <c r="D346" s="20" t="s">
        <v>65</v>
      </c>
      <c r="E346" s="20" t="s">
        <v>187</v>
      </c>
      <c r="F346" s="20" t="s">
        <v>2594</v>
      </c>
      <c r="G346" s="20" t="s">
        <v>2577</v>
      </c>
      <c r="H346" s="20" t="s">
        <v>26</v>
      </c>
      <c r="I346" s="20" t="s">
        <v>27</v>
      </c>
      <c r="J346" s="20" t="s">
        <v>211</v>
      </c>
      <c r="K346" s="20" t="s">
        <v>253</v>
      </c>
      <c r="L346" s="20" t="s">
        <v>2694</v>
      </c>
      <c r="M346" s="20" t="s">
        <v>153</v>
      </c>
      <c r="N346" s="20" t="s">
        <v>84</v>
      </c>
      <c r="O346" s="20">
        <v>56</v>
      </c>
      <c r="P346" s="20">
        <v>50.73</v>
      </c>
      <c r="Q346" s="20">
        <v>29.94</v>
      </c>
      <c r="R346" s="20">
        <v>2840.88</v>
      </c>
      <c r="S346" s="20">
        <v>0.15</v>
      </c>
      <c r="T346" s="20">
        <v>426.13</v>
      </c>
      <c r="U346" s="20">
        <v>2414.75</v>
      </c>
      <c r="V346" s="20">
        <v>1676.92</v>
      </c>
      <c r="W346" s="20">
        <v>737.83</v>
      </c>
      <c r="X346" s="20" t="s">
        <v>45</v>
      </c>
    </row>
    <row r="347" spans="1:24" x14ac:dyDescent="0.25">
      <c r="A347" s="23" t="s">
        <v>745</v>
      </c>
      <c r="B347" s="22">
        <v>45450</v>
      </c>
      <c r="C347" s="23" t="s">
        <v>243</v>
      </c>
      <c r="D347" s="23" t="s">
        <v>35</v>
      </c>
      <c r="E347" s="23" t="s">
        <v>141</v>
      </c>
      <c r="F347" s="23" t="s">
        <v>2590</v>
      </c>
      <c r="G347" s="23" t="s">
        <v>2577</v>
      </c>
      <c r="H347" s="23" t="s">
        <v>26</v>
      </c>
      <c r="I347" s="23" t="s">
        <v>53</v>
      </c>
      <c r="J347" s="23" t="s">
        <v>143</v>
      </c>
      <c r="K347" s="23" t="s">
        <v>118</v>
      </c>
      <c r="L347" s="23" t="s">
        <v>2686</v>
      </c>
      <c r="M347" s="23" t="s">
        <v>61</v>
      </c>
      <c r="N347" s="23" t="s">
        <v>70</v>
      </c>
      <c r="O347" s="23">
        <v>56</v>
      </c>
      <c r="P347" s="23">
        <v>90.54</v>
      </c>
      <c r="Q347" s="23">
        <v>56.74</v>
      </c>
      <c r="R347" s="23">
        <v>5070.03</v>
      </c>
      <c r="S347" s="23">
        <v>0.2</v>
      </c>
      <c r="T347" s="23">
        <v>1014.01</v>
      </c>
      <c r="U347" s="23">
        <v>4056.03</v>
      </c>
      <c r="V347" s="23">
        <v>3177.46</v>
      </c>
      <c r="W347" s="23">
        <v>878.56</v>
      </c>
      <c r="X347" s="23" t="s">
        <v>45</v>
      </c>
    </row>
    <row r="348" spans="1:24" x14ac:dyDescent="0.25">
      <c r="A348" s="20" t="s">
        <v>746</v>
      </c>
      <c r="B348" s="19">
        <v>45559</v>
      </c>
      <c r="C348" s="20" t="s">
        <v>365</v>
      </c>
      <c r="D348" s="20" t="s">
        <v>22</v>
      </c>
      <c r="E348" s="20" t="s">
        <v>165</v>
      </c>
      <c r="F348" s="20" t="s">
        <v>2592</v>
      </c>
      <c r="G348" s="20" t="s">
        <v>2586</v>
      </c>
      <c r="H348" s="20" t="s">
        <v>167</v>
      </c>
      <c r="I348" s="20" t="s">
        <v>27</v>
      </c>
      <c r="J348" s="20" t="s">
        <v>211</v>
      </c>
      <c r="K348" s="20" t="s">
        <v>42</v>
      </c>
      <c r="L348" s="20" t="s">
        <v>2680</v>
      </c>
      <c r="M348" s="20" t="s">
        <v>61</v>
      </c>
      <c r="N348" s="20" t="s">
        <v>2578</v>
      </c>
      <c r="O348" s="20">
        <v>54</v>
      </c>
      <c r="P348" s="20">
        <v>42.22</v>
      </c>
      <c r="Q348" s="20">
        <v>23.21</v>
      </c>
      <c r="R348" s="20">
        <v>2279.83</v>
      </c>
      <c r="S348" s="20">
        <v>0.15</v>
      </c>
      <c r="T348" s="20">
        <v>341.97</v>
      </c>
      <c r="U348" s="20">
        <v>1937.85</v>
      </c>
      <c r="V348" s="20">
        <v>1253.19</v>
      </c>
      <c r="W348" s="20">
        <v>684.66</v>
      </c>
      <c r="X348" s="20" t="s">
        <v>45</v>
      </c>
    </row>
    <row r="349" spans="1:24" x14ac:dyDescent="0.25">
      <c r="A349" s="23" t="s">
        <v>747</v>
      </c>
      <c r="B349" s="22">
        <v>45356</v>
      </c>
      <c r="C349" s="23" t="s">
        <v>287</v>
      </c>
      <c r="D349" s="23" t="s">
        <v>65</v>
      </c>
      <c r="E349" s="23" t="s">
        <v>209</v>
      </c>
      <c r="F349" s="23" t="s">
        <v>2595</v>
      </c>
      <c r="G349" s="23" t="s">
        <v>2581</v>
      </c>
      <c r="H349" s="23" t="s">
        <v>116</v>
      </c>
      <c r="I349" s="23" t="s">
        <v>40</v>
      </c>
      <c r="J349" s="23" t="s">
        <v>41</v>
      </c>
      <c r="K349" s="23" t="s">
        <v>118</v>
      </c>
      <c r="L349" s="23" t="s">
        <v>2686</v>
      </c>
      <c r="M349" s="23" t="s">
        <v>43</v>
      </c>
      <c r="N349" s="23" t="s">
        <v>2578</v>
      </c>
      <c r="O349" s="23">
        <v>9</v>
      </c>
      <c r="P349" s="23">
        <v>0</v>
      </c>
      <c r="Q349" s="23">
        <v>10.01</v>
      </c>
      <c r="R349" s="23">
        <v>172.57</v>
      </c>
      <c r="S349" s="23">
        <v>0</v>
      </c>
      <c r="T349" s="23">
        <v>0</v>
      </c>
      <c r="U349" s="23">
        <v>172.57</v>
      </c>
      <c r="V349" s="23">
        <v>90.1</v>
      </c>
      <c r="W349" s="23">
        <v>82.47</v>
      </c>
      <c r="X349" s="23" t="s">
        <v>45</v>
      </c>
    </row>
    <row r="350" spans="1:24" x14ac:dyDescent="0.25">
      <c r="A350" s="20" t="s">
        <v>748</v>
      </c>
      <c r="B350" s="19">
        <v>45467</v>
      </c>
      <c r="C350" s="20" t="s">
        <v>727</v>
      </c>
      <c r="D350" s="20" t="s">
        <v>65</v>
      </c>
      <c r="E350" s="20" t="s">
        <v>216</v>
      </c>
      <c r="F350" s="20" t="s">
        <v>2596</v>
      </c>
      <c r="G350" s="20" t="s">
        <v>2579</v>
      </c>
      <c r="H350" s="20" t="s">
        <v>134</v>
      </c>
      <c r="I350" s="20" t="s">
        <v>53</v>
      </c>
      <c r="J350" s="20" t="s">
        <v>232</v>
      </c>
      <c r="K350" s="20" t="s">
        <v>261</v>
      </c>
      <c r="L350" s="20" t="s">
        <v>2695</v>
      </c>
      <c r="M350" s="20" t="s">
        <v>61</v>
      </c>
      <c r="N350" s="20" t="s">
        <v>70</v>
      </c>
      <c r="O350" s="20">
        <v>72</v>
      </c>
      <c r="P350" s="20">
        <v>118.35</v>
      </c>
      <c r="Q350" s="20">
        <v>63.09</v>
      </c>
      <c r="R350" s="20">
        <v>8521.5300000000007</v>
      </c>
      <c r="S350" s="20">
        <v>0.2</v>
      </c>
      <c r="T350" s="20">
        <v>1704.31</v>
      </c>
      <c r="U350" s="20">
        <v>6817.22</v>
      </c>
      <c r="V350" s="20">
        <v>4542.63</v>
      </c>
      <c r="W350" s="20">
        <v>2274.59</v>
      </c>
      <c r="X350" s="20" t="s">
        <v>129</v>
      </c>
    </row>
    <row r="351" spans="1:24" x14ac:dyDescent="0.25">
      <c r="A351" s="23" t="s">
        <v>749</v>
      </c>
      <c r="B351" s="22">
        <v>45344</v>
      </c>
      <c r="C351" s="23" t="s">
        <v>750</v>
      </c>
      <c r="D351" s="23" t="s">
        <v>121</v>
      </c>
      <c r="E351" s="23" t="s">
        <v>49</v>
      </c>
      <c r="F351" s="23" t="s">
        <v>2580</v>
      </c>
      <c r="G351" s="23" t="s">
        <v>2581</v>
      </c>
      <c r="H351" s="23" t="s">
        <v>52</v>
      </c>
      <c r="I351" s="23" t="s">
        <v>58</v>
      </c>
      <c r="J351" s="23" t="s">
        <v>73</v>
      </c>
      <c r="K351" s="23" t="s">
        <v>261</v>
      </c>
      <c r="L351" s="23" t="s">
        <v>2695</v>
      </c>
      <c r="M351" s="23" t="s">
        <v>43</v>
      </c>
      <c r="N351" s="23" t="s">
        <v>44</v>
      </c>
      <c r="O351" s="23">
        <v>69</v>
      </c>
      <c r="P351" s="23">
        <v>25.64</v>
      </c>
      <c r="Q351" s="23">
        <v>13.82</v>
      </c>
      <c r="R351" s="23">
        <v>1768.98</v>
      </c>
      <c r="S351" s="23">
        <v>0.15</v>
      </c>
      <c r="T351" s="23">
        <v>265.35000000000002</v>
      </c>
      <c r="U351" s="23">
        <v>1503.63</v>
      </c>
      <c r="V351" s="23">
        <v>953.71</v>
      </c>
      <c r="W351" s="23">
        <v>549.92999999999995</v>
      </c>
      <c r="X351" s="23" t="s">
        <v>45</v>
      </c>
    </row>
    <row r="352" spans="1:24" x14ac:dyDescent="0.25">
      <c r="A352" s="20" t="s">
        <v>751</v>
      </c>
      <c r="B352" s="19">
        <v>45584</v>
      </c>
      <c r="C352" s="20" t="s">
        <v>511</v>
      </c>
      <c r="D352" s="20" t="s">
        <v>163</v>
      </c>
      <c r="E352" s="20" t="s">
        <v>109</v>
      </c>
      <c r="F352" s="20" t="s">
        <v>110</v>
      </c>
      <c r="G352" s="20" t="s">
        <v>2584</v>
      </c>
      <c r="H352" s="20" t="s">
        <v>81</v>
      </c>
      <c r="I352" s="20" t="s">
        <v>88</v>
      </c>
      <c r="J352" s="20" t="s">
        <v>173</v>
      </c>
      <c r="K352" s="20" t="s">
        <v>29</v>
      </c>
      <c r="L352" s="20" t="s">
        <v>2679</v>
      </c>
      <c r="M352" s="20" t="s">
        <v>43</v>
      </c>
      <c r="N352" s="20" t="s">
        <v>84</v>
      </c>
      <c r="O352" s="20">
        <v>66</v>
      </c>
      <c r="P352" s="20">
        <v>117</v>
      </c>
      <c r="Q352" s="20">
        <v>68.28</v>
      </c>
      <c r="R352" s="20">
        <v>7722.32</v>
      </c>
      <c r="S352" s="20">
        <v>0.1</v>
      </c>
      <c r="T352" s="20">
        <v>772.23</v>
      </c>
      <c r="U352" s="20">
        <v>6950.09</v>
      </c>
      <c r="V352" s="20">
        <v>4506.25</v>
      </c>
      <c r="W352" s="20">
        <v>2443.85</v>
      </c>
      <c r="X352" s="20" t="s">
        <v>32</v>
      </c>
    </row>
    <row r="353" spans="1:24" x14ac:dyDescent="0.25">
      <c r="A353" s="23" t="s">
        <v>752</v>
      </c>
      <c r="B353" s="22">
        <v>45338</v>
      </c>
      <c r="C353" s="23" t="s">
        <v>344</v>
      </c>
      <c r="D353" s="23" t="s">
        <v>87</v>
      </c>
      <c r="E353" s="23" t="s">
        <v>150</v>
      </c>
      <c r="F353" s="23" t="s">
        <v>2591</v>
      </c>
      <c r="G353" s="23" t="s">
        <v>2587</v>
      </c>
      <c r="H353" s="23" t="s">
        <v>134</v>
      </c>
      <c r="I353" s="23" t="s">
        <v>58</v>
      </c>
      <c r="J353" s="23" t="s">
        <v>345</v>
      </c>
      <c r="K353" s="23" t="s">
        <v>42</v>
      </c>
      <c r="L353" s="23" t="s">
        <v>2680</v>
      </c>
      <c r="M353" s="23" t="s">
        <v>153</v>
      </c>
      <c r="N353" s="23" t="s">
        <v>84</v>
      </c>
      <c r="O353" s="23">
        <v>19</v>
      </c>
      <c r="P353" s="23">
        <v>88.72</v>
      </c>
      <c r="Q353" s="23">
        <v>47.99</v>
      </c>
      <c r="R353" s="23">
        <v>1685.67</v>
      </c>
      <c r="S353" s="23">
        <v>0.2</v>
      </c>
      <c r="T353" s="23">
        <v>337.13</v>
      </c>
      <c r="U353" s="23">
        <v>1348.53</v>
      </c>
      <c r="V353" s="23">
        <v>911.77</v>
      </c>
      <c r="W353" s="23">
        <v>436.76</v>
      </c>
      <c r="X353" s="23" t="s">
        <v>45</v>
      </c>
    </row>
    <row r="354" spans="1:24" x14ac:dyDescent="0.25">
      <c r="A354" s="20" t="s">
        <v>469</v>
      </c>
      <c r="B354" s="19">
        <v>45487</v>
      </c>
      <c r="C354" s="20" t="s">
        <v>104</v>
      </c>
      <c r="D354" s="20" t="s">
        <v>105</v>
      </c>
      <c r="E354" s="20" t="s">
        <v>36</v>
      </c>
      <c r="F354" s="20" t="s">
        <v>37</v>
      </c>
      <c r="G354" s="20" t="s">
        <v>2579</v>
      </c>
      <c r="H354" s="20" t="s">
        <v>39</v>
      </c>
      <c r="I354" s="20" t="s">
        <v>27</v>
      </c>
      <c r="J354" s="20" t="s">
        <v>189</v>
      </c>
      <c r="K354" s="20" t="s">
        <v>118</v>
      </c>
      <c r="L354" s="20" t="s">
        <v>2686</v>
      </c>
      <c r="M354" s="20" t="s">
        <v>61</v>
      </c>
      <c r="N354" s="20" t="s">
        <v>75</v>
      </c>
      <c r="O354" s="20">
        <v>19</v>
      </c>
      <c r="P354" s="20">
        <v>160.6</v>
      </c>
      <c r="Q354" s="20">
        <v>97.39</v>
      </c>
      <c r="R354" s="20">
        <v>3051.48</v>
      </c>
      <c r="S354" s="20">
        <v>0</v>
      </c>
      <c r="T354" s="20">
        <v>0</v>
      </c>
      <c r="U354" s="20">
        <v>3051.48</v>
      </c>
      <c r="V354" s="20">
        <v>1850.35</v>
      </c>
      <c r="W354" s="20">
        <v>1201.1300000000001</v>
      </c>
      <c r="X354" s="20" t="s">
        <v>45</v>
      </c>
    </row>
    <row r="355" spans="1:24" x14ac:dyDescent="0.25">
      <c r="A355" s="23" t="s">
        <v>753</v>
      </c>
      <c r="B355" s="22">
        <v>45571</v>
      </c>
      <c r="C355" s="23" t="s">
        <v>464</v>
      </c>
      <c r="D355" s="23" t="s">
        <v>754</v>
      </c>
      <c r="E355" s="23" t="s">
        <v>250</v>
      </c>
      <c r="F355" s="23" t="s">
        <v>2598</v>
      </c>
      <c r="G355" s="23" t="s">
        <v>2581</v>
      </c>
      <c r="H355" s="23" t="s">
        <v>252</v>
      </c>
      <c r="I355" s="23" t="s">
        <v>88</v>
      </c>
      <c r="J355" s="23" t="s">
        <v>135</v>
      </c>
      <c r="K355" s="23" t="s">
        <v>218</v>
      </c>
      <c r="L355" s="23" t="s">
        <v>2692</v>
      </c>
      <c r="M355" s="23" t="s">
        <v>153</v>
      </c>
      <c r="N355" s="23" t="s">
        <v>70</v>
      </c>
      <c r="O355" s="23">
        <v>38</v>
      </c>
      <c r="P355" s="23">
        <v>65.67</v>
      </c>
      <c r="Q355" s="23">
        <v>35.36</v>
      </c>
      <c r="R355" s="23">
        <v>2495.63</v>
      </c>
      <c r="S355" s="23">
        <v>0.2</v>
      </c>
      <c r="T355" s="23">
        <v>499.13</v>
      </c>
      <c r="U355" s="23">
        <v>1996.5</v>
      </c>
      <c r="V355" s="23">
        <v>1343.66</v>
      </c>
      <c r="W355" s="23">
        <v>652.84</v>
      </c>
      <c r="X355" s="23" t="s">
        <v>32</v>
      </c>
    </row>
    <row r="356" spans="1:24" x14ac:dyDescent="0.25">
      <c r="A356" s="20" t="s">
        <v>755</v>
      </c>
      <c r="B356" s="19">
        <v>45419</v>
      </c>
      <c r="C356" s="20" t="s">
        <v>491</v>
      </c>
      <c r="D356" s="20" t="s">
        <v>57</v>
      </c>
      <c r="E356" s="20" t="s">
        <v>99</v>
      </c>
      <c r="F356" s="20" t="s">
        <v>100</v>
      </c>
      <c r="G356" s="20" t="s">
        <v>2587</v>
      </c>
      <c r="H356" s="20" t="s">
        <v>102</v>
      </c>
      <c r="I356" s="20" t="s">
        <v>88</v>
      </c>
      <c r="J356" s="20" t="s">
        <v>2112</v>
      </c>
      <c r="K356" s="20" t="s">
        <v>170</v>
      </c>
      <c r="L356" s="20" t="s">
        <v>2671</v>
      </c>
      <c r="M356" s="20" t="s">
        <v>153</v>
      </c>
      <c r="N356" s="20" t="s">
        <v>44</v>
      </c>
      <c r="O356" s="20">
        <v>63</v>
      </c>
      <c r="P356" s="20">
        <v>73.14</v>
      </c>
      <c r="Q356" s="20">
        <v>41.55</v>
      </c>
      <c r="R356" s="20">
        <v>4608.01</v>
      </c>
      <c r="S356" s="20">
        <v>0.15</v>
      </c>
      <c r="T356" s="20">
        <v>691.2</v>
      </c>
      <c r="U356" s="20">
        <v>3916.81</v>
      </c>
      <c r="V356" s="20">
        <v>2617.62</v>
      </c>
      <c r="W356" s="20">
        <v>1299.19</v>
      </c>
      <c r="X356" s="20" t="s">
        <v>45</v>
      </c>
    </row>
    <row r="357" spans="1:24" x14ac:dyDescent="0.25">
      <c r="A357" s="23" t="s">
        <v>756</v>
      </c>
      <c r="B357" s="22">
        <v>45629</v>
      </c>
      <c r="C357" s="23" t="s">
        <v>757</v>
      </c>
      <c r="D357" s="23" t="s">
        <v>163</v>
      </c>
      <c r="E357" s="23" t="s">
        <v>78</v>
      </c>
      <c r="F357" s="23" t="s">
        <v>2583</v>
      </c>
      <c r="G357" s="23" t="s">
        <v>2584</v>
      </c>
      <c r="H357" s="23" t="s">
        <v>81</v>
      </c>
      <c r="I357" s="23" t="s">
        <v>27</v>
      </c>
      <c r="J357" s="23" t="s">
        <v>211</v>
      </c>
      <c r="K357" s="23" t="s">
        <v>265</v>
      </c>
      <c r="L357" s="23" t="s">
        <v>2663</v>
      </c>
      <c r="M357" s="23" t="s">
        <v>153</v>
      </c>
      <c r="N357" s="23" t="s">
        <v>44</v>
      </c>
      <c r="O357" s="23">
        <v>76</v>
      </c>
      <c r="P357" s="23">
        <v>149.94</v>
      </c>
      <c r="Q357" s="23">
        <v>88.04</v>
      </c>
      <c r="R357" s="23">
        <v>11395.36</v>
      </c>
      <c r="S357" s="23">
        <v>0</v>
      </c>
      <c r="T357" s="23">
        <v>0</v>
      </c>
      <c r="U357" s="23">
        <v>11395.36</v>
      </c>
      <c r="V357" s="23">
        <v>6690.81</v>
      </c>
      <c r="W357" s="23">
        <v>4704.55</v>
      </c>
      <c r="X357" s="23" t="s">
        <v>32</v>
      </c>
    </row>
    <row r="358" spans="1:24" x14ac:dyDescent="0.25">
      <c r="A358" s="20" t="s">
        <v>758</v>
      </c>
      <c r="B358" s="19">
        <v>45459</v>
      </c>
      <c r="C358" s="20" t="s">
        <v>759</v>
      </c>
      <c r="D358" s="20" t="s">
        <v>35</v>
      </c>
      <c r="E358" s="20" t="s">
        <v>36</v>
      </c>
      <c r="F358" s="20" t="s">
        <v>37</v>
      </c>
      <c r="G358" s="20" t="s">
        <v>2579</v>
      </c>
      <c r="H358" s="20" t="s">
        <v>39</v>
      </c>
      <c r="I358" s="20" t="s">
        <v>27</v>
      </c>
      <c r="J358" s="20" t="s">
        <v>189</v>
      </c>
      <c r="K358" s="20" t="s">
        <v>42</v>
      </c>
      <c r="L358" s="20" t="s">
        <v>2680</v>
      </c>
      <c r="M358" s="20" t="s">
        <v>153</v>
      </c>
      <c r="N358" s="20" t="s">
        <v>70</v>
      </c>
      <c r="O358" s="20">
        <v>50</v>
      </c>
      <c r="P358" s="20">
        <v>170.59</v>
      </c>
      <c r="Q358" s="20">
        <v>106.62</v>
      </c>
      <c r="R358" s="20">
        <v>8529.4699999999993</v>
      </c>
      <c r="S358" s="20">
        <v>0.05</v>
      </c>
      <c r="T358" s="20">
        <v>426.47</v>
      </c>
      <c r="U358" s="20">
        <v>8103</v>
      </c>
      <c r="V358" s="20">
        <v>5331.07</v>
      </c>
      <c r="W358" s="20">
        <v>2771.93</v>
      </c>
      <c r="X358" s="20" t="s">
        <v>45</v>
      </c>
    </row>
    <row r="359" spans="1:24" x14ac:dyDescent="0.25">
      <c r="A359" s="23" t="s">
        <v>760</v>
      </c>
      <c r="B359" s="22">
        <v>45493</v>
      </c>
      <c r="C359" s="23" t="s">
        <v>64</v>
      </c>
      <c r="D359" s="23" t="s">
        <v>65</v>
      </c>
      <c r="E359" s="23" t="s">
        <v>250</v>
      </c>
      <c r="F359" s="23" t="s">
        <v>2598</v>
      </c>
      <c r="G359" s="23" t="s">
        <v>2581</v>
      </c>
      <c r="H359" s="23" t="s">
        <v>252</v>
      </c>
      <c r="I359" s="23" t="s">
        <v>58</v>
      </c>
      <c r="J359" s="23" t="s">
        <v>345</v>
      </c>
      <c r="K359" s="23" t="s">
        <v>184</v>
      </c>
      <c r="L359" s="23" t="s">
        <v>2690</v>
      </c>
      <c r="M359" s="23" t="s">
        <v>30</v>
      </c>
      <c r="N359" s="23" t="s">
        <v>84</v>
      </c>
      <c r="O359" s="23">
        <v>44</v>
      </c>
      <c r="P359" s="23">
        <v>63.51</v>
      </c>
      <c r="Q359" s="23">
        <v>37.11</v>
      </c>
      <c r="R359" s="23">
        <v>2794.51</v>
      </c>
      <c r="S359" s="23">
        <v>0.2</v>
      </c>
      <c r="T359" s="23">
        <v>558.9</v>
      </c>
      <c r="U359" s="23">
        <v>2235.61</v>
      </c>
      <c r="V359" s="23">
        <v>1632.89</v>
      </c>
      <c r="W359" s="23">
        <v>602.72</v>
      </c>
      <c r="X359" s="23" t="s">
        <v>32</v>
      </c>
    </row>
    <row r="360" spans="1:24" x14ac:dyDescent="0.25">
      <c r="A360" s="20" t="s">
        <v>761</v>
      </c>
      <c r="B360" s="19">
        <v>45455</v>
      </c>
      <c r="C360" s="20" t="s">
        <v>392</v>
      </c>
      <c r="D360" s="20" t="s">
        <v>393</v>
      </c>
      <c r="E360" s="20" t="s">
        <v>93</v>
      </c>
      <c r="F360" s="20" t="s">
        <v>2585</v>
      </c>
      <c r="G360" s="20" t="s">
        <v>2586</v>
      </c>
      <c r="H360" s="20" t="s">
        <v>96</v>
      </c>
      <c r="I360" s="20" t="s">
        <v>40</v>
      </c>
      <c r="J360" s="20" t="s">
        <v>289</v>
      </c>
      <c r="K360" s="20" t="s">
        <v>253</v>
      </c>
      <c r="L360" s="20" t="s">
        <v>2694</v>
      </c>
      <c r="M360" s="20" t="s">
        <v>30</v>
      </c>
      <c r="N360" s="20" t="s">
        <v>44</v>
      </c>
      <c r="O360" s="20">
        <v>9</v>
      </c>
      <c r="P360" s="20">
        <v>53.44</v>
      </c>
      <c r="Q360" s="20">
        <v>33.590000000000003</v>
      </c>
      <c r="R360" s="20">
        <v>480.93</v>
      </c>
      <c r="S360" s="20">
        <v>0</v>
      </c>
      <c r="T360" s="20">
        <v>0</v>
      </c>
      <c r="U360" s="20">
        <v>480.93</v>
      </c>
      <c r="V360" s="20">
        <v>302.27999999999997</v>
      </c>
      <c r="W360" s="20">
        <v>178.65</v>
      </c>
      <c r="X360" s="20" t="s">
        <v>45</v>
      </c>
    </row>
    <row r="361" spans="1:24" x14ac:dyDescent="0.25">
      <c r="A361" s="23" t="s">
        <v>762</v>
      </c>
      <c r="B361" s="22">
        <v>45346</v>
      </c>
      <c r="C361" s="23" t="s">
        <v>763</v>
      </c>
      <c r="D361" s="23" t="s">
        <v>105</v>
      </c>
      <c r="E361" s="23" t="s">
        <v>176</v>
      </c>
      <c r="F361" s="23" t="s">
        <v>2593</v>
      </c>
      <c r="G361" s="23" t="s">
        <v>2587</v>
      </c>
      <c r="H361" s="23" t="s">
        <v>39</v>
      </c>
      <c r="I361" s="23" t="s">
        <v>27</v>
      </c>
      <c r="J361" s="23" t="s">
        <v>106</v>
      </c>
      <c r="K361" s="23" t="s">
        <v>152</v>
      </c>
      <c r="L361" s="23" t="s">
        <v>2688</v>
      </c>
      <c r="M361" s="23" t="s">
        <v>153</v>
      </c>
      <c r="N361" s="23" t="s">
        <v>75</v>
      </c>
      <c r="O361" s="23">
        <v>9</v>
      </c>
      <c r="P361" s="23">
        <v>110.15</v>
      </c>
      <c r="Q361" s="23">
        <v>67.89</v>
      </c>
      <c r="R361" s="23">
        <v>991.37</v>
      </c>
      <c r="S361" s="23">
        <v>0.05</v>
      </c>
      <c r="T361" s="23">
        <v>49.57</v>
      </c>
      <c r="U361" s="23">
        <v>941.8</v>
      </c>
      <c r="V361" s="23">
        <v>610.99</v>
      </c>
      <c r="W361" s="23">
        <v>330.82</v>
      </c>
      <c r="X361" s="23" t="s">
        <v>45</v>
      </c>
    </row>
    <row r="362" spans="1:24" x14ac:dyDescent="0.25">
      <c r="A362" s="20" t="s">
        <v>764</v>
      </c>
      <c r="B362" s="19">
        <v>45502</v>
      </c>
      <c r="C362" s="20" t="s">
        <v>295</v>
      </c>
      <c r="D362" s="20" t="s">
        <v>22</v>
      </c>
      <c r="E362" s="20" t="s">
        <v>36</v>
      </c>
      <c r="F362" s="20" t="s">
        <v>37</v>
      </c>
      <c r="G362" s="20" t="s">
        <v>2579</v>
      </c>
      <c r="H362" s="20" t="s">
        <v>39</v>
      </c>
      <c r="I362" s="20" t="s">
        <v>27</v>
      </c>
      <c r="J362" s="20" t="s">
        <v>28</v>
      </c>
      <c r="K362" s="20" t="s">
        <v>29</v>
      </c>
      <c r="L362" s="20" t="s">
        <v>2679</v>
      </c>
      <c r="M362" s="20" t="s">
        <v>30</v>
      </c>
      <c r="N362" s="20" t="s">
        <v>70</v>
      </c>
      <c r="O362" s="20">
        <v>29</v>
      </c>
      <c r="P362" s="20">
        <v>171.33</v>
      </c>
      <c r="Q362" s="20">
        <v>105.62</v>
      </c>
      <c r="R362" s="20">
        <v>4968.67</v>
      </c>
      <c r="S362" s="20">
        <v>0.2</v>
      </c>
      <c r="T362" s="20">
        <v>993.73</v>
      </c>
      <c r="U362" s="20">
        <v>3974.94</v>
      </c>
      <c r="V362" s="20">
        <v>3063.05</v>
      </c>
      <c r="W362" s="20">
        <v>911.89</v>
      </c>
      <c r="X362" s="20" t="s">
        <v>45</v>
      </c>
    </row>
    <row r="363" spans="1:24" x14ac:dyDescent="0.25">
      <c r="A363" s="23" t="s">
        <v>765</v>
      </c>
      <c r="B363" s="22">
        <v>45572</v>
      </c>
      <c r="C363" s="23" t="s">
        <v>213</v>
      </c>
      <c r="D363" s="23" t="s">
        <v>87</v>
      </c>
      <c r="E363" s="23" t="s">
        <v>176</v>
      </c>
      <c r="F363" s="23" t="s">
        <v>2593</v>
      </c>
      <c r="G363" s="23" t="s">
        <v>2587</v>
      </c>
      <c r="H363" s="23" t="s">
        <v>39</v>
      </c>
      <c r="I363" s="23" t="s">
        <v>40</v>
      </c>
      <c r="J363" s="23" t="s">
        <v>117</v>
      </c>
      <c r="K363" s="23" t="s">
        <v>178</v>
      </c>
      <c r="L363" s="23" t="s">
        <v>2689</v>
      </c>
      <c r="M363" s="23" t="s">
        <v>30</v>
      </c>
      <c r="N363" s="23" t="s">
        <v>75</v>
      </c>
      <c r="O363" s="23">
        <v>52</v>
      </c>
      <c r="P363" s="23">
        <v>111.28</v>
      </c>
      <c r="Q363" s="23">
        <v>67.88</v>
      </c>
      <c r="R363" s="23">
        <v>5786.44</v>
      </c>
      <c r="S363" s="23">
        <v>0.05</v>
      </c>
      <c r="T363" s="23">
        <v>289.32</v>
      </c>
      <c r="U363" s="23">
        <v>5497.12</v>
      </c>
      <c r="V363" s="23">
        <v>3529.74</v>
      </c>
      <c r="W363" s="23">
        <v>1967.38</v>
      </c>
      <c r="X363" s="23" t="s">
        <v>45</v>
      </c>
    </row>
    <row r="364" spans="1:24" x14ac:dyDescent="0.25">
      <c r="A364" s="20" t="s">
        <v>766</v>
      </c>
      <c r="B364" s="19">
        <v>45329</v>
      </c>
      <c r="C364" s="20" t="s">
        <v>617</v>
      </c>
      <c r="D364" s="20" t="s">
        <v>22</v>
      </c>
      <c r="E364" s="20" t="s">
        <v>109</v>
      </c>
      <c r="F364" s="20" t="s">
        <v>110</v>
      </c>
      <c r="G364" s="20" t="s">
        <v>2584</v>
      </c>
      <c r="H364" s="20" t="s">
        <v>81</v>
      </c>
      <c r="I364" s="20" t="s">
        <v>58</v>
      </c>
      <c r="J364" s="20" t="s">
        <v>73</v>
      </c>
      <c r="K364" s="20" t="s">
        <v>111</v>
      </c>
      <c r="L364" s="20" t="s">
        <v>2685</v>
      </c>
      <c r="M364" s="20" t="s">
        <v>30</v>
      </c>
      <c r="N364" s="20" t="s">
        <v>2578</v>
      </c>
      <c r="O364" s="20">
        <v>8</v>
      </c>
      <c r="P364" s="20">
        <v>117.02</v>
      </c>
      <c r="Q364" s="20">
        <v>68.3</v>
      </c>
      <c r="R364" s="20">
        <v>936.12</v>
      </c>
      <c r="S364" s="20">
        <v>0.02</v>
      </c>
      <c r="T364" s="20">
        <v>18.72</v>
      </c>
      <c r="U364" s="20">
        <v>917.4</v>
      </c>
      <c r="V364" s="20">
        <v>546.37</v>
      </c>
      <c r="W364" s="20">
        <v>371.04</v>
      </c>
      <c r="X364" s="20" t="s">
        <v>45</v>
      </c>
    </row>
    <row r="365" spans="1:24" x14ac:dyDescent="0.25">
      <c r="A365" s="23" t="s">
        <v>767</v>
      </c>
      <c r="B365" s="22">
        <v>45390</v>
      </c>
      <c r="C365" s="23" t="s">
        <v>408</v>
      </c>
      <c r="D365" s="23" t="s">
        <v>65</v>
      </c>
      <c r="E365" s="23" t="s">
        <v>222</v>
      </c>
      <c r="F365" s="23" t="s">
        <v>2597</v>
      </c>
      <c r="G365" s="23" t="s">
        <v>2587</v>
      </c>
      <c r="H365" s="23" t="s">
        <v>68</v>
      </c>
      <c r="I365" s="23" t="s">
        <v>53</v>
      </c>
      <c r="J365" s="23" t="s">
        <v>143</v>
      </c>
      <c r="K365" s="23" t="s">
        <v>152</v>
      </c>
      <c r="L365" s="23" t="s">
        <v>2688</v>
      </c>
      <c r="M365" s="23" t="s">
        <v>61</v>
      </c>
      <c r="N365" s="23" t="s">
        <v>70</v>
      </c>
      <c r="O365" s="23">
        <v>74</v>
      </c>
      <c r="P365" s="23">
        <v>126.64</v>
      </c>
      <c r="Q365" s="23">
        <v>79.42</v>
      </c>
      <c r="R365" s="23">
        <v>9371.49</v>
      </c>
      <c r="S365" s="23">
        <v>0.05</v>
      </c>
      <c r="T365" s="23">
        <v>468.57</v>
      </c>
      <c r="U365" s="23">
        <v>8902.91</v>
      </c>
      <c r="V365" s="23">
        <v>5876.92</v>
      </c>
      <c r="W365" s="23">
        <v>3026</v>
      </c>
      <c r="X365" s="23" t="s">
        <v>45</v>
      </c>
    </row>
    <row r="366" spans="1:24" x14ac:dyDescent="0.25">
      <c r="A366" s="20" t="s">
        <v>768</v>
      </c>
      <c r="B366" s="19">
        <v>45433</v>
      </c>
      <c r="C366" s="20" t="s">
        <v>314</v>
      </c>
      <c r="D366" s="20" t="s">
        <v>163</v>
      </c>
      <c r="E366" s="20" t="s">
        <v>216</v>
      </c>
      <c r="F366" s="20" t="s">
        <v>2596</v>
      </c>
      <c r="G366" s="20" t="s">
        <v>2579</v>
      </c>
      <c r="H366" s="20" t="s">
        <v>134</v>
      </c>
      <c r="I366" s="20" t="s">
        <v>27</v>
      </c>
      <c r="J366" s="20" t="s">
        <v>211</v>
      </c>
      <c r="K366" s="20" t="s">
        <v>83</v>
      </c>
      <c r="L366" s="20" t="s">
        <v>2683</v>
      </c>
      <c r="M366" s="20" t="s">
        <v>43</v>
      </c>
      <c r="N366" s="20" t="s">
        <v>75</v>
      </c>
      <c r="O366" s="20">
        <v>60</v>
      </c>
      <c r="P366" s="20">
        <v>115.67</v>
      </c>
      <c r="Q366" s="20">
        <v>70.760000000000005</v>
      </c>
      <c r="R366" s="20">
        <v>6940.22</v>
      </c>
      <c r="S366" s="20">
        <v>0.1</v>
      </c>
      <c r="T366" s="20">
        <v>694.02</v>
      </c>
      <c r="U366" s="20">
        <v>6246.2</v>
      </c>
      <c r="V366" s="20">
        <v>4245.34</v>
      </c>
      <c r="W366" s="20">
        <v>2000.86</v>
      </c>
      <c r="X366" s="20" t="s">
        <v>129</v>
      </c>
    </row>
    <row r="367" spans="1:24" x14ac:dyDescent="0.25">
      <c r="A367" s="23" t="s">
        <v>769</v>
      </c>
      <c r="B367" s="22">
        <v>45325</v>
      </c>
      <c r="C367" s="23" t="s">
        <v>679</v>
      </c>
      <c r="D367" s="23" t="s">
        <v>105</v>
      </c>
      <c r="E367" s="23" t="s">
        <v>176</v>
      </c>
      <c r="F367" s="23" t="s">
        <v>2593</v>
      </c>
      <c r="G367" s="23" t="s">
        <v>2587</v>
      </c>
      <c r="H367" s="23" t="s">
        <v>39</v>
      </c>
      <c r="I367" s="23" t="s">
        <v>88</v>
      </c>
      <c r="J367" s="23" t="s">
        <v>2112</v>
      </c>
      <c r="K367" s="23" t="s">
        <v>248</v>
      </c>
      <c r="L367" s="23" t="s">
        <v>2693</v>
      </c>
      <c r="M367" s="23" t="s">
        <v>61</v>
      </c>
      <c r="N367" s="23" t="s">
        <v>70</v>
      </c>
      <c r="O367" s="23">
        <v>40</v>
      </c>
      <c r="P367" s="23">
        <v>104.87</v>
      </c>
      <c r="Q367" s="23">
        <v>62.42</v>
      </c>
      <c r="R367" s="23">
        <v>4194.9799999999996</v>
      </c>
      <c r="S367" s="23">
        <v>0.02</v>
      </c>
      <c r="T367" s="23">
        <v>83.9</v>
      </c>
      <c r="U367" s="23">
        <v>4111.08</v>
      </c>
      <c r="V367" s="23">
        <v>2496.66</v>
      </c>
      <c r="W367" s="23">
        <v>1614.43</v>
      </c>
      <c r="X367" s="23" t="s">
        <v>45</v>
      </c>
    </row>
    <row r="368" spans="1:24" x14ac:dyDescent="0.25">
      <c r="A368" s="20" t="s">
        <v>770</v>
      </c>
      <c r="B368" s="19">
        <v>45311</v>
      </c>
      <c r="C368" s="20" t="s">
        <v>499</v>
      </c>
      <c r="D368" s="20" t="s">
        <v>87</v>
      </c>
      <c r="E368" s="20" t="s">
        <v>176</v>
      </c>
      <c r="F368" s="20" t="s">
        <v>2593</v>
      </c>
      <c r="G368" s="20" t="s">
        <v>2587</v>
      </c>
      <c r="H368" s="20" t="s">
        <v>39</v>
      </c>
      <c r="I368" s="20" t="s">
        <v>40</v>
      </c>
      <c r="J368" s="20" t="s">
        <v>117</v>
      </c>
      <c r="K368" s="20" t="s">
        <v>60</v>
      </c>
      <c r="L368" s="20" t="s">
        <v>2677</v>
      </c>
      <c r="M368" s="20" t="s">
        <v>61</v>
      </c>
      <c r="N368" s="20" t="s">
        <v>75</v>
      </c>
      <c r="O368" s="20">
        <v>48</v>
      </c>
      <c r="P368" s="20">
        <v>103.24</v>
      </c>
      <c r="Q368" s="20">
        <v>58.36</v>
      </c>
      <c r="R368" s="20">
        <v>4955.4399999999996</v>
      </c>
      <c r="S368" s="20">
        <v>0</v>
      </c>
      <c r="T368" s="20">
        <v>0</v>
      </c>
      <c r="U368" s="20">
        <v>4955.4399999999996</v>
      </c>
      <c r="V368" s="20">
        <v>2801.17</v>
      </c>
      <c r="W368" s="20">
        <v>2154.27</v>
      </c>
      <c r="X368" s="20" t="s">
        <v>45</v>
      </c>
    </row>
    <row r="369" spans="1:24" x14ac:dyDescent="0.25">
      <c r="A369" s="23" t="s">
        <v>771</v>
      </c>
      <c r="B369" s="22">
        <v>45533</v>
      </c>
      <c r="C369" s="23" t="s">
        <v>466</v>
      </c>
      <c r="D369" s="23" t="s">
        <v>221</v>
      </c>
      <c r="E369" s="23" t="s">
        <v>78</v>
      </c>
      <c r="F369" s="23" t="s">
        <v>2583</v>
      </c>
      <c r="G369" s="23" t="s">
        <v>2584</v>
      </c>
      <c r="H369" s="23" t="s">
        <v>81</v>
      </c>
      <c r="I369" s="23" t="s">
        <v>40</v>
      </c>
      <c r="J369" s="23" t="s">
        <v>41</v>
      </c>
      <c r="K369" s="23" t="s">
        <v>265</v>
      </c>
      <c r="L369" s="23" t="s">
        <v>2663</v>
      </c>
      <c r="M369" s="23" t="s">
        <v>43</v>
      </c>
      <c r="N369" s="23" t="s">
        <v>84</v>
      </c>
      <c r="O369" s="23">
        <v>10</v>
      </c>
      <c r="P369" s="23">
        <v>132.58000000000001</v>
      </c>
      <c r="Q369" s="23">
        <v>79.099999999999994</v>
      </c>
      <c r="R369" s="23">
        <v>1325.84</v>
      </c>
      <c r="S369" s="23">
        <v>0</v>
      </c>
      <c r="T369" s="23">
        <v>0</v>
      </c>
      <c r="U369" s="23">
        <v>1325.84</v>
      </c>
      <c r="V369" s="23">
        <v>790.95</v>
      </c>
      <c r="W369" s="23">
        <v>534.89</v>
      </c>
      <c r="X369" s="23" t="s">
        <v>45</v>
      </c>
    </row>
    <row r="370" spans="1:24" x14ac:dyDescent="0.25">
      <c r="A370" s="20" t="s">
        <v>772</v>
      </c>
      <c r="B370" s="19">
        <v>45586</v>
      </c>
      <c r="C370" s="20" t="s">
        <v>307</v>
      </c>
      <c r="D370" s="20" t="s">
        <v>105</v>
      </c>
      <c r="E370" s="20" t="s">
        <v>93</v>
      </c>
      <c r="F370" s="20" t="s">
        <v>2585</v>
      </c>
      <c r="G370" s="20" t="s">
        <v>2586</v>
      </c>
      <c r="H370" s="20" t="s">
        <v>96</v>
      </c>
      <c r="I370" s="20" t="s">
        <v>58</v>
      </c>
      <c r="J370" s="20" t="s">
        <v>59</v>
      </c>
      <c r="K370" s="20" t="s">
        <v>248</v>
      </c>
      <c r="L370" s="20" t="s">
        <v>2693</v>
      </c>
      <c r="M370" s="20" t="s">
        <v>61</v>
      </c>
      <c r="N370" s="20" t="s">
        <v>70</v>
      </c>
      <c r="O370" s="20">
        <v>49</v>
      </c>
      <c r="P370" s="20">
        <v>53.02</v>
      </c>
      <c r="Q370" s="20">
        <v>33.07</v>
      </c>
      <c r="R370" s="20">
        <v>2598.08</v>
      </c>
      <c r="S370" s="20">
        <v>0.1</v>
      </c>
      <c r="T370" s="20">
        <v>259.81</v>
      </c>
      <c r="U370" s="20">
        <v>2338.27</v>
      </c>
      <c r="V370" s="20">
        <v>1620.54</v>
      </c>
      <c r="W370" s="20">
        <v>717.73</v>
      </c>
      <c r="X370" s="20" t="s">
        <v>45</v>
      </c>
    </row>
    <row r="371" spans="1:24" x14ac:dyDescent="0.25">
      <c r="A371" s="23" t="s">
        <v>773</v>
      </c>
      <c r="B371" s="22">
        <v>45330</v>
      </c>
      <c r="C371" s="23" t="s">
        <v>172</v>
      </c>
      <c r="D371" s="23" t="s">
        <v>22</v>
      </c>
      <c r="E371" s="23" t="s">
        <v>250</v>
      </c>
      <c r="F371" s="23" t="s">
        <v>2598</v>
      </c>
      <c r="G371" s="23" t="s">
        <v>2581</v>
      </c>
      <c r="H371" s="23" t="s">
        <v>252</v>
      </c>
      <c r="I371" s="23" t="s">
        <v>88</v>
      </c>
      <c r="J371" s="23" t="s">
        <v>173</v>
      </c>
      <c r="K371" s="23" t="s">
        <v>170</v>
      </c>
      <c r="L371" s="23" t="s">
        <v>2671</v>
      </c>
      <c r="M371" s="23" t="s">
        <v>61</v>
      </c>
      <c r="N371" s="23" t="s">
        <v>2578</v>
      </c>
      <c r="O371" s="23">
        <v>64</v>
      </c>
      <c r="P371" s="23">
        <v>66.94</v>
      </c>
      <c r="Q371" s="23">
        <v>35.380000000000003</v>
      </c>
      <c r="R371" s="23">
        <v>4284.0200000000004</v>
      </c>
      <c r="S371" s="23">
        <v>0</v>
      </c>
      <c r="T371" s="23">
        <v>0</v>
      </c>
      <c r="U371" s="23">
        <v>4284.0200000000004</v>
      </c>
      <c r="V371" s="23">
        <v>2264.54</v>
      </c>
      <c r="W371" s="23">
        <v>2019.48</v>
      </c>
      <c r="X371" s="23" t="s">
        <v>45</v>
      </c>
    </row>
    <row r="372" spans="1:24" x14ac:dyDescent="0.25">
      <c r="A372" s="20" t="s">
        <v>774</v>
      </c>
      <c r="B372" s="19">
        <v>45542</v>
      </c>
      <c r="C372" s="20" t="s">
        <v>284</v>
      </c>
      <c r="D372" s="20" t="s">
        <v>57</v>
      </c>
      <c r="E372" s="20" t="s">
        <v>165</v>
      </c>
      <c r="F372" s="20" t="s">
        <v>2592</v>
      </c>
      <c r="G372" s="20" t="s">
        <v>2586</v>
      </c>
      <c r="H372" s="20" t="s">
        <v>167</v>
      </c>
      <c r="I372" s="20" t="s">
        <v>88</v>
      </c>
      <c r="J372" s="20" t="s">
        <v>2112</v>
      </c>
      <c r="K372" s="20" t="s">
        <v>60</v>
      </c>
      <c r="L372" s="20" t="s">
        <v>2677</v>
      </c>
      <c r="M372" s="20" t="s">
        <v>30</v>
      </c>
      <c r="N372" s="20" t="s">
        <v>44</v>
      </c>
      <c r="O372" s="20">
        <v>76</v>
      </c>
      <c r="P372" s="20">
        <v>39.72</v>
      </c>
      <c r="Q372" s="20">
        <v>23.09</v>
      </c>
      <c r="R372" s="20">
        <v>3018.37</v>
      </c>
      <c r="S372" s="20">
        <v>0.02</v>
      </c>
      <c r="T372" s="20">
        <v>60.37</v>
      </c>
      <c r="U372" s="20">
        <v>2958</v>
      </c>
      <c r="V372" s="20">
        <v>1755.1</v>
      </c>
      <c r="W372" s="20">
        <v>1202.9000000000001</v>
      </c>
      <c r="X372" s="20" t="s">
        <v>45</v>
      </c>
    </row>
    <row r="373" spans="1:24" x14ac:dyDescent="0.25">
      <c r="A373" s="23" t="s">
        <v>775</v>
      </c>
      <c r="B373" s="22">
        <v>45299</v>
      </c>
      <c r="C373" s="23" t="s">
        <v>776</v>
      </c>
      <c r="D373" s="23" t="s">
        <v>57</v>
      </c>
      <c r="E373" s="23" t="s">
        <v>187</v>
      </c>
      <c r="F373" s="23" t="s">
        <v>2594</v>
      </c>
      <c r="G373" s="23" t="s">
        <v>2577</v>
      </c>
      <c r="H373" s="23" t="s">
        <v>26</v>
      </c>
      <c r="I373" s="23" t="s">
        <v>88</v>
      </c>
      <c r="J373" s="23" t="s">
        <v>135</v>
      </c>
      <c r="K373" s="23" t="s">
        <v>42</v>
      </c>
      <c r="L373" s="23" t="s">
        <v>2680</v>
      </c>
      <c r="M373" s="23" t="s">
        <v>30</v>
      </c>
      <c r="N373" s="23" t="s">
        <v>84</v>
      </c>
      <c r="O373" s="23">
        <v>61</v>
      </c>
      <c r="P373" s="23">
        <v>46.72</v>
      </c>
      <c r="Q373" s="23">
        <v>30.35</v>
      </c>
      <c r="R373" s="23">
        <v>2850.06</v>
      </c>
      <c r="S373" s="23">
        <v>0.15</v>
      </c>
      <c r="T373" s="23">
        <v>427.51</v>
      </c>
      <c r="U373" s="23">
        <v>2422.5500000000002</v>
      </c>
      <c r="V373" s="23">
        <v>1851.52</v>
      </c>
      <c r="W373" s="23">
        <v>571.03</v>
      </c>
      <c r="X373" s="23" t="s">
        <v>45</v>
      </c>
    </row>
    <row r="374" spans="1:24" x14ac:dyDescent="0.25">
      <c r="A374" s="20" t="s">
        <v>777</v>
      </c>
      <c r="B374" s="19">
        <v>45567</v>
      </c>
      <c r="C374" s="20" t="s">
        <v>466</v>
      </c>
      <c r="D374" s="20" t="s">
        <v>221</v>
      </c>
      <c r="E374" s="20" t="s">
        <v>222</v>
      </c>
      <c r="F374" s="20" t="s">
        <v>2597</v>
      </c>
      <c r="G374" s="20" t="s">
        <v>2587</v>
      </c>
      <c r="H374" s="20" t="s">
        <v>68</v>
      </c>
      <c r="I374" s="20" t="s">
        <v>53</v>
      </c>
      <c r="J374" s="20" t="s">
        <v>143</v>
      </c>
      <c r="K374" s="20" t="s">
        <v>218</v>
      </c>
      <c r="L374" s="20" t="s">
        <v>2692</v>
      </c>
      <c r="M374" s="20" t="s">
        <v>43</v>
      </c>
      <c r="N374" s="20" t="s">
        <v>70</v>
      </c>
      <c r="O374" s="20">
        <v>65</v>
      </c>
      <c r="P374" s="20">
        <v>120.98</v>
      </c>
      <c r="Q374" s="20">
        <v>77.23</v>
      </c>
      <c r="R374" s="20">
        <v>7863.85</v>
      </c>
      <c r="S374" s="20">
        <v>0.2</v>
      </c>
      <c r="T374" s="20">
        <v>1572.77</v>
      </c>
      <c r="U374" s="20">
        <v>6291.08</v>
      </c>
      <c r="V374" s="20">
        <v>5019.8500000000004</v>
      </c>
      <c r="W374" s="20">
        <v>1271.23</v>
      </c>
      <c r="X374" s="20" t="s">
        <v>32</v>
      </c>
    </row>
    <row r="375" spans="1:24" x14ac:dyDescent="0.25">
      <c r="A375" s="23" t="s">
        <v>778</v>
      </c>
      <c r="B375" s="22">
        <v>45332</v>
      </c>
      <c r="C375" s="23" t="s">
        <v>131</v>
      </c>
      <c r="D375" s="23" t="s">
        <v>65</v>
      </c>
      <c r="E375" s="23" t="s">
        <v>216</v>
      </c>
      <c r="F375" s="23" t="s">
        <v>2596</v>
      </c>
      <c r="G375" s="23" t="s">
        <v>2579</v>
      </c>
      <c r="H375" s="23" t="s">
        <v>134</v>
      </c>
      <c r="I375" s="23" t="s">
        <v>58</v>
      </c>
      <c r="J375" s="23" t="s">
        <v>323</v>
      </c>
      <c r="K375" s="23" t="s">
        <v>29</v>
      </c>
      <c r="L375" s="23" t="s">
        <v>2679</v>
      </c>
      <c r="M375" s="23" t="s">
        <v>43</v>
      </c>
      <c r="N375" s="23" t="s">
        <v>44</v>
      </c>
      <c r="O375" s="23">
        <v>23</v>
      </c>
      <c r="P375" s="23">
        <v>111.55</v>
      </c>
      <c r="Q375" s="23">
        <v>65.900000000000006</v>
      </c>
      <c r="R375" s="23">
        <v>2565.7600000000002</v>
      </c>
      <c r="S375" s="23">
        <v>0.05</v>
      </c>
      <c r="T375" s="23">
        <v>128.29</v>
      </c>
      <c r="U375" s="23">
        <v>2437.48</v>
      </c>
      <c r="V375" s="23">
        <v>1515.77</v>
      </c>
      <c r="W375" s="23">
        <v>921.7</v>
      </c>
      <c r="X375" s="23" t="s">
        <v>129</v>
      </c>
    </row>
    <row r="376" spans="1:24" x14ac:dyDescent="0.25">
      <c r="A376" s="20" t="s">
        <v>779</v>
      </c>
      <c r="B376" s="19">
        <v>45395</v>
      </c>
      <c r="C376" s="20" t="s">
        <v>199</v>
      </c>
      <c r="D376" s="20" t="s">
        <v>105</v>
      </c>
      <c r="E376" s="20" t="s">
        <v>141</v>
      </c>
      <c r="F376" s="20" t="s">
        <v>2590</v>
      </c>
      <c r="G376" s="20" t="s">
        <v>2577</v>
      </c>
      <c r="H376" s="20" t="s">
        <v>26</v>
      </c>
      <c r="I376" s="20" t="s">
        <v>58</v>
      </c>
      <c r="J376" s="20" t="s">
        <v>323</v>
      </c>
      <c r="K376" s="20" t="s">
        <v>248</v>
      </c>
      <c r="L376" s="20" t="s">
        <v>2693</v>
      </c>
      <c r="M376" s="20" t="s">
        <v>43</v>
      </c>
      <c r="N376" s="20" t="s">
        <v>2578</v>
      </c>
      <c r="O376" s="20">
        <v>45</v>
      </c>
      <c r="P376" s="20">
        <v>97.7</v>
      </c>
      <c r="Q376" s="20">
        <v>56.82</v>
      </c>
      <c r="R376" s="20">
        <v>4396.43</v>
      </c>
      <c r="S376" s="20">
        <v>0.1</v>
      </c>
      <c r="T376" s="20">
        <v>439.64</v>
      </c>
      <c r="U376" s="20">
        <v>3956.79</v>
      </c>
      <c r="V376" s="20">
        <v>2557.02</v>
      </c>
      <c r="W376" s="20">
        <v>1399.77</v>
      </c>
      <c r="X376" s="20" t="s">
        <v>45</v>
      </c>
    </row>
    <row r="377" spans="1:24" x14ac:dyDescent="0.25">
      <c r="A377" s="23" t="s">
        <v>780</v>
      </c>
      <c r="B377" s="22">
        <v>45522</v>
      </c>
      <c r="C377" s="23" t="s">
        <v>197</v>
      </c>
      <c r="D377" s="23" t="s">
        <v>159</v>
      </c>
      <c r="E377" s="23" t="s">
        <v>109</v>
      </c>
      <c r="F377" s="23" t="s">
        <v>110</v>
      </c>
      <c r="G377" s="23" t="s">
        <v>2584</v>
      </c>
      <c r="H377" s="23" t="s">
        <v>81</v>
      </c>
      <c r="I377" s="23" t="s">
        <v>58</v>
      </c>
      <c r="J377" s="23" t="s">
        <v>73</v>
      </c>
      <c r="K377" s="23" t="s">
        <v>152</v>
      </c>
      <c r="L377" s="23" t="s">
        <v>2688</v>
      </c>
      <c r="M377" s="23" t="s">
        <v>153</v>
      </c>
      <c r="N377" s="23" t="s">
        <v>84</v>
      </c>
      <c r="O377" s="23">
        <v>31</v>
      </c>
      <c r="P377" s="23">
        <v>130.75</v>
      </c>
      <c r="Q377" s="23">
        <v>71.05</v>
      </c>
      <c r="R377" s="23">
        <v>4053.28</v>
      </c>
      <c r="S377" s="23">
        <v>0.2</v>
      </c>
      <c r="T377" s="23">
        <v>810.66</v>
      </c>
      <c r="U377" s="23">
        <v>3242.62</v>
      </c>
      <c r="V377" s="23">
        <v>2202.61</v>
      </c>
      <c r="W377" s="23">
        <v>1040.02</v>
      </c>
      <c r="X377" s="23" t="s">
        <v>129</v>
      </c>
    </row>
    <row r="378" spans="1:24" x14ac:dyDescent="0.25">
      <c r="A378" s="20" t="s">
        <v>781</v>
      </c>
      <c r="B378" s="19">
        <v>45361</v>
      </c>
      <c r="C378" s="20" t="s">
        <v>537</v>
      </c>
      <c r="D378" s="20" t="s">
        <v>359</v>
      </c>
      <c r="E378" s="20" t="s">
        <v>176</v>
      </c>
      <c r="F378" s="20" t="s">
        <v>2593</v>
      </c>
      <c r="G378" s="20" t="s">
        <v>2587</v>
      </c>
      <c r="H378" s="20" t="s">
        <v>39</v>
      </c>
      <c r="I378" s="20" t="s">
        <v>88</v>
      </c>
      <c r="J378" s="20" t="s">
        <v>173</v>
      </c>
      <c r="K378" s="20" t="s">
        <v>248</v>
      </c>
      <c r="L378" s="20" t="s">
        <v>2693</v>
      </c>
      <c r="M378" s="20" t="s">
        <v>43</v>
      </c>
      <c r="N378" s="20" t="s">
        <v>84</v>
      </c>
      <c r="O378" s="20">
        <v>10</v>
      </c>
      <c r="P378" s="20">
        <v>105.05</v>
      </c>
      <c r="Q378" s="20">
        <v>66.59</v>
      </c>
      <c r="R378" s="20">
        <v>1050.53</v>
      </c>
      <c r="S378" s="20">
        <v>0.1</v>
      </c>
      <c r="T378" s="20">
        <v>105.05</v>
      </c>
      <c r="U378" s="20">
        <v>945.47</v>
      </c>
      <c r="V378" s="20">
        <v>665.93</v>
      </c>
      <c r="W378" s="20">
        <v>279.54000000000002</v>
      </c>
      <c r="X378" s="20" t="s">
        <v>129</v>
      </c>
    </row>
    <row r="379" spans="1:24" x14ac:dyDescent="0.25">
      <c r="A379" s="23" t="s">
        <v>782</v>
      </c>
      <c r="B379" s="22">
        <v>45558</v>
      </c>
      <c r="C379" s="23" t="s">
        <v>524</v>
      </c>
      <c r="D379" s="23" t="s">
        <v>125</v>
      </c>
      <c r="E379" s="23" t="s">
        <v>132</v>
      </c>
      <c r="F379" s="23" t="s">
        <v>133</v>
      </c>
      <c r="G379" s="23" t="s">
        <v>2581</v>
      </c>
      <c r="H379" s="23" t="s">
        <v>134</v>
      </c>
      <c r="I379" s="23" t="s">
        <v>58</v>
      </c>
      <c r="J379" s="23" t="s">
        <v>323</v>
      </c>
      <c r="K379" s="23" t="s">
        <v>170</v>
      </c>
      <c r="L379" s="23" t="s">
        <v>2671</v>
      </c>
      <c r="M379" s="23" t="s">
        <v>153</v>
      </c>
      <c r="N379" s="23" t="s">
        <v>70</v>
      </c>
      <c r="O379" s="23">
        <v>18</v>
      </c>
      <c r="P379" s="23">
        <v>63.24</v>
      </c>
      <c r="Q379" s="23">
        <v>34.65</v>
      </c>
      <c r="R379" s="23">
        <v>1138.25</v>
      </c>
      <c r="S379" s="23">
        <v>0.2</v>
      </c>
      <c r="T379" s="23">
        <v>227.65</v>
      </c>
      <c r="U379" s="23">
        <v>910.6</v>
      </c>
      <c r="V379" s="23">
        <v>623.70000000000005</v>
      </c>
      <c r="W379" s="23">
        <v>286.89999999999998</v>
      </c>
      <c r="X379" s="23" t="s">
        <v>45</v>
      </c>
    </row>
    <row r="380" spans="1:24" x14ac:dyDescent="0.25">
      <c r="A380" s="20" t="s">
        <v>783</v>
      </c>
      <c r="B380" s="19">
        <v>45322</v>
      </c>
      <c r="C380" s="20" t="s">
        <v>312</v>
      </c>
      <c r="D380" s="20" t="s">
        <v>57</v>
      </c>
      <c r="E380" s="20" t="s">
        <v>126</v>
      </c>
      <c r="F380" s="20" t="s">
        <v>2589</v>
      </c>
      <c r="G380" s="20" t="s">
        <v>2586</v>
      </c>
      <c r="H380" s="20" t="s">
        <v>128</v>
      </c>
      <c r="I380" s="20" t="s">
        <v>58</v>
      </c>
      <c r="J380" s="20" t="s">
        <v>59</v>
      </c>
      <c r="K380" s="20" t="s">
        <v>118</v>
      </c>
      <c r="L380" s="20" t="s">
        <v>2686</v>
      </c>
      <c r="M380" s="20" t="s">
        <v>43</v>
      </c>
      <c r="N380" s="20" t="s">
        <v>84</v>
      </c>
      <c r="O380" s="20">
        <v>2</v>
      </c>
      <c r="P380" s="20">
        <v>92.28</v>
      </c>
      <c r="Q380" s="20">
        <v>49.35</v>
      </c>
      <c r="R380" s="20">
        <v>184.56</v>
      </c>
      <c r="S380" s="20">
        <v>0.02</v>
      </c>
      <c r="T380" s="20">
        <v>3.69</v>
      </c>
      <c r="U380" s="20">
        <v>180.86</v>
      </c>
      <c r="V380" s="20">
        <v>98.71</v>
      </c>
      <c r="W380" s="20">
        <v>82.15</v>
      </c>
      <c r="X380" s="20" t="s">
        <v>32</v>
      </c>
    </row>
    <row r="381" spans="1:24" x14ac:dyDescent="0.25">
      <c r="A381" s="23" t="s">
        <v>784</v>
      </c>
      <c r="B381" s="22">
        <v>45353</v>
      </c>
      <c r="C381" s="23" t="s">
        <v>785</v>
      </c>
      <c r="D381" s="23" t="s">
        <v>264</v>
      </c>
      <c r="E381" s="23" t="s">
        <v>187</v>
      </c>
      <c r="F381" s="23" t="s">
        <v>2594</v>
      </c>
      <c r="G381" s="23" t="s">
        <v>2577</v>
      </c>
      <c r="H381" s="23" t="s">
        <v>26</v>
      </c>
      <c r="I381" s="23" t="s">
        <v>27</v>
      </c>
      <c r="J381" s="23" t="s">
        <v>211</v>
      </c>
      <c r="K381" s="23" t="s">
        <v>248</v>
      </c>
      <c r="L381" s="23" t="s">
        <v>2693</v>
      </c>
      <c r="M381" s="23" t="s">
        <v>61</v>
      </c>
      <c r="N381" s="23" t="s">
        <v>70</v>
      </c>
      <c r="O381" s="23">
        <v>36</v>
      </c>
      <c r="P381" s="23">
        <v>47.49</v>
      </c>
      <c r="Q381" s="23">
        <v>31.31</v>
      </c>
      <c r="R381" s="23">
        <v>1709.61</v>
      </c>
      <c r="S381" s="23">
        <v>0.2</v>
      </c>
      <c r="T381" s="23">
        <v>341.92</v>
      </c>
      <c r="U381" s="23">
        <v>1367.69</v>
      </c>
      <c r="V381" s="23">
        <v>1127.05</v>
      </c>
      <c r="W381" s="23">
        <v>240.64</v>
      </c>
      <c r="X381" s="23" t="s">
        <v>45</v>
      </c>
    </row>
    <row r="382" spans="1:24" x14ac:dyDescent="0.25">
      <c r="A382" s="20" t="s">
        <v>786</v>
      </c>
      <c r="B382" s="19">
        <v>45452</v>
      </c>
      <c r="C382" s="20" t="s">
        <v>519</v>
      </c>
      <c r="D382" s="20" t="s">
        <v>787</v>
      </c>
      <c r="E382" s="20" t="s">
        <v>66</v>
      </c>
      <c r="F382" s="20" t="s">
        <v>2582</v>
      </c>
      <c r="G382" s="20" t="s">
        <v>2579</v>
      </c>
      <c r="H382" s="20" t="s">
        <v>68</v>
      </c>
      <c r="I382" s="20" t="s">
        <v>58</v>
      </c>
      <c r="J382" s="20" t="s">
        <v>73</v>
      </c>
      <c r="K382" s="20" t="s">
        <v>184</v>
      </c>
      <c r="L382" s="20" t="s">
        <v>2690</v>
      </c>
      <c r="M382" s="20" t="s">
        <v>43</v>
      </c>
      <c r="N382" s="20" t="s">
        <v>70</v>
      </c>
      <c r="O382" s="20">
        <v>33</v>
      </c>
      <c r="P382" s="20">
        <v>158.16</v>
      </c>
      <c r="Q382" s="20">
        <v>111.77</v>
      </c>
      <c r="R382" s="20">
        <v>5219.33</v>
      </c>
      <c r="S382" s="20">
        <v>0.05</v>
      </c>
      <c r="T382" s="20">
        <v>260.97000000000003</v>
      </c>
      <c r="U382" s="20">
        <v>4958.3599999999997</v>
      </c>
      <c r="V382" s="20">
        <v>3688.25</v>
      </c>
      <c r="W382" s="20">
        <v>1270.1099999999999</v>
      </c>
      <c r="X382" s="20" t="s">
        <v>45</v>
      </c>
    </row>
    <row r="383" spans="1:24" x14ac:dyDescent="0.25">
      <c r="A383" s="23" t="s">
        <v>788</v>
      </c>
      <c r="B383" s="22">
        <v>45553</v>
      </c>
      <c r="C383" s="23" t="s">
        <v>704</v>
      </c>
      <c r="D383" s="23" t="s">
        <v>105</v>
      </c>
      <c r="E383" s="23" t="s">
        <v>126</v>
      </c>
      <c r="F383" s="23" t="s">
        <v>2589</v>
      </c>
      <c r="G383" s="23" t="s">
        <v>2586</v>
      </c>
      <c r="H383" s="23" t="s">
        <v>128</v>
      </c>
      <c r="I383" s="23" t="s">
        <v>58</v>
      </c>
      <c r="J383" s="23" t="s">
        <v>59</v>
      </c>
      <c r="K383" s="23" t="s">
        <v>184</v>
      </c>
      <c r="L383" s="23" t="s">
        <v>2690</v>
      </c>
      <c r="M383" s="23" t="s">
        <v>30</v>
      </c>
      <c r="N383" s="23" t="s">
        <v>84</v>
      </c>
      <c r="O383" s="23">
        <v>41</v>
      </c>
      <c r="P383" s="23">
        <v>86.44</v>
      </c>
      <c r="Q383" s="23">
        <v>53.66</v>
      </c>
      <c r="R383" s="23">
        <v>3544.09</v>
      </c>
      <c r="S383" s="23">
        <v>0</v>
      </c>
      <c r="T383" s="23">
        <v>0</v>
      </c>
      <c r="U383" s="23">
        <v>3544.09</v>
      </c>
      <c r="V383" s="23">
        <v>2199.9899999999998</v>
      </c>
      <c r="W383" s="23">
        <v>1344.1</v>
      </c>
      <c r="X383" s="23" t="s">
        <v>129</v>
      </c>
    </row>
    <row r="384" spans="1:24" x14ac:dyDescent="0.25">
      <c r="A384" s="20" t="s">
        <v>789</v>
      </c>
      <c r="B384" s="19">
        <v>45591</v>
      </c>
      <c r="C384" s="20" t="s">
        <v>489</v>
      </c>
      <c r="D384" s="20" t="s">
        <v>105</v>
      </c>
      <c r="E384" s="20" t="s">
        <v>209</v>
      </c>
      <c r="F384" s="20" t="s">
        <v>2595</v>
      </c>
      <c r="G384" s="20" t="s">
        <v>2581</v>
      </c>
      <c r="H384" s="20" t="s">
        <v>116</v>
      </c>
      <c r="I384" s="20" t="s">
        <v>40</v>
      </c>
      <c r="J384" s="20" t="s">
        <v>117</v>
      </c>
      <c r="K384" s="20" t="s">
        <v>29</v>
      </c>
      <c r="L384" s="20" t="s">
        <v>2679</v>
      </c>
      <c r="M384" s="20" t="s">
        <v>43</v>
      </c>
      <c r="N384" s="20" t="s">
        <v>84</v>
      </c>
      <c r="O384" s="20">
        <v>6</v>
      </c>
      <c r="P384" s="20">
        <v>17.149999999999999</v>
      </c>
      <c r="Q384" s="20">
        <v>9.51</v>
      </c>
      <c r="R384" s="20">
        <v>102.9</v>
      </c>
      <c r="S384" s="20">
        <v>0.2</v>
      </c>
      <c r="T384" s="20">
        <v>20.58</v>
      </c>
      <c r="U384" s="20">
        <v>82.32</v>
      </c>
      <c r="V384" s="20">
        <v>57.03</v>
      </c>
      <c r="W384" s="20">
        <v>25.29</v>
      </c>
      <c r="X384" s="20" t="s">
        <v>129</v>
      </c>
    </row>
    <row r="385" spans="1:24" x14ac:dyDescent="0.25">
      <c r="A385" s="23" t="s">
        <v>790</v>
      </c>
      <c r="B385" s="22">
        <v>45471</v>
      </c>
      <c r="C385" s="23" t="s">
        <v>791</v>
      </c>
      <c r="D385" s="23" t="s">
        <v>163</v>
      </c>
      <c r="E385" s="23" t="s">
        <v>187</v>
      </c>
      <c r="F385" s="23" t="s">
        <v>2594</v>
      </c>
      <c r="G385" s="23" t="s">
        <v>2577</v>
      </c>
      <c r="H385" s="23" t="s">
        <v>26</v>
      </c>
      <c r="I385" s="23" t="s">
        <v>27</v>
      </c>
      <c r="J385" s="23" t="s">
        <v>106</v>
      </c>
      <c r="K385" s="23" t="s">
        <v>253</v>
      </c>
      <c r="L385" s="23" t="s">
        <v>2694</v>
      </c>
      <c r="M385" s="23" t="s">
        <v>153</v>
      </c>
      <c r="N385" s="23" t="s">
        <v>70</v>
      </c>
      <c r="O385" s="23">
        <v>66</v>
      </c>
      <c r="P385" s="23">
        <v>46.91</v>
      </c>
      <c r="Q385" s="23">
        <v>27.22</v>
      </c>
      <c r="R385" s="23">
        <v>3096.26</v>
      </c>
      <c r="S385" s="23">
        <v>0.1</v>
      </c>
      <c r="T385" s="23">
        <v>309.63</v>
      </c>
      <c r="U385" s="23">
        <v>2786.63</v>
      </c>
      <c r="V385" s="23">
        <v>1796.36</v>
      </c>
      <c r="W385" s="23">
        <v>990.27</v>
      </c>
      <c r="X385" s="23" t="s">
        <v>45</v>
      </c>
    </row>
    <row r="386" spans="1:24" x14ac:dyDescent="0.25">
      <c r="A386" s="20" t="s">
        <v>792</v>
      </c>
      <c r="B386" s="19">
        <v>45555</v>
      </c>
      <c r="C386" s="20" t="s">
        <v>655</v>
      </c>
      <c r="D386" s="20" t="s">
        <v>57</v>
      </c>
      <c r="E386" s="20" t="s">
        <v>23</v>
      </c>
      <c r="F386" s="20" t="s">
        <v>2576</v>
      </c>
      <c r="G386" s="20" t="s">
        <v>2577</v>
      </c>
      <c r="H386" s="20" t="s">
        <v>26</v>
      </c>
      <c r="I386" s="20" t="s">
        <v>27</v>
      </c>
      <c r="J386" s="20" t="s">
        <v>106</v>
      </c>
      <c r="K386" s="20" t="s">
        <v>118</v>
      </c>
      <c r="L386" s="20" t="s">
        <v>2686</v>
      </c>
      <c r="M386" s="20" t="s">
        <v>153</v>
      </c>
      <c r="N386" s="20" t="s">
        <v>75</v>
      </c>
      <c r="O386" s="20">
        <v>66</v>
      </c>
      <c r="P386" s="20">
        <v>70.78</v>
      </c>
      <c r="Q386" s="20">
        <v>43.4</v>
      </c>
      <c r="R386" s="20">
        <v>4671.74</v>
      </c>
      <c r="S386" s="20">
        <v>0.1</v>
      </c>
      <c r="T386" s="20">
        <v>467.17</v>
      </c>
      <c r="U386" s="20">
        <v>4204.57</v>
      </c>
      <c r="V386" s="20">
        <v>2864.33</v>
      </c>
      <c r="W386" s="20">
        <v>1340.24</v>
      </c>
      <c r="X386" s="20" t="s">
        <v>45</v>
      </c>
    </row>
    <row r="387" spans="1:24" x14ac:dyDescent="0.25">
      <c r="A387" s="23" t="s">
        <v>793</v>
      </c>
      <c r="B387" s="22">
        <v>45333</v>
      </c>
      <c r="C387" s="23" t="s">
        <v>794</v>
      </c>
      <c r="D387" s="23" t="s">
        <v>65</v>
      </c>
      <c r="E387" s="23" t="s">
        <v>109</v>
      </c>
      <c r="F387" s="23" t="s">
        <v>110</v>
      </c>
      <c r="G387" s="23" t="s">
        <v>2584</v>
      </c>
      <c r="H387" s="23" t="s">
        <v>81</v>
      </c>
      <c r="I387" s="23" t="s">
        <v>88</v>
      </c>
      <c r="J387" s="23" t="s">
        <v>183</v>
      </c>
      <c r="K387" s="23" t="s">
        <v>152</v>
      </c>
      <c r="L387" s="23" t="s">
        <v>2688</v>
      </c>
      <c r="M387" s="23" t="s">
        <v>153</v>
      </c>
      <c r="N387" s="23" t="s">
        <v>70</v>
      </c>
      <c r="O387" s="23">
        <v>68</v>
      </c>
      <c r="P387" s="23">
        <v>134.04</v>
      </c>
      <c r="Q387" s="23">
        <v>68.58</v>
      </c>
      <c r="R387" s="23">
        <v>9115.02</v>
      </c>
      <c r="S387" s="23">
        <v>0.1</v>
      </c>
      <c r="T387" s="23">
        <v>911.5</v>
      </c>
      <c r="U387" s="23">
        <v>8203.52</v>
      </c>
      <c r="V387" s="23">
        <v>4663.6000000000004</v>
      </c>
      <c r="W387" s="23">
        <v>3539.92</v>
      </c>
      <c r="X387" s="23" t="s">
        <v>45</v>
      </c>
    </row>
    <row r="388" spans="1:24" x14ac:dyDescent="0.25">
      <c r="A388" s="20" t="s">
        <v>795</v>
      </c>
      <c r="B388" s="19">
        <v>45580</v>
      </c>
      <c r="C388" s="20" t="s">
        <v>2619</v>
      </c>
      <c r="D388" s="20" t="s">
        <v>2619</v>
      </c>
      <c r="E388" s="20" t="s">
        <v>209</v>
      </c>
      <c r="F388" s="20" t="s">
        <v>2595</v>
      </c>
      <c r="G388" s="20" t="s">
        <v>2581</v>
      </c>
      <c r="H388" s="20" t="s">
        <v>116</v>
      </c>
      <c r="I388" s="20" t="s">
        <v>58</v>
      </c>
      <c r="J388" s="20" t="s">
        <v>323</v>
      </c>
      <c r="K388" s="20" t="s">
        <v>218</v>
      </c>
      <c r="L388" s="20" t="s">
        <v>2692</v>
      </c>
      <c r="M388" s="20" t="s">
        <v>61</v>
      </c>
      <c r="N388" s="20" t="s">
        <v>2578</v>
      </c>
      <c r="O388" s="20">
        <v>25</v>
      </c>
      <c r="P388" s="20">
        <v>18.3</v>
      </c>
      <c r="Q388" s="20">
        <v>9.58</v>
      </c>
      <c r="R388" s="20">
        <v>457.62</v>
      </c>
      <c r="S388" s="20">
        <v>0.1</v>
      </c>
      <c r="T388" s="20">
        <v>45.76</v>
      </c>
      <c r="U388" s="20">
        <v>411.85</v>
      </c>
      <c r="V388" s="20">
        <v>239.49</v>
      </c>
      <c r="W388" s="20">
        <v>172.37</v>
      </c>
      <c r="X388" s="20" t="s">
        <v>45</v>
      </c>
    </row>
    <row r="389" spans="1:24" x14ac:dyDescent="0.25">
      <c r="A389" s="23" t="s">
        <v>796</v>
      </c>
      <c r="B389" s="22">
        <v>45357</v>
      </c>
      <c r="C389" s="23" t="s">
        <v>596</v>
      </c>
      <c r="D389" s="23" t="s">
        <v>597</v>
      </c>
      <c r="E389" s="23" t="s">
        <v>114</v>
      </c>
      <c r="F389" s="23" t="s">
        <v>2588</v>
      </c>
      <c r="G389" s="23" t="s">
        <v>2586</v>
      </c>
      <c r="H389" s="23" t="s">
        <v>116</v>
      </c>
      <c r="I389" s="23" t="s">
        <v>27</v>
      </c>
      <c r="J389" s="23" t="s">
        <v>189</v>
      </c>
      <c r="K389" s="23" t="s">
        <v>170</v>
      </c>
      <c r="L389" s="23" t="s">
        <v>2671</v>
      </c>
      <c r="M389" s="23" t="s">
        <v>153</v>
      </c>
      <c r="N389" s="23" t="s">
        <v>2578</v>
      </c>
      <c r="O389" s="23">
        <v>47</v>
      </c>
      <c r="P389" s="23">
        <v>32.43</v>
      </c>
      <c r="Q389" s="23">
        <v>19.82</v>
      </c>
      <c r="R389" s="23">
        <v>1524.34</v>
      </c>
      <c r="S389" s="23">
        <v>0.05</v>
      </c>
      <c r="T389" s="23">
        <v>76.22</v>
      </c>
      <c r="U389" s="23">
        <v>1448.12</v>
      </c>
      <c r="V389" s="23">
        <v>931.47</v>
      </c>
      <c r="W389" s="23">
        <v>516.66</v>
      </c>
      <c r="X389" s="23" t="s">
        <v>45</v>
      </c>
    </row>
    <row r="390" spans="1:24" x14ac:dyDescent="0.25">
      <c r="A390" s="20" t="s">
        <v>797</v>
      </c>
      <c r="B390" s="19">
        <v>45548</v>
      </c>
      <c r="C390" s="20" t="s">
        <v>798</v>
      </c>
      <c r="D390" s="20" t="s">
        <v>259</v>
      </c>
      <c r="E390" s="20" t="s">
        <v>132</v>
      </c>
      <c r="F390" s="20" t="s">
        <v>133</v>
      </c>
      <c r="G390" s="20" t="s">
        <v>2581</v>
      </c>
      <c r="H390" s="20" t="s">
        <v>134</v>
      </c>
      <c r="I390" s="20" t="s">
        <v>40</v>
      </c>
      <c r="J390" s="20" t="s">
        <v>82</v>
      </c>
      <c r="K390" s="20" t="s">
        <v>60</v>
      </c>
      <c r="L390" s="20" t="s">
        <v>2677</v>
      </c>
      <c r="M390" s="20" t="s">
        <v>153</v>
      </c>
      <c r="N390" s="20" t="s">
        <v>84</v>
      </c>
      <c r="O390" s="20">
        <v>6</v>
      </c>
      <c r="P390" s="20">
        <v>62.41</v>
      </c>
      <c r="Q390" s="20">
        <v>35.67</v>
      </c>
      <c r="R390" s="20">
        <v>374.44</v>
      </c>
      <c r="S390" s="20">
        <v>0</v>
      </c>
      <c r="T390" s="20">
        <v>0</v>
      </c>
      <c r="U390" s="20">
        <v>374.44</v>
      </c>
      <c r="V390" s="20">
        <v>214.02</v>
      </c>
      <c r="W390" s="20">
        <v>160.41999999999999</v>
      </c>
      <c r="X390" s="20" t="s">
        <v>32</v>
      </c>
    </row>
    <row r="391" spans="1:24" x14ac:dyDescent="0.25">
      <c r="A391" s="23" t="s">
        <v>799</v>
      </c>
      <c r="B391" s="22">
        <v>45494</v>
      </c>
      <c r="C391" s="23" t="s">
        <v>800</v>
      </c>
      <c r="D391" s="23" t="s">
        <v>264</v>
      </c>
      <c r="E391" s="23" t="s">
        <v>141</v>
      </c>
      <c r="F391" s="23" t="s">
        <v>2590</v>
      </c>
      <c r="G391" s="23" t="s">
        <v>2577</v>
      </c>
      <c r="H391" s="23" t="s">
        <v>26</v>
      </c>
      <c r="I391" s="23" t="s">
        <v>27</v>
      </c>
      <c r="J391" s="23" t="s">
        <v>28</v>
      </c>
      <c r="K391" s="23" t="s">
        <v>90</v>
      </c>
      <c r="L391" s="23" t="s">
        <v>2684</v>
      </c>
      <c r="M391" s="23" t="s">
        <v>30</v>
      </c>
      <c r="N391" s="23" t="s">
        <v>84</v>
      </c>
      <c r="O391" s="23">
        <v>38</v>
      </c>
      <c r="P391" s="23">
        <v>91.58</v>
      </c>
      <c r="Q391" s="23">
        <v>54.81</v>
      </c>
      <c r="R391" s="23">
        <v>3480.21</v>
      </c>
      <c r="S391" s="23">
        <v>0.15</v>
      </c>
      <c r="T391" s="23">
        <v>522.03</v>
      </c>
      <c r="U391" s="23">
        <v>2958.18</v>
      </c>
      <c r="V391" s="23">
        <v>2082.7600000000002</v>
      </c>
      <c r="W391" s="23">
        <v>875.41</v>
      </c>
      <c r="X391" s="23" t="s">
        <v>45</v>
      </c>
    </row>
    <row r="392" spans="1:24" x14ac:dyDescent="0.25">
      <c r="A392" s="20" t="s">
        <v>801</v>
      </c>
      <c r="B392" s="19">
        <v>45506</v>
      </c>
      <c r="C392" s="20" t="s">
        <v>802</v>
      </c>
      <c r="D392" s="20" t="s">
        <v>22</v>
      </c>
      <c r="E392" s="20" t="s">
        <v>150</v>
      </c>
      <c r="F392" s="20" t="s">
        <v>2591</v>
      </c>
      <c r="G392" s="20" t="s">
        <v>2587</v>
      </c>
      <c r="H392" s="20" t="s">
        <v>134</v>
      </c>
      <c r="I392" s="20" t="s">
        <v>27</v>
      </c>
      <c r="J392" s="20" t="s">
        <v>28</v>
      </c>
      <c r="K392" s="20" t="s">
        <v>111</v>
      </c>
      <c r="L392" s="20" t="s">
        <v>2685</v>
      </c>
      <c r="M392" s="20" t="s">
        <v>61</v>
      </c>
      <c r="N392" s="20" t="s">
        <v>70</v>
      </c>
      <c r="O392" s="20">
        <v>17</v>
      </c>
      <c r="P392" s="20">
        <v>89.03</v>
      </c>
      <c r="Q392" s="20">
        <v>49.14</v>
      </c>
      <c r="R392" s="20">
        <v>1513.49</v>
      </c>
      <c r="S392" s="20">
        <v>0.05</v>
      </c>
      <c r="T392" s="20">
        <v>75.67</v>
      </c>
      <c r="U392" s="20">
        <v>1437.82</v>
      </c>
      <c r="V392" s="20">
        <v>835.36</v>
      </c>
      <c r="W392" s="20">
        <v>602.45000000000005</v>
      </c>
      <c r="X392" s="20" t="s">
        <v>45</v>
      </c>
    </row>
    <row r="393" spans="1:24" x14ac:dyDescent="0.25">
      <c r="A393" s="23" t="s">
        <v>803</v>
      </c>
      <c r="B393" s="22">
        <v>45541</v>
      </c>
      <c r="C393" s="23" t="s">
        <v>572</v>
      </c>
      <c r="D393" s="23" t="s">
        <v>57</v>
      </c>
      <c r="E393" s="23" t="s">
        <v>141</v>
      </c>
      <c r="F393" s="23" t="s">
        <v>2590</v>
      </c>
      <c r="G393" s="23" t="s">
        <v>2577</v>
      </c>
      <c r="H393" s="23" t="s">
        <v>26</v>
      </c>
      <c r="I393" s="23" t="s">
        <v>27</v>
      </c>
      <c r="J393" s="23" t="s">
        <v>106</v>
      </c>
      <c r="K393" s="23" t="s">
        <v>170</v>
      </c>
      <c r="L393" s="23" t="s">
        <v>2671</v>
      </c>
      <c r="M393" s="23" t="s">
        <v>61</v>
      </c>
      <c r="N393" s="23" t="s">
        <v>84</v>
      </c>
      <c r="O393" s="23">
        <v>37</v>
      </c>
      <c r="P393" s="23">
        <v>102.23</v>
      </c>
      <c r="Q393" s="23">
        <v>60.94</v>
      </c>
      <c r="R393" s="23">
        <v>3782.33</v>
      </c>
      <c r="S393" s="23">
        <v>0.05</v>
      </c>
      <c r="T393" s="23">
        <v>189.12</v>
      </c>
      <c r="U393" s="23">
        <v>3593.22</v>
      </c>
      <c r="V393" s="23">
        <v>2254.84</v>
      </c>
      <c r="W393" s="23">
        <v>1338.38</v>
      </c>
      <c r="X393" s="23" t="s">
        <v>129</v>
      </c>
    </row>
    <row r="394" spans="1:24" x14ac:dyDescent="0.25">
      <c r="A394" s="20" t="s">
        <v>804</v>
      </c>
      <c r="B394" s="19">
        <v>45482</v>
      </c>
      <c r="C394" s="20" t="s">
        <v>466</v>
      </c>
      <c r="D394" s="20" t="s">
        <v>221</v>
      </c>
      <c r="E394" s="20" t="s">
        <v>93</v>
      </c>
      <c r="F394" s="20" t="s">
        <v>2585</v>
      </c>
      <c r="G394" s="20" t="s">
        <v>2586</v>
      </c>
      <c r="H394" s="20" t="s">
        <v>96</v>
      </c>
      <c r="I394" s="20" t="s">
        <v>88</v>
      </c>
      <c r="J394" s="20" t="s">
        <v>135</v>
      </c>
      <c r="K394" s="20" t="s">
        <v>261</v>
      </c>
      <c r="L394" s="20" t="s">
        <v>2695</v>
      </c>
      <c r="M394" s="20" t="s">
        <v>43</v>
      </c>
      <c r="N394" s="20" t="s">
        <v>70</v>
      </c>
      <c r="O394" s="20">
        <v>11</v>
      </c>
      <c r="P394" s="20">
        <v>51.65</v>
      </c>
      <c r="Q394" s="20">
        <v>34</v>
      </c>
      <c r="R394" s="20">
        <v>568.19000000000005</v>
      </c>
      <c r="S394" s="20">
        <v>1.1000000000000001</v>
      </c>
      <c r="T394" s="20">
        <v>85.23</v>
      </c>
      <c r="U394" s="20">
        <v>482.96</v>
      </c>
      <c r="V394" s="20">
        <v>373.99</v>
      </c>
      <c r="W394" s="20">
        <v>108.97</v>
      </c>
      <c r="X394" s="20" t="s">
        <v>45</v>
      </c>
    </row>
    <row r="395" spans="1:24" x14ac:dyDescent="0.25">
      <c r="A395" s="23" t="s">
        <v>805</v>
      </c>
      <c r="B395" s="22">
        <v>45415</v>
      </c>
      <c r="C395" s="23" t="s">
        <v>399</v>
      </c>
      <c r="D395" s="23" t="s">
        <v>48</v>
      </c>
      <c r="E395" s="23" t="s">
        <v>23</v>
      </c>
      <c r="F395" s="23" t="s">
        <v>2576</v>
      </c>
      <c r="G395" s="23" t="s">
        <v>2577</v>
      </c>
      <c r="H395" s="23" t="s">
        <v>26</v>
      </c>
      <c r="I395" s="23" t="s">
        <v>40</v>
      </c>
      <c r="J395" s="23" t="s">
        <v>117</v>
      </c>
      <c r="K395" s="23" t="s">
        <v>178</v>
      </c>
      <c r="L395" s="23" t="s">
        <v>2689</v>
      </c>
      <c r="M395" s="23" t="s">
        <v>30</v>
      </c>
      <c r="N395" s="23" t="s">
        <v>84</v>
      </c>
      <c r="O395" s="23">
        <v>72</v>
      </c>
      <c r="P395" s="23">
        <v>75.69</v>
      </c>
      <c r="Q395" s="23">
        <v>42.92</v>
      </c>
      <c r="R395" s="23">
        <v>5449.86</v>
      </c>
      <c r="S395" s="23">
        <v>0.1</v>
      </c>
      <c r="T395" s="23">
        <v>544.99</v>
      </c>
      <c r="U395" s="23">
        <v>4904.87</v>
      </c>
      <c r="V395" s="23">
        <v>3090.59</v>
      </c>
      <c r="W395" s="23">
        <v>1814.29</v>
      </c>
      <c r="X395" s="23" t="s">
        <v>45</v>
      </c>
    </row>
    <row r="396" spans="1:24" x14ac:dyDescent="0.25">
      <c r="A396" s="20" t="s">
        <v>806</v>
      </c>
      <c r="B396" s="19">
        <v>45520</v>
      </c>
      <c r="C396" s="20" t="s">
        <v>580</v>
      </c>
      <c r="D396" s="20" t="s">
        <v>156</v>
      </c>
      <c r="E396" s="20" t="s">
        <v>36</v>
      </c>
      <c r="F396" s="20" t="s">
        <v>37</v>
      </c>
      <c r="G396" s="20" t="s">
        <v>2579</v>
      </c>
      <c r="H396" s="20" t="s">
        <v>39</v>
      </c>
      <c r="I396" s="20" t="s">
        <v>40</v>
      </c>
      <c r="J396" s="20" t="s">
        <v>41</v>
      </c>
      <c r="K396" s="20" t="s">
        <v>42</v>
      </c>
      <c r="L396" s="20" t="s">
        <v>2680</v>
      </c>
      <c r="M396" s="20" t="s">
        <v>61</v>
      </c>
      <c r="N396" s="20" t="s">
        <v>84</v>
      </c>
      <c r="O396" s="20">
        <v>48</v>
      </c>
      <c r="P396" s="20">
        <v>178.11</v>
      </c>
      <c r="Q396" s="20">
        <v>99.88</v>
      </c>
      <c r="R396" s="20">
        <v>8549.34</v>
      </c>
      <c r="S396" s="20">
        <v>0.1</v>
      </c>
      <c r="T396" s="20">
        <v>854.93</v>
      </c>
      <c r="U396" s="20">
        <v>7694.4</v>
      </c>
      <c r="V396" s="20">
        <v>4794.1499999999996</v>
      </c>
      <c r="W396" s="20">
        <v>2900.26</v>
      </c>
      <c r="X396" s="20" t="s">
        <v>45</v>
      </c>
    </row>
    <row r="397" spans="1:24" x14ac:dyDescent="0.25">
      <c r="A397" s="23" t="s">
        <v>807</v>
      </c>
      <c r="B397" s="22">
        <v>45360</v>
      </c>
      <c r="C397" s="23" t="s">
        <v>533</v>
      </c>
      <c r="D397" s="23" t="s">
        <v>163</v>
      </c>
      <c r="E397" s="23" t="s">
        <v>165</v>
      </c>
      <c r="F397" s="23" t="s">
        <v>2592</v>
      </c>
      <c r="G397" s="23" t="s">
        <v>2586</v>
      </c>
      <c r="H397" s="23" t="s">
        <v>167</v>
      </c>
      <c r="I397" s="23" t="s">
        <v>58</v>
      </c>
      <c r="J397" s="23" t="s">
        <v>323</v>
      </c>
      <c r="K397" s="23" t="s">
        <v>29</v>
      </c>
      <c r="L397" s="23" t="s">
        <v>2679</v>
      </c>
      <c r="M397" s="23" t="s">
        <v>43</v>
      </c>
      <c r="N397" s="23" t="s">
        <v>84</v>
      </c>
      <c r="O397" s="23">
        <v>37</v>
      </c>
      <c r="P397" s="23">
        <v>38.979999999999997</v>
      </c>
      <c r="Q397" s="23">
        <v>23.16</v>
      </c>
      <c r="R397" s="23">
        <v>1442.27</v>
      </c>
      <c r="S397" s="23">
        <v>0.1</v>
      </c>
      <c r="T397" s="23">
        <v>144.22999999999999</v>
      </c>
      <c r="U397" s="23">
        <v>1298.04</v>
      </c>
      <c r="V397" s="23">
        <v>856.83</v>
      </c>
      <c r="W397" s="23">
        <v>441.21</v>
      </c>
      <c r="X397" s="23" t="s">
        <v>32</v>
      </c>
    </row>
    <row r="398" spans="1:24" x14ac:dyDescent="0.25">
      <c r="A398" s="20" t="s">
        <v>808</v>
      </c>
      <c r="B398" s="19">
        <v>45301</v>
      </c>
      <c r="C398" s="20" t="s">
        <v>312</v>
      </c>
      <c r="D398" s="20" t="s">
        <v>57</v>
      </c>
      <c r="E398" s="20" t="s">
        <v>99</v>
      </c>
      <c r="F398" s="20" t="s">
        <v>100</v>
      </c>
      <c r="G398" s="20" t="s">
        <v>2587</v>
      </c>
      <c r="H398" s="20" t="s">
        <v>102</v>
      </c>
      <c r="I398" s="20" t="s">
        <v>53</v>
      </c>
      <c r="J398" s="20" t="s">
        <v>143</v>
      </c>
      <c r="K398" s="20" t="s">
        <v>195</v>
      </c>
      <c r="L398" s="20" t="s">
        <v>2691</v>
      </c>
      <c r="M398" s="20" t="s">
        <v>61</v>
      </c>
      <c r="N398" s="20" t="s">
        <v>84</v>
      </c>
      <c r="O398" s="20">
        <v>58</v>
      </c>
      <c r="P398" s="20">
        <v>65.28</v>
      </c>
      <c r="Q398" s="20">
        <v>41.29</v>
      </c>
      <c r="R398" s="20">
        <v>3786.16</v>
      </c>
      <c r="S398" s="20">
        <v>0.05</v>
      </c>
      <c r="T398" s="20">
        <v>189.31</v>
      </c>
      <c r="U398" s="20">
        <v>3596.86</v>
      </c>
      <c r="V398" s="20">
        <v>2394.9299999999998</v>
      </c>
      <c r="W398" s="20">
        <v>1201.93</v>
      </c>
      <c r="X398" s="20" t="s">
        <v>129</v>
      </c>
    </row>
    <row r="399" spans="1:24" x14ac:dyDescent="0.25">
      <c r="A399" s="23" t="s">
        <v>809</v>
      </c>
      <c r="B399" s="22">
        <v>45292</v>
      </c>
      <c r="C399" s="23" t="s">
        <v>458</v>
      </c>
      <c r="D399" s="23" t="s">
        <v>163</v>
      </c>
      <c r="E399" s="23" t="s">
        <v>141</v>
      </c>
      <c r="F399" s="23" t="s">
        <v>2590</v>
      </c>
      <c r="G399" s="23" t="s">
        <v>2577</v>
      </c>
      <c r="H399" s="23" t="s">
        <v>26</v>
      </c>
      <c r="I399" s="23" t="s">
        <v>88</v>
      </c>
      <c r="J399" s="23" t="s">
        <v>183</v>
      </c>
      <c r="K399" s="23" t="s">
        <v>218</v>
      </c>
      <c r="L399" s="23" t="s">
        <v>2692</v>
      </c>
      <c r="M399" s="23" t="s">
        <v>61</v>
      </c>
      <c r="N399" s="23" t="s">
        <v>44</v>
      </c>
      <c r="O399" s="23">
        <v>10</v>
      </c>
      <c r="P399" s="23">
        <v>100.28</v>
      </c>
      <c r="Q399" s="23">
        <v>53.58</v>
      </c>
      <c r="R399" s="23">
        <v>1002.75</v>
      </c>
      <c r="S399" s="23">
        <v>0.05</v>
      </c>
      <c r="T399" s="23">
        <v>50.14</v>
      </c>
      <c r="U399" s="23">
        <v>952.62</v>
      </c>
      <c r="V399" s="23">
        <v>535.79</v>
      </c>
      <c r="W399" s="23">
        <v>416.83</v>
      </c>
      <c r="X399" s="23" t="s">
        <v>32</v>
      </c>
    </row>
    <row r="400" spans="1:24" x14ac:dyDescent="0.25">
      <c r="A400" s="20" t="s">
        <v>810</v>
      </c>
      <c r="B400" s="19">
        <v>45576</v>
      </c>
      <c r="C400" s="20" t="s">
        <v>811</v>
      </c>
      <c r="D400" s="20" t="s">
        <v>359</v>
      </c>
      <c r="E400" s="20" t="s">
        <v>187</v>
      </c>
      <c r="F400" s="20" t="s">
        <v>2594</v>
      </c>
      <c r="G400" s="20" t="s">
        <v>2577</v>
      </c>
      <c r="H400" s="20" t="s">
        <v>26</v>
      </c>
      <c r="I400" s="20" t="s">
        <v>40</v>
      </c>
      <c r="J400" s="20" t="s">
        <v>289</v>
      </c>
      <c r="K400" s="20" t="s">
        <v>265</v>
      </c>
      <c r="L400" s="20" t="s">
        <v>2663</v>
      </c>
      <c r="M400" s="20" t="s">
        <v>61</v>
      </c>
      <c r="N400" s="20" t="s">
        <v>2578</v>
      </c>
      <c r="O400" s="20">
        <v>2</v>
      </c>
      <c r="P400" s="20">
        <v>51.4</v>
      </c>
      <c r="Q400" s="20">
        <v>28.18</v>
      </c>
      <c r="R400" s="20">
        <v>102.8</v>
      </c>
      <c r="S400" s="20">
        <v>0.15</v>
      </c>
      <c r="T400" s="20">
        <v>15.42</v>
      </c>
      <c r="U400" s="20">
        <v>87.38</v>
      </c>
      <c r="V400" s="20">
        <v>56.36</v>
      </c>
      <c r="W400" s="20">
        <v>31.02</v>
      </c>
      <c r="X400" s="20" t="s">
        <v>45</v>
      </c>
    </row>
    <row r="401" spans="1:24" x14ac:dyDescent="0.25">
      <c r="A401" s="23" t="s">
        <v>812</v>
      </c>
      <c r="B401" s="22">
        <v>45612</v>
      </c>
      <c r="C401" s="23" t="s">
        <v>531</v>
      </c>
      <c r="D401" s="23" t="s">
        <v>264</v>
      </c>
      <c r="E401" s="23" t="s">
        <v>23</v>
      </c>
      <c r="F401" s="23" t="s">
        <v>2576</v>
      </c>
      <c r="G401" s="23" t="s">
        <v>2577</v>
      </c>
      <c r="H401" s="23" t="s">
        <v>26</v>
      </c>
      <c r="I401" s="23" t="s">
        <v>58</v>
      </c>
      <c r="J401" s="23" t="s">
        <v>345</v>
      </c>
      <c r="K401" s="23" t="s">
        <v>261</v>
      </c>
      <c r="L401" s="23" t="s">
        <v>2695</v>
      </c>
      <c r="M401" s="23" t="s">
        <v>30</v>
      </c>
      <c r="N401" s="23" t="s">
        <v>84</v>
      </c>
      <c r="O401" s="23">
        <v>2</v>
      </c>
      <c r="P401" s="23">
        <v>77.739999999999995</v>
      </c>
      <c r="Q401" s="23">
        <v>43.98</v>
      </c>
      <c r="R401" s="23">
        <v>155.47</v>
      </c>
      <c r="S401" s="23">
        <v>0.05</v>
      </c>
      <c r="T401" s="23">
        <v>7.77</v>
      </c>
      <c r="U401" s="23">
        <v>147.69999999999999</v>
      </c>
      <c r="V401" s="23">
        <v>87.95</v>
      </c>
      <c r="W401" s="23">
        <v>59.75</v>
      </c>
      <c r="X401" s="23" t="s">
        <v>45</v>
      </c>
    </row>
    <row r="402" spans="1:24" x14ac:dyDescent="0.25">
      <c r="A402" s="20" t="s">
        <v>813</v>
      </c>
      <c r="B402" s="19">
        <v>45415</v>
      </c>
      <c r="C402" s="20" t="s">
        <v>814</v>
      </c>
      <c r="D402" s="20" t="s">
        <v>22</v>
      </c>
      <c r="E402" s="20" t="s">
        <v>141</v>
      </c>
      <c r="F402" s="20" t="s">
        <v>2590</v>
      </c>
      <c r="G402" s="20" t="s">
        <v>2577</v>
      </c>
      <c r="H402" s="20" t="s">
        <v>26</v>
      </c>
      <c r="I402" s="20" t="s">
        <v>58</v>
      </c>
      <c r="J402" s="20" t="s">
        <v>73</v>
      </c>
      <c r="K402" s="20" t="s">
        <v>195</v>
      </c>
      <c r="L402" s="20" t="s">
        <v>2691</v>
      </c>
      <c r="M402" s="20" t="s">
        <v>30</v>
      </c>
      <c r="N402" s="20" t="s">
        <v>44</v>
      </c>
      <c r="O402" s="20">
        <v>69</v>
      </c>
      <c r="P402" s="20">
        <v>102.11</v>
      </c>
      <c r="Q402" s="20">
        <v>53.98</v>
      </c>
      <c r="R402" s="20">
        <v>7045.91</v>
      </c>
      <c r="S402" s="20">
        <v>0.05</v>
      </c>
      <c r="T402" s="20">
        <v>352.3</v>
      </c>
      <c r="U402" s="20">
        <v>6693.61</v>
      </c>
      <c r="V402" s="20">
        <v>3724.46</v>
      </c>
      <c r="W402" s="20">
        <v>2969.15</v>
      </c>
      <c r="X402" s="20" t="s">
        <v>45</v>
      </c>
    </row>
    <row r="403" spans="1:24" x14ac:dyDescent="0.25">
      <c r="A403" s="23" t="s">
        <v>815</v>
      </c>
      <c r="B403" s="22">
        <v>45436</v>
      </c>
      <c r="C403" s="23" t="s">
        <v>239</v>
      </c>
      <c r="D403" s="23" t="s">
        <v>65</v>
      </c>
      <c r="E403" s="23" t="s">
        <v>66</v>
      </c>
      <c r="F403" s="23" t="s">
        <v>2582</v>
      </c>
      <c r="G403" s="23" t="s">
        <v>2579</v>
      </c>
      <c r="H403" s="23" t="s">
        <v>68</v>
      </c>
      <c r="I403" s="23" t="s">
        <v>27</v>
      </c>
      <c r="J403" s="23" t="s">
        <v>28</v>
      </c>
      <c r="K403" s="23" t="s">
        <v>265</v>
      </c>
      <c r="L403" s="23" t="s">
        <v>2663</v>
      </c>
      <c r="M403" s="23" t="s">
        <v>30</v>
      </c>
      <c r="N403" s="23" t="s">
        <v>84</v>
      </c>
      <c r="O403" s="23">
        <v>34</v>
      </c>
      <c r="P403" s="23">
        <v>171.96</v>
      </c>
      <c r="Q403" s="23">
        <v>102.63</v>
      </c>
      <c r="R403" s="23">
        <v>5846.59</v>
      </c>
      <c r="S403" s="23">
        <v>0.02</v>
      </c>
      <c r="T403" s="23">
        <v>116.93</v>
      </c>
      <c r="U403" s="23">
        <v>5729.66</v>
      </c>
      <c r="V403" s="23">
        <v>3489.47</v>
      </c>
      <c r="W403" s="23">
        <v>2240.1799999999998</v>
      </c>
      <c r="X403" s="23" t="s">
        <v>45</v>
      </c>
    </row>
    <row r="404" spans="1:24" x14ac:dyDescent="0.25">
      <c r="A404" s="20" t="s">
        <v>816</v>
      </c>
      <c r="B404" s="19">
        <v>45547</v>
      </c>
      <c r="C404" s="20" t="s">
        <v>817</v>
      </c>
      <c r="D404" s="20" t="s">
        <v>121</v>
      </c>
      <c r="E404" s="20" t="s">
        <v>66</v>
      </c>
      <c r="F404" s="20" t="s">
        <v>2582</v>
      </c>
      <c r="G404" s="20" t="s">
        <v>2579</v>
      </c>
      <c r="H404" s="20" t="s">
        <v>68</v>
      </c>
      <c r="I404" s="20" t="s">
        <v>27</v>
      </c>
      <c r="J404" s="20" t="s">
        <v>189</v>
      </c>
      <c r="K404" s="20" t="s">
        <v>152</v>
      </c>
      <c r="L404" s="20" t="s">
        <v>2688</v>
      </c>
      <c r="M404" s="20" t="s">
        <v>153</v>
      </c>
      <c r="N404" s="20" t="s">
        <v>75</v>
      </c>
      <c r="O404" s="20">
        <v>4</v>
      </c>
      <c r="P404" s="20">
        <v>152.47</v>
      </c>
      <c r="Q404" s="20">
        <v>97.54</v>
      </c>
      <c r="R404" s="20">
        <v>609.88</v>
      </c>
      <c r="S404" s="20">
        <v>0.02</v>
      </c>
      <c r="T404" s="20">
        <v>12.2</v>
      </c>
      <c r="U404" s="20">
        <v>597.67999999999995</v>
      </c>
      <c r="V404" s="20">
        <v>390.17</v>
      </c>
      <c r="W404" s="20">
        <v>207.51</v>
      </c>
      <c r="X404" s="20" t="s">
        <v>45</v>
      </c>
    </row>
    <row r="405" spans="1:24" x14ac:dyDescent="0.25">
      <c r="A405" s="23" t="s">
        <v>818</v>
      </c>
      <c r="B405" s="22">
        <v>45536</v>
      </c>
      <c r="C405" s="23" t="s">
        <v>701</v>
      </c>
      <c r="D405" s="23" t="s">
        <v>48</v>
      </c>
      <c r="E405" s="23" t="s">
        <v>165</v>
      </c>
      <c r="F405" s="23" t="s">
        <v>2592</v>
      </c>
      <c r="G405" s="23" t="s">
        <v>2586</v>
      </c>
      <c r="H405" s="23" t="s">
        <v>167</v>
      </c>
      <c r="I405" s="23" t="s">
        <v>58</v>
      </c>
      <c r="J405" s="23" t="s">
        <v>59</v>
      </c>
      <c r="K405" s="23" t="s">
        <v>42</v>
      </c>
      <c r="L405" s="23" t="s">
        <v>2680</v>
      </c>
      <c r="M405" s="23" t="s">
        <v>30</v>
      </c>
      <c r="N405" s="23" t="s">
        <v>70</v>
      </c>
      <c r="O405" s="23">
        <v>9</v>
      </c>
      <c r="P405" s="23">
        <v>41.31</v>
      </c>
      <c r="Q405" s="23">
        <v>24.06</v>
      </c>
      <c r="R405" s="23">
        <v>371.81</v>
      </c>
      <c r="S405" s="23">
        <v>0.2</v>
      </c>
      <c r="T405" s="23">
        <v>74.36</v>
      </c>
      <c r="U405" s="23">
        <v>297.45</v>
      </c>
      <c r="V405" s="23">
        <v>216.51</v>
      </c>
      <c r="W405" s="23">
        <v>80.930000000000007</v>
      </c>
      <c r="X405" s="23" t="s">
        <v>32</v>
      </c>
    </row>
    <row r="406" spans="1:24" x14ac:dyDescent="0.25">
      <c r="A406" s="20" t="s">
        <v>819</v>
      </c>
      <c r="B406" s="19">
        <v>45569</v>
      </c>
      <c r="C406" s="20" t="s">
        <v>477</v>
      </c>
      <c r="D406" s="20" t="s">
        <v>221</v>
      </c>
      <c r="E406" s="20" t="s">
        <v>109</v>
      </c>
      <c r="F406" s="20" t="s">
        <v>110</v>
      </c>
      <c r="G406" s="20" t="s">
        <v>2584</v>
      </c>
      <c r="H406" s="20" t="s">
        <v>81</v>
      </c>
      <c r="I406" s="20" t="s">
        <v>58</v>
      </c>
      <c r="J406" s="20" t="s">
        <v>323</v>
      </c>
      <c r="K406" s="20" t="s">
        <v>170</v>
      </c>
      <c r="L406" s="20" t="s">
        <v>2671</v>
      </c>
      <c r="M406" s="20" t="s">
        <v>43</v>
      </c>
      <c r="N406" s="20" t="s">
        <v>84</v>
      </c>
      <c r="O406" s="20">
        <v>13</v>
      </c>
      <c r="P406" s="20">
        <v>116.37</v>
      </c>
      <c r="Q406" s="20">
        <v>77.36</v>
      </c>
      <c r="R406" s="20">
        <v>1512.77</v>
      </c>
      <c r="S406" s="20">
        <v>0.02</v>
      </c>
      <c r="T406" s="20">
        <v>30.26</v>
      </c>
      <c r="U406" s="20">
        <v>1482.52</v>
      </c>
      <c r="V406" s="20">
        <v>1005.68</v>
      </c>
      <c r="W406" s="20">
        <v>476.84</v>
      </c>
      <c r="X406" s="20" t="s">
        <v>45</v>
      </c>
    </row>
    <row r="407" spans="1:24" x14ac:dyDescent="0.25">
      <c r="A407" s="23" t="s">
        <v>820</v>
      </c>
      <c r="B407" s="22">
        <v>45382</v>
      </c>
      <c r="C407" s="23" t="s">
        <v>519</v>
      </c>
      <c r="D407" s="23" t="s">
        <v>121</v>
      </c>
      <c r="E407" s="23" t="s">
        <v>66</v>
      </c>
      <c r="F407" s="23" t="s">
        <v>2582</v>
      </c>
      <c r="G407" s="23" t="s">
        <v>2579</v>
      </c>
      <c r="H407" s="23" t="s">
        <v>68</v>
      </c>
      <c r="I407" s="23" t="s">
        <v>88</v>
      </c>
      <c r="J407" s="23" t="s">
        <v>173</v>
      </c>
      <c r="K407" s="23" t="s">
        <v>42</v>
      </c>
      <c r="L407" s="23" t="s">
        <v>2680</v>
      </c>
      <c r="M407" s="23" t="s">
        <v>61</v>
      </c>
      <c r="N407" s="23" t="s">
        <v>70</v>
      </c>
      <c r="O407" s="23">
        <v>48</v>
      </c>
      <c r="P407" s="23">
        <v>151.08000000000001</v>
      </c>
      <c r="Q407" s="23">
        <v>110.25</v>
      </c>
      <c r="R407" s="23">
        <v>7251.88</v>
      </c>
      <c r="S407" s="23">
        <v>0</v>
      </c>
      <c r="T407" s="23">
        <v>0</v>
      </c>
      <c r="U407" s="23">
        <v>7251.88</v>
      </c>
      <c r="V407" s="23">
        <v>5292.23</v>
      </c>
      <c r="W407" s="23">
        <v>1959.65</v>
      </c>
      <c r="X407" s="23" t="s">
        <v>45</v>
      </c>
    </row>
    <row r="408" spans="1:24" x14ac:dyDescent="0.25">
      <c r="A408" s="20" t="s">
        <v>821</v>
      </c>
      <c r="B408" s="19">
        <v>45476</v>
      </c>
      <c r="C408" s="20" t="s">
        <v>817</v>
      </c>
      <c r="D408" s="20" t="s">
        <v>121</v>
      </c>
      <c r="E408" s="20" t="s">
        <v>150</v>
      </c>
      <c r="F408" s="20" t="s">
        <v>2591</v>
      </c>
      <c r="G408" s="20" t="s">
        <v>2587</v>
      </c>
      <c r="H408" s="20" t="s">
        <v>134</v>
      </c>
      <c r="I408" s="20" t="s">
        <v>27</v>
      </c>
      <c r="J408" s="20" t="s">
        <v>211</v>
      </c>
      <c r="K408" s="20" t="s">
        <v>118</v>
      </c>
      <c r="L408" s="20" t="s">
        <v>2686</v>
      </c>
      <c r="M408" s="20" t="s">
        <v>153</v>
      </c>
      <c r="N408" s="20" t="s">
        <v>70</v>
      </c>
      <c r="O408" s="20">
        <v>32</v>
      </c>
      <c r="P408" s="20">
        <v>91.67</v>
      </c>
      <c r="Q408" s="20">
        <v>49.46</v>
      </c>
      <c r="R408" s="20">
        <v>2933.3</v>
      </c>
      <c r="S408" s="20">
        <v>0.2</v>
      </c>
      <c r="T408" s="20">
        <v>586.66</v>
      </c>
      <c r="U408" s="20">
        <v>2346.64</v>
      </c>
      <c r="V408" s="20">
        <v>1582.88</v>
      </c>
      <c r="W408" s="20">
        <v>763.76</v>
      </c>
      <c r="X408" s="20" t="s">
        <v>45</v>
      </c>
    </row>
    <row r="409" spans="1:24" x14ac:dyDescent="0.25">
      <c r="A409" s="23" t="s">
        <v>822</v>
      </c>
      <c r="B409" s="22">
        <v>45645</v>
      </c>
      <c r="C409" s="23" t="s">
        <v>823</v>
      </c>
      <c r="D409" s="23" t="s">
        <v>87</v>
      </c>
      <c r="E409" s="23" t="s">
        <v>216</v>
      </c>
      <c r="F409" s="23" t="s">
        <v>2596</v>
      </c>
      <c r="G409" s="23" t="s">
        <v>2579</v>
      </c>
      <c r="H409" s="23" t="s">
        <v>134</v>
      </c>
      <c r="I409" s="23" t="s">
        <v>27</v>
      </c>
      <c r="J409" s="23" t="s">
        <v>28</v>
      </c>
      <c r="K409" s="23" t="s">
        <v>218</v>
      </c>
      <c r="L409" s="23" t="s">
        <v>2692</v>
      </c>
      <c r="M409" s="23" t="s">
        <v>153</v>
      </c>
      <c r="N409" s="23" t="s">
        <v>44</v>
      </c>
      <c r="O409" s="23">
        <v>37</v>
      </c>
      <c r="P409" s="23">
        <v>115.71</v>
      </c>
      <c r="Q409" s="23">
        <v>65.37</v>
      </c>
      <c r="R409" s="23">
        <v>4281.43</v>
      </c>
      <c r="S409" s="23">
        <v>0.05</v>
      </c>
      <c r="T409" s="23">
        <v>214.07</v>
      </c>
      <c r="U409" s="23">
        <v>4067.36</v>
      </c>
      <c r="V409" s="23">
        <v>2418.64</v>
      </c>
      <c r="W409" s="23">
        <v>1648.73</v>
      </c>
      <c r="X409" s="23" t="s">
        <v>32</v>
      </c>
    </row>
    <row r="410" spans="1:24" x14ac:dyDescent="0.25">
      <c r="A410" s="20" t="s">
        <v>824</v>
      </c>
      <c r="B410" s="19">
        <v>45406</v>
      </c>
      <c r="C410" s="20" t="s">
        <v>776</v>
      </c>
      <c r="D410" s="20" t="s">
        <v>57</v>
      </c>
      <c r="E410" s="20" t="s">
        <v>176</v>
      </c>
      <c r="F410" s="20" t="s">
        <v>2593</v>
      </c>
      <c r="G410" s="20" t="s">
        <v>2587</v>
      </c>
      <c r="H410" s="20" t="s">
        <v>39</v>
      </c>
      <c r="I410" s="20" t="s">
        <v>27</v>
      </c>
      <c r="J410" s="20" t="s">
        <v>106</v>
      </c>
      <c r="K410" s="20" t="s">
        <v>83</v>
      </c>
      <c r="L410" s="20" t="s">
        <v>2683</v>
      </c>
      <c r="M410" s="20" t="s">
        <v>30</v>
      </c>
      <c r="N410" s="20" t="s">
        <v>2578</v>
      </c>
      <c r="O410" s="20">
        <v>74</v>
      </c>
      <c r="P410" s="20">
        <v>111.07</v>
      </c>
      <c r="Q410" s="20">
        <v>66.489999999999995</v>
      </c>
      <c r="R410" s="20">
        <v>8219.26</v>
      </c>
      <c r="S410" s="20">
        <v>0.15</v>
      </c>
      <c r="T410" s="20">
        <v>1232.8900000000001</v>
      </c>
      <c r="U410" s="20">
        <v>6986.37</v>
      </c>
      <c r="V410" s="20">
        <v>4920.47</v>
      </c>
      <c r="W410" s="20">
        <v>2065.89</v>
      </c>
      <c r="X410" s="20" t="s">
        <v>129</v>
      </c>
    </row>
    <row r="411" spans="1:24" x14ac:dyDescent="0.25">
      <c r="A411" s="23" t="s">
        <v>825</v>
      </c>
      <c r="B411" s="22">
        <v>45571</v>
      </c>
      <c r="C411" s="23" t="s">
        <v>600</v>
      </c>
      <c r="D411" s="23" t="s">
        <v>87</v>
      </c>
      <c r="E411" s="23" t="s">
        <v>141</v>
      </c>
      <c r="F411" s="23" t="s">
        <v>2590</v>
      </c>
      <c r="G411" s="23" t="s">
        <v>2577</v>
      </c>
      <c r="H411" s="23" t="s">
        <v>26</v>
      </c>
      <c r="I411" s="23" t="s">
        <v>88</v>
      </c>
      <c r="J411" s="23" t="s">
        <v>173</v>
      </c>
      <c r="K411" s="23" t="s">
        <v>218</v>
      </c>
      <c r="L411" s="23" t="s">
        <v>2692</v>
      </c>
      <c r="M411" s="23" t="s">
        <v>30</v>
      </c>
      <c r="N411" s="23" t="s">
        <v>2619</v>
      </c>
      <c r="O411" s="23">
        <v>65</v>
      </c>
      <c r="P411" s="23">
        <v>91.32</v>
      </c>
      <c r="Q411" s="23">
        <v>57.65</v>
      </c>
      <c r="R411" s="23">
        <v>5935.59</v>
      </c>
      <c r="S411" s="23">
        <v>0.05</v>
      </c>
      <c r="T411" s="23">
        <v>296.77999999999997</v>
      </c>
      <c r="U411" s="23">
        <v>5638.81</v>
      </c>
      <c r="V411" s="23">
        <v>3747.45</v>
      </c>
      <c r="W411" s="23">
        <v>1891.36</v>
      </c>
      <c r="X411" s="23" t="s">
        <v>32</v>
      </c>
    </row>
    <row r="412" spans="1:24" x14ac:dyDescent="0.25">
      <c r="A412" s="20" t="s">
        <v>826</v>
      </c>
      <c r="B412" s="19">
        <v>45481</v>
      </c>
      <c r="C412" s="20" t="s">
        <v>517</v>
      </c>
      <c r="D412" s="20" t="s">
        <v>163</v>
      </c>
      <c r="E412" s="20" t="s">
        <v>36</v>
      </c>
      <c r="F412" s="20" t="s">
        <v>37</v>
      </c>
      <c r="G412" s="20" t="s">
        <v>2579</v>
      </c>
      <c r="H412" s="20" t="s">
        <v>39</v>
      </c>
      <c r="I412" s="20" t="s">
        <v>88</v>
      </c>
      <c r="J412" s="20" t="s">
        <v>183</v>
      </c>
      <c r="K412" s="20" t="s">
        <v>144</v>
      </c>
      <c r="L412" s="20" t="s">
        <v>2687</v>
      </c>
      <c r="M412" s="20" t="s">
        <v>30</v>
      </c>
      <c r="N412" s="20" t="s">
        <v>70</v>
      </c>
      <c r="O412" s="20">
        <v>7</v>
      </c>
      <c r="P412" s="20">
        <v>-25</v>
      </c>
      <c r="Q412" s="20">
        <v>94.91</v>
      </c>
      <c r="R412" s="20">
        <v>1120.5999999999999</v>
      </c>
      <c r="S412" s="20">
        <v>0.05</v>
      </c>
      <c r="T412" s="20">
        <v>56.03</v>
      </c>
      <c r="U412" s="20">
        <v>1064.57</v>
      </c>
      <c r="V412" s="20">
        <v>664.34</v>
      </c>
      <c r="W412" s="20">
        <v>400.23</v>
      </c>
      <c r="X412" s="20" t="s">
        <v>32</v>
      </c>
    </row>
    <row r="413" spans="1:24" x14ac:dyDescent="0.25">
      <c r="A413" s="23" t="s">
        <v>827</v>
      </c>
      <c r="B413" s="22">
        <v>45401</v>
      </c>
      <c r="C413" s="23" t="s">
        <v>811</v>
      </c>
      <c r="D413" s="23" t="s">
        <v>359</v>
      </c>
      <c r="E413" s="23" t="s">
        <v>126</v>
      </c>
      <c r="F413" s="23" t="s">
        <v>2589</v>
      </c>
      <c r="G413" s="23" t="s">
        <v>2586</v>
      </c>
      <c r="H413" s="23" t="s">
        <v>128</v>
      </c>
      <c r="I413" s="23" t="s">
        <v>58</v>
      </c>
      <c r="J413" s="23" t="s">
        <v>73</v>
      </c>
      <c r="K413" s="23" t="s">
        <v>178</v>
      </c>
      <c r="L413" s="23" t="s">
        <v>2689</v>
      </c>
      <c r="M413" s="23" t="s">
        <v>153</v>
      </c>
      <c r="N413" s="23" t="s">
        <v>75</v>
      </c>
      <c r="O413" s="23">
        <v>79</v>
      </c>
      <c r="P413" s="23">
        <v>89.84</v>
      </c>
      <c r="Q413" s="23">
        <v>52.17</v>
      </c>
      <c r="R413" s="23">
        <v>7097.37</v>
      </c>
      <c r="S413" s="23">
        <v>0.15</v>
      </c>
      <c r="T413" s="23">
        <v>1064.6099999999999</v>
      </c>
      <c r="U413" s="23">
        <v>6032.76</v>
      </c>
      <c r="V413" s="23">
        <v>4121.2</v>
      </c>
      <c r="W413" s="23">
        <v>1911.56</v>
      </c>
      <c r="X413" s="23" t="s">
        <v>129</v>
      </c>
    </row>
    <row r="414" spans="1:24" x14ac:dyDescent="0.25">
      <c r="A414" s="20" t="s">
        <v>828</v>
      </c>
      <c r="B414" s="19">
        <v>45566</v>
      </c>
      <c r="C414" s="20" t="s">
        <v>638</v>
      </c>
      <c r="D414" s="20" t="s">
        <v>87</v>
      </c>
      <c r="E414" s="20" t="s">
        <v>187</v>
      </c>
      <c r="F414" s="20" t="s">
        <v>2594</v>
      </c>
      <c r="G414" s="20" t="s">
        <v>2577</v>
      </c>
      <c r="H414" s="20" t="s">
        <v>26</v>
      </c>
      <c r="I414" s="20" t="s">
        <v>53</v>
      </c>
      <c r="J414" s="20" t="s">
        <v>232</v>
      </c>
      <c r="K414" s="20" t="s">
        <v>261</v>
      </c>
      <c r="L414" s="20" t="s">
        <v>2695</v>
      </c>
      <c r="M414" s="20" t="s">
        <v>61</v>
      </c>
      <c r="N414" s="20" t="s">
        <v>84</v>
      </c>
      <c r="O414" s="20">
        <v>27</v>
      </c>
      <c r="P414" s="20">
        <v>48.42</v>
      </c>
      <c r="Q414" s="20">
        <v>0</v>
      </c>
      <c r="R414" s="20">
        <v>1307.24</v>
      </c>
      <c r="S414" s="20">
        <v>0</v>
      </c>
      <c r="T414" s="20">
        <v>0</v>
      </c>
      <c r="U414" s="20">
        <v>1307.24</v>
      </c>
      <c r="V414" s="20">
        <v>721.02</v>
      </c>
      <c r="W414" s="20">
        <v>586.23</v>
      </c>
      <c r="X414" s="20" t="s">
        <v>32</v>
      </c>
    </row>
    <row r="415" spans="1:24" x14ac:dyDescent="0.25">
      <c r="A415" s="23" t="s">
        <v>829</v>
      </c>
      <c r="B415" s="22">
        <v>45606</v>
      </c>
      <c r="C415" s="23" t="s">
        <v>382</v>
      </c>
      <c r="D415" s="23" t="s">
        <v>22</v>
      </c>
      <c r="E415" s="23" t="s">
        <v>36</v>
      </c>
      <c r="F415" s="23" t="s">
        <v>37</v>
      </c>
      <c r="G415" s="23" t="s">
        <v>2579</v>
      </c>
      <c r="H415" s="23" t="s">
        <v>39</v>
      </c>
      <c r="I415" s="23" t="s">
        <v>40</v>
      </c>
      <c r="J415" s="23" t="s">
        <v>41</v>
      </c>
      <c r="K415" s="23" t="s">
        <v>29</v>
      </c>
      <c r="L415" s="23" t="s">
        <v>2679</v>
      </c>
      <c r="M415" s="23" t="s">
        <v>61</v>
      </c>
      <c r="N415" s="23" t="s">
        <v>70</v>
      </c>
      <c r="O415" s="23">
        <v>22</v>
      </c>
      <c r="P415" s="23">
        <v>168.52</v>
      </c>
      <c r="Q415" s="23">
        <v>95.16</v>
      </c>
      <c r="R415" s="23">
        <v>3707.52</v>
      </c>
      <c r="S415" s="23">
        <v>0.2</v>
      </c>
      <c r="T415" s="23">
        <v>741.5</v>
      </c>
      <c r="U415" s="23">
        <v>2966.02</v>
      </c>
      <c r="V415" s="23">
        <v>2093.63</v>
      </c>
      <c r="W415" s="23">
        <v>872.39</v>
      </c>
      <c r="X415" s="23" t="s">
        <v>45</v>
      </c>
    </row>
    <row r="416" spans="1:24" x14ac:dyDescent="0.25">
      <c r="A416" s="20" t="s">
        <v>830</v>
      </c>
      <c r="B416" s="19">
        <v>45635</v>
      </c>
      <c r="C416" s="20" t="s">
        <v>2619</v>
      </c>
      <c r="D416" s="20" t="s">
        <v>2619</v>
      </c>
      <c r="E416" s="20" t="s">
        <v>216</v>
      </c>
      <c r="F416" s="20" t="s">
        <v>2596</v>
      </c>
      <c r="G416" s="20" t="s">
        <v>2579</v>
      </c>
      <c r="H416" s="20" t="s">
        <v>134</v>
      </c>
      <c r="I416" s="20" t="s">
        <v>27</v>
      </c>
      <c r="J416" s="20" t="s">
        <v>28</v>
      </c>
      <c r="K416" s="20" t="s">
        <v>248</v>
      </c>
      <c r="L416" s="20" t="s">
        <v>2693</v>
      </c>
      <c r="M416" s="20" t="s">
        <v>43</v>
      </c>
      <c r="N416" s="20" t="s">
        <v>84</v>
      </c>
      <c r="O416" s="20">
        <v>73</v>
      </c>
      <c r="P416" s="20">
        <v>108.25</v>
      </c>
      <c r="Q416" s="20">
        <v>67.64</v>
      </c>
      <c r="R416" s="20">
        <v>7902.5</v>
      </c>
      <c r="S416" s="20">
        <v>0</v>
      </c>
      <c r="T416" s="20">
        <v>0</v>
      </c>
      <c r="U416" s="20">
        <v>7902.5</v>
      </c>
      <c r="V416" s="20">
        <v>4937.67</v>
      </c>
      <c r="W416" s="20">
        <v>2964.83</v>
      </c>
      <c r="X416" s="20" t="s">
        <v>129</v>
      </c>
    </row>
    <row r="417" spans="1:24" x14ac:dyDescent="0.25">
      <c r="A417" s="23" t="s">
        <v>831</v>
      </c>
      <c r="B417" s="22">
        <v>45622</v>
      </c>
      <c r="C417" s="23" t="s">
        <v>832</v>
      </c>
      <c r="D417" s="23" t="s">
        <v>833</v>
      </c>
      <c r="E417" s="23" t="s">
        <v>49</v>
      </c>
      <c r="F417" s="23" t="s">
        <v>2580</v>
      </c>
      <c r="G417" s="23" t="s">
        <v>2581</v>
      </c>
      <c r="H417" s="23" t="s">
        <v>52</v>
      </c>
      <c r="I417" s="23" t="s">
        <v>88</v>
      </c>
      <c r="J417" s="23" t="s">
        <v>135</v>
      </c>
      <c r="K417" s="23" t="s">
        <v>60</v>
      </c>
      <c r="L417" s="23" t="s">
        <v>2677</v>
      </c>
      <c r="M417" s="23" t="s">
        <v>43</v>
      </c>
      <c r="N417" s="23" t="s">
        <v>44</v>
      </c>
      <c r="O417" s="23">
        <v>52</v>
      </c>
      <c r="P417" s="23">
        <v>26.83</v>
      </c>
      <c r="Q417" s="23">
        <v>12.1</v>
      </c>
      <c r="R417" s="23">
        <v>1394.98</v>
      </c>
      <c r="S417" s="23">
        <v>0</v>
      </c>
      <c r="T417" s="23">
        <v>0</v>
      </c>
      <c r="U417" s="23">
        <v>1394.98</v>
      </c>
      <c r="V417" s="23">
        <v>629.38</v>
      </c>
      <c r="W417" s="23">
        <v>765.6</v>
      </c>
      <c r="X417" s="23" t="s">
        <v>45</v>
      </c>
    </row>
    <row r="418" spans="1:24" x14ac:dyDescent="0.25">
      <c r="A418" s="20" t="s">
        <v>834</v>
      </c>
      <c r="B418" s="19">
        <v>45417</v>
      </c>
      <c r="C418" s="20" t="s">
        <v>483</v>
      </c>
      <c r="D418" s="20" t="s">
        <v>159</v>
      </c>
      <c r="E418" s="20" t="s">
        <v>93</v>
      </c>
      <c r="F418" s="20" t="s">
        <v>2585</v>
      </c>
      <c r="G418" s="20" t="s">
        <v>2586</v>
      </c>
      <c r="H418" s="20" t="s">
        <v>96</v>
      </c>
      <c r="I418" s="20" t="s">
        <v>58</v>
      </c>
      <c r="J418" s="20" t="s">
        <v>73</v>
      </c>
      <c r="K418" s="20" t="s">
        <v>248</v>
      </c>
      <c r="L418" s="20" t="s">
        <v>2693</v>
      </c>
      <c r="M418" s="20" t="s">
        <v>153</v>
      </c>
      <c r="N418" s="20" t="s">
        <v>2578</v>
      </c>
      <c r="O418" s="20">
        <v>19</v>
      </c>
      <c r="P418" s="20">
        <v>55.19</v>
      </c>
      <c r="Q418" s="20">
        <v>29.79</v>
      </c>
      <c r="R418" s="20">
        <v>1048.5899999999999</v>
      </c>
      <c r="S418" s="20">
        <v>0</v>
      </c>
      <c r="T418" s="20">
        <v>0</v>
      </c>
      <c r="U418" s="20">
        <v>1048.5899999999999</v>
      </c>
      <c r="V418" s="20">
        <v>566.02</v>
      </c>
      <c r="W418" s="20">
        <v>482.57</v>
      </c>
      <c r="X418" s="20" t="s">
        <v>45</v>
      </c>
    </row>
    <row r="419" spans="1:24" x14ac:dyDescent="0.25">
      <c r="A419" s="23" t="s">
        <v>835</v>
      </c>
      <c r="B419" s="22">
        <v>45300</v>
      </c>
      <c r="C419" s="23" t="s">
        <v>707</v>
      </c>
      <c r="D419" s="23" t="s">
        <v>65</v>
      </c>
      <c r="E419" s="23" t="s">
        <v>216</v>
      </c>
      <c r="F419" s="23" t="s">
        <v>2596</v>
      </c>
      <c r="G419" s="23" t="s">
        <v>2579</v>
      </c>
      <c r="H419" s="23" t="s">
        <v>134</v>
      </c>
      <c r="I419" s="23" t="s">
        <v>27</v>
      </c>
      <c r="J419" s="23" t="s">
        <v>106</v>
      </c>
      <c r="K419" s="23" t="s">
        <v>111</v>
      </c>
      <c r="L419" s="23" t="s">
        <v>2685</v>
      </c>
      <c r="M419" s="23" t="s">
        <v>43</v>
      </c>
      <c r="N419" s="23" t="s">
        <v>84</v>
      </c>
      <c r="O419" s="23">
        <v>48</v>
      </c>
      <c r="P419" s="23">
        <v>105.06</v>
      </c>
      <c r="Q419" s="23">
        <v>71.930000000000007</v>
      </c>
      <c r="R419" s="23">
        <v>5043.08</v>
      </c>
      <c r="S419" s="23">
        <v>0.2</v>
      </c>
      <c r="T419" s="23">
        <v>1008.62</v>
      </c>
      <c r="U419" s="23">
        <v>4034.46</v>
      </c>
      <c r="V419" s="23">
        <v>3452.63</v>
      </c>
      <c r="W419" s="23">
        <v>581.84</v>
      </c>
      <c r="X419" s="23" t="s">
        <v>45</v>
      </c>
    </row>
    <row r="420" spans="1:24" x14ac:dyDescent="0.25">
      <c r="A420" s="20" t="s">
        <v>836</v>
      </c>
      <c r="B420" s="19">
        <v>45400</v>
      </c>
      <c r="C420" s="20" t="s">
        <v>837</v>
      </c>
      <c r="D420" s="20" t="s">
        <v>65</v>
      </c>
      <c r="E420" s="20" t="s">
        <v>109</v>
      </c>
      <c r="F420" s="20" t="s">
        <v>110</v>
      </c>
      <c r="G420" s="20" t="s">
        <v>2584</v>
      </c>
      <c r="H420" s="20" t="s">
        <v>81</v>
      </c>
      <c r="I420" s="20" t="s">
        <v>58</v>
      </c>
      <c r="J420" s="20" t="s">
        <v>323</v>
      </c>
      <c r="K420" s="20" t="s">
        <v>60</v>
      </c>
      <c r="L420" s="20" t="s">
        <v>2677</v>
      </c>
      <c r="M420" s="20" t="s">
        <v>43</v>
      </c>
      <c r="N420" s="20" t="s">
        <v>75</v>
      </c>
      <c r="O420" s="20">
        <v>4</v>
      </c>
      <c r="P420" s="20">
        <v>133.54</v>
      </c>
      <c r="Q420" s="20">
        <v>79.56</v>
      </c>
      <c r="R420" s="20">
        <v>534.16999999999996</v>
      </c>
      <c r="S420" s="20">
        <v>0.05</v>
      </c>
      <c r="T420" s="20">
        <v>26.71</v>
      </c>
      <c r="U420" s="20">
        <v>507.46</v>
      </c>
      <c r="V420" s="20">
        <v>318.26</v>
      </c>
      <c r="W420" s="20">
        <v>189.21</v>
      </c>
      <c r="X420" s="20" t="s">
        <v>45</v>
      </c>
    </row>
    <row r="421" spans="1:24" x14ac:dyDescent="0.25">
      <c r="A421" s="23" t="s">
        <v>838</v>
      </c>
      <c r="B421" s="22">
        <v>45343</v>
      </c>
      <c r="C421" s="23" t="s">
        <v>658</v>
      </c>
      <c r="D421" s="23" t="s">
        <v>264</v>
      </c>
      <c r="E421" s="23" t="s">
        <v>187</v>
      </c>
      <c r="F421" s="23" t="s">
        <v>2594</v>
      </c>
      <c r="G421" s="23" t="s">
        <v>2577</v>
      </c>
      <c r="H421" s="23" t="s">
        <v>26</v>
      </c>
      <c r="I421" s="23" t="s">
        <v>40</v>
      </c>
      <c r="J421" s="23" t="s">
        <v>82</v>
      </c>
      <c r="K421" s="23" t="s">
        <v>170</v>
      </c>
      <c r="L421" s="23" t="s">
        <v>2671</v>
      </c>
      <c r="M421" s="23" t="s">
        <v>61</v>
      </c>
      <c r="N421" s="23" t="s">
        <v>70</v>
      </c>
      <c r="O421" s="23">
        <v>17</v>
      </c>
      <c r="P421" s="23">
        <v>48.86</v>
      </c>
      <c r="Q421" s="23">
        <v>30.73</v>
      </c>
      <c r="R421" s="23">
        <v>830.7</v>
      </c>
      <c r="S421" s="23">
        <v>0</v>
      </c>
      <c r="T421" s="23">
        <v>0</v>
      </c>
      <c r="U421" s="23">
        <v>830.7</v>
      </c>
      <c r="V421" s="23">
        <v>522.48</v>
      </c>
      <c r="W421" s="23">
        <v>308.22000000000003</v>
      </c>
      <c r="X421" s="23" t="s">
        <v>45</v>
      </c>
    </row>
    <row r="422" spans="1:24" x14ac:dyDescent="0.25">
      <c r="A422" s="20" t="s">
        <v>839</v>
      </c>
      <c r="B422" s="19">
        <v>45543</v>
      </c>
      <c r="C422" s="20" t="s">
        <v>517</v>
      </c>
      <c r="D422" s="20" t="s">
        <v>163</v>
      </c>
      <c r="E422" s="20" t="s">
        <v>93</v>
      </c>
      <c r="F422" s="20" t="s">
        <v>2585</v>
      </c>
      <c r="G422" s="20" t="s">
        <v>2586</v>
      </c>
      <c r="H422" s="20" t="s">
        <v>96</v>
      </c>
      <c r="I422" s="20" t="s">
        <v>27</v>
      </c>
      <c r="J422" s="20" t="s">
        <v>106</v>
      </c>
      <c r="K422" s="20" t="s">
        <v>152</v>
      </c>
      <c r="L422" s="20" t="s">
        <v>2688</v>
      </c>
      <c r="M422" s="20" t="s">
        <v>61</v>
      </c>
      <c r="N422" s="20" t="s">
        <v>84</v>
      </c>
      <c r="O422" s="20">
        <v>56</v>
      </c>
      <c r="P422" s="20">
        <v>52.74</v>
      </c>
      <c r="Q422" s="20">
        <v>34.19</v>
      </c>
      <c r="R422" s="20">
        <v>2953.59</v>
      </c>
      <c r="S422" s="20">
        <v>0.2</v>
      </c>
      <c r="T422" s="20">
        <v>590.72</v>
      </c>
      <c r="U422" s="20">
        <v>2362.87</v>
      </c>
      <c r="V422" s="20">
        <v>1914.44</v>
      </c>
      <c r="W422" s="20">
        <v>448.43</v>
      </c>
      <c r="X422" s="20" t="s">
        <v>129</v>
      </c>
    </row>
    <row r="423" spans="1:24" x14ac:dyDescent="0.25">
      <c r="A423" s="23" t="s">
        <v>840</v>
      </c>
      <c r="B423" s="22">
        <v>45335</v>
      </c>
      <c r="C423" s="23" t="s">
        <v>800</v>
      </c>
      <c r="D423" s="23" t="s">
        <v>264</v>
      </c>
      <c r="E423" s="23" t="s">
        <v>114</v>
      </c>
      <c r="F423" s="23" t="s">
        <v>2588</v>
      </c>
      <c r="G423" s="23" t="s">
        <v>2586</v>
      </c>
      <c r="H423" s="23" t="s">
        <v>116</v>
      </c>
      <c r="I423" s="23" t="s">
        <v>88</v>
      </c>
      <c r="J423" s="23" t="s">
        <v>183</v>
      </c>
      <c r="K423" s="23" t="s">
        <v>42</v>
      </c>
      <c r="L423" s="23" t="s">
        <v>2680</v>
      </c>
      <c r="M423" s="23" t="s">
        <v>30</v>
      </c>
      <c r="N423" s="23" t="s">
        <v>70</v>
      </c>
      <c r="O423" s="23">
        <v>73</v>
      </c>
      <c r="P423" s="23">
        <v>32.58</v>
      </c>
      <c r="Q423" s="23">
        <v>21.7</v>
      </c>
      <c r="R423" s="23">
        <v>2378.2600000000002</v>
      </c>
      <c r="S423" s="23">
        <v>0.15</v>
      </c>
      <c r="T423" s="23">
        <v>356.74</v>
      </c>
      <c r="U423" s="23">
        <v>2021.52</v>
      </c>
      <c r="V423" s="23">
        <v>1583.98</v>
      </c>
      <c r="W423" s="23">
        <v>437.55</v>
      </c>
      <c r="X423" s="23" t="s">
        <v>45</v>
      </c>
    </row>
    <row r="424" spans="1:24" x14ac:dyDescent="0.25">
      <c r="A424" s="20" t="s">
        <v>841</v>
      </c>
      <c r="B424" s="19">
        <v>45605</v>
      </c>
      <c r="C424" s="20" t="s">
        <v>337</v>
      </c>
      <c r="D424" s="20" t="s">
        <v>87</v>
      </c>
      <c r="E424" s="20" t="s">
        <v>216</v>
      </c>
      <c r="F424" s="20" t="s">
        <v>2596</v>
      </c>
      <c r="G424" s="20" t="s">
        <v>2579</v>
      </c>
      <c r="H424" s="20" t="s">
        <v>134</v>
      </c>
      <c r="I424" s="20" t="s">
        <v>27</v>
      </c>
      <c r="J424" s="20" t="s">
        <v>106</v>
      </c>
      <c r="K424" s="20" t="s">
        <v>42</v>
      </c>
      <c r="L424" s="20" t="s">
        <v>2680</v>
      </c>
      <c r="M424" s="20" t="s">
        <v>153</v>
      </c>
      <c r="N424" s="20" t="s">
        <v>84</v>
      </c>
      <c r="O424" s="20">
        <v>16</v>
      </c>
      <c r="P424" s="20">
        <v>114.47</v>
      </c>
      <c r="Q424" s="20">
        <v>70.27</v>
      </c>
      <c r="R424" s="20">
        <v>1831.52</v>
      </c>
      <c r="S424" s="20">
        <v>0.1</v>
      </c>
      <c r="T424" s="20">
        <v>183.15</v>
      </c>
      <c r="U424" s="20">
        <v>1648.36</v>
      </c>
      <c r="V424" s="20">
        <v>1124.3</v>
      </c>
      <c r="W424" s="20">
        <v>524.07000000000005</v>
      </c>
      <c r="X424" s="20" t="s">
        <v>45</v>
      </c>
    </row>
    <row r="425" spans="1:24" x14ac:dyDescent="0.25">
      <c r="A425" s="23" t="s">
        <v>842</v>
      </c>
      <c r="B425" s="22">
        <v>45293</v>
      </c>
      <c r="C425" s="23" t="s">
        <v>843</v>
      </c>
      <c r="D425" s="23" t="s">
        <v>22</v>
      </c>
      <c r="E425" s="23" t="s">
        <v>126</v>
      </c>
      <c r="F425" s="23" t="s">
        <v>2589</v>
      </c>
      <c r="G425" s="23" t="s">
        <v>2586</v>
      </c>
      <c r="H425" s="23" t="s">
        <v>128</v>
      </c>
      <c r="I425" s="23" t="s">
        <v>88</v>
      </c>
      <c r="J425" s="23" t="s">
        <v>173</v>
      </c>
      <c r="K425" s="23" t="s">
        <v>184</v>
      </c>
      <c r="L425" s="23" t="s">
        <v>2690</v>
      </c>
      <c r="M425" s="23" t="s">
        <v>43</v>
      </c>
      <c r="N425" s="23" t="s">
        <v>84</v>
      </c>
      <c r="O425" s="23">
        <v>20</v>
      </c>
      <c r="P425" s="23">
        <v>95.94</v>
      </c>
      <c r="Q425" s="23">
        <v>50.55</v>
      </c>
      <c r="R425" s="23">
        <v>1918.76</v>
      </c>
      <c r="S425" s="23">
        <v>0.05</v>
      </c>
      <c r="T425" s="23">
        <v>95.94</v>
      </c>
      <c r="U425" s="23">
        <v>1822.82</v>
      </c>
      <c r="V425" s="23">
        <v>1010.93</v>
      </c>
      <c r="W425" s="23">
        <v>811.89</v>
      </c>
      <c r="X425" s="23" t="s">
        <v>45</v>
      </c>
    </row>
    <row r="426" spans="1:24" x14ac:dyDescent="0.25">
      <c r="A426" s="20" t="s">
        <v>844</v>
      </c>
      <c r="B426" s="19">
        <v>45564</v>
      </c>
      <c r="C426" s="20" t="s">
        <v>272</v>
      </c>
      <c r="D426" s="20" t="s">
        <v>105</v>
      </c>
      <c r="E426" s="20" t="s">
        <v>222</v>
      </c>
      <c r="F426" s="20" t="s">
        <v>2597</v>
      </c>
      <c r="G426" s="20" t="s">
        <v>2587</v>
      </c>
      <c r="H426" s="20" t="s">
        <v>68</v>
      </c>
      <c r="I426" s="20" t="s">
        <v>58</v>
      </c>
      <c r="J426" s="20" t="s">
        <v>345</v>
      </c>
      <c r="K426" s="20" t="s">
        <v>111</v>
      </c>
      <c r="L426" s="20" t="s">
        <v>2685</v>
      </c>
      <c r="M426" s="20" t="s">
        <v>43</v>
      </c>
      <c r="N426" s="20" t="s">
        <v>84</v>
      </c>
      <c r="O426" s="20">
        <v>15</v>
      </c>
      <c r="P426" s="20">
        <v>124.72</v>
      </c>
      <c r="Q426" s="20">
        <v>74.290000000000006</v>
      </c>
      <c r="R426" s="20">
        <v>1870.77</v>
      </c>
      <c r="S426" s="20">
        <v>0.2</v>
      </c>
      <c r="T426" s="20">
        <v>374.15</v>
      </c>
      <c r="U426" s="20">
        <v>1496.62</v>
      </c>
      <c r="V426" s="20">
        <v>1114.3</v>
      </c>
      <c r="W426" s="20">
        <v>382.31</v>
      </c>
      <c r="X426" s="20" t="s">
        <v>129</v>
      </c>
    </row>
    <row r="427" spans="1:24" x14ac:dyDescent="0.25">
      <c r="A427" s="23" t="s">
        <v>845</v>
      </c>
      <c r="B427" s="22">
        <v>45641</v>
      </c>
      <c r="C427" s="23" t="s">
        <v>794</v>
      </c>
      <c r="D427" s="23" t="s">
        <v>65</v>
      </c>
      <c r="E427" s="23" t="s">
        <v>99</v>
      </c>
      <c r="F427" s="23" t="s">
        <v>100</v>
      </c>
      <c r="G427" s="23" t="s">
        <v>2587</v>
      </c>
      <c r="H427" s="23" t="s">
        <v>102</v>
      </c>
      <c r="I427" s="23" t="s">
        <v>88</v>
      </c>
      <c r="J427" s="23" t="s">
        <v>2112</v>
      </c>
      <c r="K427" s="23" t="s">
        <v>69</v>
      </c>
      <c r="L427" s="23" t="s">
        <v>2681</v>
      </c>
      <c r="M427" s="23" t="s">
        <v>30</v>
      </c>
      <c r="N427" s="23" t="s">
        <v>84</v>
      </c>
      <c r="O427" s="23">
        <v>71</v>
      </c>
      <c r="P427" s="23">
        <v>75.260000000000005</v>
      </c>
      <c r="Q427" s="23">
        <v>43.24</v>
      </c>
      <c r="R427" s="23">
        <v>5343.68</v>
      </c>
      <c r="S427" s="23">
        <v>0</v>
      </c>
      <c r="T427" s="23">
        <v>0</v>
      </c>
      <c r="U427" s="23">
        <v>5343.68</v>
      </c>
      <c r="V427" s="23">
        <v>3070.35</v>
      </c>
      <c r="W427" s="23">
        <v>2273.33</v>
      </c>
      <c r="X427" s="23" t="s">
        <v>129</v>
      </c>
    </row>
    <row r="428" spans="1:24" x14ac:dyDescent="0.25">
      <c r="A428" s="20" t="s">
        <v>846</v>
      </c>
      <c r="B428" s="19">
        <v>45603</v>
      </c>
      <c r="C428" s="20" t="s">
        <v>832</v>
      </c>
      <c r="D428" s="20" t="s">
        <v>159</v>
      </c>
      <c r="E428" s="20" t="s">
        <v>132</v>
      </c>
      <c r="F428" s="20" t="s">
        <v>133</v>
      </c>
      <c r="G428" s="20" t="s">
        <v>2581</v>
      </c>
      <c r="H428" s="20" t="s">
        <v>134</v>
      </c>
      <c r="I428" s="20" t="s">
        <v>58</v>
      </c>
      <c r="J428" s="20" t="s">
        <v>73</v>
      </c>
      <c r="K428" s="20" t="s">
        <v>42</v>
      </c>
      <c r="L428" s="20" t="s">
        <v>2680</v>
      </c>
      <c r="M428" s="20" t="s">
        <v>153</v>
      </c>
      <c r="N428" s="20" t="s">
        <v>75</v>
      </c>
      <c r="O428" s="20">
        <v>41</v>
      </c>
      <c r="P428" s="20">
        <v>61.76</v>
      </c>
      <c r="Q428" s="20">
        <v>31.69</v>
      </c>
      <c r="R428" s="20">
        <v>2532.13</v>
      </c>
      <c r="S428" s="20">
        <v>0.05</v>
      </c>
      <c r="T428" s="20">
        <v>126.61</v>
      </c>
      <c r="U428" s="20">
        <v>2405.52</v>
      </c>
      <c r="V428" s="20">
        <v>1299.46</v>
      </c>
      <c r="W428" s="20">
        <v>1106.06</v>
      </c>
      <c r="X428" s="20" t="s">
        <v>32</v>
      </c>
    </row>
    <row r="429" spans="1:24" x14ac:dyDescent="0.25">
      <c r="A429" s="23" t="s">
        <v>847</v>
      </c>
      <c r="B429" s="22">
        <v>45573</v>
      </c>
      <c r="C429" s="23" t="s">
        <v>623</v>
      </c>
      <c r="D429" s="23" t="s">
        <v>156</v>
      </c>
      <c r="E429" s="23" t="s">
        <v>250</v>
      </c>
      <c r="F429" s="23" t="s">
        <v>2598</v>
      </c>
      <c r="G429" s="23" t="s">
        <v>2581</v>
      </c>
      <c r="H429" s="23" t="s">
        <v>252</v>
      </c>
      <c r="I429" s="23" t="s">
        <v>53</v>
      </c>
      <c r="J429" s="23" t="s">
        <v>122</v>
      </c>
      <c r="K429" s="23" t="s">
        <v>184</v>
      </c>
      <c r="L429" s="23" t="s">
        <v>2690</v>
      </c>
      <c r="M429" s="23" t="s">
        <v>61</v>
      </c>
      <c r="N429" s="23" t="s">
        <v>2578</v>
      </c>
      <c r="O429" s="23">
        <v>64</v>
      </c>
      <c r="P429" s="23">
        <v>69.819999999999993</v>
      </c>
      <c r="Q429" s="23">
        <v>38.369999999999997</v>
      </c>
      <c r="R429" s="23">
        <v>4468.4399999999996</v>
      </c>
      <c r="S429" s="23">
        <v>0.15</v>
      </c>
      <c r="T429" s="23">
        <v>670.27</v>
      </c>
      <c r="U429" s="23">
        <v>3798.17</v>
      </c>
      <c r="V429" s="23">
        <v>2455.41</v>
      </c>
      <c r="W429" s="23">
        <v>1342.76</v>
      </c>
      <c r="X429" s="23" t="s">
        <v>45</v>
      </c>
    </row>
    <row r="430" spans="1:24" x14ac:dyDescent="0.25">
      <c r="A430" s="20" t="s">
        <v>848</v>
      </c>
      <c r="B430" s="19">
        <v>45362</v>
      </c>
      <c r="C430" s="20" t="s">
        <v>314</v>
      </c>
      <c r="D430" s="20" t="s">
        <v>163</v>
      </c>
      <c r="E430" s="20" t="s">
        <v>114</v>
      </c>
      <c r="F430" s="20" t="s">
        <v>2588</v>
      </c>
      <c r="G430" s="20" t="s">
        <v>2586</v>
      </c>
      <c r="H430" s="20" t="s">
        <v>116</v>
      </c>
      <c r="I430" s="20" t="s">
        <v>27</v>
      </c>
      <c r="J430" s="20" t="s">
        <v>211</v>
      </c>
      <c r="K430" s="20" t="s">
        <v>170</v>
      </c>
      <c r="L430" s="20" t="s">
        <v>2671</v>
      </c>
      <c r="M430" s="20" t="s">
        <v>61</v>
      </c>
      <c r="N430" s="20" t="s">
        <v>44</v>
      </c>
      <c r="O430" s="20">
        <v>30</v>
      </c>
      <c r="P430" s="20">
        <v>35.72</v>
      </c>
      <c r="Q430" s="20">
        <v>21.66</v>
      </c>
      <c r="R430" s="20">
        <v>1071.74</v>
      </c>
      <c r="S430" s="20">
        <v>0</v>
      </c>
      <c r="T430" s="20">
        <v>0</v>
      </c>
      <c r="U430" s="20">
        <v>1071.74</v>
      </c>
      <c r="V430" s="20">
        <v>649.73</v>
      </c>
      <c r="W430" s="20">
        <v>422.01</v>
      </c>
      <c r="X430" s="20" t="s">
        <v>45</v>
      </c>
    </row>
    <row r="431" spans="1:24" x14ac:dyDescent="0.25">
      <c r="A431" s="23" t="s">
        <v>849</v>
      </c>
      <c r="B431" s="22">
        <v>45384</v>
      </c>
      <c r="C431" s="23" t="s">
        <v>397</v>
      </c>
      <c r="D431" s="23" t="s">
        <v>105</v>
      </c>
      <c r="E431" s="23" t="s">
        <v>141</v>
      </c>
      <c r="F431" s="23" t="s">
        <v>2590</v>
      </c>
      <c r="G431" s="23" t="s">
        <v>2577</v>
      </c>
      <c r="H431" s="23" t="s">
        <v>26</v>
      </c>
      <c r="I431" s="23" t="s">
        <v>53</v>
      </c>
      <c r="J431" s="23" t="s">
        <v>232</v>
      </c>
      <c r="K431" s="23" t="s">
        <v>42</v>
      </c>
      <c r="L431" s="23" t="s">
        <v>2680</v>
      </c>
      <c r="M431" s="23" t="s">
        <v>43</v>
      </c>
      <c r="N431" s="23" t="s">
        <v>70</v>
      </c>
      <c r="O431" s="23">
        <v>39</v>
      </c>
      <c r="P431" s="23">
        <v>97.05</v>
      </c>
      <c r="Q431" s="23">
        <v>54.9</v>
      </c>
      <c r="R431" s="23">
        <v>3784.83</v>
      </c>
      <c r="S431" s="23">
        <v>0</v>
      </c>
      <c r="T431" s="23">
        <v>0</v>
      </c>
      <c r="U431" s="23">
        <v>3784.83</v>
      </c>
      <c r="V431" s="23">
        <v>2141.1</v>
      </c>
      <c r="W431" s="23">
        <v>1643.73</v>
      </c>
      <c r="X431" s="23" t="s">
        <v>45</v>
      </c>
    </row>
    <row r="432" spans="1:24" x14ac:dyDescent="0.25">
      <c r="A432" s="20" t="s">
        <v>850</v>
      </c>
      <c r="B432" s="19">
        <v>45576</v>
      </c>
      <c r="C432" s="20" t="s">
        <v>513</v>
      </c>
      <c r="D432" s="20" t="s">
        <v>48</v>
      </c>
      <c r="E432" s="20" t="s">
        <v>222</v>
      </c>
      <c r="F432" s="20" t="s">
        <v>2597</v>
      </c>
      <c r="G432" s="20" t="s">
        <v>2587</v>
      </c>
      <c r="H432" s="20" t="s">
        <v>68</v>
      </c>
      <c r="I432" s="20" t="s">
        <v>58</v>
      </c>
      <c r="J432" s="20" t="s">
        <v>345</v>
      </c>
      <c r="K432" s="20" t="s">
        <v>248</v>
      </c>
      <c r="L432" s="20" t="s">
        <v>2693</v>
      </c>
      <c r="M432" s="20" t="s">
        <v>61</v>
      </c>
      <c r="N432" s="20" t="s">
        <v>44</v>
      </c>
      <c r="O432" s="20">
        <v>15</v>
      </c>
      <c r="P432" s="20">
        <v>128.88999999999999</v>
      </c>
      <c r="Q432" s="20">
        <v>78.62</v>
      </c>
      <c r="R432" s="20">
        <v>1933.38</v>
      </c>
      <c r="S432" s="20">
        <v>0.02</v>
      </c>
      <c r="T432" s="20">
        <v>38.67</v>
      </c>
      <c r="U432" s="20">
        <v>1894.71</v>
      </c>
      <c r="V432" s="20">
        <v>1179.27</v>
      </c>
      <c r="W432" s="20">
        <v>715.44</v>
      </c>
      <c r="X432" s="20" t="s">
        <v>45</v>
      </c>
    </row>
    <row r="433" spans="1:24" x14ac:dyDescent="0.25">
      <c r="A433" s="23" t="s">
        <v>851</v>
      </c>
      <c r="B433" s="22">
        <v>45618</v>
      </c>
      <c r="C433" s="23" t="s">
        <v>852</v>
      </c>
      <c r="D433" s="23" t="s">
        <v>57</v>
      </c>
      <c r="E433" s="23" t="s">
        <v>216</v>
      </c>
      <c r="F433" s="23" t="s">
        <v>2596</v>
      </c>
      <c r="G433" s="23" t="s">
        <v>2579</v>
      </c>
      <c r="H433" s="23" t="s">
        <v>134</v>
      </c>
      <c r="I433" s="23" t="s">
        <v>53</v>
      </c>
      <c r="J433" s="23" t="s">
        <v>54</v>
      </c>
      <c r="K433" s="23" t="s">
        <v>42</v>
      </c>
      <c r="L433" s="23" t="s">
        <v>2680</v>
      </c>
      <c r="M433" s="23" t="s">
        <v>43</v>
      </c>
      <c r="N433" s="23" t="s">
        <v>44</v>
      </c>
      <c r="O433" s="23">
        <v>69</v>
      </c>
      <c r="P433" s="23">
        <v>113.04</v>
      </c>
      <c r="Q433" s="23">
        <v>66.400000000000006</v>
      </c>
      <c r="R433" s="23">
        <v>7799.61</v>
      </c>
      <c r="S433" s="23">
        <v>0.15</v>
      </c>
      <c r="T433" s="23">
        <v>1169.94</v>
      </c>
      <c r="U433" s="23">
        <v>6629.67</v>
      </c>
      <c r="V433" s="23">
        <v>4581.3900000000003</v>
      </c>
      <c r="W433" s="23">
        <v>2048.27</v>
      </c>
      <c r="X433" s="23" t="s">
        <v>45</v>
      </c>
    </row>
    <row r="434" spans="1:24" x14ac:dyDescent="0.25">
      <c r="A434" s="20" t="s">
        <v>853</v>
      </c>
      <c r="B434" s="19">
        <v>45375</v>
      </c>
      <c r="C434" s="20" t="s">
        <v>454</v>
      </c>
      <c r="D434" s="20" t="s">
        <v>156</v>
      </c>
      <c r="E434" s="20" t="s">
        <v>132</v>
      </c>
      <c r="F434" s="20" t="s">
        <v>133</v>
      </c>
      <c r="G434" s="20" t="s">
        <v>2581</v>
      </c>
      <c r="H434" s="20" t="s">
        <v>134</v>
      </c>
      <c r="I434" s="20" t="s">
        <v>53</v>
      </c>
      <c r="J434" s="20" t="s">
        <v>54</v>
      </c>
      <c r="K434" s="20" t="s">
        <v>170</v>
      </c>
      <c r="L434" s="20" t="s">
        <v>2671</v>
      </c>
      <c r="M434" s="20" t="s">
        <v>43</v>
      </c>
      <c r="N434" s="20" t="s">
        <v>70</v>
      </c>
      <c r="O434" s="20">
        <v>76</v>
      </c>
      <c r="P434" s="20">
        <v>62.06</v>
      </c>
      <c r="Q434" s="20">
        <v>33.79</v>
      </c>
      <c r="R434" s="20">
        <v>4716.37</v>
      </c>
      <c r="S434" s="20">
        <v>0.02</v>
      </c>
      <c r="T434" s="20">
        <v>94.33</v>
      </c>
      <c r="U434" s="20">
        <v>4622.05</v>
      </c>
      <c r="V434" s="20">
        <v>2568.17</v>
      </c>
      <c r="W434" s="20">
        <v>2053.87</v>
      </c>
      <c r="X434" s="20" t="s">
        <v>45</v>
      </c>
    </row>
    <row r="435" spans="1:24" x14ac:dyDescent="0.25">
      <c r="A435" s="23" t="s">
        <v>854</v>
      </c>
      <c r="B435" s="22">
        <v>45647</v>
      </c>
      <c r="C435" s="23" t="s">
        <v>855</v>
      </c>
      <c r="D435" s="23" t="s">
        <v>156</v>
      </c>
      <c r="E435" s="23" t="s">
        <v>66</v>
      </c>
      <c r="F435" s="23" t="s">
        <v>2582</v>
      </c>
      <c r="G435" s="23" t="s">
        <v>2579</v>
      </c>
      <c r="H435" s="23" t="s">
        <v>68</v>
      </c>
      <c r="I435" s="23" t="s">
        <v>88</v>
      </c>
      <c r="J435" s="23" t="s">
        <v>135</v>
      </c>
      <c r="K435" s="23" t="s">
        <v>248</v>
      </c>
      <c r="L435" s="23" t="s">
        <v>2693</v>
      </c>
      <c r="M435" s="23" t="s">
        <v>153</v>
      </c>
      <c r="N435" s="23" t="s">
        <v>2578</v>
      </c>
      <c r="O435" s="23">
        <v>41</v>
      </c>
      <c r="P435" s="23">
        <v>154.91</v>
      </c>
      <c r="Q435" s="23">
        <v>105.64</v>
      </c>
      <c r="R435" s="23">
        <v>6351.41</v>
      </c>
      <c r="S435" s="23">
        <v>0.15</v>
      </c>
      <c r="T435" s="23">
        <v>952.71</v>
      </c>
      <c r="U435" s="23">
        <v>5398.7</v>
      </c>
      <c r="V435" s="23">
        <v>4331.1000000000004</v>
      </c>
      <c r="W435" s="23">
        <v>1067.5899999999999</v>
      </c>
      <c r="X435" s="23" t="s">
        <v>45</v>
      </c>
    </row>
    <row r="436" spans="1:24" x14ac:dyDescent="0.25">
      <c r="A436" s="20" t="s">
        <v>856</v>
      </c>
      <c r="B436" s="19">
        <v>45312</v>
      </c>
      <c r="C436" s="20" t="s">
        <v>339</v>
      </c>
      <c r="D436" s="20" t="s">
        <v>221</v>
      </c>
      <c r="E436" s="20" t="s">
        <v>109</v>
      </c>
      <c r="F436" s="20" t="s">
        <v>110</v>
      </c>
      <c r="G436" s="20" t="s">
        <v>2584</v>
      </c>
      <c r="H436" s="20" t="s">
        <v>81</v>
      </c>
      <c r="I436" s="20" t="s">
        <v>58</v>
      </c>
      <c r="J436" s="20" t="s">
        <v>323</v>
      </c>
      <c r="K436" s="20" t="s">
        <v>265</v>
      </c>
      <c r="L436" s="20" t="s">
        <v>2663</v>
      </c>
      <c r="M436" s="20" t="s">
        <v>30</v>
      </c>
      <c r="N436" s="20" t="s">
        <v>84</v>
      </c>
      <c r="O436" s="20">
        <v>53</v>
      </c>
      <c r="P436" s="20">
        <v>116.77</v>
      </c>
      <c r="Q436" s="20">
        <v>76.36</v>
      </c>
      <c r="R436" s="20">
        <v>6188.69</v>
      </c>
      <c r="S436" s="20">
        <v>0</v>
      </c>
      <c r="T436" s="20">
        <v>0</v>
      </c>
      <c r="U436" s="20">
        <v>6188.69</v>
      </c>
      <c r="V436" s="20">
        <v>4046.84</v>
      </c>
      <c r="W436" s="20">
        <v>2141.84</v>
      </c>
      <c r="X436" s="20" t="s">
        <v>45</v>
      </c>
    </row>
    <row r="437" spans="1:24" x14ac:dyDescent="0.25">
      <c r="A437" s="23" t="s">
        <v>857</v>
      </c>
      <c r="B437" s="22">
        <v>45623</v>
      </c>
      <c r="C437" s="23" t="s">
        <v>263</v>
      </c>
      <c r="D437" s="23" t="s">
        <v>264</v>
      </c>
      <c r="E437" s="23" t="s">
        <v>209</v>
      </c>
      <c r="F437" s="23" t="s">
        <v>2595</v>
      </c>
      <c r="G437" s="23" t="s">
        <v>2581</v>
      </c>
      <c r="H437" s="23" t="s">
        <v>116</v>
      </c>
      <c r="I437" s="23" t="s">
        <v>53</v>
      </c>
      <c r="J437" s="23" t="s">
        <v>232</v>
      </c>
      <c r="K437" s="23" t="s">
        <v>195</v>
      </c>
      <c r="L437" s="23" t="s">
        <v>2691</v>
      </c>
      <c r="M437" s="23" t="s">
        <v>153</v>
      </c>
      <c r="N437" s="23" t="s">
        <v>44</v>
      </c>
      <c r="O437" s="23">
        <v>23</v>
      </c>
      <c r="P437" s="23">
        <v>17.03</v>
      </c>
      <c r="Q437" s="23">
        <v>10.5</v>
      </c>
      <c r="R437" s="23">
        <v>391.76</v>
      </c>
      <c r="S437" s="23">
        <v>0.15</v>
      </c>
      <c r="T437" s="23">
        <v>58.76</v>
      </c>
      <c r="U437" s="23">
        <v>333</v>
      </c>
      <c r="V437" s="23">
        <v>241.58</v>
      </c>
      <c r="W437" s="23">
        <v>91.42</v>
      </c>
      <c r="X437" s="23" t="s">
        <v>45</v>
      </c>
    </row>
    <row r="438" spans="1:24" x14ac:dyDescent="0.25">
      <c r="A438" s="20" t="s">
        <v>858</v>
      </c>
      <c r="B438" s="19">
        <v>45400</v>
      </c>
      <c r="C438" s="20" t="s">
        <v>859</v>
      </c>
      <c r="D438" s="20" t="s">
        <v>221</v>
      </c>
      <c r="E438" s="20" t="s">
        <v>36</v>
      </c>
      <c r="F438" s="20" t="s">
        <v>37</v>
      </c>
      <c r="G438" s="20" t="s">
        <v>2579</v>
      </c>
      <c r="H438" s="20" t="s">
        <v>39</v>
      </c>
      <c r="I438" s="20" t="s">
        <v>88</v>
      </c>
      <c r="J438" s="20" t="s">
        <v>135</v>
      </c>
      <c r="K438" s="20" t="s">
        <v>152</v>
      </c>
      <c r="L438" s="20" t="s">
        <v>2688</v>
      </c>
      <c r="M438" s="20" t="s">
        <v>153</v>
      </c>
      <c r="N438" s="20" t="s">
        <v>84</v>
      </c>
      <c r="O438" s="20">
        <v>20</v>
      </c>
      <c r="P438" s="20">
        <v>172.56</v>
      </c>
      <c r="Q438" s="20">
        <v>102.71</v>
      </c>
      <c r="R438" s="20">
        <v>3451.12</v>
      </c>
      <c r="S438" s="20">
        <v>0.15</v>
      </c>
      <c r="T438" s="20">
        <v>517.66999999999996</v>
      </c>
      <c r="U438" s="20">
        <v>2933.45</v>
      </c>
      <c r="V438" s="20">
        <v>2054.27</v>
      </c>
      <c r="W438" s="20">
        <v>879.18</v>
      </c>
      <c r="X438" s="20" t="s">
        <v>32</v>
      </c>
    </row>
    <row r="439" spans="1:24" x14ac:dyDescent="0.25">
      <c r="A439" s="23" t="s">
        <v>860</v>
      </c>
      <c r="B439" s="22">
        <v>45464</v>
      </c>
      <c r="C439" s="23" t="s">
        <v>461</v>
      </c>
      <c r="D439" s="23" t="s">
        <v>87</v>
      </c>
      <c r="E439" s="23" t="s">
        <v>66</v>
      </c>
      <c r="F439" s="23" t="s">
        <v>2582</v>
      </c>
      <c r="G439" s="23" t="s">
        <v>2579</v>
      </c>
      <c r="H439" s="23" t="s">
        <v>68</v>
      </c>
      <c r="I439" s="23" t="s">
        <v>53</v>
      </c>
      <c r="J439" s="23" t="s">
        <v>143</v>
      </c>
      <c r="K439" s="23" t="s">
        <v>170</v>
      </c>
      <c r="L439" s="23" t="s">
        <v>2671</v>
      </c>
      <c r="M439" s="23" t="s">
        <v>61</v>
      </c>
      <c r="N439" s="23" t="s">
        <v>84</v>
      </c>
      <c r="O439" s="23">
        <v>39</v>
      </c>
      <c r="P439" s="23">
        <v>164.06</v>
      </c>
      <c r="Q439" s="23">
        <v>108.43</v>
      </c>
      <c r="R439" s="23">
        <v>6398.29</v>
      </c>
      <c r="S439" s="23">
        <v>0.1</v>
      </c>
      <c r="T439" s="23">
        <v>639.83000000000004</v>
      </c>
      <c r="U439" s="23">
        <v>5758.46</v>
      </c>
      <c r="V439" s="23">
        <v>4228.7</v>
      </c>
      <c r="W439" s="23">
        <v>1529.76</v>
      </c>
      <c r="X439" s="23" t="s">
        <v>129</v>
      </c>
    </row>
    <row r="440" spans="1:24" x14ac:dyDescent="0.25">
      <c r="A440" s="20" t="s">
        <v>861</v>
      </c>
      <c r="B440" s="19">
        <v>45563</v>
      </c>
      <c r="C440" s="20" t="s">
        <v>175</v>
      </c>
      <c r="D440" s="20" t="s">
        <v>65</v>
      </c>
      <c r="E440" s="20" t="s">
        <v>126</v>
      </c>
      <c r="F440" s="20" t="s">
        <v>2589</v>
      </c>
      <c r="G440" s="20" t="s">
        <v>2586</v>
      </c>
      <c r="H440" s="20" t="s">
        <v>128</v>
      </c>
      <c r="I440" s="20" t="s">
        <v>53</v>
      </c>
      <c r="J440" s="20" t="s">
        <v>54</v>
      </c>
      <c r="K440" s="20" t="s">
        <v>29</v>
      </c>
      <c r="L440" s="20" t="s">
        <v>2679</v>
      </c>
      <c r="M440" s="20" t="s">
        <v>30</v>
      </c>
      <c r="N440" s="20" t="s">
        <v>84</v>
      </c>
      <c r="O440" s="20">
        <v>6</v>
      </c>
      <c r="P440" s="20">
        <v>96.97</v>
      </c>
      <c r="Q440" s="20">
        <v>52.23</v>
      </c>
      <c r="R440" s="20">
        <v>581.82000000000005</v>
      </c>
      <c r="S440" s="20">
        <v>0</v>
      </c>
      <c r="T440" s="20">
        <v>0</v>
      </c>
      <c r="U440" s="20">
        <v>581.82000000000005</v>
      </c>
      <c r="V440" s="20">
        <v>313.39</v>
      </c>
      <c r="W440" s="20">
        <v>268.43</v>
      </c>
      <c r="X440" s="20" t="s">
        <v>129</v>
      </c>
    </row>
    <row r="441" spans="1:24" x14ac:dyDescent="0.25">
      <c r="A441" s="23" t="s">
        <v>862</v>
      </c>
      <c r="B441" s="22">
        <v>45560</v>
      </c>
      <c r="C441" s="23" t="s">
        <v>148</v>
      </c>
      <c r="D441" s="23" t="s">
        <v>149</v>
      </c>
      <c r="E441" s="23" t="s">
        <v>93</v>
      </c>
      <c r="F441" s="23" t="s">
        <v>2585</v>
      </c>
      <c r="G441" s="23" t="s">
        <v>2586</v>
      </c>
      <c r="H441" s="23" t="s">
        <v>96</v>
      </c>
      <c r="I441" s="23" t="s">
        <v>40</v>
      </c>
      <c r="J441" s="23" t="s">
        <v>41</v>
      </c>
      <c r="K441" s="23" t="s">
        <v>2619</v>
      </c>
      <c r="L441" s="23" t="s">
        <v>2619</v>
      </c>
      <c r="M441" s="23" t="s">
        <v>61</v>
      </c>
      <c r="N441" s="23" t="s">
        <v>84</v>
      </c>
      <c r="O441" s="23">
        <v>34</v>
      </c>
      <c r="P441" s="23">
        <v>57.18</v>
      </c>
      <c r="Q441" s="23">
        <v>33.57</v>
      </c>
      <c r="R441" s="23">
        <v>1944.26</v>
      </c>
      <c r="S441" s="23">
        <v>0.05</v>
      </c>
      <c r="T441" s="23">
        <v>97.21</v>
      </c>
      <c r="U441" s="23">
        <v>1847.04</v>
      </c>
      <c r="V441" s="23">
        <v>1141.3800000000001</v>
      </c>
      <c r="W441" s="23">
        <v>705.66</v>
      </c>
      <c r="X441" s="23" t="s">
        <v>32</v>
      </c>
    </row>
    <row r="442" spans="1:24" x14ac:dyDescent="0.25">
      <c r="A442" s="20" t="s">
        <v>863</v>
      </c>
      <c r="B442" s="19">
        <v>45626</v>
      </c>
      <c r="C442" s="20" t="s">
        <v>864</v>
      </c>
      <c r="D442" s="20" t="s">
        <v>22</v>
      </c>
      <c r="E442" s="20" t="s">
        <v>49</v>
      </c>
      <c r="F442" s="20" t="s">
        <v>2580</v>
      </c>
      <c r="G442" s="20" t="s">
        <v>2581</v>
      </c>
      <c r="H442" s="20" t="s">
        <v>52</v>
      </c>
      <c r="I442" s="20" t="s">
        <v>27</v>
      </c>
      <c r="J442" s="20" t="s">
        <v>28</v>
      </c>
      <c r="K442" s="20" t="s">
        <v>178</v>
      </c>
      <c r="L442" s="20" t="s">
        <v>2689</v>
      </c>
      <c r="M442" s="20" t="s">
        <v>43</v>
      </c>
      <c r="N442" s="20" t="s">
        <v>84</v>
      </c>
      <c r="O442" s="20">
        <v>78</v>
      </c>
      <c r="P442" s="20">
        <v>26.99</v>
      </c>
      <c r="Q442" s="20">
        <v>12.69</v>
      </c>
      <c r="R442" s="20">
        <v>2105.36</v>
      </c>
      <c r="S442" s="20">
        <v>0</v>
      </c>
      <c r="T442" s="20">
        <v>0</v>
      </c>
      <c r="U442" s="20">
        <v>2105.36</v>
      </c>
      <c r="V442" s="20">
        <v>989.78</v>
      </c>
      <c r="W442" s="20">
        <v>1115.58</v>
      </c>
      <c r="X442" s="20" t="s">
        <v>32</v>
      </c>
    </row>
    <row r="443" spans="1:24" x14ac:dyDescent="0.25">
      <c r="A443" s="23" t="s">
        <v>865</v>
      </c>
      <c r="B443" s="22">
        <v>45375</v>
      </c>
      <c r="C443" s="23" t="s">
        <v>866</v>
      </c>
      <c r="D443" s="23" t="s">
        <v>156</v>
      </c>
      <c r="E443" s="23" t="s">
        <v>150</v>
      </c>
      <c r="F443" s="23" t="s">
        <v>2591</v>
      </c>
      <c r="G443" s="23" t="s">
        <v>2587</v>
      </c>
      <c r="H443" s="23" t="s">
        <v>134</v>
      </c>
      <c r="I443" s="23" t="s">
        <v>53</v>
      </c>
      <c r="J443" s="23" t="s">
        <v>232</v>
      </c>
      <c r="K443" s="23" t="s">
        <v>218</v>
      </c>
      <c r="L443" s="23" t="s">
        <v>2692</v>
      </c>
      <c r="M443" s="23" t="s">
        <v>43</v>
      </c>
      <c r="N443" s="23" t="s">
        <v>70</v>
      </c>
      <c r="O443" s="23">
        <v>47</v>
      </c>
      <c r="P443" s="23">
        <v>79.34</v>
      </c>
      <c r="Q443" s="23">
        <v>47.08</v>
      </c>
      <c r="R443" s="23">
        <v>3728.81</v>
      </c>
      <c r="S443" s="23">
        <v>0</v>
      </c>
      <c r="T443" s="23">
        <v>0</v>
      </c>
      <c r="U443" s="23">
        <v>3728.81</v>
      </c>
      <c r="V443" s="23">
        <v>2212.58</v>
      </c>
      <c r="W443" s="23">
        <v>1516.23</v>
      </c>
      <c r="X443" s="23" t="s">
        <v>45</v>
      </c>
    </row>
    <row r="444" spans="1:24" x14ac:dyDescent="0.25">
      <c r="A444" s="20" t="s">
        <v>867</v>
      </c>
      <c r="B444" s="19">
        <v>45539</v>
      </c>
      <c r="C444" s="20" t="s">
        <v>785</v>
      </c>
      <c r="D444" s="20" t="s">
        <v>264</v>
      </c>
      <c r="E444" s="20" t="s">
        <v>150</v>
      </c>
      <c r="F444" s="20" t="s">
        <v>2591</v>
      </c>
      <c r="G444" s="20" t="s">
        <v>2587</v>
      </c>
      <c r="H444" s="20" t="s">
        <v>134</v>
      </c>
      <c r="I444" s="20" t="s">
        <v>88</v>
      </c>
      <c r="J444" s="20" t="s">
        <v>2112</v>
      </c>
      <c r="K444" s="20" t="s">
        <v>74</v>
      </c>
      <c r="L444" s="20" t="s">
        <v>2682</v>
      </c>
      <c r="M444" s="20" t="s">
        <v>153</v>
      </c>
      <c r="N444" s="20" t="s">
        <v>70</v>
      </c>
      <c r="O444" s="20">
        <v>36</v>
      </c>
      <c r="P444" s="20">
        <v>84.96</v>
      </c>
      <c r="Q444" s="20">
        <v>49.38</v>
      </c>
      <c r="R444" s="20">
        <v>3058.65</v>
      </c>
      <c r="S444" s="20">
        <v>0.2</v>
      </c>
      <c r="T444" s="20">
        <v>611.73</v>
      </c>
      <c r="U444" s="20">
        <v>2446.92</v>
      </c>
      <c r="V444" s="20">
        <v>1777.51</v>
      </c>
      <c r="W444" s="20">
        <v>669.42</v>
      </c>
      <c r="X444" s="20" t="s">
        <v>45</v>
      </c>
    </row>
    <row r="445" spans="1:24" x14ac:dyDescent="0.25">
      <c r="A445" s="23" t="s">
        <v>868</v>
      </c>
      <c r="B445" s="22">
        <v>45298</v>
      </c>
      <c r="C445" s="23" t="s">
        <v>449</v>
      </c>
      <c r="D445" s="23" t="s">
        <v>65</v>
      </c>
      <c r="E445" s="23" t="s">
        <v>78</v>
      </c>
      <c r="F445" s="23" t="s">
        <v>2583</v>
      </c>
      <c r="G445" s="23" t="s">
        <v>2584</v>
      </c>
      <c r="H445" s="23" t="s">
        <v>81</v>
      </c>
      <c r="I445" s="23" t="s">
        <v>27</v>
      </c>
      <c r="J445" s="23" t="s">
        <v>211</v>
      </c>
      <c r="K445" s="23" t="s">
        <v>42</v>
      </c>
      <c r="L445" s="23" t="s">
        <v>2680</v>
      </c>
      <c r="M445" s="23" t="s">
        <v>30</v>
      </c>
      <c r="N445" s="23" t="s">
        <v>2578</v>
      </c>
      <c r="O445" s="23">
        <v>21</v>
      </c>
      <c r="P445" s="23">
        <v>135.51</v>
      </c>
      <c r="Q445" s="23">
        <v>80.150000000000006</v>
      </c>
      <c r="R445" s="23">
        <v>2845.64</v>
      </c>
      <c r="S445" s="23">
        <v>0.05</v>
      </c>
      <c r="T445" s="23">
        <v>142.28</v>
      </c>
      <c r="U445" s="23">
        <v>2703.35</v>
      </c>
      <c r="V445" s="23">
        <v>1683.07</v>
      </c>
      <c r="W445" s="23">
        <v>1020.28</v>
      </c>
      <c r="X445" s="23" t="s">
        <v>45</v>
      </c>
    </row>
    <row r="446" spans="1:24" x14ac:dyDescent="0.25">
      <c r="A446" s="20" t="s">
        <v>869</v>
      </c>
      <c r="B446" s="19">
        <v>45456</v>
      </c>
      <c r="C446" s="20" t="s">
        <v>559</v>
      </c>
      <c r="D446" s="20" t="s">
        <v>221</v>
      </c>
      <c r="E446" s="20" t="s">
        <v>132</v>
      </c>
      <c r="F446" s="20" t="s">
        <v>133</v>
      </c>
      <c r="G446" s="20" t="s">
        <v>2581</v>
      </c>
      <c r="H446" s="20" t="s">
        <v>134</v>
      </c>
      <c r="I446" s="20" t="s">
        <v>88</v>
      </c>
      <c r="J446" s="20" t="s">
        <v>183</v>
      </c>
      <c r="K446" s="20" t="s">
        <v>184</v>
      </c>
      <c r="L446" s="20" t="s">
        <v>2690</v>
      </c>
      <c r="M446" s="20" t="s">
        <v>153</v>
      </c>
      <c r="N446" s="20" t="s">
        <v>75</v>
      </c>
      <c r="O446" s="20">
        <v>78</v>
      </c>
      <c r="P446" s="20">
        <v>64.680000000000007</v>
      </c>
      <c r="Q446" s="20">
        <v>32.1</v>
      </c>
      <c r="R446" s="20">
        <v>5044.87</v>
      </c>
      <c r="S446" s="20">
        <v>0.2</v>
      </c>
      <c r="T446" s="20">
        <v>1008.97</v>
      </c>
      <c r="U446" s="20">
        <v>4035.9</v>
      </c>
      <c r="V446" s="20">
        <v>2503.66</v>
      </c>
      <c r="W446" s="20">
        <v>1532.23</v>
      </c>
      <c r="X446" s="20" t="s">
        <v>45</v>
      </c>
    </row>
    <row r="447" spans="1:24" x14ac:dyDescent="0.25">
      <c r="A447" s="23" t="s">
        <v>870</v>
      </c>
      <c r="B447" s="22">
        <v>45331</v>
      </c>
      <c r="C447" s="23" t="s">
        <v>320</v>
      </c>
      <c r="D447" s="23" t="s">
        <v>264</v>
      </c>
      <c r="E447" s="23" t="s">
        <v>250</v>
      </c>
      <c r="F447" s="23" t="s">
        <v>2598</v>
      </c>
      <c r="G447" s="23" t="s">
        <v>2581</v>
      </c>
      <c r="H447" s="23" t="s">
        <v>252</v>
      </c>
      <c r="I447" s="23" t="s">
        <v>58</v>
      </c>
      <c r="J447" s="23" t="s">
        <v>73</v>
      </c>
      <c r="K447" s="23" t="s">
        <v>83</v>
      </c>
      <c r="L447" s="23" t="s">
        <v>2683</v>
      </c>
      <c r="M447" s="23" t="s">
        <v>153</v>
      </c>
      <c r="N447" s="23" t="s">
        <v>44</v>
      </c>
      <c r="O447" s="23">
        <v>37</v>
      </c>
      <c r="P447" s="23">
        <v>63.07</v>
      </c>
      <c r="Q447" s="23">
        <v>38.049999999999997</v>
      </c>
      <c r="R447" s="23">
        <v>2333.56</v>
      </c>
      <c r="S447" s="23">
        <v>0.02</v>
      </c>
      <c r="T447" s="23">
        <v>46.67</v>
      </c>
      <c r="U447" s="23">
        <v>2286.89</v>
      </c>
      <c r="V447" s="23">
        <v>1407.93</v>
      </c>
      <c r="W447" s="23">
        <v>878.96</v>
      </c>
      <c r="X447" s="23" t="s">
        <v>45</v>
      </c>
    </row>
    <row r="448" spans="1:24" x14ac:dyDescent="0.25">
      <c r="A448" s="20" t="s">
        <v>871</v>
      </c>
      <c r="B448" s="19">
        <v>45367</v>
      </c>
      <c r="C448" s="20" t="s">
        <v>354</v>
      </c>
      <c r="D448" s="20" t="s">
        <v>163</v>
      </c>
      <c r="E448" s="20" t="s">
        <v>176</v>
      </c>
      <c r="F448" s="20" t="s">
        <v>2593</v>
      </c>
      <c r="G448" s="20" t="s">
        <v>2587</v>
      </c>
      <c r="H448" s="20" t="s">
        <v>39</v>
      </c>
      <c r="I448" s="20" t="s">
        <v>88</v>
      </c>
      <c r="J448" s="20" t="s">
        <v>135</v>
      </c>
      <c r="K448" s="20" t="s">
        <v>90</v>
      </c>
      <c r="L448" s="20" t="s">
        <v>2684</v>
      </c>
      <c r="M448" s="20" t="s">
        <v>61</v>
      </c>
      <c r="N448" s="20" t="s">
        <v>70</v>
      </c>
      <c r="O448" s="20">
        <v>32</v>
      </c>
      <c r="P448" s="20">
        <v>111.02</v>
      </c>
      <c r="Q448" s="20">
        <v>62.28</v>
      </c>
      <c r="R448" s="20">
        <v>3552.68</v>
      </c>
      <c r="S448" s="20">
        <v>1.1000000000000001</v>
      </c>
      <c r="T448" s="20">
        <v>0</v>
      </c>
      <c r="U448" s="20">
        <v>3552.68</v>
      </c>
      <c r="V448" s="20">
        <v>1993.1</v>
      </c>
      <c r="W448" s="20">
        <v>1559.59</v>
      </c>
      <c r="X448" s="20" t="s">
        <v>45</v>
      </c>
    </row>
    <row r="449" spans="1:24" x14ac:dyDescent="0.25">
      <c r="A449" s="23" t="s">
        <v>872</v>
      </c>
      <c r="B449" s="22">
        <v>45509</v>
      </c>
      <c r="C449" s="23" t="s">
        <v>146</v>
      </c>
      <c r="D449" s="23" t="s">
        <v>105</v>
      </c>
      <c r="E449" s="23" t="s">
        <v>78</v>
      </c>
      <c r="F449" s="23" t="s">
        <v>2583</v>
      </c>
      <c r="G449" s="23" t="s">
        <v>2584</v>
      </c>
      <c r="H449" s="23" t="s">
        <v>81</v>
      </c>
      <c r="I449" s="23" t="s">
        <v>88</v>
      </c>
      <c r="J449" s="23" t="s">
        <v>135</v>
      </c>
      <c r="K449" s="23" t="s">
        <v>29</v>
      </c>
      <c r="L449" s="23" t="s">
        <v>2679</v>
      </c>
      <c r="M449" s="23" t="s">
        <v>30</v>
      </c>
      <c r="N449" s="23" t="s">
        <v>84</v>
      </c>
      <c r="O449" s="23">
        <v>27</v>
      </c>
      <c r="P449" s="23">
        <v>140.41999999999999</v>
      </c>
      <c r="Q449" s="23">
        <v>76.06</v>
      </c>
      <c r="R449" s="23">
        <v>3791.44</v>
      </c>
      <c r="S449" s="23">
        <f>ROUND(Cleaned_Sales!$T449/Cleaned_Sales!$R449,2)</f>
        <v>0.1</v>
      </c>
      <c r="T449" s="23">
        <v>379.14</v>
      </c>
      <c r="U449" s="23">
        <v>3412.3</v>
      </c>
      <c r="V449" s="23">
        <v>2053.52</v>
      </c>
      <c r="W449" s="23">
        <v>1358.78</v>
      </c>
      <c r="X449" s="23" t="s">
        <v>45</v>
      </c>
    </row>
    <row r="450" spans="1:24" x14ac:dyDescent="0.25">
      <c r="A450" s="20" t="s">
        <v>873</v>
      </c>
      <c r="B450" s="19">
        <v>45619</v>
      </c>
      <c r="C450" s="20" t="s">
        <v>874</v>
      </c>
      <c r="D450" s="20" t="s">
        <v>159</v>
      </c>
      <c r="E450" s="20" t="s">
        <v>222</v>
      </c>
      <c r="F450" s="20" t="s">
        <v>2597</v>
      </c>
      <c r="G450" s="20" t="s">
        <v>2587</v>
      </c>
      <c r="H450" s="20" t="s">
        <v>68</v>
      </c>
      <c r="I450" s="20" t="s">
        <v>27</v>
      </c>
      <c r="J450" s="20" t="s">
        <v>211</v>
      </c>
      <c r="K450" s="20" t="s">
        <v>253</v>
      </c>
      <c r="L450" s="20" t="s">
        <v>2694</v>
      </c>
      <c r="M450" s="20" t="s">
        <v>30</v>
      </c>
      <c r="N450" s="20" t="s">
        <v>44</v>
      </c>
      <c r="O450" s="20">
        <v>35</v>
      </c>
      <c r="P450" s="20">
        <v>127.69</v>
      </c>
      <c r="Q450" s="20">
        <v>77.02</v>
      </c>
      <c r="R450" s="20">
        <v>4469.2700000000004</v>
      </c>
      <c r="S450" s="20">
        <v>0.1</v>
      </c>
      <c r="T450" s="20">
        <v>446.93</v>
      </c>
      <c r="U450" s="20">
        <v>4022.34</v>
      </c>
      <c r="V450" s="20">
        <v>2695.81</v>
      </c>
      <c r="W450" s="20">
        <v>1326.54</v>
      </c>
      <c r="X450" s="20" t="s">
        <v>45</v>
      </c>
    </row>
    <row r="451" spans="1:24" x14ac:dyDescent="0.25">
      <c r="A451" s="23" t="s">
        <v>875</v>
      </c>
      <c r="B451" s="22">
        <v>45600</v>
      </c>
      <c r="C451" s="23" t="s">
        <v>832</v>
      </c>
      <c r="D451" s="23" t="s">
        <v>159</v>
      </c>
      <c r="E451" s="23" t="s">
        <v>222</v>
      </c>
      <c r="F451" s="23" t="s">
        <v>2597</v>
      </c>
      <c r="G451" s="23" t="s">
        <v>2587</v>
      </c>
      <c r="H451" s="23" t="s">
        <v>68</v>
      </c>
      <c r="I451" s="23" t="s">
        <v>27</v>
      </c>
      <c r="J451" s="23" t="s">
        <v>28</v>
      </c>
      <c r="K451" s="23" t="s">
        <v>184</v>
      </c>
      <c r="L451" s="23" t="s">
        <v>2690</v>
      </c>
      <c r="M451" s="23" t="s">
        <v>43</v>
      </c>
      <c r="N451" s="23" t="s">
        <v>84</v>
      </c>
      <c r="O451" s="23">
        <v>29</v>
      </c>
      <c r="P451" s="23">
        <v>112.35</v>
      </c>
      <c r="Q451" s="23">
        <v>73.67</v>
      </c>
      <c r="R451" s="23">
        <v>3258.27</v>
      </c>
      <c r="S451" s="23">
        <v>0</v>
      </c>
      <c r="T451" s="23">
        <v>0</v>
      </c>
      <c r="U451" s="23">
        <v>3258.27</v>
      </c>
      <c r="V451" s="23">
        <v>2136.36</v>
      </c>
      <c r="W451" s="23">
        <v>1121.9100000000001</v>
      </c>
      <c r="X451" s="23" t="s">
        <v>32</v>
      </c>
    </row>
    <row r="452" spans="1:24" x14ac:dyDescent="0.25">
      <c r="A452" s="20" t="s">
        <v>876</v>
      </c>
      <c r="B452" s="19">
        <v>45586</v>
      </c>
      <c r="C452" s="20" t="s">
        <v>468</v>
      </c>
      <c r="D452" s="20" t="s">
        <v>65</v>
      </c>
      <c r="E452" s="20" t="s">
        <v>36</v>
      </c>
      <c r="F452" s="20" t="s">
        <v>37</v>
      </c>
      <c r="G452" s="20" t="s">
        <v>2579</v>
      </c>
      <c r="H452" s="20" t="s">
        <v>39</v>
      </c>
      <c r="I452" s="20" t="s">
        <v>40</v>
      </c>
      <c r="J452" s="20" t="s">
        <v>41</v>
      </c>
      <c r="K452" s="20" t="s">
        <v>29</v>
      </c>
      <c r="L452" s="20" t="s">
        <v>2679</v>
      </c>
      <c r="M452" s="20" t="s">
        <v>153</v>
      </c>
      <c r="N452" s="20" t="s">
        <v>2578</v>
      </c>
      <c r="O452" s="20">
        <v>36</v>
      </c>
      <c r="P452" s="20">
        <v>161.63</v>
      </c>
      <c r="Q452" s="20">
        <v>92.17</v>
      </c>
      <c r="R452" s="20">
        <v>5818.86</v>
      </c>
      <c r="S452" s="20">
        <v>0</v>
      </c>
      <c r="T452" s="20">
        <v>0</v>
      </c>
      <c r="U452" s="20">
        <v>5818.86</v>
      </c>
      <c r="V452" s="20">
        <v>3318.06</v>
      </c>
      <c r="W452" s="20">
        <v>2500.79</v>
      </c>
      <c r="X452" s="20" t="s">
        <v>32</v>
      </c>
    </row>
    <row r="453" spans="1:24" x14ac:dyDescent="0.25">
      <c r="A453" s="23" t="s">
        <v>877</v>
      </c>
      <c r="B453" s="22">
        <v>45628</v>
      </c>
      <c r="C453" s="23" t="s">
        <v>878</v>
      </c>
      <c r="D453" s="23" t="s">
        <v>65</v>
      </c>
      <c r="E453" s="23" t="s">
        <v>132</v>
      </c>
      <c r="F453" s="23" t="s">
        <v>133</v>
      </c>
      <c r="G453" s="23" t="s">
        <v>2581</v>
      </c>
      <c r="H453" s="23" t="s">
        <v>134</v>
      </c>
      <c r="I453" s="23" t="s">
        <v>88</v>
      </c>
      <c r="J453" s="23" t="s">
        <v>135</v>
      </c>
      <c r="K453" s="23" t="s">
        <v>144</v>
      </c>
      <c r="L453" s="23" t="s">
        <v>2687</v>
      </c>
      <c r="M453" s="23" t="s">
        <v>153</v>
      </c>
      <c r="N453" s="23" t="s">
        <v>84</v>
      </c>
      <c r="O453" s="23">
        <v>73</v>
      </c>
      <c r="P453" s="23">
        <v>64.489999999999995</v>
      </c>
      <c r="Q453" s="23">
        <v>32.29</v>
      </c>
      <c r="R453" s="23">
        <v>4708.1099999999997</v>
      </c>
      <c r="S453" s="23">
        <v>0.02</v>
      </c>
      <c r="T453" s="23">
        <v>94.16</v>
      </c>
      <c r="U453" s="23">
        <v>4613.95</v>
      </c>
      <c r="V453" s="23">
        <v>2357.12</v>
      </c>
      <c r="W453" s="23">
        <v>2256.83</v>
      </c>
      <c r="X453" s="23" t="s">
        <v>45</v>
      </c>
    </row>
    <row r="454" spans="1:24" x14ac:dyDescent="0.25">
      <c r="A454" s="20" t="s">
        <v>879</v>
      </c>
      <c r="B454" s="19">
        <v>45613</v>
      </c>
      <c r="C454" s="20" t="s">
        <v>378</v>
      </c>
      <c r="D454" s="20" t="s">
        <v>833</v>
      </c>
      <c r="E454" s="20" t="s">
        <v>150</v>
      </c>
      <c r="F454" s="20" t="s">
        <v>2591</v>
      </c>
      <c r="G454" s="20" t="s">
        <v>2587</v>
      </c>
      <c r="H454" s="20" t="s">
        <v>134</v>
      </c>
      <c r="I454" s="20" t="s">
        <v>27</v>
      </c>
      <c r="J454" s="20" t="s">
        <v>189</v>
      </c>
      <c r="K454" s="20" t="s">
        <v>261</v>
      </c>
      <c r="L454" s="20" t="s">
        <v>2695</v>
      </c>
      <c r="M454" s="20" t="s">
        <v>61</v>
      </c>
      <c r="N454" s="20" t="s">
        <v>75</v>
      </c>
      <c r="O454" s="20">
        <v>74</v>
      </c>
      <c r="P454" s="20">
        <v>83.23</v>
      </c>
      <c r="Q454" s="20">
        <v>50.71</v>
      </c>
      <c r="R454" s="20">
        <v>6158.74</v>
      </c>
      <c r="S454" s="20">
        <v>0</v>
      </c>
      <c r="T454" s="20">
        <v>0</v>
      </c>
      <c r="U454" s="20">
        <v>6158.74</v>
      </c>
      <c r="V454" s="20">
        <v>3752.41</v>
      </c>
      <c r="W454" s="20">
        <v>2406.33</v>
      </c>
      <c r="X454" s="20" t="s">
        <v>45</v>
      </c>
    </row>
    <row r="455" spans="1:24" x14ac:dyDescent="0.25">
      <c r="A455" s="23" t="s">
        <v>880</v>
      </c>
      <c r="B455" s="22">
        <v>45609</v>
      </c>
      <c r="C455" s="23" t="s">
        <v>649</v>
      </c>
      <c r="D455" s="23" t="s">
        <v>87</v>
      </c>
      <c r="E455" s="23" t="s">
        <v>216</v>
      </c>
      <c r="F455" s="23" t="s">
        <v>2596</v>
      </c>
      <c r="G455" s="23" t="s">
        <v>2579</v>
      </c>
      <c r="H455" s="23" t="s">
        <v>134</v>
      </c>
      <c r="I455" s="23" t="s">
        <v>27</v>
      </c>
      <c r="J455" s="23" t="s">
        <v>189</v>
      </c>
      <c r="K455" s="23" t="s">
        <v>69</v>
      </c>
      <c r="L455" s="23" t="s">
        <v>2681</v>
      </c>
      <c r="M455" s="23" t="s">
        <v>43</v>
      </c>
      <c r="N455" s="23" t="s">
        <v>70</v>
      </c>
      <c r="O455" s="23">
        <v>12</v>
      </c>
      <c r="P455" s="23">
        <v>116.41</v>
      </c>
      <c r="Q455" s="23">
        <v>66.709999999999994</v>
      </c>
      <c r="R455" s="23">
        <v>1396.95</v>
      </c>
      <c r="S455" s="23">
        <v>0</v>
      </c>
      <c r="T455" s="23">
        <v>0</v>
      </c>
      <c r="U455" s="23">
        <v>1396.95</v>
      </c>
      <c r="V455" s="23">
        <v>800.55</v>
      </c>
      <c r="W455" s="23">
        <v>596.4</v>
      </c>
      <c r="X455" s="23" t="s">
        <v>45</v>
      </c>
    </row>
    <row r="456" spans="1:24" x14ac:dyDescent="0.25">
      <c r="A456" s="20" t="s">
        <v>881</v>
      </c>
      <c r="B456" s="19">
        <v>45386</v>
      </c>
      <c r="C456" s="20" t="s">
        <v>428</v>
      </c>
      <c r="D456" s="20" t="s">
        <v>57</v>
      </c>
      <c r="E456" s="20" t="s">
        <v>126</v>
      </c>
      <c r="F456" s="20" t="s">
        <v>2589</v>
      </c>
      <c r="G456" s="20" t="s">
        <v>2586</v>
      </c>
      <c r="H456" s="20" t="s">
        <v>128</v>
      </c>
      <c r="I456" s="20" t="s">
        <v>40</v>
      </c>
      <c r="J456" s="20" t="s">
        <v>289</v>
      </c>
      <c r="K456" s="20" t="s">
        <v>144</v>
      </c>
      <c r="L456" s="20" t="s">
        <v>2687</v>
      </c>
      <c r="M456" s="20" t="s">
        <v>61</v>
      </c>
      <c r="N456" s="20" t="s">
        <v>75</v>
      </c>
      <c r="O456" s="20">
        <v>75</v>
      </c>
      <c r="P456" s="20">
        <v>93.33</v>
      </c>
      <c r="Q456" s="20">
        <v>55.75</v>
      </c>
      <c r="R456" s="20">
        <v>7000.02</v>
      </c>
      <c r="S456" s="20">
        <v>0</v>
      </c>
      <c r="T456" s="20">
        <v>0</v>
      </c>
      <c r="U456" s="20">
        <v>7000.02</v>
      </c>
      <c r="V456" s="20">
        <v>4181.3599999999997</v>
      </c>
      <c r="W456" s="20">
        <v>2818.65</v>
      </c>
      <c r="X456" s="20" t="s">
        <v>32</v>
      </c>
    </row>
    <row r="457" spans="1:24" x14ac:dyDescent="0.25">
      <c r="A457" s="23" t="s">
        <v>882</v>
      </c>
      <c r="B457" s="22">
        <v>45605</v>
      </c>
      <c r="C457" s="23" t="s">
        <v>449</v>
      </c>
      <c r="D457" s="23" t="s">
        <v>65</v>
      </c>
      <c r="E457" s="23" t="s">
        <v>78</v>
      </c>
      <c r="F457" s="23" t="s">
        <v>2583</v>
      </c>
      <c r="G457" s="23" t="s">
        <v>2584</v>
      </c>
      <c r="H457" s="23" t="s">
        <v>81</v>
      </c>
      <c r="I457" s="23" t="s">
        <v>27</v>
      </c>
      <c r="J457" s="23" t="s">
        <v>883</v>
      </c>
      <c r="K457" s="23" t="s">
        <v>218</v>
      </c>
      <c r="L457" s="23" t="s">
        <v>2692</v>
      </c>
      <c r="M457" s="23" t="s">
        <v>43</v>
      </c>
      <c r="N457" s="23" t="s">
        <v>84</v>
      </c>
      <c r="O457" s="23">
        <v>66</v>
      </c>
      <c r="P457" s="23">
        <v>136.55000000000001</v>
      </c>
      <c r="Q457" s="23">
        <v>83.59</v>
      </c>
      <c r="R457" s="23">
        <v>9012.15</v>
      </c>
      <c r="S457" s="23">
        <v>0.1</v>
      </c>
      <c r="T457" s="23">
        <v>901.22</v>
      </c>
      <c r="U457" s="23">
        <v>8110.94</v>
      </c>
      <c r="V457" s="23">
        <v>5516.7</v>
      </c>
      <c r="W457" s="23">
        <v>2594.23</v>
      </c>
      <c r="X457" s="23" t="s">
        <v>32</v>
      </c>
    </row>
    <row r="458" spans="1:24" x14ac:dyDescent="0.25">
      <c r="A458" s="20" t="s">
        <v>884</v>
      </c>
      <c r="B458" s="19">
        <v>45595</v>
      </c>
      <c r="C458" s="20" t="s">
        <v>428</v>
      </c>
      <c r="D458" s="20" t="s">
        <v>57</v>
      </c>
      <c r="E458" s="20" t="s">
        <v>66</v>
      </c>
      <c r="F458" s="20" t="s">
        <v>2582</v>
      </c>
      <c r="G458" s="20" t="s">
        <v>2579</v>
      </c>
      <c r="H458" s="20" t="s">
        <v>68</v>
      </c>
      <c r="I458" s="20" t="s">
        <v>40</v>
      </c>
      <c r="J458" s="20" t="s">
        <v>289</v>
      </c>
      <c r="K458" s="20" t="s">
        <v>178</v>
      </c>
      <c r="L458" s="20" t="s">
        <v>2689</v>
      </c>
      <c r="M458" s="20" t="s">
        <v>61</v>
      </c>
      <c r="N458" s="20" t="s">
        <v>70</v>
      </c>
      <c r="O458" s="20">
        <v>56</v>
      </c>
      <c r="P458" s="20">
        <v>162.31</v>
      </c>
      <c r="Q458" s="20">
        <v>104.14</v>
      </c>
      <c r="R458" s="20">
        <v>9089.52</v>
      </c>
      <c r="S458" s="20">
        <v>0.02</v>
      </c>
      <c r="T458" s="20">
        <v>181.79</v>
      </c>
      <c r="U458" s="20">
        <v>8907.73</v>
      </c>
      <c r="V458" s="20">
        <v>5831.79</v>
      </c>
      <c r="W458" s="20">
        <v>3075.94</v>
      </c>
      <c r="X458" s="20" t="s">
        <v>45</v>
      </c>
    </row>
    <row r="459" spans="1:24" x14ac:dyDescent="0.25">
      <c r="A459" s="23" t="s">
        <v>885</v>
      </c>
      <c r="B459" s="22">
        <v>45552</v>
      </c>
      <c r="C459" s="23" t="s">
        <v>258</v>
      </c>
      <c r="D459" s="23" t="s">
        <v>259</v>
      </c>
      <c r="E459" s="23" t="s">
        <v>222</v>
      </c>
      <c r="F459" s="23" t="s">
        <v>2597</v>
      </c>
      <c r="G459" s="23" t="s">
        <v>2587</v>
      </c>
      <c r="H459" s="23" t="s">
        <v>68</v>
      </c>
      <c r="I459" s="23" t="s">
        <v>88</v>
      </c>
      <c r="J459" s="23" t="s">
        <v>135</v>
      </c>
      <c r="K459" s="23" t="s">
        <v>178</v>
      </c>
      <c r="L459" s="23" t="s">
        <v>2689</v>
      </c>
      <c r="M459" s="23" t="s">
        <v>153</v>
      </c>
      <c r="N459" s="23" t="s">
        <v>70</v>
      </c>
      <c r="O459" s="23">
        <v>50</v>
      </c>
      <c r="P459" s="23">
        <v>115.38</v>
      </c>
      <c r="Q459" s="23">
        <v>77.12</v>
      </c>
      <c r="R459" s="23">
        <v>5768.92</v>
      </c>
      <c r="S459" s="23">
        <v>0.15</v>
      </c>
      <c r="T459" s="23">
        <v>865.34</v>
      </c>
      <c r="U459" s="23">
        <v>4903.59</v>
      </c>
      <c r="V459" s="23">
        <v>3856.11</v>
      </c>
      <c r="W459" s="23">
        <v>1047.48</v>
      </c>
      <c r="X459" s="23" t="s">
        <v>45</v>
      </c>
    </row>
    <row r="460" spans="1:24" x14ac:dyDescent="0.25">
      <c r="A460" s="20" t="s">
        <v>886</v>
      </c>
      <c r="B460" s="19">
        <v>45377</v>
      </c>
      <c r="C460" s="20" t="s">
        <v>108</v>
      </c>
      <c r="D460" s="20" t="s">
        <v>105</v>
      </c>
      <c r="E460" s="20" t="s">
        <v>126</v>
      </c>
      <c r="F460" s="20" t="s">
        <v>2589</v>
      </c>
      <c r="G460" s="20" t="s">
        <v>2586</v>
      </c>
      <c r="H460" s="20" t="s">
        <v>128</v>
      </c>
      <c r="I460" s="20" t="s">
        <v>58</v>
      </c>
      <c r="J460" s="20" t="s">
        <v>59</v>
      </c>
      <c r="K460" s="20" t="s">
        <v>74</v>
      </c>
      <c r="L460" s="20" t="s">
        <v>2682</v>
      </c>
      <c r="M460" s="20" t="s">
        <v>153</v>
      </c>
      <c r="N460" s="20" t="s">
        <v>84</v>
      </c>
      <c r="O460" s="20">
        <v>18</v>
      </c>
      <c r="P460" s="20">
        <v>86.81</v>
      </c>
      <c r="Q460" s="20">
        <v>55.53</v>
      </c>
      <c r="R460" s="20">
        <v>1562.55</v>
      </c>
      <c r="S460" s="20">
        <v>0.1</v>
      </c>
      <c r="T460" s="20">
        <v>156.26</v>
      </c>
      <c r="U460" s="20">
        <v>1406.3</v>
      </c>
      <c r="V460" s="20">
        <v>999.53</v>
      </c>
      <c r="W460" s="20">
        <v>406.77</v>
      </c>
      <c r="X460" s="20" t="s">
        <v>32</v>
      </c>
    </row>
    <row r="461" spans="1:24" x14ac:dyDescent="0.25">
      <c r="A461" s="23" t="s">
        <v>887</v>
      </c>
      <c r="B461" s="22">
        <v>45522</v>
      </c>
      <c r="C461" s="23" t="s">
        <v>888</v>
      </c>
      <c r="D461" s="23" t="s">
        <v>159</v>
      </c>
      <c r="E461" s="23" t="s">
        <v>187</v>
      </c>
      <c r="F461" s="23" t="s">
        <v>2594</v>
      </c>
      <c r="G461" s="23" t="s">
        <v>2577</v>
      </c>
      <c r="H461" s="23" t="s">
        <v>26</v>
      </c>
      <c r="I461" s="23" t="s">
        <v>53</v>
      </c>
      <c r="J461" s="23" t="s">
        <v>122</v>
      </c>
      <c r="K461" s="23" t="s">
        <v>170</v>
      </c>
      <c r="L461" s="23" t="s">
        <v>2671</v>
      </c>
      <c r="M461" s="23" t="s">
        <v>30</v>
      </c>
      <c r="N461" s="23" t="s">
        <v>70</v>
      </c>
      <c r="O461" s="23">
        <v>52</v>
      </c>
      <c r="P461" s="23">
        <v>45.77</v>
      </c>
      <c r="Q461" s="23">
        <v>30.85</v>
      </c>
      <c r="R461" s="23">
        <v>2380.15</v>
      </c>
      <c r="S461" s="23">
        <v>0.1</v>
      </c>
      <c r="T461" s="23">
        <v>238.01</v>
      </c>
      <c r="U461" s="23">
        <v>2142.13</v>
      </c>
      <c r="V461" s="23">
        <v>1604.04</v>
      </c>
      <c r="W461" s="23">
        <v>538.09</v>
      </c>
      <c r="X461" s="23" t="s">
        <v>32</v>
      </c>
    </row>
    <row r="462" spans="1:24" x14ac:dyDescent="0.25">
      <c r="A462" s="20" t="s">
        <v>889</v>
      </c>
      <c r="B462" s="19">
        <v>45514</v>
      </c>
      <c r="C462" s="20" t="s">
        <v>664</v>
      </c>
      <c r="D462" s="20" t="s">
        <v>125</v>
      </c>
      <c r="E462" s="20" t="s">
        <v>141</v>
      </c>
      <c r="F462" s="20" t="s">
        <v>2590</v>
      </c>
      <c r="G462" s="20" t="s">
        <v>2577</v>
      </c>
      <c r="H462" s="20" t="s">
        <v>26</v>
      </c>
      <c r="I462" s="20" t="s">
        <v>88</v>
      </c>
      <c r="J462" s="20" t="s">
        <v>135</v>
      </c>
      <c r="K462" s="20" t="s">
        <v>195</v>
      </c>
      <c r="L462" s="20" t="s">
        <v>2691</v>
      </c>
      <c r="M462" s="20" t="s">
        <v>61</v>
      </c>
      <c r="N462" s="20" t="s">
        <v>70</v>
      </c>
      <c r="O462" s="20">
        <v>73</v>
      </c>
      <c r="P462" s="20">
        <v>97.02</v>
      </c>
      <c r="Q462" s="20">
        <v>62.01</v>
      </c>
      <c r="R462" s="20">
        <v>7082.16</v>
      </c>
      <c r="S462" s="20">
        <v>0.05</v>
      </c>
      <c r="T462" s="20">
        <v>354.11</v>
      </c>
      <c r="U462" s="20">
        <v>6728.05</v>
      </c>
      <c r="V462" s="20">
        <v>4526.67</v>
      </c>
      <c r="W462" s="20">
        <v>2201.38</v>
      </c>
      <c r="X462" s="20" t="s">
        <v>129</v>
      </c>
    </row>
    <row r="463" spans="1:24" x14ac:dyDescent="0.25">
      <c r="A463" s="23" t="s">
        <v>890</v>
      </c>
      <c r="B463" s="22">
        <v>45586</v>
      </c>
      <c r="C463" s="23" t="s">
        <v>891</v>
      </c>
      <c r="D463" s="23" t="s">
        <v>156</v>
      </c>
      <c r="E463" s="23" t="s">
        <v>150</v>
      </c>
      <c r="F463" s="23" t="s">
        <v>2591</v>
      </c>
      <c r="G463" s="23" t="s">
        <v>2587</v>
      </c>
      <c r="H463" s="23" t="s">
        <v>134</v>
      </c>
      <c r="I463" s="23" t="s">
        <v>40</v>
      </c>
      <c r="J463" s="23" t="s">
        <v>41</v>
      </c>
      <c r="K463" s="23" t="s">
        <v>195</v>
      </c>
      <c r="L463" s="23" t="s">
        <v>2691</v>
      </c>
      <c r="M463" s="23" t="s">
        <v>30</v>
      </c>
      <c r="N463" s="23" t="s">
        <v>2578</v>
      </c>
      <c r="O463" s="23">
        <v>30</v>
      </c>
      <c r="P463" s="23">
        <v>80.459999999999994</v>
      </c>
      <c r="Q463" s="23">
        <v>52.94</v>
      </c>
      <c r="R463" s="23">
        <v>2413.84</v>
      </c>
      <c r="S463" s="23">
        <v>0</v>
      </c>
      <c r="T463" s="23">
        <v>0</v>
      </c>
      <c r="U463" s="23">
        <v>2413.84</v>
      </c>
      <c r="V463" s="23">
        <v>1588.27</v>
      </c>
      <c r="W463" s="23">
        <v>825.57</v>
      </c>
      <c r="X463" s="23" t="s">
        <v>45</v>
      </c>
    </row>
    <row r="464" spans="1:24" x14ac:dyDescent="0.25">
      <c r="A464" s="20" t="s">
        <v>892</v>
      </c>
      <c r="B464" s="19">
        <v>45642</v>
      </c>
      <c r="C464" s="20" t="s">
        <v>893</v>
      </c>
      <c r="D464" s="20" t="s">
        <v>48</v>
      </c>
      <c r="E464" s="20" t="s">
        <v>141</v>
      </c>
      <c r="F464" s="20" t="s">
        <v>2590</v>
      </c>
      <c r="G464" s="20" t="s">
        <v>2577</v>
      </c>
      <c r="H464" s="20" t="s">
        <v>26</v>
      </c>
      <c r="I464" s="20" t="s">
        <v>27</v>
      </c>
      <c r="J464" s="20" t="s">
        <v>189</v>
      </c>
      <c r="K464" s="20" t="s">
        <v>253</v>
      </c>
      <c r="L464" s="20" t="s">
        <v>2694</v>
      </c>
      <c r="M464" s="20" t="s">
        <v>43</v>
      </c>
      <c r="N464" s="20" t="s">
        <v>44</v>
      </c>
      <c r="O464" s="20">
        <v>9</v>
      </c>
      <c r="P464" s="20">
        <v>93.37</v>
      </c>
      <c r="Q464" s="20">
        <v>60.36</v>
      </c>
      <c r="R464" s="20">
        <v>840.29</v>
      </c>
      <c r="S464" s="20">
        <v>0.1</v>
      </c>
      <c r="T464" s="20">
        <v>84.03</v>
      </c>
      <c r="U464" s="20">
        <v>756.26</v>
      </c>
      <c r="V464" s="20">
        <v>543.24</v>
      </c>
      <c r="W464" s="20">
        <v>213.02</v>
      </c>
      <c r="X464" s="20" t="s">
        <v>129</v>
      </c>
    </row>
    <row r="465" spans="1:24" x14ac:dyDescent="0.25">
      <c r="A465" s="23" t="s">
        <v>894</v>
      </c>
      <c r="B465" s="22">
        <v>45393</v>
      </c>
      <c r="C465" s="23" t="s">
        <v>785</v>
      </c>
      <c r="D465" s="23" t="s">
        <v>264</v>
      </c>
      <c r="E465" s="23" t="s">
        <v>126</v>
      </c>
      <c r="F465" s="23" t="s">
        <v>2589</v>
      </c>
      <c r="G465" s="23" t="s">
        <v>2586</v>
      </c>
      <c r="H465" s="23" t="s">
        <v>128</v>
      </c>
      <c r="I465" s="23" t="s">
        <v>27</v>
      </c>
      <c r="J465" s="23" t="s">
        <v>211</v>
      </c>
      <c r="K465" s="23" t="s">
        <v>69</v>
      </c>
      <c r="L465" s="23" t="s">
        <v>2681</v>
      </c>
      <c r="M465" s="23" t="s">
        <v>30</v>
      </c>
      <c r="N465" s="23" t="s">
        <v>84</v>
      </c>
      <c r="O465" s="23">
        <v>13</v>
      </c>
      <c r="P465" s="23">
        <v>87.35</v>
      </c>
      <c r="Q465" s="23">
        <v>49.62</v>
      </c>
      <c r="R465" s="23">
        <v>1135.6099999999999</v>
      </c>
      <c r="S465" s="23">
        <v>0.15</v>
      </c>
      <c r="T465" s="23">
        <v>170.34</v>
      </c>
      <c r="U465" s="23">
        <v>965.26</v>
      </c>
      <c r="V465" s="23">
        <v>645.11</v>
      </c>
      <c r="W465" s="23">
        <v>320.14999999999998</v>
      </c>
      <c r="X465" s="23" t="s">
        <v>32</v>
      </c>
    </row>
    <row r="466" spans="1:24" x14ac:dyDescent="0.25">
      <c r="A466" s="20" t="s">
        <v>895</v>
      </c>
      <c r="B466" s="19">
        <v>45608</v>
      </c>
      <c r="C466" s="20" t="s">
        <v>750</v>
      </c>
      <c r="D466" s="20" t="s">
        <v>121</v>
      </c>
      <c r="E466" s="20" t="s">
        <v>222</v>
      </c>
      <c r="F466" s="20" t="s">
        <v>2597</v>
      </c>
      <c r="G466" s="20" t="s">
        <v>2587</v>
      </c>
      <c r="H466" s="20" t="s">
        <v>68</v>
      </c>
      <c r="I466" s="20" t="s">
        <v>88</v>
      </c>
      <c r="J466" s="20" t="s">
        <v>135</v>
      </c>
      <c r="K466" s="20" t="s">
        <v>74</v>
      </c>
      <c r="L466" s="20" t="s">
        <v>2682</v>
      </c>
      <c r="M466" s="20" t="s">
        <v>153</v>
      </c>
      <c r="N466" s="20" t="s">
        <v>2578</v>
      </c>
      <c r="O466" s="20">
        <v>38</v>
      </c>
      <c r="P466" s="20">
        <v>126.18</v>
      </c>
      <c r="Q466" s="20">
        <v>79.989999999999995</v>
      </c>
      <c r="R466" s="20">
        <v>4794.8100000000004</v>
      </c>
      <c r="S466" s="20">
        <v>0.2</v>
      </c>
      <c r="T466" s="20">
        <v>958.96</v>
      </c>
      <c r="U466" s="20">
        <v>3835.85</v>
      </c>
      <c r="V466" s="20">
        <v>3039.65</v>
      </c>
      <c r="W466" s="20">
        <v>796.2</v>
      </c>
      <c r="X466" s="20" t="s">
        <v>45</v>
      </c>
    </row>
    <row r="467" spans="1:24" x14ac:dyDescent="0.25">
      <c r="A467" s="23" t="s">
        <v>896</v>
      </c>
      <c r="B467" s="22">
        <v>45299</v>
      </c>
      <c r="C467" s="23" t="s">
        <v>897</v>
      </c>
      <c r="D467" s="23" t="s">
        <v>65</v>
      </c>
      <c r="E467" s="23" t="s">
        <v>66</v>
      </c>
      <c r="F467" s="23" t="s">
        <v>2582</v>
      </c>
      <c r="G467" s="23" t="s">
        <v>2579</v>
      </c>
      <c r="H467" s="23" t="s">
        <v>68</v>
      </c>
      <c r="I467" s="23" t="s">
        <v>40</v>
      </c>
      <c r="J467" s="23" t="s">
        <v>82</v>
      </c>
      <c r="K467" s="23" t="s">
        <v>60</v>
      </c>
      <c r="L467" s="23" t="s">
        <v>2677</v>
      </c>
      <c r="M467" s="23" t="s">
        <v>43</v>
      </c>
      <c r="N467" s="23" t="s">
        <v>2578</v>
      </c>
      <c r="O467" s="23">
        <v>19</v>
      </c>
      <c r="P467" s="23">
        <v>149.58000000000001</v>
      </c>
      <c r="Q467" s="23">
        <v>110.61</v>
      </c>
      <c r="R467" s="23">
        <v>2842.09</v>
      </c>
      <c r="S467" s="23">
        <v>0.1</v>
      </c>
      <c r="T467" s="23">
        <v>284.20999999999998</v>
      </c>
      <c r="U467" s="23">
        <v>2557.88</v>
      </c>
      <c r="V467" s="23">
        <v>2101.58</v>
      </c>
      <c r="W467" s="23">
        <v>456.29</v>
      </c>
      <c r="X467" s="23" t="s">
        <v>45</v>
      </c>
    </row>
    <row r="468" spans="1:24" x14ac:dyDescent="0.25">
      <c r="A468" s="20" t="s">
        <v>898</v>
      </c>
      <c r="B468" s="19">
        <v>45332</v>
      </c>
      <c r="C468" s="20" t="s">
        <v>180</v>
      </c>
      <c r="D468" s="20" t="s">
        <v>163</v>
      </c>
      <c r="E468" s="20" t="s">
        <v>250</v>
      </c>
      <c r="F468" s="20" t="s">
        <v>2598</v>
      </c>
      <c r="G468" s="20" t="s">
        <v>2581</v>
      </c>
      <c r="H468" s="20" t="s">
        <v>252</v>
      </c>
      <c r="I468" s="20" t="s">
        <v>27</v>
      </c>
      <c r="J468" s="20" t="s">
        <v>106</v>
      </c>
      <c r="K468" s="20" t="s">
        <v>152</v>
      </c>
      <c r="L468" s="20" t="s">
        <v>2688</v>
      </c>
      <c r="M468" s="20" t="s">
        <v>30</v>
      </c>
      <c r="N468" s="20" t="s">
        <v>84</v>
      </c>
      <c r="O468" s="20">
        <v>62</v>
      </c>
      <c r="P468" s="20">
        <v>62.09</v>
      </c>
      <c r="Q468" s="20">
        <v>36.090000000000003</v>
      </c>
      <c r="R468" s="20">
        <v>3849.77</v>
      </c>
      <c r="S468" s="20">
        <v>0.02</v>
      </c>
      <c r="T468" s="20">
        <v>77</v>
      </c>
      <c r="U468" s="20">
        <v>3772.77</v>
      </c>
      <c r="V468" s="20">
        <v>2237.8000000000002</v>
      </c>
      <c r="W468" s="20">
        <v>1534.97</v>
      </c>
      <c r="X468" s="20" t="s">
        <v>45</v>
      </c>
    </row>
    <row r="469" spans="1:24" x14ac:dyDescent="0.25">
      <c r="A469" s="23" t="s">
        <v>899</v>
      </c>
      <c r="B469" s="22">
        <v>45474</v>
      </c>
      <c r="C469" s="23" t="s">
        <v>900</v>
      </c>
      <c r="D469" s="23" t="s">
        <v>22</v>
      </c>
      <c r="E469" s="23" t="s">
        <v>176</v>
      </c>
      <c r="F469" s="23" t="s">
        <v>2593</v>
      </c>
      <c r="G469" s="23" t="s">
        <v>2587</v>
      </c>
      <c r="H469" s="23" t="s">
        <v>39</v>
      </c>
      <c r="I469" s="23" t="s">
        <v>27</v>
      </c>
      <c r="J469" s="23" t="s">
        <v>211</v>
      </c>
      <c r="K469" s="23" t="s">
        <v>184</v>
      </c>
      <c r="L469" s="23" t="s">
        <v>2690</v>
      </c>
      <c r="M469" s="23" t="s">
        <v>43</v>
      </c>
      <c r="N469" s="23" t="s">
        <v>75</v>
      </c>
      <c r="O469" s="23">
        <v>72</v>
      </c>
      <c r="P469" s="23">
        <v>102.99</v>
      </c>
      <c r="Q469" s="23">
        <v>61.98</v>
      </c>
      <c r="R469" s="23">
        <v>7415.08</v>
      </c>
      <c r="S469" s="23">
        <v>0.1</v>
      </c>
      <c r="T469" s="23">
        <v>741.51</v>
      </c>
      <c r="U469" s="23">
        <v>6673.58</v>
      </c>
      <c r="V469" s="23">
        <v>4462.57</v>
      </c>
      <c r="W469" s="23">
        <v>2211.0100000000002</v>
      </c>
      <c r="X469" s="23" t="s">
        <v>45</v>
      </c>
    </row>
    <row r="470" spans="1:24" x14ac:dyDescent="0.25">
      <c r="A470" s="20" t="s">
        <v>901</v>
      </c>
      <c r="B470" s="19">
        <v>45551</v>
      </c>
      <c r="C470" s="20" t="s">
        <v>902</v>
      </c>
      <c r="D470" s="20" t="s">
        <v>35</v>
      </c>
      <c r="E470" s="20" t="s">
        <v>141</v>
      </c>
      <c r="F470" s="20" t="s">
        <v>2590</v>
      </c>
      <c r="G470" s="20" t="s">
        <v>2577</v>
      </c>
      <c r="H470" s="20" t="s">
        <v>26</v>
      </c>
      <c r="I470" s="20" t="s">
        <v>58</v>
      </c>
      <c r="J470" s="20" t="s">
        <v>345</v>
      </c>
      <c r="K470" s="20" t="s">
        <v>178</v>
      </c>
      <c r="L470" s="20" t="s">
        <v>2689</v>
      </c>
      <c r="M470" s="20" t="s">
        <v>30</v>
      </c>
      <c r="N470" s="20" t="s">
        <v>75</v>
      </c>
      <c r="O470" s="20">
        <v>29</v>
      </c>
      <c r="P470" s="20">
        <v>101.57</v>
      </c>
      <c r="Q470" s="20">
        <v>58.6</v>
      </c>
      <c r="R470" s="20">
        <v>2945.48</v>
      </c>
      <c r="S470" s="20">
        <v>0.15</v>
      </c>
      <c r="T470" s="20">
        <v>441.82</v>
      </c>
      <c r="U470" s="20">
        <v>2503.66</v>
      </c>
      <c r="V470" s="20">
        <v>1699.53</v>
      </c>
      <c r="W470" s="20">
        <v>804.13</v>
      </c>
      <c r="X470" s="20" t="s">
        <v>45</v>
      </c>
    </row>
    <row r="471" spans="1:24" x14ac:dyDescent="0.25">
      <c r="A471" s="23" t="s">
        <v>903</v>
      </c>
      <c r="B471" s="22">
        <v>45375</v>
      </c>
      <c r="C471" s="23" t="s">
        <v>904</v>
      </c>
      <c r="D471" s="23" t="s">
        <v>35</v>
      </c>
      <c r="E471" s="23" t="s">
        <v>23</v>
      </c>
      <c r="F471" s="23" t="s">
        <v>2576</v>
      </c>
      <c r="G471" s="23" t="s">
        <v>2577</v>
      </c>
      <c r="H471" s="23" t="s">
        <v>26</v>
      </c>
      <c r="I471" s="23" t="s">
        <v>27</v>
      </c>
      <c r="J471" s="23" t="s">
        <v>2619</v>
      </c>
      <c r="K471" s="23" t="s">
        <v>2619</v>
      </c>
      <c r="L471" s="23" t="s">
        <v>2619</v>
      </c>
      <c r="M471" s="23" t="s">
        <v>43</v>
      </c>
      <c r="N471" s="23" t="s">
        <v>2619</v>
      </c>
      <c r="O471" s="23">
        <v>23</v>
      </c>
      <c r="P471" s="23">
        <v>78.02</v>
      </c>
      <c r="Q471" s="23">
        <v>45.1</v>
      </c>
      <c r="R471" s="23">
        <v>1794.38</v>
      </c>
      <c r="S471" s="23">
        <v>0.1</v>
      </c>
      <c r="T471" s="23">
        <v>179.44</v>
      </c>
      <c r="U471" s="23">
        <v>1614.94</v>
      </c>
      <c r="V471" s="23">
        <v>1037.4100000000001</v>
      </c>
      <c r="W471" s="23">
        <v>577.53</v>
      </c>
      <c r="X471" s="23" t="s">
        <v>45</v>
      </c>
    </row>
    <row r="472" spans="1:24" x14ac:dyDescent="0.25">
      <c r="A472" s="20" t="s">
        <v>905</v>
      </c>
      <c r="B472" s="19">
        <v>45332</v>
      </c>
      <c r="C472" s="20" t="s">
        <v>643</v>
      </c>
      <c r="D472" s="20" t="s">
        <v>359</v>
      </c>
      <c r="E472" s="20" t="s">
        <v>187</v>
      </c>
      <c r="F472" s="20" t="s">
        <v>2594</v>
      </c>
      <c r="G472" s="20" t="s">
        <v>2577</v>
      </c>
      <c r="H472" s="20" t="s">
        <v>26</v>
      </c>
      <c r="I472" s="20" t="s">
        <v>88</v>
      </c>
      <c r="J472" s="20" t="s">
        <v>183</v>
      </c>
      <c r="K472" s="20" t="s">
        <v>178</v>
      </c>
      <c r="L472" s="20" t="s">
        <v>2689</v>
      </c>
      <c r="M472" s="20" t="s">
        <v>153</v>
      </c>
      <c r="N472" s="20" t="s">
        <v>44</v>
      </c>
      <c r="O472" s="20">
        <v>78</v>
      </c>
      <c r="P472" s="20">
        <v>47.43</v>
      </c>
      <c r="Q472" s="20">
        <v>26.78</v>
      </c>
      <c r="R472" s="20">
        <v>3699.2</v>
      </c>
      <c r="S472" s="20">
        <v>0</v>
      </c>
      <c r="T472" s="20">
        <v>0</v>
      </c>
      <c r="U472" s="20">
        <v>3699.2</v>
      </c>
      <c r="V472" s="20">
        <v>2089.17</v>
      </c>
      <c r="W472" s="20">
        <v>1610.03</v>
      </c>
      <c r="X472" s="20" t="s">
        <v>45</v>
      </c>
    </row>
    <row r="473" spans="1:24" x14ac:dyDescent="0.25">
      <c r="A473" s="23" t="s">
        <v>906</v>
      </c>
      <c r="B473" s="22">
        <v>45360</v>
      </c>
      <c r="C473" s="23" t="s">
        <v>794</v>
      </c>
      <c r="D473" s="23" t="s">
        <v>65</v>
      </c>
      <c r="E473" s="23" t="s">
        <v>49</v>
      </c>
      <c r="F473" s="23" t="s">
        <v>2580</v>
      </c>
      <c r="G473" s="23" t="s">
        <v>2581</v>
      </c>
      <c r="H473" s="23" t="s">
        <v>52</v>
      </c>
      <c r="I473" s="23" t="s">
        <v>58</v>
      </c>
      <c r="J473" s="23" t="s">
        <v>59</v>
      </c>
      <c r="K473" s="23" t="s">
        <v>248</v>
      </c>
      <c r="L473" s="23" t="s">
        <v>2693</v>
      </c>
      <c r="M473" s="23" t="s">
        <v>30</v>
      </c>
      <c r="N473" s="23" t="s">
        <v>84</v>
      </c>
      <c r="O473" s="23">
        <v>43</v>
      </c>
      <c r="P473" s="23">
        <v>25.58</v>
      </c>
      <c r="Q473" s="23">
        <v>12.81</v>
      </c>
      <c r="R473" s="23">
        <v>1099.77</v>
      </c>
      <c r="S473" s="23">
        <v>0.1</v>
      </c>
      <c r="T473" s="23">
        <v>109.98</v>
      </c>
      <c r="U473" s="23">
        <v>989.79</v>
      </c>
      <c r="V473" s="23">
        <v>550.84</v>
      </c>
      <c r="W473" s="23">
        <v>438.95</v>
      </c>
      <c r="X473" s="23" t="s">
        <v>45</v>
      </c>
    </row>
    <row r="474" spans="1:24" x14ac:dyDescent="0.25">
      <c r="A474" s="20" t="s">
        <v>907</v>
      </c>
      <c r="B474" s="19">
        <v>45477</v>
      </c>
      <c r="C474" s="20" t="s">
        <v>2619</v>
      </c>
      <c r="D474" s="20" t="s">
        <v>2619</v>
      </c>
      <c r="E474" s="20" t="s">
        <v>114</v>
      </c>
      <c r="F474" s="20" t="s">
        <v>2588</v>
      </c>
      <c r="G474" s="20" t="s">
        <v>2586</v>
      </c>
      <c r="H474" s="20" t="s">
        <v>116</v>
      </c>
      <c r="I474" s="20" t="s">
        <v>40</v>
      </c>
      <c r="J474" s="20" t="s">
        <v>41</v>
      </c>
      <c r="K474" s="20" t="s">
        <v>178</v>
      </c>
      <c r="L474" s="20" t="s">
        <v>2689</v>
      </c>
      <c r="M474" s="20" t="s">
        <v>30</v>
      </c>
      <c r="N474" s="20" t="s">
        <v>44</v>
      </c>
      <c r="O474" s="20">
        <v>71</v>
      </c>
      <c r="P474" s="20">
        <v>36.32</v>
      </c>
      <c r="Q474" s="20">
        <v>22.02</v>
      </c>
      <c r="R474" s="20">
        <v>2578.46</v>
      </c>
      <c r="S474" s="20">
        <v>0.05</v>
      </c>
      <c r="T474" s="20">
        <v>128.91999999999999</v>
      </c>
      <c r="U474" s="20">
        <v>2449.54</v>
      </c>
      <c r="V474" s="20">
        <v>1563.4</v>
      </c>
      <c r="W474" s="20">
        <v>886.14</v>
      </c>
      <c r="X474" s="20" t="s">
        <v>45</v>
      </c>
    </row>
    <row r="475" spans="1:24" x14ac:dyDescent="0.25">
      <c r="A475" s="23" t="s">
        <v>908</v>
      </c>
      <c r="B475" s="22">
        <v>45609</v>
      </c>
      <c r="C475" s="23" t="s">
        <v>267</v>
      </c>
      <c r="D475" s="23" t="s">
        <v>65</v>
      </c>
      <c r="E475" s="23" t="s">
        <v>209</v>
      </c>
      <c r="F475" s="23" t="s">
        <v>2595</v>
      </c>
      <c r="G475" s="23" t="s">
        <v>2581</v>
      </c>
      <c r="H475" s="23" t="s">
        <v>116</v>
      </c>
      <c r="I475" s="23" t="s">
        <v>58</v>
      </c>
      <c r="J475" s="23" t="s">
        <v>59</v>
      </c>
      <c r="K475" s="23" t="s">
        <v>261</v>
      </c>
      <c r="L475" s="23" t="s">
        <v>2695</v>
      </c>
      <c r="M475" s="23" t="s">
        <v>153</v>
      </c>
      <c r="N475" s="23" t="s">
        <v>2578</v>
      </c>
      <c r="O475" s="23">
        <v>62</v>
      </c>
      <c r="P475" s="23">
        <v>17.41</v>
      </c>
      <c r="Q475" s="23">
        <v>10.34</v>
      </c>
      <c r="R475" s="23">
        <v>1079.67</v>
      </c>
      <c r="S475" s="23">
        <v>0.15</v>
      </c>
      <c r="T475" s="23">
        <v>161.94999999999999</v>
      </c>
      <c r="U475" s="23">
        <v>917.72</v>
      </c>
      <c r="V475" s="23">
        <v>641.27</v>
      </c>
      <c r="W475" s="23">
        <v>276.45</v>
      </c>
      <c r="X475" s="23" t="s">
        <v>45</v>
      </c>
    </row>
    <row r="476" spans="1:24" x14ac:dyDescent="0.25">
      <c r="A476" s="20" t="s">
        <v>909</v>
      </c>
      <c r="B476" s="19">
        <v>45573</v>
      </c>
      <c r="C476" s="20" t="s">
        <v>715</v>
      </c>
      <c r="D476" s="20" t="s">
        <v>264</v>
      </c>
      <c r="E476" s="20" t="s">
        <v>187</v>
      </c>
      <c r="F476" s="20" t="s">
        <v>2594</v>
      </c>
      <c r="G476" s="20" t="s">
        <v>2577</v>
      </c>
      <c r="H476" s="20" t="s">
        <v>26</v>
      </c>
      <c r="I476" s="20" t="s">
        <v>58</v>
      </c>
      <c r="J476" s="20" t="s">
        <v>73</v>
      </c>
      <c r="K476" s="20" t="s">
        <v>83</v>
      </c>
      <c r="L476" s="20" t="s">
        <v>2683</v>
      </c>
      <c r="M476" s="20" t="s">
        <v>153</v>
      </c>
      <c r="N476" s="20" t="s">
        <v>70</v>
      </c>
      <c r="O476" s="20">
        <v>59</v>
      </c>
      <c r="P476" s="20">
        <v>45.08</v>
      </c>
      <c r="Q476" s="20">
        <v>27.91</v>
      </c>
      <c r="R476" s="20">
        <v>2659.91</v>
      </c>
      <c r="S476" s="20">
        <v>0.2</v>
      </c>
      <c r="T476" s="20">
        <v>531.98</v>
      </c>
      <c r="U476" s="20">
        <v>2127.9299999999998</v>
      </c>
      <c r="V476" s="20">
        <v>1646.83</v>
      </c>
      <c r="W476" s="20">
        <v>481.1</v>
      </c>
      <c r="X476" s="20" t="s">
        <v>45</v>
      </c>
    </row>
    <row r="477" spans="1:24" x14ac:dyDescent="0.25">
      <c r="A477" s="23" t="s">
        <v>910</v>
      </c>
      <c r="B477" s="22">
        <v>45401</v>
      </c>
      <c r="C477" s="23" t="s">
        <v>911</v>
      </c>
      <c r="D477" s="23" t="s">
        <v>48</v>
      </c>
      <c r="E477" s="23" t="s">
        <v>222</v>
      </c>
      <c r="F477" s="23" t="s">
        <v>2597</v>
      </c>
      <c r="G477" s="23" t="s">
        <v>2587</v>
      </c>
      <c r="H477" s="23" t="s">
        <v>68</v>
      </c>
      <c r="I477" s="23" t="s">
        <v>27</v>
      </c>
      <c r="J477" s="23" t="s">
        <v>189</v>
      </c>
      <c r="K477" s="23" t="s">
        <v>42</v>
      </c>
      <c r="L477" s="23" t="s">
        <v>2680</v>
      </c>
      <c r="M477" s="23" t="s">
        <v>61</v>
      </c>
      <c r="N477" s="23" t="s">
        <v>44</v>
      </c>
      <c r="O477" s="23">
        <v>62</v>
      </c>
      <c r="P477" s="23">
        <v>122.56</v>
      </c>
      <c r="Q477" s="23">
        <v>74.760000000000005</v>
      </c>
      <c r="R477" s="23">
        <v>7598.8</v>
      </c>
      <c r="S477" s="23">
        <v>0</v>
      </c>
      <c r="T477" s="23">
        <v>0</v>
      </c>
      <c r="U477" s="23">
        <v>7598.8</v>
      </c>
      <c r="V477" s="23">
        <v>4634.9399999999996</v>
      </c>
      <c r="W477" s="23">
        <v>2963.87</v>
      </c>
      <c r="X477" s="23" t="s">
        <v>129</v>
      </c>
    </row>
    <row r="478" spans="1:24" x14ac:dyDescent="0.25">
      <c r="A478" s="20" t="s">
        <v>912</v>
      </c>
      <c r="B478" s="19">
        <v>45577</v>
      </c>
      <c r="C478" s="20" t="s">
        <v>395</v>
      </c>
      <c r="D478" s="20" t="s">
        <v>221</v>
      </c>
      <c r="E478" s="20" t="s">
        <v>114</v>
      </c>
      <c r="F478" s="20" t="s">
        <v>2588</v>
      </c>
      <c r="G478" s="20" t="s">
        <v>2586</v>
      </c>
      <c r="H478" s="20" t="s">
        <v>116</v>
      </c>
      <c r="I478" s="20" t="s">
        <v>58</v>
      </c>
      <c r="J478" s="20" t="s">
        <v>73</v>
      </c>
      <c r="K478" s="20" t="s">
        <v>248</v>
      </c>
      <c r="L478" s="20" t="s">
        <v>2693</v>
      </c>
      <c r="M478" s="20" t="s">
        <v>43</v>
      </c>
      <c r="N478" s="20" t="s">
        <v>2578</v>
      </c>
      <c r="O478" s="20">
        <v>48</v>
      </c>
      <c r="P478" s="20">
        <v>32.67</v>
      </c>
      <c r="Q478" s="20">
        <v>20.64</v>
      </c>
      <c r="R478" s="20">
        <v>1568.21</v>
      </c>
      <c r="S478" s="20">
        <v>0.1</v>
      </c>
      <c r="T478" s="20">
        <v>156.82</v>
      </c>
      <c r="U478" s="20">
        <v>1411.39</v>
      </c>
      <c r="V478" s="20">
        <v>990.76</v>
      </c>
      <c r="W478" s="20">
        <v>420.63</v>
      </c>
      <c r="X478" s="20" t="s">
        <v>45</v>
      </c>
    </row>
    <row r="479" spans="1:24" x14ac:dyDescent="0.25">
      <c r="A479" s="23" t="s">
        <v>913</v>
      </c>
      <c r="B479" s="22">
        <v>45396</v>
      </c>
      <c r="C479" s="23" t="s">
        <v>757</v>
      </c>
      <c r="D479" s="23" t="s">
        <v>163</v>
      </c>
      <c r="E479" s="23" t="s">
        <v>78</v>
      </c>
      <c r="F479" s="23" t="s">
        <v>2583</v>
      </c>
      <c r="G479" s="23" t="s">
        <v>2584</v>
      </c>
      <c r="H479" s="23" t="s">
        <v>81</v>
      </c>
      <c r="I479" s="23" t="s">
        <v>40</v>
      </c>
      <c r="J479" s="23" t="s">
        <v>289</v>
      </c>
      <c r="K479" s="23" t="s">
        <v>144</v>
      </c>
      <c r="L479" s="23" t="s">
        <v>2687</v>
      </c>
      <c r="M479" s="23" t="s">
        <v>43</v>
      </c>
      <c r="N479" s="23" t="s">
        <v>84</v>
      </c>
      <c r="O479" s="23">
        <v>60</v>
      </c>
      <c r="P479" s="23">
        <v>150.01</v>
      </c>
      <c r="Q479" s="23">
        <v>76.83</v>
      </c>
      <c r="R479" s="23">
        <v>9000.41</v>
      </c>
      <c r="S479" s="23">
        <v>0.15</v>
      </c>
      <c r="T479" s="23">
        <v>1350.06</v>
      </c>
      <c r="U479" s="23">
        <v>7650.35</v>
      </c>
      <c r="V479" s="23">
        <v>4609.7700000000004</v>
      </c>
      <c r="W479" s="23">
        <v>3040.58</v>
      </c>
      <c r="X479" s="23" t="s">
        <v>129</v>
      </c>
    </row>
    <row r="480" spans="1:24" x14ac:dyDescent="0.25">
      <c r="A480" s="20" t="s">
        <v>914</v>
      </c>
      <c r="B480" s="19">
        <v>45446</v>
      </c>
      <c r="C480" s="20" t="s">
        <v>915</v>
      </c>
      <c r="D480" s="20" t="s">
        <v>105</v>
      </c>
      <c r="E480" s="20" t="s">
        <v>250</v>
      </c>
      <c r="F480" s="20" t="s">
        <v>2598</v>
      </c>
      <c r="G480" s="20" t="s">
        <v>2581</v>
      </c>
      <c r="H480" s="20" t="s">
        <v>252</v>
      </c>
      <c r="I480" s="20" t="s">
        <v>53</v>
      </c>
      <c r="J480" s="20" t="s">
        <v>122</v>
      </c>
      <c r="K480" s="20" t="s">
        <v>178</v>
      </c>
      <c r="L480" s="20" t="s">
        <v>2689</v>
      </c>
      <c r="M480" s="20" t="s">
        <v>43</v>
      </c>
      <c r="N480" s="20" t="s">
        <v>2578</v>
      </c>
      <c r="O480" s="20">
        <v>77</v>
      </c>
      <c r="P480" s="20">
        <v>62.89</v>
      </c>
      <c r="Q480" s="20">
        <v>38.4</v>
      </c>
      <c r="R480" s="20">
        <v>4842.88</v>
      </c>
      <c r="S480" s="20">
        <v>0.02</v>
      </c>
      <c r="T480" s="20">
        <v>96.86</v>
      </c>
      <c r="U480" s="20">
        <v>4746.0200000000004</v>
      </c>
      <c r="V480" s="20">
        <v>2956.44</v>
      </c>
      <c r="W480" s="20">
        <v>1789.58</v>
      </c>
      <c r="X480" s="20" t="s">
        <v>129</v>
      </c>
    </row>
    <row r="481" spans="1:24" x14ac:dyDescent="0.25">
      <c r="A481" s="23" t="s">
        <v>916</v>
      </c>
      <c r="B481" s="22">
        <v>45357</v>
      </c>
      <c r="C481" s="23" t="s">
        <v>917</v>
      </c>
      <c r="D481" s="23" t="s">
        <v>57</v>
      </c>
      <c r="E481" s="23" t="s">
        <v>109</v>
      </c>
      <c r="F481" s="23" t="s">
        <v>110</v>
      </c>
      <c r="G481" s="23" t="s">
        <v>2584</v>
      </c>
      <c r="H481" s="23" t="s">
        <v>81</v>
      </c>
      <c r="I481" s="23" t="s">
        <v>27</v>
      </c>
      <c r="J481" s="23" t="s">
        <v>189</v>
      </c>
      <c r="K481" s="23" t="s">
        <v>90</v>
      </c>
      <c r="L481" s="23" t="s">
        <v>2684</v>
      </c>
      <c r="M481" s="23" t="s">
        <v>30</v>
      </c>
      <c r="N481" s="23" t="s">
        <v>75</v>
      </c>
      <c r="O481" s="23">
        <v>67</v>
      </c>
      <c r="P481" s="23">
        <v>134.01</v>
      </c>
      <c r="Q481" s="23">
        <v>75.19</v>
      </c>
      <c r="R481" s="23">
        <v>8978.7099999999991</v>
      </c>
      <c r="S481" s="23">
        <v>0.05</v>
      </c>
      <c r="T481" s="23">
        <v>448.94</v>
      </c>
      <c r="U481" s="23">
        <v>8529.7800000000007</v>
      </c>
      <c r="V481" s="23">
        <v>5037.84</v>
      </c>
      <c r="W481" s="23">
        <v>3491.93</v>
      </c>
      <c r="X481" s="23" t="s">
        <v>45</v>
      </c>
    </row>
    <row r="482" spans="1:24" x14ac:dyDescent="0.25">
      <c r="A482" s="20" t="s">
        <v>918</v>
      </c>
      <c r="B482" s="19">
        <v>45651</v>
      </c>
      <c r="C482" s="20" t="s">
        <v>537</v>
      </c>
      <c r="D482" s="20" t="s">
        <v>359</v>
      </c>
      <c r="E482" s="20" t="s">
        <v>132</v>
      </c>
      <c r="F482" s="20" t="s">
        <v>133</v>
      </c>
      <c r="G482" s="20" t="s">
        <v>2581</v>
      </c>
      <c r="H482" s="20" t="s">
        <v>134</v>
      </c>
      <c r="I482" s="20" t="s">
        <v>27</v>
      </c>
      <c r="J482" s="20" t="s">
        <v>28</v>
      </c>
      <c r="K482" s="20" t="s">
        <v>118</v>
      </c>
      <c r="L482" s="20" t="s">
        <v>2686</v>
      </c>
      <c r="M482" s="20" t="s">
        <v>153</v>
      </c>
      <c r="N482" s="20" t="s">
        <v>70</v>
      </c>
      <c r="O482" s="20">
        <v>17</v>
      </c>
      <c r="P482" s="20">
        <v>55.31</v>
      </c>
      <c r="Q482" s="20">
        <v>31.67</v>
      </c>
      <c r="R482" s="20">
        <v>940.3</v>
      </c>
      <c r="S482" s="20">
        <v>0</v>
      </c>
      <c r="T482" s="20">
        <v>0</v>
      </c>
      <c r="U482" s="20">
        <v>940.3</v>
      </c>
      <c r="V482" s="20">
        <v>538.46</v>
      </c>
      <c r="W482" s="20">
        <v>401.84</v>
      </c>
      <c r="X482" s="20" t="s">
        <v>45</v>
      </c>
    </row>
    <row r="483" spans="1:24" x14ac:dyDescent="0.25">
      <c r="A483" s="23" t="s">
        <v>919</v>
      </c>
      <c r="B483" s="22">
        <v>45518</v>
      </c>
      <c r="C483" s="23" t="s">
        <v>325</v>
      </c>
      <c r="D483" s="23" t="s">
        <v>35</v>
      </c>
      <c r="E483" s="23" t="s">
        <v>126</v>
      </c>
      <c r="F483" s="23" t="s">
        <v>2589</v>
      </c>
      <c r="G483" s="23" t="s">
        <v>2586</v>
      </c>
      <c r="H483" s="23" t="s">
        <v>128</v>
      </c>
      <c r="I483" s="23" t="s">
        <v>27</v>
      </c>
      <c r="J483" s="23" t="s">
        <v>211</v>
      </c>
      <c r="K483" s="23" t="s">
        <v>118</v>
      </c>
      <c r="L483" s="23" t="s">
        <v>2686</v>
      </c>
      <c r="M483" s="23" t="s">
        <v>153</v>
      </c>
      <c r="N483" s="23" t="s">
        <v>44</v>
      </c>
      <c r="O483" s="23">
        <v>39</v>
      </c>
      <c r="P483" s="23">
        <v>88.21</v>
      </c>
      <c r="Q483" s="23">
        <v>49.56</v>
      </c>
      <c r="R483" s="23">
        <v>3440.13</v>
      </c>
      <c r="S483" s="23">
        <v>0.05</v>
      </c>
      <c r="T483" s="23">
        <v>172.01</v>
      </c>
      <c r="U483" s="23">
        <v>3268.12</v>
      </c>
      <c r="V483" s="23">
        <v>1932.72</v>
      </c>
      <c r="W483" s="23">
        <v>1335.4</v>
      </c>
      <c r="X483" s="23" t="s">
        <v>45</v>
      </c>
    </row>
    <row r="484" spans="1:24" x14ac:dyDescent="0.25">
      <c r="A484" s="20" t="s">
        <v>920</v>
      </c>
      <c r="B484" s="19">
        <v>45554</v>
      </c>
      <c r="C484" s="20" t="s">
        <v>602</v>
      </c>
      <c r="D484" s="20" t="s">
        <v>159</v>
      </c>
      <c r="E484" s="20" t="s">
        <v>99</v>
      </c>
      <c r="F484" s="20" t="s">
        <v>100</v>
      </c>
      <c r="G484" s="20" t="s">
        <v>2587</v>
      </c>
      <c r="H484" s="20" t="s">
        <v>102</v>
      </c>
      <c r="I484" s="20" t="s">
        <v>27</v>
      </c>
      <c r="J484" s="20" t="s">
        <v>28</v>
      </c>
      <c r="K484" s="20" t="s">
        <v>74</v>
      </c>
      <c r="L484" s="20" t="s">
        <v>2682</v>
      </c>
      <c r="M484" s="20" t="s">
        <v>61</v>
      </c>
      <c r="N484" s="20" t="s">
        <v>44</v>
      </c>
      <c r="O484" s="20">
        <v>22</v>
      </c>
      <c r="P484" s="20">
        <v>70.819999999999993</v>
      </c>
      <c r="Q484" s="20">
        <v>43.99</v>
      </c>
      <c r="R484" s="20">
        <v>1558.12</v>
      </c>
      <c r="S484" s="20">
        <v>0.05</v>
      </c>
      <c r="T484" s="20">
        <v>77.91</v>
      </c>
      <c r="U484" s="20">
        <v>1480.21</v>
      </c>
      <c r="V484" s="20">
        <v>967.82</v>
      </c>
      <c r="W484" s="20">
        <v>512.39</v>
      </c>
      <c r="X484" s="20" t="s">
        <v>45</v>
      </c>
    </row>
    <row r="485" spans="1:24" x14ac:dyDescent="0.25">
      <c r="A485" s="23" t="s">
        <v>921</v>
      </c>
      <c r="B485" s="22">
        <v>45295</v>
      </c>
      <c r="C485" s="23" t="s">
        <v>480</v>
      </c>
      <c r="D485" s="23" t="s">
        <v>22</v>
      </c>
      <c r="E485" s="23" t="s">
        <v>250</v>
      </c>
      <c r="F485" s="23" t="s">
        <v>2598</v>
      </c>
      <c r="G485" s="23" t="s">
        <v>2581</v>
      </c>
      <c r="H485" s="23" t="s">
        <v>252</v>
      </c>
      <c r="I485" s="23" t="s">
        <v>53</v>
      </c>
      <c r="J485" s="23" t="s">
        <v>54</v>
      </c>
      <c r="K485" s="23" t="s">
        <v>83</v>
      </c>
      <c r="L485" s="23" t="s">
        <v>2683</v>
      </c>
      <c r="M485" s="23" t="s">
        <v>153</v>
      </c>
      <c r="N485" s="23" t="s">
        <v>75</v>
      </c>
      <c r="O485" s="23">
        <v>21</v>
      </c>
      <c r="P485" s="23">
        <v>61.42</v>
      </c>
      <c r="Q485" s="23">
        <v>35.909999999999997</v>
      </c>
      <c r="R485" s="23">
        <v>1289.8699999999999</v>
      </c>
      <c r="S485" s="23">
        <v>0.2</v>
      </c>
      <c r="T485" s="23">
        <v>257.97000000000003</v>
      </c>
      <c r="U485" s="23">
        <v>1031.9000000000001</v>
      </c>
      <c r="V485" s="23">
        <v>754.08</v>
      </c>
      <c r="W485" s="23">
        <v>277.82</v>
      </c>
      <c r="X485" s="23" t="s">
        <v>45</v>
      </c>
    </row>
    <row r="486" spans="1:24" x14ac:dyDescent="0.25">
      <c r="A486" s="20" t="s">
        <v>922</v>
      </c>
      <c r="B486" s="19">
        <v>45381</v>
      </c>
      <c r="C486" s="20" t="s">
        <v>208</v>
      </c>
      <c r="D486" s="20" t="s">
        <v>35</v>
      </c>
      <c r="E486" s="20" t="s">
        <v>187</v>
      </c>
      <c r="F486" s="20" t="s">
        <v>2594</v>
      </c>
      <c r="G486" s="20" t="s">
        <v>2577</v>
      </c>
      <c r="H486" s="20" t="s">
        <v>26</v>
      </c>
      <c r="I486" s="20" t="s">
        <v>58</v>
      </c>
      <c r="J486" s="20" t="s">
        <v>323</v>
      </c>
      <c r="K486" s="20" t="s">
        <v>83</v>
      </c>
      <c r="L486" s="20" t="s">
        <v>2683</v>
      </c>
      <c r="M486" s="20" t="s">
        <v>30</v>
      </c>
      <c r="N486" s="20" t="s">
        <v>70</v>
      </c>
      <c r="O486" s="20">
        <f>ROUND(Cleaned_Sales!$R486/Cleaned_Sales!$P486,0)</f>
        <v>65</v>
      </c>
      <c r="P486" s="20">
        <v>50.15</v>
      </c>
      <c r="Q486" s="20">
        <v>27.96</v>
      </c>
      <c r="R486" s="20">
        <v>3260.04</v>
      </c>
      <c r="S486" s="20">
        <v>0</v>
      </c>
      <c r="T486" s="20">
        <v>0</v>
      </c>
      <c r="U486" s="20">
        <v>3260.04</v>
      </c>
      <c r="V486" s="20">
        <v>1817.08</v>
      </c>
      <c r="W486" s="20">
        <v>1442.96</v>
      </c>
      <c r="X486" s="20" t="s">
        <v>32</v>
      </c>
    </row>
    <row r="487" spans="1:24" x14ac:dyDescent="0.25">
      <c r="A487" s="23" t="s">
        <v>923</v>
      </c>
      <c r="B487" s="22">
        <v>45517</v>
      </c>
      <c r="C487" s="23" t="s">
        <v>924</v>
      </c>
      <c r="D487" s="23" t="s">
        <v>48</v>
      </c>
      <c r="E487" s="23" t="s">
        <v>23</v>
      </c>
      <c r="F487" s="23" t="s">
        <v>2576</v>
      </c>
      <c r="G487" s="23" t="s">
        <v>2577</v>
      </c>
      <c r="H487" s="23" t="s">
        <v>26</v>
      </c>
      <c r="I487" s="23" t="s">
        <v>58</v>
      </c>
      <c r="J487" s="23" t="s">
        <v>59</v>
      </c>
      <c r="K487" s="23" t="s">
        <v>144</v>
      </c>
      <c r="L487" s="23" t="s">
        <v>2687</v>
      </c>
      <c r="M487" s="23" t="s">
        <v>153</v>
      </c>
      <c r="N487" s="23" t="s">
        <v>70</v>
      </c>
      <c r="O487" s="23">
        <v>16</v>
      </c>
      <c r="P487" s="23">
        <v>73.02</v>
      </c>
      <c r="Q487" s="23">
        <v>45.71</v>
      </c>
      <c r="R487" s="23">
        <v>1168.3399999999999</v>
      </c>
      <c r="S487" s="23">
        <v>0.05</v>
      </c>
      <c r="T487" s="23">
        <v>58.42</v>
      </c>
      <c r="U487" s="23">
        <v>1109.93</v>
      </c>
      <c r="V487" s="23">
        <v>731.43</v>
      </c>
      <c r="W487" s="23">
        <v>378.5</v>
      </c>
      <c r="X487" s="23" t="s">
        <v>45</v>
      </c>
    </row>
    <row r="488" spans="1:24" x14ac:dyDescent="0.25">
      <c r="A488" s="20" t="s">
        <v>925</v>
      </c>
      <c r="B488" s="19">
        <v>45314</v>
      </c>
      <c r="C488" s="20" t="s">
        <v>926</v>
      </c>
      <c r="D488" s="20" t="s">
        <v>22</v>
      </c>
      <c r="E488" s="20" t="s">
        <v>99</v>
      </c>
      <c r="F488" s="20" t="s">
        <v>100</v>
      </c>
      <c r="G488" s="20" t="s">
        <v>2587</v>
      </c>
      <c r="H488" s="20" t="s">
        <v>102</v>
      </c>
      <c r="I488" s="20" t="s">
        <v>88</v>
      </c>
      <c r="J488" s="20" t="s">
        <v>2112</v>
      </c>
      <c r="K488" s="20" t="s">
        <v>111</v>
      </c>
      <c r="L488" s="20" t="s">
        <v>2685</v>
      </c>
      <c r="M488" s="20" t="s">
        <v>153</v>
      </c>
      <c r="N488" s="20" t="s">
        <v>70</v>
      </c>
      <c r="O488" s="20">
        <v>5</v>
      </c>
      <c r="P488" s="20">
        <v>74.86</v>
      </c>
      <c r="Q488" s="20">
        <v>42.21</v>
      </c>
      <c r="R488" s="20">
        <v>374.29</v>
      </c>
      <c r="S488" s="20">
        <v>0.1</v>
      </c>
      <c r="T488" s="20">
        <v>37.43</v>
      </c>
      <c r="U488" s="20">
        <v>336.86</v>
      </c>
      <c r="V488" s="20">
        <v>211.03</v>
      </c>
      <c r="W488" s="20">
        <v>125.83</v>
      </c>
      <c r="X488" s="20" t="s">
        <v>45</v>
      </c>
    </row>
    <row r="489" spans="1:24" x14ac:dyDescent="0.25">
      <c r="A489" s="23" t="s">
        <v>927</v>
      </c>
      <c r="B489" s="22">
        <v>45409</v>
      </c>
      <c r="C489" s="23" t="s">
        <v>408</v>
      </c>
      <c r="D489" s="23" t="s">
        <v>65</v>
      </c>
      <c r="E489" s="23" t="s">
        <v>222</v>
      </c>
      <c r="F489" s="23" t="s">
        <v>2597</v>
      </c>
      <c r="G489" s="23" t="s">
        <v>2587</v>
      </c>
      <c r="H489" s="23" t="s">
        <v>68</v>
      </c>
      <c r="I489" s="23" t="s">
        <v>58</v>
      </c>
      <c r="J489" s="23" t="s">
        <v>2619</v>
      </c>
      <c r="K489" s="23" t="s">
        <v>144</v>
      </c>
      <c r="L489" s="23" t="s">
        <v>2687</v>
      </c>
      <c r="M489" s="23" t="s">
        <v>30</v>
      </c>
      <c r="N489" s="23" t="s">
        <v>84</v>
      </c>
      <c r="O489" s="23">
        <v>27</v>
      </c>
      <c r="P489" s="23">
        <v>113.02</v>
      </c>
      <c r="Q489" s="23">
        <v>79.89</v>
      </c>
      <c r="R489" s="23">
        <v>3051.61</v>
      </c>
      <c r="S489" s="23">
        <v>0.02</v>
      </c>
      <c r="T489" s="23">
        <v>61.03</v>
      </c>
      <c r="U489" s="23">
        <v>2990.58</v>
      </c>
      <c r="V489" s="23">
        <v>2157.1</v>
      </c>
      <c r="W489" s="23">
        <v>833.49</v>
      </c>
      <c r="X489" s="23" t="s">
        <v>45</v>
      </c>
    </row>
    <row r="490" spans="1:24" x14ac:dyDescent="0.25">
      <c r="A490" s="20" t="s">
        <v>928</v>
      </c>
      <c r="B490" s="19">
        <v>45471</v>
      </c>
      <c r="C490" s="20" t="s">
        <v>255</v>
      </c>
      <c r="D490" s="20" t="s">
        <v>256</v>
      </c>
      <c r="E490" s="20" t="s">
        <v>216</v>
      </c>
      <c r="F490" s="20" t="s">
        <v>2596</v>
      </c>
      <c r="G490" s="20" t="s">
        <v>2579</v>
      </c>
      <c r="H490" s="20" t="s">
        <v>134</v>
      </c>
      <c r="I490" s="20" t="s">
        <v>88</v>
      </c>
      <c r="J490" s="20" t="s">
        <v>173</v>
      </c>
      <c r="K490" s="20" t="s">
        <v>118</v>
      </c>
      <c r="L490" s="20" t="s">
        <v>2686</v>
      </c>
      <c r="M490" s="20" t="s">
        <v>30</v>
      </c>
      <c r="N490" s="20" t="s">
        <v>2578</v>
      </c>
      <c r="O490" s="20">
        <v>33</v>
      </c>
      <c r="P490" s="20">
        <v>118.26</v>
      </c>
      <c r="Q490" s="20">
        <v>70.92</v>
      </c>
      <c r="R490" s="20">
        <v>3902.67</v>
      </c>
      <c r="S490" s="20">
        <v>0</v>
      </c>
      <c r="T490" s="20">
        <v>0</v>
      </c>
      <c r="U490" s="20">
        <v>3902.67</v>
      </c>
      <c r="V490" s="20">
        <v>2340.3000000000002</v>
      </c>
      <c r="W490" s="20">
        <v>1562.37</v>
      </c>
      <c r="X490" s="20" t="s">
        <v>129</v>
      </c>
    </row>
    <row r="491" spans="1:24" x14ac:dyDescent="0.25">
      <c r="A491" s="23" t="s">
        <v>929</v>
      </c>
      <c r="B491" s="22">
        <v>45504</v>
      </c>
      <c r="C491" s="23" t="s">
        <v>485</v>
      </c>
      <c r="D491" s="23" t="s">
        <v>22</v>
      </c>
      <c r="E491" s="23" t="s">
        <v>141</v>
      </c>
      <c r="F491" s="23" t="s">
        <v>2590</v>
      </c>
      <c r="G491" s="23" t="s">
        <v>2577</v>
      </c>
      <c r="H491" s="23" t="s">
        <v>26</v>
      </c>
      <c r="I491" s="23" t="s">
        <v>53</v>
      </c>
      <c r="J491" s="23" t="s">
        <v>232</v>
      </c>
      <c r="K491" s="23" t="s">
        <v>178</v>
      </c>
      <c r="L491" s="23" t="s">
        <v>2689</v>
      </c>
      <c r="M491" s="23" t="s">
        <v>153</v>
      </c>
      <c r="N491" s="23" t="s">
        <v>70</v>
      </c>
      <c r="O491" s="23">
        <v>4</v>
      </c>
      <c r="P491" s="23">
        <v>90.06</v>
      </c>
      <c r="Q491" s="23">
        <v>59.76</v>
      </c>
      <c r="R491" s="23">
        <v>360.26</v>
      </c>
      <c r="S491" s="23">
        <v>0.15</v>
      </c>
      <c r="T491" s="23">
        <v>54.04</v>
      </c>
      <c r="U491" s="23">
        <v>286.89</v>
      </c>
      <c r="V491" s="23">
        <v>239.05</v>
      </c>
      <c r="W491" s="23">
        <v>67.17</v>
      </c>
      <c r="X491" s="23" t="s">
        <v>45</v>
      </c>
    </row>
    <row r="492" spans="1:24" x14ac:dyDescent="0.25">
      <c r="A492" s="20" t="s">
        <v>930</v>
      </c>
      <c r="B492" s="19">
        <v>45362</v>
      </c>
      <c r="C492" s="20" t="s">
        <v>931</v>
      </c>
      <c r="D492" s="20" t="s">
        <v>105</v>
      </c>
      <c r="E492" s="20" t="s">
        <v>23</v>
      </c>
      <c r="F492" s="20" t="s">
        <v>2576</v>
      </c>
      <c r="G492" s="20" t="s">
        <v>2577</v>
      </c>
      <c r="H492" s="20" t="s">
        <v>26</v>
      </c>
      <c r="I492" s="20" t="s">
        <v>53</v>
      </c>
      <c r="J492" s="20" t="s">
        <v>232</v>
      </c>
      <c r="K492" s="20" t="s">
        <v>218</v>
      </c>
      <c r="L492" s="20" t="s">
        <v>2692</v>
      </c>
      <c r="M492" s="20" t="s">
        <v>153</v>
      </c>
      <c r="N492" s="20" t="s">
        <v>44</v>
      </c>
      <c r="O492" s="20">
        <v>53</v>
      </c>
      <c r="P492" s="20">
        <v>76.099999999999994</v>
      </c>
      <c r="Q492" s="20">
        <v>43.29</v>
      </c>
      <c r="R492" s="20">
        <v>4033.05</v>
      </c>
      <c r="S492" s="20">
        <v>0.15</v>
      </c>
      <c r="T492" s="20">
        <v>604.96</v>
      </c>
      <c r="U492" s="20">
        <v>3428.09</v>
      </c>
      <c r="V492" s="20">
        <v>2294.3200000000002</v>
      </c>
      <c r="W492" s="20">
        <v>1133.78</v>
      </c>
      <c r="X492" s="20" t="s">
        <v>129</v>
      </c>
    </row>
    <row r="493" spans="1:24" x14ac:dyDescent="0.25">
      <c r="A493" s="23" t="s">
        <v>932</v>
      </c>
      <c r="B493" s="22">
        <v>45611</v>
      </c>
      <c r="C493" s="23" t="s">
        <v>933</v>
      </c>
      <c r="D493" s="23" t="s">
        <v>159</v>
      </c>
      <c r="E493" s="23" t="s">
        <v>141</v>
      </c>
      <c r="F493" s="23" t="s">
        <v>2590</v>
      </c>
      <c r="G493" s="23" t="s">
        <v>2577</v>
      </c>
      <c r="H493" s="23" t="s">
        <v>26</v>
      </c>
      <c r="I493" s="23" t="s">
        <v>27</v>
      </c>
      <c r="J493" s="23" t="s">
        <v>189</v>
      </c>
      <c r="K493" s="23" t="s">
        <v>265</v>
      </c>
      <c r="L493" s="23" t="s">
        <v>2663</v>
      </c>
      <c r="M493" s="23" t="s">
        <v>153</v>
      </c>
      <c r="N493" s="23" t="s">
        <v>44</v>
      </c>
      <c r="O493" s="23">
        <v>60</v>
      </c>
      <c r="P493" s="23">
        <v>95.82</v>
      </c>
      <c r="Q493" s="23">
        <v>58.39</v>
      </c>
      <c r="R493" s="23">
        <v>5748.98</v>
      </c>
      <c r="S493" s="23">
        <v>0.15</v>
      </c>
      <c r="T493" s="23">
        <v>862.35</v>
      </c>
      <c r="U493" s="23">
        <v>4886.6400000000003</v>
      </c>
      <c r="V493" s="23">
        <v>3503.22</v>
      </c>
      <c r="W493" s="23">
        <v>1383.42</v>
      </c>
      <c r="X493" s="23" t="s">
        <v>45</v>
      </c>
    </row>
    <row r="494" spans="1:24" x14ac:dyDescent="0.25">
      <c r="A494" s="20" t="s">
        <v>934</v>
      </c>
      <c r="B494" s="19">
        <v>45512</v>
      </c>
      <c r="C494" s="20" t="s">
        <v>34</v>
      </c>
      <c r="D494" s="20" t="s">
        <v>35</v>
      </c>
      <c r="E494" s="20" t="s">
        <v>99</v>
      </c>
      <c r="F494" s="20" t="s">
        <v>100</v>
      </c>
      <c r="G494" s="20" t="s">
        <v>2587</v>
      </c>
      <c r="H494" s="20" t="s">
        <v>102</v>
      </c>
      <c r="I494" s="20" t="s">
        <v>53</v>
      </c>
      <c r="J494" s="20" t="s">
        <v>54</v>
      </c>
      <c r="K494" s="20" t="s">
        <v>261</v>
      </c>
      <c r="L494" s="20" t="s">
        <v>2695</v>
      </c>
      <c r="M494" s="20" t="s">
        <v>61</v>
      </c>
      <c r="N494" s="20" t="s">
        <v>44</v>
      </c>
      <c r="O494" s="20">
        <v>14</v>
      </c>
      <c r="P494" s="20">
        <v>73.5</v>
      </c>
      <c r="Q494" s="20">
        <v>44.28</v>
      </c>
      <c r="R494" s="20">
        <v>1029.06</v>
      </c>
      <c r="S494" s="20">
        <v>0</v>
      </c>
      <c r="T494" s="20">
        <v>0</v>
      </c>
      <c r="U494" s="20">
        <v>1029.06</v>
      </c>
      <c r="V494" s="20">
        <v>619.89</v>
      </c>
      <c r="W494" s="20">
        <v>409.17</v>
      </c>
      <c r="X494" s="20" t="s">
        <v>129</v>
      </c>
    </row>
    <row r="495" spans="1:24" x14ac:dyDescent="0.25">
      <c r="A495" s="23" t="s">
        <v>935</v>
      </c>
      <c r="B495" s="22">
        <v>45452</v>
      </c>
      <c r="C495" s="23" t="s">
        <v>936</v>
      </c>
      <c r="D495" s="23" t="s">
        <v>57</v>
      </c>
      <c r="E495" s="23" t="s">
        <v>176</v>
      </c>
      <c r="F495" s="23" t="s">
        <v>2593</v>
      </c>
      <c r="G495" s="23" t="s">
        <v>2587</v>
      </c>
      <c r="H495" s="23" t="s">
        <v>39</v>
      </c>
      <c r="I495" s="23" t="s">
        <v>58</v>
      </c>
      <c r="J495" s="23" t="s">
        <v>323</v>
      </c>
      <c r="K495" s="23" t="s">
        <v>261</v>
      </c>
      <c r="L495" s="23" t="s">
        <v>2695</v>
      </c>
      <c r="M495" s="23" t="s">
        <v>61</v>
      </c>
      <c r="N495" s="23" t="s">
        <v>75</v>
      </c>
      <c r="O495" s="23">
        <v>8</v>
      </c>
      <c r="P495" s="23">
        <v>107.15</v>
      </c>
      <c r="Q495" s="23">
        <v>61.34</v>
      </c>
      <c r="R495" s="23">
        <v>857.16</v>
      </c>
      <c r="S495" s="23">
        <v>0</v>
      </c>
      <c r="T495" s="23">
        <v>0</v>
      </c>
      <c r="U495" s="23">
        <v>857.16</v>
      </c>
      <c r="V495" s="23">
        <v>490.69</v>
      </c>
      <c r="W495" s="23">
        <v>366.48</v>
      </c>
      <c r="X495" s="23" t="s">
        <v>32</v>
      </c>
    </row>
    <row r="496" spans="1:24" x14ac:dyDescent="0.25">
      <c r="A496" s="20" t="s">
        <v>937</v>
      </c>
      <c r="B496" s="19">
        <v>45426</v>
      </c>
      <c r="C496" s="20" t="s">
        <v>938</v>
      </c>
      <c r="D496" s="20" t="s">
        <v>156</v>
      </c>
      <c r="E496" s="20" t="s">
        <v>222</v>
      </c>
      <c r="F496" s="20" t="s">
        <v>2597</v>
      </c>
      <c r="G496" s="20" t="s">
        <v>2587</v>
      </c>
      <c r="H496" s="20" t="s">
        <v>68</v>
      </c>
      <c r="I496" s="20" t="s">
        <v>40</v>
      </c>
      <c r="J496" s="20" t="s">
        <v>82</v>
      </c>
      <c r="K496" s="20" t="s">
        <v>253</v>
      </c>
      <c r="L496" s="20" t="s">
        <v>2694</v>
      </c>
      <c r="M496" s="20" t="s">
        <v>153</v>
      </c>
      <c r="N496" s="20" t="s">
        <v>2578</v>
      </c>
      <c r="O496" s="20">
        <v>19</v>
      </c>
      <c r="P496" s="20">
        <v>119.42</v>
      </c>
      <c r="Q496" s="20">
        <v>82.87</v>
      </c>
      <c r="R496" s="20">
        <v>2269.0500000000002</v>
      </c>
      <c r="S496" s="20">
        <v>0.2</v>
      </c>
      <c r="T496" s="20">
        <v>453.81</v>
      </c>
      <c r="U496" s="20">
        <v>1815.24</v>
      </c>
      <c r="V496" s="20">
        <v>1574.51</v>
      </c>
      <c r="W496" s="20">
        <v>240.73</v>
      </c>
      <c r="X496" s="20" t="s">
        <v>45</v>
      </c>
    </row>
    <row r="497" spans="1:24" x14ac:dyDescent="0.25">
      <c r="A497" s="23" t="s">
        <v>939</v>
      </c>
      <c r="B497" s="22">
        <v>45467</v>
      </c>
      <c r="C497" s="23" t="s">
        <v>172</v>
      </c>
      <c r="D497" s="23" t="s">
        <v>22</v>
      </c>
      <c r="E497" s="23" t="s">
        <v>141</v>
      </c>
      <c r="F497" s="23" t="s">
        <v>2590</v>
      </c>
      <c r="G497" s="23" t="s">
        <v>2577</v>
      </c>
      <c r="H497" s="23" t="s">
        <v>26</v>
      </c>
      <c r="I497" s="23" t="s">
        <v>27</v>
      </c>
      <c r="J497" s="23" t="s">
        <v>106</v>
      </c>
      <c r="K497" s="23" t="s">
        <v>184</v>
      </c>
      <c r="L497" s="23" t="s">
        <v>2690</v>
      </c>
      <c r="M497" s="23" t="s">
        <v>43</v>
      </c>
      <c r="N497" s="23" t="s">
        <v>84</v>
      </c>
      <c r="O497" s="23">
        <v>78</v>
      </c>
      <c r="P497" s="23">
        <v>100.77</v>
      </c>
      <c r="Q497" s="23">
        <v>61.44</v>
      </c>
      <c r="R497" s="23">
        <v>7860.03</v>
      </c>
      <c r="S497" s="23">
        <v>0.1</v>
      </c>
      <c r="T497" s="23">
        <v>786</v>
      </c>
      <c r="U497" s="23">
        <v>7074.03</v>
      </c>
      <c r="V497" s="23">
        <v>4792.24</v>
      </c>
      <c r="W497" s="23">
        <v>2281.79</v>
      </c>
      <c r="X497" s="23" t="s">
        <v>45</v>
      </c>
    </row>
    <row r="498" spans="1:24" x14ac:dyDescent="0.25">
      <c r="A498" s="20" t="s">
        <v>940</v>
      </c>
      <c r="B498" s="19">
        <v>45626</v>
      </c>
      <c r="C498" s="20" t="s">
        <v>941</v>
      </c>
      <c r="D498" s="20" t="s">
        <v>149</v>
      </c>
      <c r="E498" s="20" t="s">
        <v>187</v>
      </c>
      <c r="F498" s="20" t="s">
        <v>2594</v>
      </c>
      <c r="G498" s="20" t="s">
        <v>2577</v>
      </c>
      <c r="H498" s="20" t="s">
        <v>26</v>
      </c>
      <c r="I498" s="20" t="s">
        <v>40</v>
      </c>
      <c r="J498" s="20" t="s">
        <v>82</v>
      </c>
      <c r="K498" s="20" t="s">
        <v>195</v>
      </c>
      <c r="L498" s="20" t="s">
        <v>2691</v>
      </c>
      <c r="M498" s="20" t="s">
        <v>153</v>
      </c>
      <c r="N498" s="20" t="s">
        <v>75</v>
      </c>
      <c r="O498" s="20">
        <v>20</v>
      </c>
      <c r="P498" s="20">
        <v>44.37</v>
      </c>
      <c r="Q498" s="20">
        <v>27.71</v>
      </c>
      <c r="R498" s="20">
        <v>887.36</v>
      </c>
      <c r="S498" s="20">
        <v>0.05</v>
      </c>
      <c r="T498" s="20">
        <v>44.37</v>
      </c>
      <c r="U498" s="20">
        <v>842.99</v>
      </c>
      <c r="V498" s="20">
        <v>554.20000000000005</v>
      </c>
      <c r="W498" s="20">
        <v>288.79000000000002</v>
      </c>
      <c r="X498" s="20" t="s">
        <v>45</v>
      </c>
    </row>
    <row r="499" spans="1:24" x14ac:dyDescent="0.25">
      <c r="A499" s="23" t="s">
        <v>942</v>
      </c>
      <c r="B499" s="22">
        <v>45522</v>
      </c>
      <c r="C499" s="23" t="s">
        <v>258</v>
      </c>
      <c r="D499" s="23" t="s">
        <v>259</v>
      </c>
      <c r="E499" s="23" t="s">
        <v>209</v>
      </c>
      <c r="F499" s="23" t="s">
        <v>2595</v>
      </c>
      <c r="G499" s="23" t="s">
        <v>2581</v>
      </c>
      <c r="H499" s="23" t="s">
        <v>116</v>
      </c>
      <c r="I499" s="23" t="s">
        <v>40</v>
      </c>
      <c r="J499" s="23" t="s">
        <v>41</v>
      </c>
      <c r="K499" s="23" t="s">
        <v>170</v>
      </c>
      <c r="L499" s="23" t="s">
        <v>2671</v>
      </c>
      <c r="M499" s="23" t="s">
        <v>61</v>
      </c>
      <c r="N499" s="23" t="s">
        <v>75</v>
      </c>
      <c r="O499" s="23">
        <v>76</v>
      </c>
      <c r="P499" s="23">
        <v>17.22</v>
      </c>
      <c r="Q499" s="23">
        <v>10.27</v>
      </c>
      <c r="R499" s="23">
        <v>1308.6099999999999</v>
      </c>
      <c r="S499" s="23">
        <v>0.1</v>
      </c>
      <c r="T499" s="23">
        <v>130.86000000000001</v>
      </c>
      <c r="U499" s="23">
        <v>1177.74</v>
      </c>
      <c r="V499" s="23">
        <v>780.88</v>
      </c>
      <c r="W499" s="23">
        <v>396.87</v>
      </c>
      <c r="X499" s="23" t="s">
        <v>45</v>
      </c>
    </row>
    <row r="500" spans="1:24" x14ac:dyDescent="0.25">
      <c r="A500" s="20" t="s">
        <v>943</v>
      </c>
      <c r="B500" s="19">
        <v>45546</v>
      </c>
      <c r="C500" s="20" t="s">
        <v>47</v>
      </c>
      <c r="D500" s="20" t="s">
        <v>48</v>
      </c>
      <c r="E500" s="20" t="s">
        <v>49</v>
      </c>
      <c r="F500" s="20" t="s">
        <v>2580</v>
      </c>
      <c r="G500" s="20" t="s">
        <v>2581</v>
      </c>
      <c r="H500" s="20" t="s">
        <v>52</v>
      </c>
      <c r="I500" s="20" t="s">
        <v>40</v>
      </c>
      <c r="J500" s="20" t="s">
        <v>117</v>
      </c>
      <c r="K500" s="20" t="s">
        <v>218</v>
      </c>
      <c r="L500" s="20" t="s">
        <v>2692</v>
      </c>
      <c r="M500" s="20" t="s">
        <v>30</v>
      </c>
      <c r="N500" s="20" t="s">
        <v>75</v>
      </c>
      <c r="O500" s="20">
        <v>70</v>
      </c>
      <c r="P500" s="20">
        <v>23.78</v>
      </c>
      <c r="Q500" s="20">
        <v>12.1</v>
      </c>
      <c r="R500" s="20">
        <v>1664.82</v>
      </c>
      <c r="S500" s="20">
        <v>0.05</v>
      </c>
      <c r="T500" s="20">
        <v>83.24</v>
      </c>
      <c r="U500" s="20">
        <v>1581.58</v>
      </c>
      <c r="V500" s="20">
        <v>847.3</v>
      </c>
      <c r="W500" s="20">
        <v>734.28</v>
      </c>
      <c r="X500" s="20" t="s">
        <v>129</v>
      </c>
    </row>
    <row r="501" spans="1:24" x14ac:dyDescent="0.25">
      <c r="A501" s="23" t="s">
        <v>944</v>
      </c>
      <c r="B501" s="22">
        <v>45348</v>
      </c>
      <c r="C501" s="23" t="s">
        <v>945</v>
      </c>
      <c r="D501" s="23" t="s">
        <v>159</v>
      </c>
      <c r="E501" s="23" t="s">
        <v>49</v>
      </c>
      <c r="F501" s="23" t="s">
        <v>2580</v>
      </c>
      <c r="G501" s="23" t="s">
        <v>2581</v>
      </c>
      <c r="H501" s="23" t="s">
        <v>52</v>
      </c>
      <c r="I501" s="23" t="s">
        <v>27</v>
      </c>
      <c r="J501" s="23" t="s">
        <v>106</v>
      </c>
      <c r="K501" s="23" t="s">
        <v>29</v>
      </c>
      <c r="L501" s="23" t="s">
        <v>2679</v>
      </c>
      <c r="M501" s="23" t="s">
        <v>30</v>
      </c>
      <c r="N501" s="23" t="s">
        <v>44</v>
      </c>
      <c r="O501" s="23">
        <v>35</v>
      </c>
      <c r="P501" s="23">
        <v>25.54</v>
      </c>
      <c r="Q501" s="23">
        <v>13.59</v>
      </c>
      <c r="R501" s="23">
        <v>894.06</v>
      </c>
      <c r="S501" s="23">
        <v>0.05</v>
      </c>
      <c r="T501" s="23">
        <v>44.7</v>
      </c>
      <c r="U501" s="23">
        <v>849.36</v>
      </c>
      <c r="V501" s="23">
        <v>475.8</v>
      </c>
      <c r="W501" s="23">
        <v>373.57</v>
      </c>
      <c r="X501" s="23" t="s">
        <v>45</v>
      </c>
    </row>
    <row r="502" spans="1:24" x14ac:dyDescent="0.25">
      <c r="A502" s="20" t="s">
        <v>947</v>
      </c>
      <c r="B502" s="19">
        <v>45581</v>
      </c>
      <c r="C502" s="20" t="s">
        <v>948</v>
      </c>
      <c r="D502" s="20" t="s">
        <v>87</v>
      </c>
      <c r="E502" s="20" t="s">
        <v>78</v>
      </c>
      <c r="F502" s="20" t="s">
        <v>2583</v>
      </c>
      <c r="G502" s="20" t="s">
        <v>2584</v>
      </c>
      <c r="H502" s="20" t="s">
        <v>81</v>
      </c>
      <c r="I502" s="20" t="s">
        <v>53</v>
      </c>
      <c r="J502" s="20" t="s">
        <v>122</v>
      </c>
      <c r="K502" s="20" t="s">
        <v>218</v>
      </c>
      <c r="L502" s="20" t="s">
        <v>2692</v>
      </c>
      <c r="M502" s="20" t="s">
        <v>43</v>
      </c>
      <c r="N502" s="20" t="s">
        <v>70</v>
      </c>
      <c r="O502" s="20">
        <v>32</v>
      </c>
      <c r="P502" s="20">
        <v>150.09</v>
      </c>
      <c r="Q502" s="20">
        <v>87.12</v>
      </c>
      <c r="R502" s="20">
        <v>4802.8500000000004</v>
      </c>
      <c r="S502" s="20">
        <v>0.2</v>
      </c>
      <c r="T502" s="20">
        <v>960.57</v>
      </c>
      <c r="U502" s="20">
        <v>3842.28</v>
      </c>
      <c r="V502" s="20">
        <v>2787.85</v>
      </c>
      <c r="W502" s="20">
        <v>1054.44</v>
      </c>
      <c r="X502" s="20" t="s">
        <v>45</v>
      </c>
    </row>
    <row r="503" spans="1:24" x14ac:dyDescent="0.25">
      <c r="A503" s="23" t="s">
        <v>949</v>
      </c>
      <c r="B503" s="22">
        <v>45448</v>
      </c>
      <c r="C503" s="23" t="s">
        <v>580</v>
      </c>
      <c r="D503" s="23" t="s">
        <v>156</v>
      </c>
      <c r="E503" s="23" t="s">
        <v>99</v>
      </c>
      <c r="F503" s="23" t="s">
        <v>100</v>
      </c>
      <c r="G503" s="23" t="s">
        <v>2587</v>
      </c>
      <c r="H503" s="23" t="s">
        <v>102</v>
      </c>
      <c r="I503" s="23" t="s">
        <v>53</v>
      </c>
      <c r="J503" s="23" t="s">
        <v>232</v>
      </c>
      <c r="K503" s="23" t="s">
        <v>152</v>
      </c>
      <c r="L503" s="23" t="s">
        <v>2688</v>
      </c>
      <c r="M503" s="23" t="s">
        <v>30</v>
      </c>
      <c r="N503" s="23" t="s">
        <v>70</v>
      </c>
      <c r="O503" s="23">
        <v>66</v>
      </c>
      <c r="P503" s="23">
        <v>70.900000000000006</v>
      </c>
      <c r="Q503" s="23">
        <v>41.4</v>
      </c>
      <c r="R503" s="23">
        <v>4679.12</v>
      </c>
      <c r="S503" s="23">
        <v>0</v>
      </c>
      <c r="T503" s="23">
        <v>0</v>
      </c>
      <c r="U503" s="23">
        <v>4679.12</v>
      </c>
      <c r="V503" s="23">
        <v>2732.62</v>
      </c>
      <c r="W503" s="23">
        <v>1946.5</v>
      </c>
      <c r="X503" s="23" t="s">
        <v>45</v>
      </c>
    </row>
    <row r="504" spans="1:24" x14ac:dyDescent="0.25">
      <c r="A504" s="20" t="s">
        <v>950</v>
      </c>
      <c r="B504" s="19">
        <v>45323</v>
      </c>
      <c r="C504" s="20" t="s">
        <v>162</v>
      </c>
      <c r="D504" s="20" t="s">
        <v>163</v>
      </c>
      <c r="E504" s="20" t="s">
        <v>23</v>
      </c>
      <c r="F504" s="20" t="s">
        <v>2576</v>
      </c>
      <c r="G504" s="20" t="s">
        <v>2577</v>
      </c>
      <c r="H504" s="20" t="s">
        <v>26</v>
      </c>
      <c r="I504" s="20" t="s">
        <v>40</v>
      </c>
      <c r="J504" s="20" t="s">
        <v>289</v>
      </c>
      <c r="K504" s="20" t="s">
        <v>42</v>
      </c>
      <c r="L504" s="20" t="s">
        <v>2680</v>
      </c>
      <c r="M504" s="20" t="s">
        <v>43</v>
      </c>
      <c r="N504" s="20" t="s">
        <v>84</v>
      </c>
      <c r="O504" s="20">
        <v>61</v>
      </c>
      <c r="P504" s="20">
        <v>77.319999999999993</v>
      </c>
      <c r="Q504" s="20">
        <v>42.03</v>
      </c>
      <c r="R504" s="20">
        <v>4716.78</v>
      </c>
      <c r="S504" s="20">
        <v>0.15</v>
      </c>
      <c r="T504" s="20">
        <v>707.52</v>
      </c>
      <c r="U504" s="20">
        <v>4009.26</v>
      </c>
      <c r="V504" s="20">
        <v>2564.09</v>
      </c>
      <c r="W504" s="20">
        <v>1445.17</v>
      </c>
      <c r="X504" s="20" t="s">
        <v>129</v>
      </c>
    </row>
    <row r="505" spans="1:24" x14ac:dyDescent="0.25">
      <c r="A505" s="23" t="s">
        <v>951</v>
      </c>
      <c r="B505" s="22">
        <v>45405</v>
      </c>
      <c r="C505" s="23" t="s">
        <v>395</v>
      </c>
      <c r="D505" s="23" t="s">
        <v>221</v>
      </c>
      <c r="E505" s="23" t="s">
        <v>132</v>
      </c>
      <c r="F505" s="23" t="s">
        <v>133</v>
      </c>
      <c r="G505" s="23" t="s">
        <v>2581</v>
      </c>
      <c r="H505" s="23" t="s">
        <v>134</v>
      </c>
      <c r="I505" s="23" t="s">
        <v>40</v>
      </c>
      <c r="J505" s="23" t="s">
        <v>117</v>
      </c>
      <c r="K505" s="23" t="s">
        <v>60</v>
      </c>
      <c r="L505" s="23" t="s">
        <v>2677</v>
      </c>
      <c r="M505" s="23" t="s">
        <v>61</v>
      </c>
      <c r="N505" s="23" t="s">
        <v>84</v>
      </c>
      <c r="O505" s="23">
        <v>56</v>
      </c>
      <c r="P505" s="23">
        <v>59.81</v>
      </c>
      <c r="Q505" s="23">
        <v>34.69</v>
      </c>
      <c r="R505" s="23">
        <v>3349.18</v>
      </c>
      <c r="S505" s="23">
        <v>0.05</v>
      </c>
      <c r="T505" s="23">
        <v>167.46</v>
      </c>
      <c r="U505" s="23">
        <v>3181.72</v>
      </c>
      <c r="V505" s="23">
        <v>1942.84</v>
      </c>
      <c r="W505" s="23">
        <v>1238.8800000000001</v>
      </c>
      <c r="X505" s="23" t="s">
        <v>45</v>
      </c>
    </row>
    <row r="506" spans="1:24" x14ac:dyDescent="0.25">
      <c r="A506" s="20" t="s">
        <v>952</v>
      </c>
      <c r="B506" s="19">
        <v>45468</v>
      </c>
      <c r="C506" s="20" t="s">
        <v>953</v>
      </c>
      <c r="D506" s="20" t="s">
        <v>221</v>
      </c>
      <c r="E506" s="20" t="s">
        <v>36</v>
      </c>
      <c r="F506" s="20" t="s">
        <v>37</v>
      </c>
      <c r="G506" s="20" t="s">
        <v>2579</v>
      </c>
      <c r="H506" s="20" t="s">
        <v>39</v>
      </c>
      <c r="I506" s="20" t="s">
        <v>53</v>
      </c>
      <c r="J506" s="20" t="s">
        <v>54</v>
      </c>
      <c r="K506" s="20" t="s">
        <v>170</v>
      </c>
      <c r="L506" s="20" t="s">
        <v>2671</v>
      </c>
      <c r="M506" s="20" t="s">
        <v>61</v>
      </c>
      <c r="N506" s="20" t="s">
        <v>2578</v>
      </c>
      <c r="O506" s="20">
        <v>63</v>
      </c>
      <c r="P506" s="20">
        <v>170.87</v>
      </c>
      <c r="Q506" s="20">
        <v>104.63</v>
      </c>
      <c r="R506" s="20">
        <v>10764.67</v>
      </c>
      <c r="S506" s="20">
        <v>0.1</v>
      </c>
      <c r="T506" s="20">
        <v>1076.47</v>
      </c>
      <c r="U506" s="20">
        <v>9688.2099999999991</v>
      </c>
      <c r="V506" s="20">
        <v>6591.96</v>
      </c>
      <c r="W506" s="20">
        <v>3096.25</v>
      </c>
      <c r="X506" s="20" t="s">
        <v>45</v>
      </c>
    </row>
    <row r="507" spans="1:24" x14ac:dyDescent="0.25">
      <c r="A507" s="23" t="s">
        <v>954</v>
      </c>
      <c r="B507" s="22">
        <v>45468</v>
      </c>
      <c r="C507" s="23" t="s">
        <v>155</v>
      </c>
      <c r="D507" s="23" t="s">
        <v>156</v>
      </c>
      <c r="E507" s="23" t="s">
        <v>165</v>
      </c>
      <c r="F507" s="23" t="s">
        <v>2592</v>
      </c>
      <c r="G507" s="23" t="s">
        <v>2586</v>
      </c>
      <c r="H507" s="23" t="s">
        <v>167</v>
      </c>
      <c r="I507" s="23" t="s">
        <v>27</v>
      </c>
      <c r="J507" s="23" t="s">
        <v>211</v>
      </c>
      <c r="K507" s="23" t="s">
        <v>69</v>
      </c>
      <c r="L507" s="23" t="s">
        <v>2681</v>
      </c>
      <c r="M507" s="23" t="s">
        <v>43</v>
      </c>
      <c r="N507" s="23" t="s">
        <v>84</v>
      </c>
      <c r="O507" s="23">
        <v>26</v>
      </c>
      <c r="P507" s="23">
        <v>39.81</v>
      </c>
      <c r="Q507" s="23">
        <v>25.01</v>
      </c>
      <c r="R507" s="23">
        <v>1035.19</v>
      </c>
      <c r="S507" s="23">
        <v>0.02</v>
      </c>
      <c r="T507" s="23">
        <v>20.7</v>
      </c>
      <c r="U507" s="23">
        <v>1014.48</v>
      </c>
      <c r="V507" s="23">
        <v>650.27</v>
      </c>
      <c r="W507" s="23">
        <v>364.22</v>
      </c>
      <c r="X507" s="23" t="s">
        <v>45</v>
      </c>
    </row>
    <row r="508" spans="1:24" x14ac:dyDescent="0.25">
      <c r="A508" s="20" t="s">
        <v>955</v>
      </c>
      <c r="B508" s="19">
        <v>45395</v>
      </c>
      <c r="C508" s="20" t="s">
        <v>297</v>
      </c>
      <c r="D508" s="20" t="s">
        <v>87</v>
      </c>
      <c r="E508" s="20" t="s">
        <v>99</v>
      </c>
      <c r="F508" s="20" t="s">
        <v>100</v>
      </c>
      <c r="G508" s="20" t="s">
        <v>2587</v>
      </c>
      <c r="H508" s="20" t="s">
        <v>102</v>
      </c>
      <c r="I508" s="20" t="s">
        <v>27</v>
      </c>
      <c r="J508" s="20" t="s">
        <v>28</v>
      </c>
      <c r="K508" s="20" t="s">
        <v>178</v>
      </c>
      <c r="L508" s="20" t="s">
        <v>2689</v>
      </c>
      <c r="M508" s="20" t="s">
        <v>43</v>
      </c>
      <c r="N508" s="20" t="s">
        <v>84</v>
      </c>
      <c r="O508" s="20">
        <v>47</v>
      </c>
      <c r="P508" s="20">
        <v>64.400000000000006</v>
      </c>
      <c r="Q508" s="20">
        <v>41.07</v>
      </c>
      <c r="R508" s="20">
        <v>3026.87</v>
      </c>
      <c r="S508" s="20">
        <v>0.2</v>
      </c>
      <c r="T508" s="20">
        <v>605.37</v>
      </c>
      <c r="U508" s="20">
        <v>2421.5</v>
      </c>
      <c r="V508" s="20">
        <v>1930.43</v>
      </c>
      <c r="W508" s="20">
        <v>491.07</v>
      </c>
      <c r="X508" s="20" t="s">
        <v>32</v>
      </c>
    </row>
    <row r="509" spans="1:24" x14ac:dyDescent="0.25">
      <c r="A509" s="23" t="s">
        <v>956</v>
      </c>
      <c r="B509" s="22">
        <v>45410</v>
      </c>
      <c r="C509" s="23" t="s">
        <v>938</v>
      </c>
      <c r="D509" s="23" t="s">
        <v>156</v>
      </c>
      <c r="E509" s="23" t="s">
        <v>99</v>
      </c>
      <c r="F509" s="23" t="s">
        <v>100</v>
      </c>
      <c r="G509" s="23" t="s">
        <v>2587</v>
      </c>
      <c r="H509" s="23" t="s">
        <v>102</v>
      </c>
      <c r="I509" s="23" t="s">
        <v>58</v>
      </c>
      <c r="J509" s="23" t="s">
        <v>345</v>
      </c>
      <c r="K509" s="23" t="s">
        <v>2619</v>
      </c>
      <c r="L509" s="23" t="s">
        <v>2619</v>
      </c>
      <c r="M509" s="23" t="s">
        <v>30</v>
      </c>
      <c r="N509" s="23" t="s">
        <v>84</v>
      </c>
      <c r="O509" s="23">
        <v>39</v>
      </c>
      <c r="P509" s="23">
        <v>67.7</v>
      </c>
      <c r="Q509" s="23">
        <v>40.909999999999997</v>
      </c>
      <c r="R509" s="23">
        <v>2640.47</v>
      </c>
      <c r="S509" s="23">
        <v>0.1</v>
      </c>
      <c r="T509" s="23">
        <v>264.05</v>
      </c>
      <c r="U509" s="23">
        <v>2376.4299999999998</v>
      </c>
      <c r="V509" s="23">
        <v>1595.42</v>
      </c>
      <c r="W509" s="23">
        <v>781.01</v>
      </c>
      <c r="X509" s="23" t="s">
        <v>45</v>
      </c>
    </row>
    <row r="510" spans="1:24" x14ac:dyDescent="0.25">
      <c r="A510" s="20" t="s">
        <v>957</v>
      </c>
      <c r="B510" s="19">
        <v>45488</v>
      </c>
      <c r="C510" s="20" t="s">
        <v>509</v>
      </c>
      <c r="D510" s="20" t="s">
        <v>264</v>
      </c>
      <c r="E510" s="20" t="s">
        <v>250</v>
      </c>
      <c r="F510" s="20" t="s">
        <v>2598</v>
      </c>
      <c r="G510" s="20" t="s">
        <v>2581</v>
      </c>
      <c r="H510" s="20" t="s">
        <v>252</v>
      </c>
      <c r="I510" s="20" t="s">
        <v>27</v>
      </c>
      <c r="J510" s="20" t="s">
        <v>28</v>
      </c>
      <c r="K510" s="20" t="s">
        <v>152</v>
      </c>
      <c r="L510" s="20" t="s">
        <v>2688</v>
      </c>
      <c r="M510" s="20" t="s">
        <v>153</v>
      </c>
      <c r="N510" s="20" t="s">
        <v>70</v>
      </c>
      <c r="O510" s="20">
        <v>54</v>
      </c>
      <c r="P510" s="20">
        <v>69.08</v>
      </c>
      <c r="Q510" s="20">
        <v>37.659999999999997</v>
      </c>
      <c r="R510" s="20">
        <v>3730.44</v>
      </c>
      <c r="S510" s="20">
        <v>0</v>
      </c>
      <c r="T510" s="20">
        <v>0</v>
      </c>
      <c r="U510" s="20">
        <v>3730.44</v>
      </c>
      <c r="V510" s="20">
        <v>2033.41</v>
      </c>
      <c r="W510" s="20">
        <v>1697.03</v>
      </c>
      <c r="X510" s="20" t="s">
        <v>45</v>
      </c>
    </row>
    <row r="511" spans="1:24" x14ac:dyDescent="0.25">
      <c r="A511" s="23" t="s">
        <v>958</v>
      </c>
      <c r="B511" s="22">
        <v>45391</v>
      </c>
      <c r="C511" s="23" t="s">
        <v>2619</v>
      </c>
      <c r="D511" s="23" t="s">
        <v>2619</v>
      </c>
      <c r="E511" s="23" t="s">
        <v>78</v>
      </c>
      <c r="F511" s="23" t="s">
        <v>2583</v>
      </c>
      <c r="G511" s="23" t="s">
        <v>2584</v>
      </c>
      <c r="H511" s="23" t="s">
        <v>81</v>
      </c>
      <c r="I511" s="23" t="s">
        <v>40</v>
      </c>
      <c r="J511" s="23" t="s">
        <v>41</v>
      </c>
      <c r="K511" s="23" t="s">
        <v>265</v>
      </c>
      <c r="L511" s="23" t="s">
        <v>2663</v>
      </c>
      <c r="M511" s="23" t="s">
        <v>61</v>
      </c>
      <c r="N511" s="23" t="s">
        <v>75</v>
      </c>
      <c r="O511" s="23">
        <v>38</v>
      </c>
      <c r="P511" s="23">
        <v>133.83000000000001</v>
      </c>
      <c r="Q511" s="23">
        <v>81.38</v>
      </c>
      <c r="R511" s="23">
        <v>5085.58</v>
      </c>
      <c r="S511" s="23">
        <v>0.1</v>
      </c>
      <c r="T511" s="23">
        <v>508.56</v>
      </c>
      <c r="U511" s="23">
        <v>4577.03</v>
      </c>
      <c r="V511" s="23">
        <v>3092.29</v>
      </c>
      <c r="W511" s="23">
        <v>1484.74</v>
      </c>
      <c r="X511" s="23" t="s">
        <v>129</v>
      </c>
    </row>
    <row r="512" spans="1:24" x14ac:dyDescent="0.25">
      <c r="A512" s="20" t="s">
        <v>959</v>
      </c>
      <c r="B512" s="19">
        <v>45597</v>
      </c>
      <c r="C512" s="20" t="s">
        <v>941</v>
      </c>
      <c r="D512" s="20" t="s">
        <v>149</v>
      </c>
      <c r="E512" s="20" t="s">
        <v>176</v>
      </c>
      <c r="F512" s="20" t="s">
        <v>2593</v>
      </c>
      <c r="G512" s="20" t="s">
        <v>2587</v>
      </c>
      <c r="H512" s="20" t="s">
        <v>39</v>
      </c>
      <c r="I512" s="20" t="s">
        <v>40</v>
      </c>
      <c r="J512" s="20" t="s">
        <v>289</v>
      </c>
      <c r="K512" s="20" t="s">
        <v>42</v>
      </c>
      <c r="L512" s="20" t="s">
        <v>2680</v>
      </c>
      <c r="M512" s="20" t="s">
        <v>43</v>
      </c>
      <c r="N512" s="20" t="s">
        <v>84</v>
      </c>
      <c r="O512" s="20">
        <v>50</v>
      </c>
      <c r="P512" s="20">
        <v>98.51</v>
      </c>
      <c r="Q512" s="20">
        <v>64.73</v>
      </c>
      <c r="R512" s="20">
        <v>4925.3900000000003</v>
      </c>
      <c r="S512" s="20">
        <v>1.1000000000000001</v>
      </c>
      <c r="T512" s="20">
        <v>738.81</v>
      </c>
      <c r="U512" s="20">
        <v>4186.58</v>
      </c>
      <c r="V512" s="20">
        <v>3236.47</v>
      </c>
      <c r="W512" s="20">
        <v>950.11</v>
      </c>
      <c r="X512" s="20" t="s">
        <v>45</v>
      </c>
    </row>
    <row r="513" spans="1:24" x14ac:dyDescent="0.25">
      <c r="A513" s="23" t="s">
        <v>960</v>
      </c>
      <c r="B513" s="22">
        <v>45472</v>
      </c>
      <c r="C513" s="23" t="s">
        <v>961</v>
      </c>
      <c r="D513" s="23" t="s">
        <v>87</v>
      </c>
      <c r="E513" s="23" t="s">
        <v>66</v>
      </c>
      <c r="F513" s="23" t="s">
        <v>2582</v>
      </c>
      <c r="G513" s="23" t="s">
        <v>2579</v>
      </c>
      <c r="H513" s="23" t="s">
        <v>68</v>
      </c>
      <c r="I513" s="23" t="s">
        <v>40</v>
      </c>
      <c r="J513" s="23" t="s">
        <v>289</v>
      </c>
      <c r="K513" s="23" t="s">
        <v>118</v>
      </c>
      <c r="L513" s="23" t="s">
        <v>2686</v>
      </c>
      <c r="M513" s="23" t="s">
        <v>61</v>
      </c>
      <c r="N513" s="23" t="s">
        <v>75</v>
      </c>
      <c r="O513" s="23">
        <v>25</v>
      </c>
      <c r="P513" s="23">
        <v>152.5</v>
      </c>
      <c r="Q513" s="23">
        <v>104.28</v>
      </c>
      <c r="R513" s="23">
        <v>3812.48</v>
      </c>
      <c r="S513" s="23">
        <v>0.05</v>
      </c>
      <c r="T513" s="23">
        <v>190.62</v>
      </c>
      <c r="U513" s="23">
        <v>3621.85</v>
      </c>
      <c r="V513" s="23">
        <v>2606.89</v>
      </c>
      <c r="W513" s="23">
        <v>1014.96</v>
      </c>
      <c r="X513" s="23" t="s">
        <v>45</v>
      </c>
    </row>
    <row r="514" spans="1:24" x14ac:dyDescent="0.25">
      <c r="A514" s="20" t="s">
        <v>962</v>
      </c>
      <c r="B514" s="19">
        <v>45307</v>
      </c>
      <c r="C514" s="20" t="s">
        <v>197</v>
      </c>
      <c r="D514" s="20" t="s">
        <v>159</v>
      </c>
      <c r="E514" s="20" t="s">
        <v>132</v>
      </c>
      <c r="F514" s="20" t="s">
        <v>133</v>
      </c>
      <c r="G514" s="20" t="s">
        <v>2581</v>
      </c>
      <c r="H514" s="20" t="s">
        <v>134</v>
      </c>
      <c r="I514" s="20" t="s">
        <v>53</v>
      </c>
      <c r="J514" s="20" t="s">
        <v>54</v>
      </c>
      <c r="K514" s="20" t="s">
        <v>195</v>
      </c>
      <c r="L514" s="20" t="s">
        <v>2691</v>
      </c>
      <c r="M514" s="20" t="s">
        <v>153</v>
      </c>
      <c r="N514" s="20" t="s">
        <v>44</v>
      </c>
      <c r="O514" s="20">
        <v>35</v>
      </c>
      <c r="P514" s="20">
        <v>61.9</v>
      </c>
      <c r="Q514" s="20">
        <v>34.200000000000003</v>
      </c>
      <c r="R514" s="20">
        <v>2166.58</v>
      </c>
      <c r="S514" s="20">
        <v>0.1</v>
      </c>
      <c r="T514" s="20">
        <v>216.66</v>
      </c>
      <c r="U514" s="20">
        <v>1949.92</v>
      </c>
      <c r="V514" s="20">
        <v>1196.8699999999999</v>
      </c>
      <c r="W514" s="20">
        <v>753.05</v>
      </c>
      <c r="X514" s="20" t="s">
        <v>45</v>
      </c>
    </row>
    <row r="515" spans="1:24" x14ac:dyDescent="0.25">
      <c r="A515" s="23" t="s">
        <v>964</v>
      </c>
      <c r="B515" s="22">
        <v>45623</v>
      </c>
      <c r="C515" s="23" t="s">
        <v>674</v>
      </c>
      <c r="D515" s="23" t="s">
        <v>264</v>
      </c>
      <c r="E515" s="23" t="s">
        <v>132</v>
      </c>
      <c r="F515" s="23" t="s">
        <v>133</v>
      </c>
      <c r="G515" s="23" t="s">
        <v>2581</v>
      </c>
      <c r="H515" s="23" t="s">
        <v>134</v>
      </c>
      <c r="I515" s="23" t="s">
        <v>40</v>
      </c>
      <c r="J515" s="23" t="s">
        <v>41</v>
      </c>
      <c r="K515" s="23" t="s">
        <v>74</v>
      </c>
      <c r="L515" s="23" t="s">
        <v>2682</v>
      </c>
      <c r="M515" s="23" t="s">
        <v>153</v>
      </c>
      <c r="N515" s="23" t="s">
        <v>70</v>
      </c>
      <c r="O515" s="23">
        <v>72</v>
      </c>
      <c r="P515" s="23">
        <v>58.52</v>
      </c>
      <c r="Q515" s="23">
        <v>33.17</v>
      </c>
      <c r="R515" s="23">
        <v>4213.79</v>
      </c>
      <c r="S515" s="23">
        <v>0.1</v>
      </c>
      <c r="T515" s="23">
        <v>421.38</v>
      </c>
      <c r="U515" s="23">
        <v>3792.41</v>
      </c>
      <c r="V515" s="23">
        <v>2388.0500000000002</v>
      </c>
      <c r="W515" s="23">
        <v>1404.36</v>
      </c>
      <c r="X515" s="23" t="s">
        <v>45</v>
      </c>
    </row>
    <row r="516" spans="1:24" x14ac:dyDescent="0.25">
      <c r="A516" s="20" t="s">
        <v>965</v>
      </c>
      <c r="B516" s="19">
        <v>45625</v>
      </c>
      <c r="C516" s="20" t="s">
        <v>541</v>
      </c>
      <c r="D516" s="20" t="s">
        <v>159</v>
      </c>
      <c r="E516" s="20" t="s">
        <v>23</v>
      </c>
      <c r="F516" s="20" t="s">
        <v>2576</v>
      </c>
      <c r="G516" s="20" t="s">
        <v>2577</v>
      </c>
      <c r="H516" s="20" t="s">
        <v>26</v>
      </c>
      <c r="I516" s="20" t="s">
        <v>88</v>
      </c>
      <c r="J516" s="20" t="s">
        <v>173</v>
      </c>
      <c r="K516" s="20" t="s">
        <v>261</v>
      </c>
      <c r="L516" s="20" t="s">
        <v>2695</v>
      </c>
      <c r="M516" s="20" t="s">
        <v>153</v>
      </c>
      <c r="N516" s="20" t="s">
        <v>70</v>
      </c>
      <c r="O516" s="20">
        <v>50</v>
      </c>
      <c r="P516" s="20">
        <v>70.34</v>
      </c>
      <c r="Q516" s="20">
        <v>44.11</v>
      </c>
      <c r="R516" s="20">
        <v>3516.91</v>
      </c>
      <c r="S516" s="20">
        <v>0.1</v>
      </c>
      <c r="T516" s="20">
        <v>351.69</v>
      </c>
      <c r="U516" s="20">
        <v>3165.22</v>
      </c>
      <c r="V516" s="20">
        <v>2205.58</v>
      </c>
      <c r="W516" s="20">
        <v>959.63</v>
      </c>
      <c r="X516" s="20" t="s">
        <v>45</v>
      </c>
    </row>
    <row r="517" spans="1:24" x14ac:dyDescent="0.25">
      <c r="A517" s="23" t="s">
        <v>966</v>
      </c>
      <c r="B517" s="22">
        <v>45383</v>
      </c>
      <c r="C517" s="23" t="s">
        <v>967</v>
      </c>
      <c r="D517" s="23" t="s">
        <v>35</v>
      </c>
      <c r="E517" s="23" t="s">
        <v>78</v>
      </c>
      <c r="F517" s="23" t="s">
        <v>2583</v>
      </c>
      <c r="G517" s="23" t="s">
        <v>2584</v>
      </c>
      <c r="H517" s="23" t="s">
        <v>81</v>
      </c>
      <c r="I517" s="23" t="s">
        <v>27</v>
      </c>
      <c r="J517" s="23" t="s">
        <v>189</v>
      </c>
      <c r="K517" s="23" t="s">
        <v>178</v>
      </c>
      <c r="L517" s="23" t="s">
        <v>2689</v>
      </c>
      <c r="M517" s="23" t="s">
        <v>43</v>
      </c>
      <c r="N517" s="23" t="s">
        <v>2578</v>
      </c>
      <c r="O517" s="23">
        <v>29</v>
      </c>
      <c r="P517" s="23">
        <v>132.93</v>
      </c>
      <c r="Q517" s="23">
        <v>78.19</v>
      </c>
      <c r="R517" s="23">
        <v>3855.06</v>
      </c>
      <c r="S517" s="23">
        <v>0.15</v>
      </c>
      <c r="T517" s="23">
        <v>578.26</v>
      </c>
      <c r="U517" s="23">
        <v>3276.81</v>
      </c>
      <c r="V517" s="23">
        <v>2267.41</v>
      </c>
      <c r="W517" s="23">
        <v>1009.39</v>
      </c>
      <c r="X517" s="23" t="s">
        <v>45</v>
      </c>
    </row>
    <row r="518" spans="1:24" x14ac:dyDescent="0.25">
      <c r="A518" s="20" t="s">
        <v>968</v>
      </c>
      <c r="B518" s="19">
        <v>45622</v>
      </c>
      <c r="C518" s="20" t="s">
        <v>631</v>
      </c>
      <c r="D518" s="20" t="s">
        <v>105</v>
      </c>
      <c r="E518" s="20" t="s">
        <v>78</v>
      </c>
      <c r="F518" s="20" t="s">
        <v>2583</v>
      </c>
      <c r="G518" s="20" t="s">
        <v>2584</v>
      </c>
      <c r="H518" s="20" t="s">
        <v>81</v>
      </c>
      <c r="I518" s="20" t="s">
        <v>88</v>
      </c>
      <c r="J518" s="20" t="s">
        <v>135</v>
      </c>
      <c r="K518" s="20" t="s">
        <v>144</v>
      </c>
      <c r="L518" s="20" t="s">
        <v>2687</v>
      </c>
      <c r="M518" s="20" t="s">
        <v>61</v>
      </c>
      <c r="N518" s="20" t="s">
        <v>44</v>
      </c>
      <c r="O518" s="20">
        <v>66</v>
      </c>
      <c r="P518" s="20">
        <v>140.55000000000001</v>
      </c>
      <c r="Q518" s="20">
        <v>81.22</v>
      </c>
      <c r="R518" s="20">
        <v>9276.06</v>
      </c>
      <c r="S518" s="20">
        <v>0.02</v>
      </c>
      <c r="T518" s="20">
        <v>185.52</v>
      </c>
      <c r="U518" s="20">
        <v>9090.5400000000009</v>
      </c>
      <c r="V518" s="20">
        <v>5360.71</v>
      </c>
      <c r="W518" s="20">
        <v>3729.83</v>
      </c>
      <c r="X518" s="20" t="s">
        <v>45</v>
      </c>
    </row>
    <row r="519" spans="1:24" x14ac:dyDescent="0.25">
      <c r="A519" s="23" t="s">
        <v>969</v>
      </c>
      <c r="B519" s="22">
        <v>45346</v>
      </c>
      <c r="C519" s="23" t="s">
        <v>970</v>
      </c>
      <c r="D519" s="23" t="s">
        <v>159</v>
      </c>
      <c r="E519" s="23" t="s">
        <v>209</v>
      </c>
      <c r="F519" s="23" t="s">
        <v>2595</v>
      </c>
      <c r="G519" s="23" t="s">
        <v>2581</v>
      </c>
      <c r="H519" s="23" t="s">
        <v>116</v>
      </c>
      <c r="I519" s="23" t="s">
        <v>53</v>
      </c>
      <c r="J519" s="23" t="s">
        <v>143</v>
      </c>
      <c r="K519" s="23" t="s">
        <v>111</v>
      </c>
      <c r="L519" s="23" t="s">
        <v>2685</v>
      </c>
      <c r="M519" s="23" t="s">
        <v>30</v>
      </c>
      <c r="N519" s="23" t="s">
        <v>75</v>
      </c>
      <c r="O519" s="23">
        <v>50</v>
      </c>
      <c r="P519" s="23">
        <v>16.579999999999998</v>
      </c>
      <c r="Q519" s="23">
        <v>9.66</v>
      </c>
      <c r="R519" s="23">
        <v>828.92</v>
      </c>
      <c r="S519" s="23">
        <v>0</v>
      </c>
      <c r="T519" s="23">
        <v>0</v>
      </c>
      <c r="U519" s="23">
        <v>828.92</v>
      </c>
      <c r="V519" s="23">
        <v>482.96</v>
      </c>
      <c r="W519" s="23">
        <v>345.96</v>
      </c>
      <c r="X519" s="23" t="s">
        <v>129</v>
      </c>
    </row>
    <row r="520" spans="1:24" x14ac:dyDescent="0.25">
      <c r="A520" s="20" t="s">
        <v>971</v>
      </c>
      <c r="B520" s="19">
        <v>45329</v>
      </c>
      <c r="C520" s="20" t="s">
        <v>309</v>
      </c>
      <c r="D520" s="20" t="s">
        <v>65</v>
      </c>
      <c r="E520" s="20" t="s">
        <v>141</v>
      </c>
      <c r="F520" s="20" t="s">
        <v>2590</v>
      </c>
      <c r="G520" s="20" t="s">
        <v>2577</v>
      </c>
      <c r="H520" s="20" t="s">
        <v>26</v>
      </c>
      <c r="I520" s="20" t="s">
        <v>27</v>
      </c>
      <c r="J520" s="20" t="s">
        <v>189</v>
      </c>
      <c r="K520" s="20" t="s">
        <v>253</v>
      </c>
      <c r="L520" s="20" t="s">
        <v>2694</v>
      </c>
      <c r="M520" s="20" t="s">
        <v>43</v>
      </c>
      <c r="N520" s="20" t="s">
        <v>44</v>
      </c>
      <c r="O520" s="20">
        <v>7</v>
      </c>
      <c r="P520" s="20">
        <v>88.42</v>
      </c>
      <c r="Q520" s="20">
        <v>60.32</v>
      </c>
      <c r="R520" s="20">
        <v>618.94000000000005</v>
      </c>
      <c r="S520" s="20">
        <v>0.02</v>
      </c>
      <c r="T520" s="20">
        <v>12.38</v>
      </c>
      <c r="U520" s="20">
        <v>606.55999999999995</v>
      </c>
      <c r="V520" s="20">
        <v>422.24</v>
      </c>
      <c r="W520" s="20">
        <v>184.32</v>
      </c>
      <c r="X520" s="20" t="s">
        <v>45</v>
      </c>
    </row>
    <row r="521" spans="1:24" x14ac:dyDescent="0.25">
      <c r="A521" s="23" t="s">
        <v>972</v>
      </c>
      <c r="B521" s="22">
        <v>45405</v>
      </c>
      <c r="C521" s="23" t="s">
        <v>732</v>
      </c>
      <c r="D521" s="23" t="s">
        <v>35</v>
      </c>
      <c r="E521" s="23" t="s">
        <v>165</v>
      </c>
      <c r="F521" s="23" t="s">
        <v>2592</v>
      </c>
      <c r="G521" s="23" t="s">
        <v>2586</v>
      </c>
      <c r="H521" s="23" t="s">
        <v>167</v>
      </c>
      <c r="I521" s="23" t="s">
        <v>40</v>
      </c>
      <c r="J521" s="23" t="s">
        <v>82</v>
      </c>
      <c r="K521" s="23" t="s">
        <v>218</v>
      </c>
      <c r="L521" s="23" t="s">
        <v>2692</v>
      </c>
      <c r="M521" s="23" t="s">
        <v>61</v>
      </c>
      <c r="N521" s="23" t="s">
        <v>84</v>
      </c>
      <c r="O521" s="23">
        <v>24</v>
      </c>
      <c r="P521" s="23">
        <v>43.44</v>
      </c>
      <c r="Q521" s="23">
        <v>23.27</v>
      </c>
      <c r="R521" s="23">
        <v>1042.6400000000001</v>
      </c>
      <c r="S521" s="23">
        <v>0</v>
      </c>
      <c r="T521" s="23">
        <v>0</v>
      </c>
      <c r="U521" s="23">
        <v>1042.6400000000001</v>
      </c>
      <c r="V521" s="23">
        <v>558.57000000000005</v>
      </c>
      <c r="W521" s="23">
        <v>484.06</v>
      </c>
      <c r="X521" s="23" t="s">
        <v>45</v>
      </c>
    </row>
    <row r="522" spans="1:24" x14ac:dyDescent="0.25">
      <c r="A522" s="20" t="s">
        <v>973</v>
      </c>
      <c r="B522" s="19">
        <v>45550</v>
      </c>
      <c r="C522" s="20" t="s">
        <v>524</v>
      </c>
      <c r="D522" s="20" t="s">
        <v>125</v>
      </c>
      <c r="E522" s="20" t="s">
        <v>176</v>
      </c>
      <c r="F522" s="20" t="s">
        <v>2593</v>
      </c>
      <c r="G522" s="20" t="s">
        <v>2587</v>
      </c>
      <c r="H522" s="20" t="s">
        <v>39</v>
      </c>
      <c r="I522" s="20" t="s">
        <v>58</v>
      </c>
      <c r="J522" s="20" t="s">
        <v>345</v>
      </c>
      <c r="K522" s="20" t="s">
        <v>83</v>
      </c>
      <c r="L522" s="20" t="s">
        <v>2683</v>
      </c>
      <c r="M522" s="20" t="s">
        <v>153</v>
      </c>
      <c r="N522" s="20" t="s">
        <v>75</v>
      </c>
      <c r="O522" s="20">
        <v>74</v>
      </c>
      <c r="P522" s="20">
        <v>105.53</v>
      </c>
      <c r="Q522" s="20">
        <v>58.29</v>
      </c>
      <c r="R522" s="20">
        <v>7809.25</v>
      </c>
      <c r="S522" s="20">
        <v>0.05</v>
      </c>
      <c r="T522" s="20">
        <v>390.46</v>
      </c>
      <c r="U522" s="20">
        <v>7418.79</v>
      </c>
      <c r="V522" s="20">
        <v>4313.3999999999996</v>
      </c>
      <c r="W522" s="20">
        <v>3105.39</v>
      </c>
      <c r="X522" s="20" t="s">
        <v>129</v>
      </c>
    </row>
    <row r="523" spans="1:24" x14ac:dyDescent="0.25">
      <c r="A523" s="23" t="s">
        <v>974</v>
      </c>
      <c r="B523" s="22">
        <v>45541</v>
      </c>
      <c r="C523" s="23" t="s">
        <v>975</v>
      </c>
      <c r="D523" s="23" t="s">
        <v>105</v>
      </c>
      <c r="E523" s="23" t="s">
        <v>250</v>
      </c>
      <c r="F523" s="23" t="s">
        <v>2598</v>
      </c>
      <c r="G523" s="23" t="s">
        <v>2581</v>
      </c>
      <c r="H523" s="23" t="s">
        <v>252</v>
      </c>
      <c r="I523" s="23" t="s">
        <v>27</v>
      </c>
      <c r="J523" s="23" t="s">
        <v>28</v>
      </c>
      <c r="K523" s="23" t="s">
        <v>118</v>
      </c>
      <c r="L523" s="23" t="s">
        <v>2686</v>
      </c>
      <c r="M523" s="23" t="s">
        <v>153</v>
      </c>
      <c r="N523" s="23" t="s">
        <v>75</v>
      </c>
      <c r="O523" s="23">
        <v>34</v>
      </c>
      <c r="P523" s="23">
        <v>68.36</v>
      </c>
      <c r="Q523" s="23">
        <v>37.54</v>
      </c>
      <c r="R523" s="23">
        <v>2324.08</v>
      </c>
      <c r="S523" s="23">
        <v>0.05</v>
      </c>
      <c r="T523" s="23">
        <v>116.2</v>
      </c>
      <c r="U523" s="23">
        <v>2207.87</v>
      </c>
      <c r="V523" s="23">
        <v>1276.24</v>
      </c>
      <c r="W523" s="23">
        <v>931.64</v>
      </c>
      <c r="X523" s="23" t="s">
        <v>129</v>
      </c>
    </row>
    <row r="524" spans="1:24" x14ac:dyDescent="0.25">
      <c r="A524" s="20" t="s">
        <v>976</v>
      </c>
      <c r="B524" s="19">
        <v>45439</v>
      </c>
      <c r="C524" s="20" t="s">
        <v>339</v>
      </c>
      <c r="D524" s="20" t="s">
        <v>221</v>
      </c>
      <c r="E524" s="20" t="s">
        <v>132</v>
      </c>
      <c r="F524" s="20" t="s">
        <v>133</v>
      </c>
      <c r="G524" s="20" t="s">
        <v>2581</v>
      </c>
      <c r="H524" s="20" t="s">
        <v>134</v>
      </c>
      <c r="I524" s="20" t="s">
        <v>40</v>
      </c>
      <c r="J524" s="20" t="s">
        <v>82</v>
      </c>
      <c r="K524" s="20" t="s">
        <v>60</v>
      </c>
      <c r="L524" s="20" t="s">
        <v>2677</v>
      </c>
      <c r="M524" s="20" t="s">
        <v>61</v>
      </c>
      <c r="N524" s="20" t="s">
        <v>84</v>
      </c>
      <c r="O524" s="20">
        <v>63</v>
      </c>
      <c r="P524" s="20">
        <v>63.74</v>
      </c>
      <c r="Q524" s="20">
        <v>34.43</v>
      </c>
      <c r="R524" s="20">
        <v>4015.34</v>
      </c>
      <c r="S524" s="20">
        <v>0.15</v>
      </c>
      <c r="T524" s="20">
        <v>602.29999999999995</v>
      </c>
      <c r="U524" s="20">
        <v>3413.04</v>
      </c>
      <c r="V524" s="20">
        <v>2169.0100000000002</v>
      </c>
      <c r="W524" s="20">
        <v>1244.03</v>
      </c>
      <c r="X524" s="20" t="s">
        <v>32</v>
      </c>
    </row>
    <row r="525" spans="1:24" x14ac:dyDescent="0.25">
      <c r="A525" s="23" t="s">
        <v>977</v>
      </c>
      <c r="B525" s="22">
        <v>45392</v>
      </c>
      <c r="C525" s="23" t="s">
        <v>418</v>
      </c>
      <c r="D525" s="23" t="s">
        <v>159</v>
      </c>
      <c r="E525" s="23" t="s">
        <v>99</v>
      </c>
      <c r="F525" s="23" t="s">
        <v>100</v>
      </c>
      <c r="G525" s="23" t="s">
        <v>2587</v>
      </c>
      <c r="H525" s="23" t="s">
        <v>102</v>
      </c>
      <c r="I525" s="23" t="s">
        <v>40</v>
      </c>
      <c r="J525" s="23" t="s">
        <v>41</v>
      </c>
      <c r="K525" s="23" t="s">
        <v>218</v>
      </c>
      <c r="L525" s="23" t="s">
        <v>2692</v>
      </c>
      <c r="M525" s="23" t="s">
        <v>61</v>
      </c>
      <c r="N525" s="23" t="s">
        <v>75</v>
      </c>
      <c r="O525" s="23">
        <v>33</v>
      </c>
      <c r="P525" s="23">
        <v>71.03</v>
      </c>
      <c r="Q525" s="23">
        <v>42.33</v>
      </c>
      <c r="R525" s="23">
        <v>2343.89</v>
      </c>
      <c r="S525" s="23">
        <v>0.1</v>
      </c>
      <c r="T525" s="23">
        <v>234.39</v>
      </c>
      <c r="U525" s="23">
        <v>2109.5</v>
      </c>
      <c r="V525" s="23">
        <v>1396.87</v>
      </c>
      <c r="W525" s="23">
        <v>712.64</v>
      </c>
      <c r="X525" s="23" t="s">
        <v>129</v>
      </c>
    </row>
    <row r="526" spans="1:24" x14ac:dyDescent="0.25">
      <c r="A526" s="20" t="s">
        <v>978</v>
      </c>
      <c r="B526" s="19">
        <v>45318</v>
      </c>
      <c r="C526" s="20" t="s">
        <v>449</v>
      </c>
      <c r="D526" s="20" t="s">
        <v>65</v>
      </c>
      <c r="E526" s="20" t="s">
        <v>109</v>
      </c>
      <c r="F526" s="20" t="s">
        <v>110</v>
      </c>
      <c r="G526" s="20" t="s">
        <v>2584</v>
      </c>
      <c r="H526" s="20" t="s">
        <v>81</v>
      </c>
      <c r="I526" s="20" t="s">
        <v>88</v>
      </c>
      <c r="J526" s="20" t="s">
        <v>135</v>
      </c>
      <c r="K526" s="20" t="s">
        <v>178</v>
      </c>
      <c r="L526" s="20" t="s">
        <v>2689</v>
      </c>
      <c r="M526" s="20" t="s">
        <v>61</v>
      </c>
      <c r="N526" s="20" t="s">
        <v>2578</v>
      </c>
      <c r="O526" s="20">
        <v>74</v>
      </c>
      <c r="P526" s="20">
        <v>117.81</v>
      </c>
      <c r="Q526" s="20">
        <v>70.47</v>
      </c>
      <c r="R526" s="20">
        <v>8718.25</v>
      </c>
      <c r="S526" s="20">
        <v>0.1</v>
      </c>
      <c r="T526" s="20">
        <v>871.83</v>
      </c>
      <c r="U526" s="20">
        <v>7846.43</v>
      </c>
      <c r="V526" s="20">
        <v>5214.92</v>
      </c>
      <c r="W526" s="20">
        <v>2631.51</v>
      </c>
      <c r="X526" s="20" t="s">
        <v>45</v>
      </c>
    </row>
    <row r="527" spans="1:24" x14ac:dyDescent="0.25">
      <c r="A527" s="23" t="s">
        <v>979</v>
      </c>
      <c r="B527" s="22">
        <v>45595</v>
      </c>
      <c r="C527" s="23" t="s">
        <v>245</v>
      </c>
      <c r="D527" s="23" t="s">
        <v>65</v>
      </c>
      <c r="E527" s="23" t="s">
        <v>66</v>
      </c>
      <c r="F527" s="23" t="s">
        <v>2582</v>
      </c>
      <c r="G527" s="23" t="s">
        <v>2579</v>
      </c>
      <c r="H527" s="23" t="s">
        <v>68</v>
      </c>
      <c r="I527" s="23" t="s">
        <v>27</v>
      </c>
      <c r="J527" s="23" t="s">
        <v>28</v>
      </c>
      <c r="K527" s="23" t="s">
        <v>265</v>
      </c>
      <c r="L527" s="23" t="s">
        <v>2663</v>
      </c>
      <c r="M527" s="23" t="s">
        <v>61</v>
      </c>
      <c r="N527" s="23" t="s">
        <v>2578</v>
      </c>
      <c r="O527" s="23">
        <v>4</v>
      </c>
      <c r="P527" s="23">
        <v>166.42</v>
      </c>
      <c r="Q527" s="23">
        <v>97.37</v>
      </c>
      <c r="R527" s="23">
        <v>665.7</v>
      </c>
      <c r="S527" s="23">
        <v>0.15</v>
      </c>
      <c r="T527" s="23">
        <v>99.85</v>
      </c>
      <c r="U527" s="23">
        <v>565.84</v>
      </c>
      <c r="V527" s="23">
        <v>389.47</v>
      </c>
      <c r="W527" s="23">
        <v>176.37</v>
      </c>
      <c r="X527" s="23" t="s">
        <v>45</v>
      </c>
    </row>
    <row r="528" spans="1:24" x14ac:dyDescent="0.25">
      <c r="A528" s="20" t="s">
        <v>980</v>
      </c>
      <c r="B528" s="19">
        <v>45311</v>
      </c>
      <c r="C528" s="20" t="s">
        <v>506</v>
      </c>
      <c r="D528" s="20" t="s">
        <v>264</v>
      </c>
      <c r="E528" s="20" t="s">
        <v>99</v>
      </c>
      <c r="F528" s="20" t="s">
        <v>100</v>
      </c>
      <c r="G528" s="20" t="s">
        <v>2587</v>
      </c>
      <c r="H528" s="20" t="s">
        <v>102</v>
      </c>
      <c r="I528" s="20" t="s">
        <v>27</v>
      </c>
      <c r="J528" s="20" t="s">
        <v>106</v>
      </c>
      <c r="K528" s="20" t="s">
        <v>118</v>
      </c>
      <c r="L528" s="20" t="s">
        <v>2686</v>
      </c>
      <c r="M528" s="20" t="s">
        <v>153</v>
      </c>
      <c r="N528" s="20" t="s">
        <v>84</v>
      </c>
      <c r="O528" s="20">
        <v>74</v>
      </c>
      <c r="P528" s="20">
        <v>74.92</v>
      </c>
      <c r="Q528" s="20">
        <v>42.96</v>
      </c>
      <c r="R528" s="20">
        <v>5543.9</v>
      </c>
      <c r="S528" s="20">
        <v>0.1</v>
      </c>
      <c r="T528" s="20">
        <v>554.39</v>
      </c>
      <c r="U528" s="20">
        <v>4989.51</v>
      </c>
      <c r="V528" s="20">
        <v>3179.04</v>
      </c>
      <c r="W528" s="20">
        <v>1810.47</v>
      </c>
      <c r="X528" s="20" t="s">
        <v>45</v>
      </c>
    </row>
    <row r="529" spans="1:24" x14ac:dyDescent="0.25">
      <c r="A529" s="23" t="s">
        <v>981</v>
      </c>
      <c r="B529" s="22">
        <v>45349</v>
      </c>
      <c r="C529" s="23" t="s">
        <v>794</v>
      </c>
      <c r="D529" s="23" t="s">
        <v>65</v>
      </c>
      <c r="E529" s="23" t="s">
        <v>209</v>
      </c>
      <c r="F529" s="23" t="s">
        <v>2595</v>
      </c>
      <c r="G529" s="23" t="s">
        <v>2581</v>
      </c>
      <c r="H529" s="23" t="s">
        <v>116</v>
      </c>
      <c r="I529" s="23" t="s">
        <v>27</v>
      </c>
      <c r="J529" s="23" t="s">
        <v>211</v>
      </c>
      <c r="K529" s="23" t="s">
        <v>144</v>
      </c>
      <c r="L529" s="23" t="s">
        <v>2687</v>
      </c>
      <c r="M529" s="23" t="s">
        <v>153</v>
      </c>
      <c r="N529" s="23" t="s">
        <v>84</v>
      </c>
      <c r="O529" s="23">
        <v>45</v>
      </c>
      <c r="P529" s="23">
        <v>18.809999999999999</v>
      </c>
      <c r="Q529" s="23">
        <v>9.3699999999999992</v>
      </c>
      <c r="R529" s="23">
        <v>846.27</v>
      </c>
      <c r="S529" s="23">
        <v>0.1</v>
      </c>
      <c r="T529" s="23">
        <v>84.63</v>
      </c>
      <c r="U529" s="23">
        <v>761.64</v>
      </c>
      <c r="V529" s="23">
        <v>421.7</v>
      </c>
      <c r="W529" s="23">
        <v>339.94</v>
      </c>
      <c r="X529" s="23" t="s">
        <v>32</v>
      </c>
    </row>
    <row r="530" spans="1:24" x14ac:dyDescent="0.25">
      <c r="A530" s="20" t="s">
        <v>982</v>
      </c>
      <c r="B530" s="19">
        <v>45454</v>
      </c>
      <c r="C530" s="20" t="s">
        <v>983</v>
      </c>
      <c r="D530" s="20" t="s">
        <v>22</v>
      </c>
      <c r="E530" s="20" t="s">
        <v>109</v>
      </c>
      <c r="F530" s="20" t="s">
        <v>110</v>
      </c>
      <c r="G530" s="20" t="s">
        <v>2584</v>
      </c>
      <c r="H530" s="20" t="s">
        <v>81</v>
      </c>
      <c r="I530" s="20" t="s">
        <v>88</v>
      </c>
      <c r="J530" s="20" t="s">
        <v>135</v>
      </c>
      <c r="K530" s="20" t="s">
        <v>118</v>
      </c>
      <c r="L530" s="20" t="s">
        <v>2686</v>
      </c>
      <c r="M530" s="20" t="s">
        <v>153</v>
      </c>
      <c r="N530" s="20" t="s">
        <v>2578</v>
      </c>
      <c r="O530" s="20">
        <v>78</v>
      </c>
      <c r="P530" s="20">
        <v>134.75</v>
      </c>
      <c r="Q530" s="20">
        <v>68.55</v>
      </c>
      <c r="R530" s="20">
        <v>10510.73</v>
      </c>
      <c r="S530" s="20">
        <v>0.15</v>
      </c>
      <c r="T530" s="20">
        <v>1576.61</v>
      </c>
      <c r="U530" s="20">
        <v>8934.1200000000008</v>
      </c>
      <c r="V530" s="20">
        <v>5347.28</v>
      </c>
      <c r="W530" s="20">
        <v>3586.84</v>
      </c>
      <c r="X530" s="20" t="s">
        <v>45</v>
      </c>
    </row>
    <row r="531" spans="1:24" x14ac:dyDescent="0.25">
      <c r="A531" s="23" t="s">
        <v>984</v>
      </c>
      <c r="B531" s="22">
        <v>45549</v>
      </c>
      <c r="C531" s="23" t="s">
        <v>985</v>
      </c>
      <c r="D531" s="23" t="s">
        <v>393</v>
      </c>
      <c r="E531" s="23" t="s">
        <v>93</v>
      </c>
      <c r="F531" s="23" t="s">
        <v>2585</v>
      </c>
      <c r="G531" s="23" t="s">
        <v>2586</v>
      </c>
      <c r="H531" s="23" t="s">
        <v>96</v>
      </c>
      <c r="I531" s="23" t="s">
        <v>58</v>
      </c>
      <c r="J531" s="23" t="s">
        <v>345</v>
      </c>
      <c r="K531" s="23" t="s">
        <v>60</v>
      </c>
      <c r="L531" s="23" t="s">
        <v>2677</v>
      </c>
      <c r="M531" s="23" t="s">
        <v>30</v>
      </c>
      <c r="N531" s="23" t="s">
        <v>44</v>
      </c>
      <c r="O531" s="23">
        <v>22</v>
      </c>
      <c r="P531" s="23">
        <v>58.88</v>
      </c>
      <c r="Q531" s="23">
        <v>31.42</v>
      </c>
      <c r="R531" s="23">
        <v>1295.47</v>
      </c>
      <c r="S531" s="23">
        <v>0.15</v>
      </c>
      <c r="T531" s="23">
        <v>194.32</v>
      </c>
      <c r="U531" s="23">
        <v>1101.1500000000001</v>
      </c>
      <c r="V531" s="23">
        <v>691.17</v>
      </c>
      <c r="W531" s="23">
        <v>409.98</v>
      </c>
      <c r="X531" s="23" t="s">
        <v>129</v>
      </c>
    </row>
    <row r="532" spans="1:24" x14ac:dyDescent="0.25">
      <c r="A532" s="20" t="s">
        <v>986</v>
      </c>
      <c r="B532" s="19">
        <v>45432</v>
      </c>
      <c r="C532" s="20" t="s">
        <v>104</v>
      </c>
      <c r="D532" s="20" t="s">
        <v>105</v>
      </c>
      <c r="E532" s="20" t="s">
        <v>114</v>
      </c>
      <c r="F532" s="20" t="s">
        <v>2588</v>
      </c>
      <c r="G532" s="20" t="s">
        <v>2586</v>
      </c>
      <c r="H532" s="20" t="s">
        <v>116</v>
      </c>
      <c r="I532" s="20" t="s">
        <v>58</v>
      </c>
      <c r="J532" s="20" t="s">
        <v>73</v>
      </c>
      <c r="K532" s="20" t="s">
        <v>178</v>
      </c>
      <c r="L532" s="20" t="s">
        <v>2689</v>
      </c>
      <c r="M532" s="20" t="s">
        <v>153</v>
      </c>
      <c r="N532" s="20" t="s">
        <v>44</v>
      </c>
      <c r="O532" s="20">
        <v>8</v>
      </c>
      <c r="P532" s="20">
        <v>34.950000000000003</v>
      </c>
      <c r="Q532" s="20">
        <v>20.91</v>
      </c>
      <c r="R532" s="20">
        <v>279.62</v>
      </c>
      <c r="S532" s="20">
        <v>0</v>
      </c>
      <c r="T532" s="20">
        <v>0</v>
      </c>
      <c r="U532" s="20">
        <v>279.62</v>
      </c>
      <c r="V532" s="20">
        <v>167.29</v>
      </c>
      <c r="W532" s="20">
        <v>112.34</v>
      </c>
      <c r="X532" s="20" t="s">
        <v>129</v>
      </c>
    </row>
    <row r="533" spans="1:24" x14ac:dyDescent="0.25">
      <c r="A533" s="23" t="s">
        <v>987</v>
      </c>
      <c r="B533" s="22">
        <v>45477</v>
      </c>
      <c r="C533" s="23" t="s">
        <v>737</v>
      </c>
      <c r="D533" s="23" t="s">
        <v>22</v>
      </c>
      <c r="E533" s="23" t="s">
        <v>141</v>
      </c>
      <c r="F533" s="23" t="s">
        <v>2590</v>
      </c>
      <c r="G533" s="23" t="s">
        <v>2577</v>
      </c>
      <c r="H533" s="23" t="s">
        <v>26</v>
      </c>
      <c r="I533" s="23" t="s">
        <v>88</v>
      </c>
      <c r="J533" s="23" t="s">
        <v>2112</v>
      </c>
      <c r="K533" s="23" t="s">
        <v>111</v>
      </c>
      <c r="L533" s="23" t="s">
        <v>2685</v>
      </c>
      <c r="M533" s="23" t="s">
        <v>30</v>
      </c>
      <c r="N533" s="23" t="s">
        <v>84</v>
      </c>
      <c r="O533" s="23">
        <v>36</v>
      </c>
      <c r="P533" s="23">
        <v>99.82</v>
      </c>
      <c r="Q533" s="23">
        <v>61.99</v>
      </c>
      <c r="R533" s="23">
        <v>3593.63</v>
      </c>
      <c r="S533" s="23">
        <v>0.2</v>
      </c>
      <c r="T533" s="23">
        <v>718.73</v>
      </c>
      <c r="U533" s="23">
        <v>3128.33</v>
      </c>
      <c r="V533" s="23">
        <v>2231.79</v>
      </c>
      <c r="W533" s="23">
        <v>643.12</v>
      </c>
      <c r="X533" s="23" t="s">
        <v>45</v>
      </c>
    </row>
    <row r="534" spans="1:24" x14ac:dyDescent="0.25">
      <c r="A534" s="20" t="s">
        <v>988</v>
      </c>
      <c r="B534" s="19">
        <v>45486</v>
      </c>
      <c r="C534" s="20" t="s">
        <v>989</v>
      </c>
      <c r="D534" s="20" t="s">
        <v>159</v>
      </c>
      <c r="E534" s="20" t="s">
        <v>23</v>
      </c>
      <c r="F534" s="20" t="s">
        <v>2576</v>
      </c>
      <c r="G534" s="20" t="s">
        <v>2577</v>
      </c>
      <c r="H534" s="20" t="s">
        <v>26</v>
      </c>
      <c r="I534" s="20" t="s">
        <v>53</v>
      </c>
      <c r="J534" s="20" t="s">
        <v>232</v>
      </c>
      <c r="K534" s="20" t="s">
        <v>60</v>
      </c>
      <c r="L534" s="20" t="s">
        <v>2677</v>
      </c>
      <c r="M534" s="20" t="s">
        <v>30</v>
      </c>
      <c r="N534" s="20" t="s">
        <v>70</v>
      </c>
      <c r="O534" s="20">
        <v>50</v>
      </c>
      <c r="P534" s="20">
        <v>73.77</v>
      </c>
      <c r="Q534" s="20">
        <v>42.41</v>
      </c>
      <c r="R534" s="20">
        <v>3688.56</v>
      </c>
      <c r="S534" s="20">
        <v>0.1</v>
      </c>
      <c r="T534" s="20">
        <v>368.86</v>
      </c>
      <c r="U534" s="20">
        <v>3319.7</v>
      </c>
      <c r="V534" s="20">
        <v>2120.52</v>
      </c>
      <c r="W534" s="20">
        <v>1199.18</v>
      </c>
      <c r="X534" s="20" t="s">
        <v>45</v>
      </c>
    </row>
    <row r="535" spans="1:24" x14ac:dyDescent="0.25">
      <c r="A535" s="23" t="s">
        <v>990</v>
      </c>
      <c r="B535" s="22">
        <v>45521</v>
      </c>
      <c r="C535" s="23" t="s">
        <v>272</v>
      </c>
      <c r="D535" s="23" t="s">
        <v>105</v>
      </c>
      <c r="E535" s="23" t="s">
        <v>49</v>
      </c>
      <c r="F535" s="23" t="s">
        <v>2580</v>
      </c>
      <c r="G535" s="23" t="s">
        <v>2581</v>
      </c>
      <c r="H535" s="23" t="s">
        <v>52</v>
      </c>
      <c r="I535" s="23" t="s">
        <v>27</v>
      </c>
      <c r="J535" s="23" t="s">
        <v>211</v>
      </c>
      <c r="K535" s="23" t="s">
        <v>195</v>
      </c>
      <c r="L535" s="23" t="s">
        <v>2691</v>
      </c>
      <c r="M535" s="23" t="s">
        <v>153</v>
      </c>
      <c r="N535" s="23" t="s">
        <v>84</v>
      </c>
      <c r="O535" s="23">
        <v>25</v>
      </c>
      <c r="P535" s="23">
        <v>25.45</v>
      </c>
      <c r="Q535" s="23">
        <v>13.91</v>
      </c>
      <c r="R535" s="23">
        <v>636.28</v>
      </c>
      <c r="S535" s="23">
        <v>0.15</v>
      </c>
      <c r="T535" s="23">
        <v>95.44</v>
      </c>
      <c r="U535" s="23">
        <v>540.84</v>
      </c>
      <c r="V535" s="23">
        <v>347.8</v>
      </c>
      <c r="W535" s="23">
        <v>193.04</v>
      </c>
      <c r="X535" s="23" t="s">
        <v>32</v>
      </c>
    </row>
    <row r="536" spans="1:24" x14ac:dyDescent="0.25">
      <c r="A536" s="20" t="s">
        <v>991</v>
      </c>
      <c r="B536" s="19">
        <v>45618</v>
      </c>
      <c r="C536" s="20" t="s">
        <v>992</v>
      </c>
      <c r="D536" s="20" t="s">
        <v>105</v>
      </c>
      <c r="E536" s="20" t="s">
        <v>109</v>
      </c>
      <c r="F536" s="20" t="s">
        <v>110</v>
      </c>
      <c r="G536" s="20" t="s">
        <v>2584</v>
      </c>
      <c r="H536" s="20" t="s">
        <v>81</v>
      </c>
      <c r="I536" s="20" t="s">
        <v>58</v>
      </c>
      <c r="J536" s="20" t="s">
        <v>73</v>
      </c>
      <c r="K536" s="20" t="s">
        <v>152</v>
      </c>
      <c r="L536" s="20" t="s">
        <v>2688</v>
      </c>
      <c r="M536" s="20" t="s">
        <v>43</v>
      </c>
      <c r="N536" s="20" t="s">
        <v>2578</v>
      </c>
      <c r="O536" s="20">
        <v>64</v>
      </c>
      <c r="P536" s="20">
        <v>115.67</v>
      </c>
      <c r="Q536" s="20">
        <v>78.489999999999995</v>
      </c>
      <c r="R536" s="20">
        <v>7403.11</v>
      </c>
      <c r="S536" s="20">
        <v>0.05</v>
      </c>
      <c r="T536" s="20">
        <v>370.16</v>
      </c>
      <c r="U536" s="20">
        <v>7032.95</v>
      </c>
      <c r="V536" s="20">
        <v>5023.33</v>
      </c>
      <c r="W536" s="20">
        <v>2009.62</v>
      </c>
      <c r="X536" s="20" t="s">
        <v>45</v>
      </c>
    </row>
    <row r="537" spans="1:24" x14ac:dyDescent="0.25">
      <c r="A537" s="23" t="s">
        <v>993</v>
      </c>
      <c r="B537" s="22">
        <v>45414</v>
      </c>
      <c r="C537" s="23" t="s">
        <v>541</v>
      </c>
      <c r="D537" s="23" t="s">
        <v>159</v>
      </c>
      <c r="E537" s="23" t="s">
        <v>216</v>
      </c>
      <c r="F537" s="23" t="s">
        <v>2596</v>
      </c>
      <c r="G537" s="23" t="s">
        <v>2579</v>
      </c>
      <c r="H537" s="23" t="s">
        <v>134</v>
      </c>
      <c r="I537" s="23" t="s">
        <v>88</v>
      </c>
      <c r="J537" s="23" t="s">
        <v>183</v>
      </c>
      <c r="K537" s="23" t="s">
        <v>111</v>
      </c>
      <c r="L537" s="23" t="s">
        <v>2685</v>
      </c>
      <c r="M537" s="23" t="s">
        <v>43</v>
      </c>
      <c r="N537" s="23" t="s">
        <v>70</v>
      </c>
      <c r="O537" s="23">
        <v>26</v>
      </c>
      <c r="P537" s="23">
        <v>115.05</v>
      </c>
      <c r="Q537" s="23">
        <v>65.02</v>
      </c>
      <c r="R537" s="23">
        <v>2991.29</v>
      </c>
      <c r="S537" s="23">
        <v>0</v>
      </c>
      <c r="T537" s="23">
        <v>0</v>
      </c>
      <c r="U537" s="23">
        <v>2991.29</v>
      </c>
      <c r="V537" s="23">
        <v>1690.55</v>
      </c>
      <c r="W537" s="23">
        <v>1300.74</v>
      </c>
      <c r="X537" s="23" t="s">
        <v>45</v>
      </c>
    </row>
    <row r="538" spans="1:24" x14ac:dyDescent="0.25">
      <c r="A538" s="20" t="s">
        <v>994</v>
      </c>
      <c r="B538" s="19">
        <v>45532</v>
      </c>
      <c r="C538" s="20" t="s">
        <v>269</v>
      </c>
      <c r="D538" s="20" t="s">
        <v>105</v>
      </c>
      <c r="E538" s="20" t="s">
        <v>150</v>
      </c>
      <c r="F538" s="20" t="s">
        <v>2591</v>
      </c>
      <c r="G538" s="20" t="s">
        <v>2587</v>
      </c>
      <c r="H538" s="20" t="s">
        <v>134</v>
      </c>
      <c r="I538" s="20" t="s">
        <v>58</v>
      </c>
      <c r="J538" s="20" t="s">
        <v>323</v>
      </c>
      <c r="K538" s="20" t="s">
        <v>74</v>
      </c>
      <c r="L538" s="20" t="s">
        <v>2682</v>
      </c>
      <c r="M538" s="20" t="s">
        <v>61</v>
      </c>
      <c r="N538" s="20" t="s">
        <v>44</v>
      </c>
      <c r="O538" s="20">
        <v>45</v>
      </c>
      <c r="P538" s="20">
        <v>81.3</v>
      </c>
      <c r="Q538" s="20">
        <v>48.65</v>
      </c>
      <c r="R538" s="20">
        <v>3658.58</v>
      </c>
      <c r="S538" s="20">
        <v>0.1</v>
      </c>
      <c r="T538" s="20">
        <v>365.86</v>
      </c>
      <c r="U538" s="20">
        <v>3292.73</v>
      </c>
      <c r="V538" s="20">
        <v>2189.2600000000002</v>
      </c>
      <c r="W538" s="20">
        <v>1103.46</v>
      </c>
      <c r="X538" s="20" t="s">
        <v>129</v>
      </c>
    </row>
    <row r="539" spans="1:24" x14ac:dyDescent="0.25">
      <c r="A539" s="23" t="s">
        <v>995</v>
      </c>
      <c r="B539" s="22">
        <v>45566</v>
      </c>
      <c r="C539" s="23" t="s">
        <v>356</v>
      </c>
      <c r="D539" s="23" t="s">
        <v>48</v>
      </c>
      <c r="E539" s="23" t="s">
        <v>222</v>
      </c>
      <c r="F539" s="23" t="s">
        <v>2597</v>
      </c>
      <c r="G539" s="23" t="s">
        <v>2587</v>
      </c>
      <c r="H539" s="23" t="s">
        <v>68</v>
      </c>
      <c r="I539" s="23" t="s">
        <v>40</v>
      </c>
      <c r="J539" s="23" t="s">
        <v>117</v>
      </c>
      <c r="K539" s="23" t="s">
        <v>69</v>
      </c>
      <c r="L539" s="23" t="s">
        <v>2681</v>
      </c>
      <c r="M539" s="23" t="s">
        <v>30</v>
      </c>
      <c r="N539" s="23" t="s">
        <v>70</v>
      </c>
      <c r="O539" s="23">
        <v>24</v>
      </c>
      <c r="P539" s="23">
        <v>122.27</v>
      </c>
      <c r="Q539" s="23">
        <v>76.23</v>
      </c>
      <c r="R539" s="23">
        <v>2934.43</v>
      </c>
      <c r="S539" s="23">
        <v>0.05</v>
      </c>
      <c r="T539" s="23">
        <v>146.72</v>
      </c>
      <c r="U539" s="23">
        <v>2787.71</v>
      </c>
      <c r="V539" s="23">
        <v>1829.52</v>
      </c>
      <c r="W539" s="23">
        <v>958.19</v>
      </c>
      <c r="X539" s="23" t="s">
        <v>45</v>
      </c>
    </row>
    <row r="540" spans="1:24" x14ac:dyDescent="0.25">
      <c r="A540" s="20" t="s">
        <v>996</v>
      </c>
      <c r="B540" s="19">
        <v>45544</v>
      </c>
      <c r="C540" s="20" t="s">
        <v>600</v>
      </c>
      <c r="D540" s="20" t="s">
        <v>87</v>
      </c>
      <c r="E540" s="20" t="s">
        <v>209</v>
      </c>
      <c r="F540" s="20" t="s">
        <v>2595</v>
      </c>
      <c r="G540" s="20" t="s">
        <v>2581</v>
      </c>
      <c r="H540" s="20" t="s">
        <v>116</v>
      </c>
      <c r="I540" s="20" t="s">
        <v>88</v>
      </c>
      <c r="J540" s="20" t="s">
        <v>135</v>
      </c>
      <c r="K540" s="20" t="s">
        <v>60</v>
      </c>
      <c r="L540" s="20" t="s">
        <v>2677</v>
      </c>
      <c r="M540" s="20" t="s">
        <v>43</v>
      </c>
      <c r="N540" s="20" t="s">
        <v>70</v>
      </c>
      <c r="O540" s="20">
        <v>12</v>
      </c>
      <c r="P540" s="20">
        <v>18.47</v>
      </c>
      <c r="Q540" s="20">
        <v>10.61</v>
      </c>
      <c r="R540" s="20">
        <v>221.68</v>
      </c>
      <c r="S540" s="20">
        <v>0.2</v>
      </c>
      <c r="T540" s="20">
        <v>44.34</v>
      </c>
      <c r="U540" s="20">
        <v>177.34</v>
      </c>
      <c r="V540" s="20">
        <v>127.33</v>
      </c>
      <c r="W540" s="20">
        <v>50.01</v>
      </c>
      <c r="X540" s="20" t="s">
        <v>45</v>
      </c>
    </row>
    <row r="541" spans="1:24" x14ac:dyDescent="0.25">
      <c r="A541" s="23" t="s">
        <v>997</v>
      </c>
      <c r="B541" s="22">
        <v>45635</v>
      </c>
      <c r="C541" s="23" t="s">
        <v>529</v>
      </c>
      <c r="D541" s="23" t="s">
        <v>256</v>
      </c>
      <c r="E541" s="23" t="s">
        <v>109</v>
      </c>
      <c r="F541" s="23" t="s">
        <v>110</v>
      </c>
      <c r="G541" s="23" t="s">
        <v>2584</v>
      </c>
      <c r="H541" s="23" t="s">
        <v>81</v>
      </c>
      <c r="I541" s="23" t="s">
        <v>58</v>
      </c>
      <c r="J541" s="23" t="s">
        <v>73</v>
      </c>
      <c r="K541" s="23" t="s">
        <v>74</v>
      </c>
      <c r="L541" s="23" t="s">
        <v>2682</v>
      </c>
      <c r="M541" s="23" t="s">
        <v>61</v>
      </c>
      <c r="N541" s="23" t="s">
        <v>44</v>
      </c>
      <c r="O541" s="23">
        <v>71</v>
      </c>
      <c r="P541" s="23">
        <v>134.4</v>
      </c>
      <c r="Q541" s="23">
        <v>69.19</v>
      </c>
      <c r="R541" s="23">
        <v>9542.2800000000007</v>
      </c>
      <c r="S541" s="23">
        <v>0.02</v>
      </c>
      <c r="T541" s="23">
        <v>190.85</v>
      </c>
      <c r="U541" s="23">
        <v>9351.43</v>
      </c>
      <c r="V541" s="23">
        <v>4912.62</v>
      </c>
      <c r="W541" s="23">
        <v>4438.8100000000004</v>
      </c>
      <c r="X541" s="23" t="s">
        <v>45</v>
      </c>
    </row>
    <row r="542" spans="1:24" x14ac:dyDescent="0.25">
      <c r="A542" s="20" t="s">
        <v>998</v>
      </c>
      <c r="B542" s="19">
        <v>45592</v>
      </c>
      <c r="C542" s="20" t="s">
        <v>247</v>
      </c>
      <c r="D542" s="20" t="s">
        <v>65</v>
      </c>
      <c r="E542" s="20" t="s">
        <v>36</v>
      </c>
      <c r="F542" s="20" t="s">
        <v>37</v>
      </c>
      <c r="G542" s="20" t="s">
        <v>2579</v>
      </c>
      <c r="H542" s="20" t="s">
        <v>39</v>
      </c>
      <c r="I542" s="20" t="s">
        <v>88</v>
      </c>
      <c r="J542" s="20" t="s">
        <v>173</v>
      </c>
      <c r="K542" s="20" t="s">
        <v>261</v>
      </c>
      <c r="L542" s="20" t="s">
        <v>2695</v>
      </c>
      <c r="M542" s="20" t="s">
        <v>43</v>
      </c>
      <c r="N542" s="20" t="s">
        <v>44</v>
      </c>
      <c r="O542" s="20">
        <v>74</v>
      </c>
      <c r="P542" s="24">
        <f>Cleaned_Sales!$R542/Cleaned_Sales!$O542</f>
        <v>168.59810810810811</v>
      </c>
      <c r="Q542" s="20">
        <v>103.14</v>
      </c>
      <c r="R542" s="20">
        <v>12476.26</v>
      </c>
      <c r="S542" s="20">
        <v>0.15</v>
      </c>
      <c r="T542" s="20">
        <v>1871.44</v>
      </c>
      <c r="U542" s="20">
        <v>10604.82</v>
      </c>
      <c r="V542" s="20">
        <v>7632.08</v>
      </c>
      <c r="W542" s="20">
        <v>2972.74</v>
      </c>
      <c r="X542" s="20" t="s">
        <v>45</v>
      </c>
    </row>
    <row r="543" spans="1:24" x14ac:dyDescent="0.25">
      <c r="A543" s="23" t="s">
        <v>999</v>
      </c>
      <c r="B543" s="22">
        <v>45635</v>
      </c>
      <c r="C543" s="23" t="s">
        <v>843</v>
      </c>
      <c r="D543" s="23" t="s">
        <v>22</v>
      </c>
      <c r="E543" s="23" t="s">
        <v>250</v>
      </c>
      <c r="F543" s="23" t="s">
        <v>2598</v>
      </c>
      <c r="G543" s="23" t="s">
        <v>2581</v>
      </c>
      <c r="H543" s="23" t="s">
        <v>252</v>
      </c>
      <c r="I543" s="23" t="s">
        <v>40</v>
      </c>
      <c r="J543" s="23" t="s">
        <v>82</v>
      </c>
      <c r="K543" s="23" t="s">
        <v>144</v>
      </c>
      <c r="L543" s="23" t="s">
        <v>2687</v>
      </c>
      <c r="M543" s="23" t="s">
        <v>61</v>
      </c>
      <c r="N543" s="23" t="s">
        <v>84</v>
      </c>
      <c r="O543" s="23">
        <v>46</v>
      </c>
      <c r="P543" s="23">
        <v>67.58</v>
      </c>
      <c r="Q543" s="23">
        <v>38.020000000000003</v>
      </c>
      <c r="R543" s="23">
        <v>3108.46</v>
      </c>
      <c r="S543" s="23">
        <v>0.15</v>
      </c>
      <c r="T543" s="23">
        <v>466.27</v>
      </c>
      <c r="U543" s="23">
        <v>2642.19</v>
      </c>
      <c r="V543" s="23">
        <v>1748.76</v>
      </c>
      <c r="W543" s="23">
        <v>893.43</v>
      </c>
      <c r="X543" s="23" t="s">
        <v>45</v>
      </c>
    </row>
    <row r="544" spans="1:24" x14ac:dyDescent="0.25">
      <c r="A544" s="20" t="s">
        <v>1000</v>
      </c>
      <c r="B544" s="19">
        <v>45521</v>
      </c>
      <c r="C544" s="20" t="s">
        <v>497</v>
      </c>
      <c r="D544" s="20" t="s">
        <v>35</v>
      </c>
      <c r="E544" s="20" t="s">
        <v>49</v>
      </c>
      <c r="F544" s="20" t="s">
        <v>2580</v>
      </c>
      <c r="G544" s="20" t="s">
        <v>2581</v>
      </c>
      <c r="H544" s="20" t="s">
        <v>52</v>
      </c>
      <c r="I544" s="20" t="s">
        <v>58</v>
      </c>
      <c r="J544" s="20" t="s">
        <v>73</v>
      </c>
      <c r="K544" s="20" t="s">
        <v>253</v>
      </c>
      <c r="L544" s="20" t="s">
        <v>2694</v>
      </c>
      <c r="M544" s="20" t="s">
        <v>61</v>
      </c>
      <c r="N544" s="20" t="s">
        <v>84</v>
      </c>
      <c r="O544" s="20">
        <v>49</v>
      </c>
      <c r="P544" s="20">
        <v>26.25</v>
      </c>
      <c r="Q544" s="20">
        <v>13.93</v>
      </c>
      <c r="R544" s="20">
        <v>1286.31</v>
      </c>
      <c r="S544" s="20">
        <v>0.1</v>
      </c>
      <c r="T544" s="20">
        <v>128.63</v>
      </c>
      <c r="U544" s="20">
        <v>1157.68</v>
      </c>
      <c r="V544" s="20">
        <v>682.58</v>
      </c>
      <c r="W544" s="20">
        <v>475.09</v>
      </c>
      <c r="X544" s="20" t="s">
        <v>45</v>
      </c>
    </row>
    <row r="545" spans="1:24" x14ac:dyDescent="0.25">
      <c r="A545" s="23" t="s">
        <v>1001</v>
      </c>
      <c r="B545" s="22">
        <v>45299</v>
      </c>
      <c r="C545" s="23" t="s">
        <v>1002</v>
      </c>
      <c r="D545" s="23" t="s">
        <v>159</v>
      </c>
      <c r="E545" s="23" t="s">
        <v>114</v>
      </c>
      <c r="F545" s="23" t="s">
        <v>2588</v>
      </c>
      <c r="G545" s="23" t="s">
        <v>2586</v>
      </c>
      <c r="H545" s="23" t="s">
        <v>116</v>
      </c>
      <c r="I545" s="23" t="s">
        <v>88</v>
      </c>
      <c r="J545" s="23" t="s">
        <v>2112</v>
      </c>
      <c r="K545" s="23" t="s">
        <v>195</v>
      </c>
      <c r="L545" s="23" t="s">
        <v>2691</v>
      </c>
      <c r="M545" s="23" t="s">
        <v>61</v>
      </c>
      <c r="N545" s="23" t="s">
        <v>2578</v>
      </c>
      <c r="O545" s="23">
        <v>19</v>
      </c>
      <c r="P545" s="23">
        <v>35.119999999999997</v>
      </c>
      <c r="Q545" s="23">
        <v>22.6</v>
      </c>
      <c r="R545" s="23">
        <v>667.27</v>
      </c>
      <c r="S545" s="23">
        <v>0.2</v>
      </c>
      <c r="T545" s="23">
        <v>133.44999999999999</v>
      </c>
      <c r="U545" s="23">
        <v>533.80999999999995</v>
      </c>
      <c r="V545" s="23">
        <v>429.39</v>
      </c>
      <c r="W545" s="23">
        <v>104.42</v>
      </c>
      <c r="X545" s="23" t="s">
        <v>45</v>
      </c>
    </row>
    <row r="546" spans="1:24" x14ac:dyDescent="0.25">
      <c r="A546" s="20" t="s">
        <v>1003</v>
      </c>
      <c r="B546" s="19">
        <v>45415</v>
      </c>
      <c r="C546" s="20" t="s">
        <v>328</v>
      </c>
      <c r="D546" s="20" t="s">
        <v>159</v>
      </c>
      <c r="E546" s="20" t="s">
        <v>114</v>
      </c>
      <c r="F546" s="20" t="s">
        <v>2588</v>
      </c>
      <c r="G546" s="20" t="s">
        <v>2586</v>
      </c>
      <c r="H546" s="20" t="s">
        <v>116</v>
      </c>
      <c r="I546" s="20" t="s">
        <v>40</v>
      </c>
      <c r="J546" s="20" t="s">
        <v>41</v>
      </c>
      <c r="K546" s="20" t="s">
        <v>69</v>
      </c>
      <c r="L546" s="20" t="s">
        <v>2681</v>
      </c>
      <c r="M546" s="20" t="s">
        <v>30</v>
      </c>
      <c r="N546" s="20" t="s">
        <v>75</v>
      </c>
      <c r="O546" s="20">
        <v>76</v>
      </c>
      <c r="P546" s="20">
        <v>36.46</v>
      </c>
      <c r="Q546" s="20">
        <v>19.95</v>
      </c>
      <c r="R546" s="20">
        <v>2771.02</v>
      </c>
      <c r="S546" s="20">
        <v>0</v>
      </c>
      <c r="T546" s="20">
        <v>0</v>
      </c>
      <c r="U546" s="20">
        <v>2771.02</v>
      </c>
      <c r="V546" s="20">
        <v>1516.26</v>
      </c>
      <c r="W546" s="20">
        <v>1254.76</v>
      </c>
      <c r="X546" s="20" t="s">
        <v>45</v>
      </c>
    </row>
    <row r="547" spans="1:24" x14ac:dyDescent="0.25">
      <c r="A547" s="23" t="s">
        <v>1004</v>
      </c>
      <c r="B547" s="22">
        <v>45621</v>
      </c>
      <c r="C547" s="23" t="s">
        <v>124</v>
      </c>
      <c r="D547" s="23" t="s">
        <v>125</v>
      </c>
      <c r="E547" s="23" t="s">
        <v>23</v>
      </c>
      <c r="F547" s="23" t="s">
        <v>2576</v>
      </c>
      <c r="G547" s="23" t="s">
        <v>2577</v>
      </c>
      <c r="H547" s="23" t="s">
        <v>26</v>
      </c>
      <c r="I547" s="23" t="s">
        <v>40</v>
      </c>
      <c r="J547" s="23" t="s">
        <v>117</v>
      </c>
      <c r="K547" s="23" t="s">
        <v>152</v>
      </c>
      <c r="L547" s="23" t="s">
        <v>2688</v>
      </c>
      <c r="M547" s="23" t="s">
        <v>43</v>
      </c>
      <c r="N547" s="23" t="s">
        <v>44</v>
      </c>
      <c r="O547" s="23">
        <v>72</v>
      </c>
      <c r="P547" s="23">
        <v>75.69</v>
      </c>
      <c r="Q547" s="23">
        <v>45.62</v>
      </c>
      <c r="R547" s="23">
        <v>5449.92</v>
      </c>
      <c r="S547" s="23">
        <v>0</v>
      </c>
      <c r="T547" s="23">
        <v>0</v>
      </c>
      <c r="U547" s="23">
        <v>5449.92</v>
      </c>
      <c r="V547" s="23">
        <v>3284.91</v>
      </c>
      <c r="W547" s="23">
        <v>2165.0100000000002</v>
      </c>
      <c r="X547" s="23" t="s">
        <v>32</v>
      </c>
    </row>
    <row r="548" spans="1:24" x14ac:dyDescent="0.25">
      <c r="A548" s="20" t="s">
        <v>1005</v>
      </c>
      <c r="B548" s="19">
        <v>45577</v>
      </c>
      <c r="C548" s="20" t="s">
        <v>608</v>
      </c>
      <c r="D548" s="20" t="s">
        <v>22</v>
      </c>
      <c r="E548" s="20" t="s">
        <v>250</v>
      </c>
      <c r="F548" s="20" t="s">
        <v>2598</v>
      </c>
      <c r="G548" s="20" t="s">
        <v>2581</v>
      </c>
      <c r="H548" s="20" t="s">
        <v>252</v>
      </c>
      <c r="I548" s="20" t="s">
        <v>40</v>
      </c>
      <c r="J548" s="20" t="s">
        <v>41</v>
      </c>
      <c r="K548" s="20" t="s">
        <v>42</v>
      </c>
      <c r="L548" s="20" t="s">
        <v>2680</v>
      </c>
      <c r="M548" s="20" t="s">
        <v>153</v>
      </c>
      <c r="N548" s="20" t="s">
        <v>2578</v>
      </c>
      <c r="O548" s="20">
        <v>72</v>
      </c>
      <c r="P548" s="20">
        <v>63.33</v>
      </c>
      <c r="Q548" s="20">
        <v>39.369999999999997</v>
      </c>
      <c r="R548" s="20">
        <v>4560.1000000000004</v>
      </c>
      <c r="S548" s="20">
        <v>0.1</v>
      </c>
      <c r="T548" s="20">
        <v>456.01</v>
      </c>
      <c r="U548" s="20">
        <v>4104.09</v>
      </c>
      <c r="V548" s="20">
        <v>2834.39</v>
      </c>
      <c r="W548" s="20">
        <v>1269.69</v>
      </c>
      <c r="X548" s="20" t="s">
        <v>129</v>
      </c>
    </row>
    <row r="549" spans="1:24" x14ac:dyDescent="0.25">
      <c r="A549" s="23" t="s">
        <v>1006</v>
      </c>
      <c r="B549" s="22">
        <v>45652</v>
      </c>
      <c r="C549" s="23" t="s">
        <v>917</v>
      </c>
      <c r="D549" s="23" t="s">
        <v>57</v>
      </c>
      <c r="E549" s="23" t="s">
        <v>78</v>
      </c>
      <c r="F549" s="23" t="s">
        <v>2583</v>
      </c>
      <c r="G549" s="23" t="s">
        <v>2584</v>
      </c>
      <c r="H549" s="23" t="s">
        <v>81</v>
      </c>
      <c r="I549" s="23" t="s">
        <v>27</v>
      </c>
      <c r="J549" s="23" t="s">
        <v>106</v>
      </c>
      <c r="K549" s="23" t="s">
        <v>83</v>
      </c>
      <c r="L549" s="23" t="s">
        <v>2683</v>
      </c>
      <c r="M549" s="23" t="s">
        <v>153</v>
      </c>
      <c r="N549" s="23" t="s">
        <v>84</v>
      </c>
      <c r="O549" s="23">
        <v>51</v>
      </c>
      <c r="P549" s="23">
        <v>132.97999999999999</v>
      </c>
      <c r="Q549" s="23">
        <v>79.180000000000007</v>
      </c>
      <c r="R549" s="23">
        <v>6781.93</v>
      </c>
      <c r="S549" s="23">
        <v>0.15</v>
      </c>
      <c r="T549" s="23">
        <v>1017.29</v>
      </c>
      <c r="U549" s="23">
        <v>5764.64</v>
      </c>
      <c r="V549" s="23">
        <v>4038.2</v>
      </c>
      <c r="W549" s="23">
        <v>1726.44</v>
      </c>
      <c r="X549" s="23" t="s">
        <v>45</v>
      </c>
    </row>
    <row r="550" spans="1:24" x14ac:dyDescent="0.25">
      <c r="A550" s="20" t="s">
        <v>1007</v>
      </c>
      <c r="B550" s="19">
        <v>45392</v>
      </c>
      <c r="C550" s="20" t="s">
        <v>911</v>
      </c>
      <c r="D550" s="20" t="s">
        <v>48</v>
      </c>
      <c r="E550" s="20" t="s">
        <v>250</v>
      </c>
      <c r="F550" s="20" t="s">
        <v>2598</v>
      </c>
      <c r="G550" s="20" t="s">
        <v>2581</v>
      </c>
      <c r="H550" s="20" t="s">
        <v>252</v>
      </c>
      <c r="I550" s="20" t="s">
        <v>27</v>
      </c>
      <c r="J550" s="20" t="s">
        <v>28</v>
      </c>
      <c r="K550" s="20" t="s">
        <v>218</v>
      </c>
      <c r="L550" s="20" t="s">
        <v>2692</v>
      </c>
      <c r="M550" s="20" t="s">
        <v>30</v>
      </c>
      <c r="N550" s="20" t="s">
        <v>70</v>
      </c>
      <c r="O550" s="20">
        <v>27</v>
      </c>
      <c r="P550" s="20">
        <v>67.319999999999993</v>
      </c>
      <c r="Q550" s="20">
        <v>38.950000000000003</v>
      </c>
      <c r="R550" s="20">
        <v>1817.54</v>
      </c>
      <c r="S550" s="20">
        <v>0.02</v>
      </c>
      <c r="T550" s="20">
        <v>36.35</v>
      </c>
      <c r="U550" s="20">
        <v>1781.19</v>
      </c>
      <c r="V550" s="20">
        <v>1051.73</v>
      </c>
      <c r="W550" s="20">
        <v>729.47</v>
      </c>
      <c r="X550" s="20" t="s">
        <v>129</v>
      </c>
    </row>
    <row r="551" spans="1:24" x14ac:dyDescent="0.25">
      <c r="A551" s="23" t="s">
        <v>1008</v>
      </c>
      <c r="B551" s="22">
        <v>45599</v>
      </c>
      <c r="C551" s="23" t="s">
        <v>276</v>
      </c>
      <c r="D551" s="23" t="s">
        <v>221</v>
      </c>
      <c r="E551" s="23" t="s">
        <v>93</v>
      </c>
      <c r="F551" s="23" t="s">
        <v>2585</v>
      </c>
      <c r="G551" s="23" t="s">
        <v>2586</v>
      </c>
      <c r="H551" s="23" t="s">
        <v>96</v>
      </c>
      <c r="I551" s="23" t="s">
        <v>53</v>
      </c>
      <c r="J551" s="23" t="s">
        <v>122</v>
      </c>
      <c r="K551" s="23" t="s">
        <v>170</v>
      </c>
      <c r="L551" s="23" t="s">
        <v>2671</v>
      </c>
      <c r="M551" s="23" t="s">
        <v>153</v>
      </c>
      <c r="N551" s="23" t="s">
        <v>84</v>
      </c>
      <c r="O551" s="23">
        <v>53</v>
      </c>
      <c r="P551" s="23">
        <v>54.39</v>
      </c>
      <c r="Q551" s="23">
        <v>30.17</v>
      </c>
      <c r="R551" s="23">
        <v>2882.6</v>
      </c>
      <c r="S551" s="23">
        <v>0.2</v>
      </c>
      <c r="T551" s="23">
        <v>576.52</v>
      </c>
      <c r="U551" s="23">
        <v>2306.08</v>
      </c>
      <c r="V551" s="23">
        <v>1599.01</v>
      </c>
      <c r="W551" s="23">
        <v>707.06</v>
      </c>
      <c r="X551" s="23" t="s">
        <v>32</v>
      </c>
    </row>
    <row r="552" spans="1:24" x14ac:dyDescent="0.25">
      <c r="A552" s="20" t="s">
        <v>1009</v>
      </c>
      <c r="B552" s="19">
        <v>45528</v>
      </c>
      <c r="C552" s="20" t="s">
        <v>397</v>
      </c>
      <c r="D552" s="20" t="s">
        <v>105</v>
      </c>
      <c r="E552" s="20" t="s">
        <v>150</v>
      </c>
      <c r="F552" s="20" t="s">
        <v>2591</v>
      </c>
      <c r="G552" s="20" t="s">
        <v>2587</v>
      </c>
      <c r="H552" s="20" t="s">
        <v>134</v>
      </c>
      <c r="I552" s="20" t="s">
        <v>40</v>
      </c>
      <c r="J552" s="20" t="s">
        <v>117</v>
      </c>
      <c r="K552" s="20" t="s">
        <v>60</v>
      </c>
      <c r="L552" s="20" t="s">
        <v>2677</v>
      </c>
      <c r="M552" s="20" t="s">
        <v>61</v>
      </c>
      <c r="N552" s="20" t="s">
        <v>75</v>
      </c>
      <c r="O552" s="20">
        <v>71</v>
      </c>
      <c r="P552" s="20">
        <v>79.05</v>
      </c>
      <c r="Q552" s="20">
        <v>50.66</v>
      </c>
      <c r="R552" s="20">
        <v>5612.58</v>
      </c>
      <c r="S552" s="20">
        <v>0.05</v>
      </c>
      <c r="T552" s="20">
        <v>280.63</v>
      </c>
      <c r="U552" s="20">
        <v>5331.95</v>
      </c>
      <c r="V552" s="20">
        <v>3597.21</v>
      </c>
      <c r="W552" s="20">
        <v>1734.73</v>
      </c>
      <c r="X552" s="20" t="s">
        <v>45</v>
      </c>
    </row>
    <row r="553" spans="1:24" x14ac:dyDescent="0.25">
      <c r="A553" s="23" t="s">
        <v>1010</v>
      </c>
      <c r="B553" s="22">
        <v>45320</v>
      </c>
      <c r="C553" s="23" t="s">
        <v>535</v>
      </c>
      <c r="D553" s="23" t="s">
        <v>221</v>
      </c>
      <c r="E553" s="23" t="s">
        <v>209</v>
      </c>
      <c r="F553" s="23" t="s">
        <v>2595</v>
      </c>
      <c r="G553" s="23" t="s">
        <v>2581</v>
      </c>
      <c r="H553" s="23" t="s">
        <v>116</v>
      </c>
      <c r="I553" s="23" t="s">
        <v>27</v>
      </c>
      <c r="J553" s="23" t="s">
        <v>106</v>
      </c>
      <c r="K553" s="23" t="s">
        <v>178</v>
      </c>
      <c r="L553" s="23" t="s">
        <v>2689</v>
      </c>
      <c r="M553" s="23" t="s">
        <v>43</v>
      </c>
      <c r="N553" s="23" t="s">
        <v>2578</v>
      </c>
      <c r="O553" s="23">
        <v>44</v>
      </c>
      <c r="P553" s="23">
        <v>17.329999999999998</v>
      </c>
      <c r="Q553" s="23">
        <v>10.48</v>
      </c>
      <c r="R553" s="23">
        <v>762.73</v>
      </c>
      <c r="S553" s="23">
        <v>0.2</v>
      </c>
      <c r="T553" s="23">
        <v>152.55000000000001</v>
      </c>
      <c r="U553" s="23">
        <v>610.17999999999995</v>
      </c>
      <c r="V553" s="23">
        <v>460.95</v>
      </c>
      <c r="W553" s="23">
        <v>149.22999999999999</v>
      </c>
      <c r="X553" s="23" t="s">
        <v>129</v>
      </c>
    </row>
    <row r="554" spans="1:24" x14ac:dyDescent="0.25">
      <c r="A554" s="20" t="s">
        <v>1011</v>
      </c>
      <c r="B554" s="19">
        <v>45335</v>
      </c>
      <c r="C554" s="20" t="s">
        <v>175</v>
      </c>
      <c r="D554" s="20" t="s">
        <v>65</v>
      </c>
      <c r="E554" s="20" t="s">
        <v>114</v>
      </c>
      <c r="F554" s="20" t="s">
        <v>2588</v>
      </c>
      <c r="G554" s="20" t="s">
        <v>2586</v>
      </c>
      <c r="H554" s="20" t="s">
        <v>116</v>
      </c>
      <c r="I554" s="20" t="s">
        <v>88</v>
      </c>
      <c r="J554" s="20" t="s">
        <v>173</v>
      </c>
      <c r="K554" s="20" t="s">
        <v>60</v>
      </c>
      <c r="L554" s="20" t="s">
        <v>2677</v>
      </c>
      <c r="M554" s="20" t="s">
        <v>61</v>
      </c>
      <c r="N554" s="20" t="s">
        <v>2578</v>
      </c>
      <c r="O554" s="20">
        <v>63</v>
      </c>
      <c r="P554" s="20">
        <v>35.6</v>
      </c>
      <c r="Q554" s="20">
        <v>19.89</v>
      </c>
      <c r="R554" s="20">
        <v>2242.94</v>
      </c>
      <c r="S554" s="20">
        <v>0</v>
      </c>
      <c r="T554" s="20">
        <v>0</v>
      </c>
      <c r="U554" s="20">
        <v>2242.94</v>
      </c>
      <c r="V554" s="20">
        <v>1253.26</v>
      </c>
      <c r="W554" s="20">
        <v>989.69</v>
      </c>
      <c r="X554" s="20" t="s">
        <v>32</v>
      </c>
    </row>
    <row r="555" spans="1:24" x14ac:dyDescent="0.25">
      <c r="A555" s="23" t="s">
        <v>1012</v>
      </c>
      <c r="B555" s="22">
        <v>45331</v>
      </c>
      <c r="C555" s="23" t="s">
        <v>1013</v>
      </c>
      <c r="D555" s="23" t="s">
        <v>48</v>
      </c>
      <c r="E555" s="23" t="s">
        <v>132</v>
      </c>
      <c r="F555" s="23" t="s">
        <v>133</v>
      </c>
      <c r="G555" s="23" t="s">
        <v>2581</v>
      </c>
      <c r="H555" s="23" t="s">
        <v>134</v>
      </c>
      <c r="I555" s="23" t="s">
        <v>40</v>
      </c>
      <c r="J555" s="23" t="s">
        <v>117</v>
      </c>
      <c r="K555" s="23" t="s">
        <v>69</v>
      </c>
      <c r="L555" s="23" t="s">
        <v>2681</v>
      </c>
      <c r="M555" s="23" t="s">
        <v>153</v>
      </c>
      <c r="N555" s="23" t="s">
        <v>2578</v>
      </c>
      <c r="O555" s="23">
        <v>67</v>
      </c>
      <c r="P555" s="23">
        <v>57.79</v>
      </c>
      <c r="Q555" s="23">
        <v>31.59</v>
      </c>
      <c r="R555" s="23">
        <v>3871.9</v>
      </c>
      <c r="S555" s="23">
        <v>0.1</v>
      </c>
      <c r="T555" s="23">
        <v>387.19</v>
      </c>
      <c r="U555" s="23">
        <v>3484.71</v>
      </c>
      <c r="V555" s="23">
        <v>2116.5700000000002</v>
      </c>
      <c r="W555" s="23">
        <v>1368.15</v>
      </c>
      <c r="X555" s="23" t="s">
        <v>45</v>
      </c>
    </row>
    <row r="556" spans="1:24" x14ac:dyDescent="0.25">
      <c r="A556" s="20" t="s">
        <v>1014</v>
      </c>
      <c r="B556" s="19">
        <v>45388</v>
      </c>
      <c r="C556" s="20" t="s">
        <v>864</v>
      </c>
      <c r="D556" s="20" t="s">
        <v>22</v>
      </c>
      <c r="E556" s="20" t="s">
        <v>66</v>
      </c>
      <c r="F556" s="20" t="s">
        <v>2582</v>
      </c>
      <c r="G556" s="20" t="s">
        <v>2579</v>
      </c>
      <c r="H556" s="20" t="s">
        <v>68</v>
      </c>
      <c r="I556" s="20" t="s">
        <v>40</v>
      </c>
      <c r="J556" s="20" t="s">
        <v>41</v>
      </c>
      <c r="K556" s="20" t="s">
        <v>60</v>
      </c>
      <c r="L556" s="20" t="s">
        <v>2677</v>
      </c>
      <c r="M556" s="20" t="s">
        <v>61</v>
      </c>
      <c r="N556" s="20" t="s">
        <v>70</v>
      </c>
      <c r="O556" s="20">
        <v>76</v>
      </c>
      <c r="P556" s="20">
        <v>162.51</v>
      </c>
      <c r="Q556" s="20">
        <v>107.92</v>
      </c>
      <c r="R556" s="20">
        <v>12351.11</v>
      </c>
      <c r="S556" s="20">
        <v>0.2</v>
      </c>
      <c r="T556" s="20">
        <v>2470.2199999999998</v>
      </c>
      <c r="U556" s="20">
        <v>9880.89</v>
      </c>
      <c r="V556" s="20">
        <v>8202.0300000000007</v>
      </c>
      <c r="W556" s="20">
        <v>1678.86</v>
      </c>
      <c r="X556" s="20" t="s">
        <v>45</v>
      </c>
    </row>
    <row r="557" spans="1:24" x14ac:dyDescent="0.25">
      <c r="A557" s="23" t="s">
        <v>1015</v>
      </c>
      <c r="B557" s="22">
        <v>45399</v>
      </c>
      <c r="C557" s="23" t="s">
        <v>64</v>
      </c>
      <c r="D557" s="23" t="s">
        <v>65</v>
      </c>
      <c r="E557" s="23" t="s">
        <v>49</v>
      </c>
      <c r="F557" s="23" t="s">
        <v>2580</v>
      </c>
      <c r="G557" s="23" t="s">
        <v>2581</v>
      </c>
      <c r="H557" s="23" t="s">
        <v>52</v>
      </c>
      <c r="I557" s="23" t="s">
        <v>40</v>
      </c>
      <c r="J557" s="23" t="s">
        <v>289</v>
      </c>
      <c r="K557" s="23" t="s">
        <v>118</v>
      </c>
      <c r="L557" s="23" t="s">
        <v>2686</v>
      </c>
      <c r="M557" s="23" t="s">
        <v>153</v>
      </c>
      <c r="N557" s="23" t="s">
        <v>2578</v>
      </c>
      <c r="O557" s="23">
        <v>1</v>
      </c>
      <c r="P557" s="23">
        <v>26.75</v>
      </c>
      <c r="Q557" s="23">
        <v>12.09</v>
      </c>
      <c r="R557" s="23">
        <v>26.75</v>
      </c>
      <c r="S557" s="23">
        <v>0</v>
      </c>
      <c r="T557" s="23">
        <v>0</v>
      </c>
      <c r="U557" s="23">
        <v>26.75</v>
      </c>
      <c r="V557" s="23">
        <v>12.09</v>
      </c>
      <c r="W557" s="23">
        <v>14.65</v>
      </c>
      <c r="X557" s="23" t="s">
        <v>45</v>
      </c>
    </row>
    <row r="558" spans="1:24" x14ac:dyDescent="0.25">
      <c r="A558" s="20" t="s">
        <v>1016</v>
      </c>
      <c r="B558" s="19">
        <v>45359</v>
      </c>
      <c r="C558" s="20" t="s">
        <v>456</v>
      </c>
      <c r="D558" s="20" t="s">
        <v>22</v>
      </c>
      <c r="E558" s="20" t="s">
        <v>250</v>
      </c>
      <c r="F558" s="20" t="s">
        <v>2598</v>
      </c>
      <c r="G558" s="20" t="s">
        <v>2581</v>
      </c>
      <c r="H558" s="20" t="s">
        <v>252</v>
      </c>
      <c r="I558" s="20" t="s">
        <v>40</v>
      </c>
      <c r="J558" s="20" t="s">
        <v>289</v>
      </c>
      <c r="K558" s="20" t="s">
        <v>42</v>
      </c>
      <c r="L558" s="20" t="s">
        <v>2680</v>
      </c>
      <c r="M558" s="20" t="s">
        <v>153</v>
      </c>
      <c r="N558" s="20" t="s">
        <v>2578</v>
      </c>
      <c r="O558" s="20">
        <v>60</v>
      </c>
      <c r="P558" s="20">
        <v>65</v>
      </c>
      <c r="Q558" s="20">
        <v>39.159999999999997</v>
      </c>
      <c r="R558" s="20">
        <v>3900.22</v>
      </c>
      <c r="S558" s="20">
        <v>0.1</v>
      </c>
      <c r="T558" s="20">
        <v>390.02</v>
      </c>
      <c r="U558" s="20">
        <v>3510.2</v>
      </c>
      <c r="V558" s="20">
        <v>2349.63</v>
      </c>
      <c r="W558" s="20">
        <v>1160.57</v>
      </c>
      <c r="X558" s="20" t="s">
        <v>45</v>
      </c>
    </row>
    <row r="559" spans="1:24" x14ac:dyDescent="0.25">
      <c r="A559" s="23" t="s">
        <v>1017</v>
      </c>
      <c r="B559" s="22">
        <v>45332</v>
      </c>
      <c r="C559" s="23" t="s">
        <v>515</v>
      </c>
      <c r="D559" s="23" t="s">
        <v>48</v>
      </c>
      <c r="E559" s="23" t="s">
        <v>126</v>
      </c>
      <c r="F559" s="23" t="s">
        <v>2589</v>
      </c>
      <c r="G559" s="23" t="s">
        <v>2586</v>
      </c>
      <c r="H559" s="23" t="s">
        <v>128</v>
      </c>
      <c r="I559" s="23" t="s">
        <v>88</v>
      </c>
      <c r="J559" s="23" t="s">
        <v>183</v>
      </c>
      <c r="K559" s="23" t="s">
        <v>74</v>
      </c>
      <c r="L559" s="23" t="s">
        <v>2682</v>
      </c>
      <c r="M559" s="23" t="s">
        <v>153</v>
      </c>
      <c r="N559" s="23" t="s">
        <v>2578</v>
      </c>
      <c r="O559" s="23">
        <v>7</v>
      </c>
      <c r="P559" s="23">
        <v>93.6</v>
      </c>
      <c r="Q559" s="23">
        <v>50.05</v>
      </c>
      <c r="R559" s="23">
        <v>655.23</v>
      </c>
      <c r="S559" s="23">
        <v>0.05</v>
      </c>
      <c r="T559" s="23">
        <v>32.76</v>
      </c>
      <c r="U559" s="23">
        <v>622.47</v>
      </c>
      <c r="V559" s="23">
        <v>350.35</v>
      </c>
      <c r="W559" s="23">
        <v>272.12</v>
      </c>
      <c r="X559" s="23" t="s">
        <v>45</v>
      </c>
    </row>
    <row r="560" spans="1:24" x14ac:dyDescent="0.25">
      <c r="A560" s="20" t="s">
        <v>1018</v>
      </c>
      <c r="B560" s="19">
        <v>45444</v>
      </c>
      <c r="C560" s="20" t="s">
        <v>34</v>
      </c>
      <c r="D560" s="20" t="s">
        <v>35</v>
      </c>
      <c r="E560" s="20" t="s">
        <v>109</v>
      </c>
      <c r="F560" s="20" t="s">
        <v>110</v>
      </c>
      <c r="G560" s="20" t="s">
        <v>2584</v>
      </c>
      <c r="H560" s="20" t="s">
        <v>81</v>
      </c>
      <c r="I560" s="20" t="s">
        <v>53</v>
      </c>
      <c r="J560" s="20" t="s">
        <v>122</v>
      </c>
      <c r="K560" s="20" t="s">
        <v>83</v>
      </c>
      <c r="L560" s="20" t="s">
        <v>2683</v>
      </c>
      <c r="M560" s="20" t="s">
        <v>43</v>
      </c>
      <c r="N560" s="20" t="s">
        <v>44</v>
      </c>
      <c r="O560" s="20">
        <v>74</v>
      </c>
      <c r="P560" s="20">
        <v>118.2</v>
      </c>
      <c r="Q560" s="20">
        <v>73.540000000000006</v>
      </c>
      <c r="R560" s="20">
        <v>8746.91</v>
      </c>
      <c r="S560" s="20">
        <v>0.02</v>
      </c>
      <c r="T560" s="20">
        <v>174.94</v>
      </c>
      <c r="U560" s="20">
        <v>8571.9699999999993</v>
      </c>
      <c r="V560" s="20">
        <v>5442.32</v>
      </c>
      <c r="W560" s="20">
        <v>3129.65</v>
      </c>
      <c r="X560" s="20" t="s">
        <v>45</v>
      </c>
    </row>
    <row r="561" spans="1:24" x14ac:dyDescent="0.25">
      <c r="A561" s="23" t="s">
        <v>1019</v>
      </c>
      <c r="B561" s="22">
        <v>45472</v>
      </c>
      <c r="C561" s="23" t="s">
        <v>466</v>
      </c>
      <c r="D561" s="23" t="s">
        <v>221</v>
      </c>
      <c r="E561" s="23" t="s">
        <v>222</v>
      </c>
      <c r="F561" s="23" t="s">
        <v>2597</v>
      </c>
      <c r="G561" s="23" t="s">
        <v>2587</v>
      </c>
      <c r="H561" s="23" t="s">
        <v>68</v>
      </c>
      <c r="I561" s="23" t="s">
        <v>58</v>
      </c>
      <c r="J561" s="23" t="s">
        <v>73</v>
      </c>
      <c r="K561" s="23" t="s">
        <v>69</v>
      </c>
      <c r="L561" s="23" t="s">
        <v>2681</v>
      </c>
      <c r="M561" s="23" t="s">
        <v>43</v>
      </c>
      <c r="N561" s="23" t="s">
        <v>70</v>
      </c>
      <c r="O561" s="23">
        <v>51</v>
      </c>
      <c r="P561" s="23">
        <v>113.08</v>
      </c>
      <c r="Q561" s="23">
        <v>82.18</v>
      </c>
      <c r="R561" s="23">
        <v>5766.86</v>
      </c>
      <c r="S561" s="23">
        <v>0.1</v>
      </c>
      <c r="T561" s="23">
        <v>576.69000000000005</v>
      </c>
      <c r="U561" s="23">
        <v>5190.17</v>
      </c>
      <c r="V561" s="23">
        <v>4191.18</v>
      </c>
      <c r="W561" s="23">
        <v>999</v>
      </c>
      <c r="X561" s="23" t="s">
        <v>45</v>
      </c>
    </row>
    <row r="562" spans="1:24" x14ac:dyDescent="0.25">
      <c r="A562" s="20" t="s">
        <v>1020</v>
      </c>
      <c r="B562" s="19">
        <v>45516</v>
      </c>
      <c r="C562" s="20" t="s">
        <v>146</v>
      </c>
      <c r="D562" s="20" t="s">
        <v>105</v>
      </c>
      <c r="E562" s="20" t="s">
        <v>216</v>
      </c>
      <c r="F562" s="20" t="s">
        <v>2596</v>
      </c>
      <c r="G562" s="20" t="s">
        <v>2579</v>
      </c>
      <c r="H562" s="20" t="s">
        <v>134</v>
      </c>
      <c r="I562" s="20" t="s">
        <v>53</v>
      </c>
      <c r="J562" s="20" t="s">
        <v>143</v>
      </c>
      <c r="K562" s="20" t="s">
        <v>118</v>
      </c>
      <c r="L562" s="20" t="s">
        <v>2686</v>
      </c>
      <c r="M562" s="20" t="s">
        <v>43</v>
      </c>
      <c r="N562" s="20" t="s">
        <v>75</v>
      </c>
      <c r="O562" s="20">
        <v>69</v>
      </c>
      <c r="P562" s="20">
        <v>117.18</v>
      </c>
      <c r="Q562" s="20">
        <v>69.77</v>
      </c>
      <c r="R562" s="20">
        <v>8085.75</v>
      </c>
      <c r="S562" s="20">
        <v>0.2</v>
      </c>
      <c r="T562" s="20">
        <v>1617.15</v>
      </c>
      <c r="U562" s="20">
        <v>6468.6</v>
      </c>
      <c r="V562" s="20">
        <v>4814.37</v>
      </c>
      <c r="W562" s="20">
        <v>1654.24</v>
      </c>
      <c r="X562" s="20" t="s">
        <v>45</v>
      </c>
    </row>
    <row r="563" spans="1:24" x14ac:dyDescent="0.25">
      <c r="A563" s="23" t="s">
        <v>1021</v>
      </c>
      <c r="B563" s="22">
        <v>45503</v>
      </c>
      <c r="C563" s="23" t="s">
        <v>92</v>
      </c>
      <c r="D563" s="23" t="s">
        <v>48</v>
      </c>
      <c r="E563" s="23" t="s">
        <v>141</v>
      </c>
      <c r="F563" s="23" t="s">
        <v>2590</v>
      </c>
      <c r="G563" s="23" t="s">
        <v>2577</v>
      </c>
      <c r="H563" s="23" t="s">
        <v>26</v>
      </c>
      <c r="I563" s="23" t="s">
        <v>53</v>
      </c>
      <c r="J563" s="23" t="s">
        <v>232</v>
      </c>
      <c r="K563" s="23" t="s">
        <v>152</v>
      </c>
      <c r="L563" s="23" t="s">
        <v>2688</v>
      </c>
      <c r="M563" s="23" t="s">
        <v>30</v>
      </c>
      <c r="N563" s="23" t="s">
        <v>70</v>
      </c>
      <c r="O563" s="23">
        <v>27</v>
      </c>
      <c r="P563" s="23">
        <v>98.81</v>
      </c>
      <c r="Q563" s="23">
        <v>60.36</v>
      </c>
      <c r="R563" s="23">
        <v>2667.96</v>
      </c>
      <c r="S563" s="23">
        <v>0.1</v>
      </c>
      <c r="T563" s="23">
        <v>266.8</v>
      </c>
      <c r="U563" s="23">
        <v>2401.16</v>
      </c>
      <c r="V563" s="23">
        <v>1629.78</v>
      </c>
      <c r="W563" s="23">
        <v>771.38</v>
      </c>
      <c r="X563" s="23" t="s">
        <v>129</v>
      </c>
    </row>
    <row r="564" spans="1:24" x14ac:dyDescent="0.25">
      <c r="A564" s="20" t="s">
        <v>1022</v>
      </c>
      <c r="B564" s="19">
        <v>45307</v>
      </c>
      <c r="C564" s="20" t="s">
        <v>794</v>
      </c>
      <c r="D564" s="20" t="s">
        <v>65</v>
      </c>
      <c r="E564" s="20" t="s">
        <v>93</v>
      </c>
      <c r="F564" s="20" t="s">
        <v>2585</v>
      </c>
      <c r="G564" s="20" t="s">
        <v>2586</v>
      </c>
      <c r="H564" s="20" t="s">
        <v>96</v>
      </c>
      <c r="I564" s="20" t="s">
        <v>58</v>
      </c>
      <c r="J564" s="20" t="s">
        <v>345</v>
      </c>
      <c r="K564" s="20" t="s">
        <v>248</v>
      </c>
      <c r="L564" s="20" t="s">
        <v>2693</v>
      </c>
      <c r="M564" s="20" t="s">
        <v>61</v>
      </c>
      <c r="N564" s="20" t="s">
        <v>44</v>
      </c>
      <c r="O564" s="20">
        <v>27</v>
      </c>
      <c r="P564" s="20">
        <v>59.22</v>
      </c>
      <c r="Q564" s="20">
        <v>32.53</v>
      </c>
      <c r="R564" s="20">
        <v>1598.81</v>
      </c>
      <c r="S564" s="20">
        <v>0.15</v>
      </c>
      <c r="T564" s="20">
        <v>239.82</v>
      </c>
      <c r="U564" s="20">
        <v>1358.99</v>
      </c>
      <c r="V564" s="20">
        <v>878.31</v>
      </c>
      <c r="W564" s="20">
        <v>480.68</v>
      </c>
      <c r="X564" s="20" t="s">
        <v>45</v>
      </c>
    </row>
    <row r="565" spans="1:24" x14ac:dyDescent="0.25">
      <c r="A565" s="23" t="s">
        <v>1023</v>
      </c>
      <c r="B565" s="22">
        <v>45618</v>
      </c>
      <c r="C565" s="23" t="s">
        <v>371</v>
      </c>
      <c r="D565" s="23" t="s">
        <v>159</v>
      </c>
      <c r="E565" s="23" t="s">
        <v>93</v>
      </c>
      <c r="F565" s="23" t="s">
        <v>2585</v>
      </c>
      <c r="G565" s="23" t="s">
        <v>2586</v>
      </c>
      <c r="H565" s="23" t="s">
        <v>96</v>
      </c>
      <c r="I565" s="23" t="s">
        <v>40</v>
      </c>
      <c r="J565" s="23" t="s">
        <v>82</v>
      </c>
      <c r="K565" s="23" t="s">
        <v>74</v>
      </c>
      <c r="L565" s="23" t="s">
        <v>2682</v>
      </c>
      <c r="M565" s="23" t="s">
        <v>61</v>
      </c>
      <c r="N565" s="23" t="s">
        <v>44</v>
      </c>
      <c r="O565" s="23">
        <v>58</v>
      </c>
      <c r="P565" s="23">
        <v>56.18</v>
      </c>
      <c r="Q565" s="23">
        <v>30.09</v>
      </c>
      <c r="R565" s="23">
        <v>3258.47</v>
      </c>
      <c r="S565" s="23">
        <v>0.2</v>
      </c>
      <c r="T565" s="23">
        <v>651.69000000000005</v>
      </c>
      <c r="U565" s="23">
        <v>2606.77</v>
      </c>
      <c r="V565" s="23">
        <v>1745.02</v>
      </c>
      <c r="W565" s="23">
        <v>861.76</v>
      </c>
      <c r="X565" s="23" t="s">
        <v>45</v>
      </c>
    </row>
    <row r="566" spans="1:24" x14ac:dyDescent="0.25">
      <c r="A566" s="20" t="s">
        <v>1024</v>
      </c>
      <c r="B566" s="19">
        <v>45618</v>
      </c>
      <c r="C566" s="20" t="s">
        <v>1025</v>
      </c>
      <c r="D566" s="20" t="s">
        <v>149</v>
      </c>
      <c r="E566" s="20" t="s">
        <v>114</v>
      </c>
      <c r="F566" s="20" t="s">
        <v>2588</v>
      </c>
      <c r="G566" s="20" t="s">
        <v>2586</v>
      </c>
      <c r="H566" s="20" t="s">
        <v>116</v>
      </c>
      <c r="I566" s="20" t="s">
        <v>58</v>
      </c>
      <c r="J566" s="20" t="s">
        <v>73</v>
      </c>
      <c r="K566" s="20" t="s">
        <v>118</v>
      </c>
      <c r="L566" s="20" t="s">
        <v>2686</v>
      </c>
      <c r="M566" s="20" t="s">
        <v>43</v>
      </c>
      <c r="N566" s="20" t="s">
        <v>84</v>
      </c>
      <c r="O566" s="20">
        <v>72</v>
      </c>
      <c r="P566" s="20">
        <v>35.6</v>
      </c>
      <c r="Q566" s="20">
        <v>20.36</v>
      </c>
      <c r="R566" s="20">
        <v>2563.5100000000002</v>
      </c>
      <c r="S566" s="20">
        <v>0.02</v>
      </c>
      <c r="T566" s="20">
        <v>51.27</v>
      </c>
      <c r="U566" s="20">
        <v>2512.2399999999998</v>
      </c>
      <c r="V566" s="20">
        <v>1465.88</v>
      </c>
      <c r="W566" s="20">
        <v>1046.3499999999999</v>
      </c>
      <c r="X566" s="20" t="s">
        <v>32</v>
      </c>
    </row>
    <row r="567" spans="1:24" x14ac:dyDescent="0.25">
      <c r="A567" s="23" t="s">
        <v>1026</v>
      </c>
      <c r="B567" s="22">
        <v>45648</v>
      </c>
      <c r="C567" s="23" t="s">
        <v>361</v>
      </c>
      <c r="D567" s="23" t="s">
        <v>35</v>
      </c>
      <c r="E567" s="23" t="s">
        <v>66</v>
      </c>
      <c r="F567" s="23" t="s">
        <v>2582</v>
      </c>
      <c r="G567" s="23" t="s">
        <v>2579</v>
      </c>
      <c r="H567" s="23" t="s">
        <v>68</v>
      </c>
      <c r="I567" s="23" t="s">
        <v>53</v>
      </c>
      <c r="J567" s="23" t="s">
        <v>232</v>
      </c>
      <c r="K567" s="23" t="s">
        <v>178</v>
      </c>
      <c r="L567" s="23" t="s">
        <v>2689</v>
      </c>
      <c r="M567" s="23" t="s">
        <v>61</v>
      </c>
      <c r="N567" s="23" t="s">
        <v>44</v>
      </c>
      <c r="O567" s="23">
        <v>78</v>
      </c>
      <c r="P567" s="23">
        <v>152.91999999999999</v>
      </c>
      <c r="Q567" s="23">
        <v>111.71</v>
      </c>
      <c r="R567" s="23">
        <v>11928.08</v>
      </c>
      <c r="S567" s="23">
        <v>0.2</v>
      </c>
      <c r="T567" s="23">
        <v>2385.62</v>
      </c>
      <c r="U567" s="23">
        <v>9542.4599999999991</v>
      </c>
      <c r="V567" s="23">
        <v>8713.23</v>
      </c>
      <c r="W567" s="23">
        <v>829.24</v>
      </c>
      <c r="X567" s="23" t="s">
        <v>45</v>
      </c>
    </row>
    <row r="568" spans="1:24" x14ac:dyDescent="0.25">
      <c r="A568" s="20" t="s">
        <v>1027</v>
      </c>
      <c r="B568" s="19">
        <v>45606</v>
      </c>
      <c r="C568" s="20" t="s">
        <v>1028</v>
      </c>
      <c r="D568" s="20" t="s">
        <v>57</v>
      </c>
      <c r="E568" s="20" t="s">
        <v>250</v>
      </c>
      <c r="F568" s="20" t="s">
        <v>2598</v>
      </c>
      <c r="G568" s="20" t="s">
        <v>2581</v>
      </c>
      <c r="H568" s="20" t="s">
        <v>252</v>
      </c>
      <c r="I568" s="20" t="s">
        <v>88</v>
      </c>
      <c r="J568" s="20" t="s">
        <v>135</v>
      </c>
      <c r="K568" s="20" t="s">
        <v>144</v>
      </c>
      <c r="L568" s="20" t="s">
        <v>2687</v>
      </c>
      <c r="M568" s="20" t="s">
        <v>61</v>
      </c>
      <c r="N568" s="20" t="s">
        <v>44</v>
      </c>
      <c r="O568" s="20">
        <v>66</v>
      </c>
      <c r="P568" s="20">
        <v>66.03</v>
      </c>
      <c r="Q568" s="20">
        <v>38.75</v>
      </c>
      <c r="R568" s="20">
        <v>4357.9799999999996</v>
      </c>
      <c r="S568" s="20">
        <v>0.1</v>
      </c>
      <c r="T568" s="20">
        <v>435.8</v>
      </c>
      <c r="U568" s="20">
        <v>3922.19</v>
      </c>
      <c r="V568" s="20">
        <v>2557.62</v>
      </c>
      <c r="W568" s="20">
        <v>1364.57</v>
      </c>
      <c r="X568" s="20" t="s">
        <v>32</v>
      </c>
    </row>
    <row r="569" spans="1:24" x14ac:dyDescent="0.25">
      <c r="A569" s="23" t="s">
        <v>1029</v>
      </c>
      <c r="B569" s="22">
        <v>45596</v>
      </c>
      <c r="C569" s="23" t="s">
        <v>800</v>
      </c>
      <c r="D569" s="23" t="s">
        <v>1030</v>
      </c>
      <c r="E569" s="23" t="s">
        <v>176</v>
      </c>
      <c r="F569" s="23" t="s">
        <v>2593</v>
      </c>
      <c r="G569" s="23" t="s">
        <v>2587</v>
      </c>
      <c r="H569" s="23" t="s">
        <v>39</v>
      </c>
      <c r="I569" s="23" t="s">
        <v>53</v>
      </c>
      <c r="J569" s="23" t="s">
        <v>54</v>
      </c>
      <c r="K569" s="23" t="s">
        <v>152</v>
      </c>
      <c r="L569" s="23" t="s">
        <v>2688</v>
      </c>
      <c r="M569" s="23" t="s">
        <v>30</v>
      </c>
      <c r="N569" s="23" t="s">
        <v>84</v>
      </c>
      <c r="O569" s="23">
        <v>1</v>
      </c>
      <c r="P569" s="23">
        <v>112.65</v>
      </c>
      <c r="Q569" s="23">
        <v>58.14</v>
      </c>
      <c r="R569" s="23">
        <v>112.65</v>
      </c>
      <c r="S569" s="23">
        <v>0.05</v>
      </c>
      <c r="T569" s="23">
        <v>5.63</v>
      </c>
      <c r="U569" s="23">
        <v>107.02</v>
      </c>
      <c r="V569" s="23">
        <v>58.14</v>
      </c>
      <c r="W569" s="23">
        <v>48.88</v>
      </c>
      <c r="X569" s="23" t="s">
        <v>129</v>
      </c>
    </row>
    <row r="570" spans="1:24" x14ac:dyDescent="0.25">
      <c r="A570" s="20" t="s">
        <v>1031</v>
      </c>
      <c r="B570" s="19">
        <v>45440</v>
      </c>
      <c r="C570" s="20" t="s">
        <v>524</v>
      </c>
      <c r="D570" s="20" t="s">
        <v>125</v>
      </c>
      <c r="E570" s="20" t="s">
        <v>176</v>
      </c>
      <c r="F570" s="20" t="s">
        <v>2593</v>
      </c>
      <c r="G570" s="20" t="s">
        <v>2587</v>
      </c>
      <c r="H570" s="20" t="s">
        <v>39</v>
      </c>
      <c r="I570" s="20" t="s">
        <v>58</v>
      </c>
      <c r="J570" s="20" t="s">
        <v>323</v>
      </c>
      <c r="K570" s="20" t="s">
        <v>144</v>
      </c>
      <c r="L570" s="20" t="s">
        <v>2687</v>
      </c>
      <c r="M570" s="20" t="s">
        <v>61</v>
      </c>
      <c r="N570" s="20" t="s">
        <v>75</v>
      </c>
      <c r="O570" s="20">
        <v>39</v>
      </c>
      <c r="P570" s="20">
        <v>111.62</v>
      </c>
      <c r="Q570" s="20">
        <v>67.5</v>
      </c>
      <c r="R570" s="20">
        <v>4353.21</v>
      </c>
      <c r="S570" s="20">
        <v>0</v>
      </c>
      <c r="T570" s="20">
        <v>0</v>
      </c>
      <c r="U570" s="20">
        <v>4353.21</v>
      </c>
      <c r="V570" s="20">
        <v>2632.51</v>
      </c>
      <c r="W570" s="20">
        <v>1720.7</v>
      </c>
      <c r="X570" s="20" t="s">
        <v>45</v>
      </c>
    </row>
    <row r="571" spans="1:24" x14ac:dyDescent="0.25">
      <c r="A571" s="23" t="s">
        <v>1032</v>
      </c>
      <c r="B571" s="22">
        <v>45394</v>
      </c>
      <c r="C571" s="23" t="s">
        <v>1033</v>
      </c>
      <c r="D571" s="23" t="s">
        <v>105</v>
      </c>
      <c r="E571" s="23" t="s">
        <v>66</v>
      </c>
      <c r="F571" s="23" t="s">
        <v>2582</v>
      </c>
      <c r="G571" s="23" t="s">
        <v>2579</v>
      </c>
      <c r="H571" s="23" t="s">
        <v>68</v>
      </c>
      <c r="I571" s="23" t="s">
        <v>27</v>
      </c>
      <c r="J571" s="23" t="s">
        <v>28</v>
      </c>
      <c r="K571" s="23" t="s">
        <v>265</v>
      </c>
      <c r="L571" s="23" t="s">
        <v>2663</v>
      </c>
      <c r="M571" s="23" t="s">
        <v>43</v>
      </c>
      <c r="N571" s="23" t="s">
        <v>2578</v>
      </c>
      <c r="O571" s="23">
        <v>11</v>
      </c>
      <c r="P571" s="23">
        <v>158.09</v>
      </c>
      <c r="Q571" s="23">
        <v>96.31</v>
      </c>
      <c r="R571" s="23">
        <v>1738.94</v>
      </c>
      <c r="S571" s="23">
        <v>0.02</v>
      </c>
      <c r="T571" s="23">
        <v>34.78</v>
      </c>
      <c r="U571" s="23">
        <v>1704.17</v>
      </c>
      <c r="V571" s="23">
        <v>1059.3599999999999</v>
      </c>
      <c r="W571" s="23">
        <v>644.80999999999995</v>
      </c>
      <c r="X571" s="23" t="s">
        <v>129</v>
      </c>
    </row>
    <row r="572" spans="1:24" x14ac:dyDescent="0.25">
      <c r="A572" s="20" t="s">
        <v>1034</v>
      </c>
      <c r="B572" s="19">
        <v>45568</v>
      </c>
      <c r="C572" s="20" t="s">
        <v>859</v>
      </c>
      <c r="D572" s="20" t="s">
        <v>221</v>
      </c>
      <c r="E572" s="20" t="s">
        <v>36</v>
      </c>
      <c r="F572" s="20" t="s">
        <v>37</v>
      </c>
      <c r="G572" s="20" t="s">
        <v>2579</v>
      </c>
      <c r="H572" s="20" t="s">
        <v>39</v>
      </c>
      <c r="I572" s="20" t="s">
        <v>53</v>
      </c>
      <c r="J572" s="20" t="s">
        <v>232</v>
      </c>
      <c r="K572" s="20" t="s">
        <v>152</v>
      </c>
      <c r="L572" s="20" t="s">
        <v>2688</v>
      </c>
      <c r="M572" s="20" t="s">
        <v>43</v>
      </c>
      <c r="N572" s="20" t="s">
        <v>84</v>
      </c>
      <c r="O572" s="20">
        <v>76</v>
      </c>
      <c r="P572" s="20">
        <v>163.56</v>
      </c>
      <c r="Q572" s="20">
        <v>94.39</v>
      </c>
      <c r="R572" s="20">
        <v>12430.73</v>
      </c>
      <c r="S572" s="20">
        <v>0.05</v>
      </c>
      <c r="T572" s="20">
        <v>621.54</v>
      </c>
      <c r="U572" s="20">
        <v>11809.2</v>
      </c>
      <c r="V572" s="20">
        <v>7173.91</v>
      </c>
      <c r="W572" s="20">
        <v>4635.29</v>
      </c>
      <c r="X572" s="20" t="s">
        <v>32</v>
      </c>
    </row>
    <row r="573" spans="1:24" x14ac:dyDescent="0.25">
      <c r="A573" s="23" t="s">
        <v>1035</v>
      </c>
      <c r="B573" s="22">
        <v>45527</v>
      </c>
      <c r="C573" s="23" t="s">
        <v>1036</v>
      </c>
      <c r="D573" s="23" t="s">
        <v>22</v>
      </c>
      <c r="E573" s="23" t="s">
        <v>114</v>
      </c>
      <c r="F573" s="23" t="s">
        <v>2588</v>
      </c>
      <c r="G573" s="23" t="s">
        <v>2586</v>
      </c>
      <c r="H573" s="23" t="s">
        <v>116</v>
      </c>
      <c r="I573" s="23" t="s">
        <v>27</v>
      </c>
      <c r="J573" s="23" t="s">
        <v>211</v>
      </c>
      <c r="K573" s="23" t="s">
        <v>29</v>
      </c>
      <c r="L573" s="23" t="s">
        <v>2679</v>
      </c>
      <c r="M573" s="23" t="s">
        <v>153</v>
      </c>
      <c r="N573" s="23" t="s">
        <v>2578</v>
      </c>
      <c r="O573" s="23">
        <v>47</v>
      </c>
      <c r="P573" s="23">
        <v>35.99</v>
      </c>
      <c r="Q573" s="23">
        <v>22.1</v>
      </c>
      <c r="R573" s="23">
        <v>1691.54</v>
      </c>
      <c r="S573" s="23">
        <v>0</v>
      </c>
      <c r="T573" s="23">
        <v>0</v>
      </c>
      <c r="U573" s="23">
        <v>1691.54</v>
      </c>
      <c r="V573" s="23">
        <v>1038.8699999999999</v>
      </c>
      <c r="W573" s="23">
        <v>652.66999999999996</v>
      </c>
      <c r="X573" s="23" t="s">
        <v>45</v>
      </c>
    </row>
    <row r="574" spans="1:24" x14ac:dyDescent="0.25">
      <c r="A574" s="20" t="s">
        <v>1037</v>
      </c>
      <c r="B574" s="19">
        <v>45598</v>
      </c>
      <c r="C574" s="20" t="s">
        <v>602</v>
      </c>
      <c r="D574" s="20" t="s">
        <v>159</v>
      </c>
      <c r="E574" s="20" t="s">
        <v>23</v>
      </c>
      <c r="F574" s="20" t="s">
        <v>2576</v>
      </c>
      <c r="G574" s="20" t="s">
        <v>2577</v>
      </c>
      <c r="H574" s="20" t="s">
        <v>26</v>
      </c>
      <c r="I574" s="20" t="s">
        <v>53</v>
      </c>
      <c r="J574" s="20" t="s">
        <v>143</v>
      </c>
      <c r="K574" s="20" t="s">
        <v>178</v>
      </c>
      <c r="L574" s="20" t="s">
        <v>2689</v>
      </c>
      <c r="M574" s="20" t="s">
        <v>153</v>
      </c>
      <c r="N574" s="20" t="s">
        <v>2578</v>
      </c>
      <c r="O574" s="20">
        <v>14</v>
      </c>
      <c r="P574" s="20">
        <v>77.25</v>
      </c>
      <c r="Q574" s="20">
        <v>40.96</v>
      </c>
      <c r="R574" s="20">
        <v>1081.56</v>
      </c>
      <c r="S574" s="20">
        <v>0.2</v>
      </c>
      <c r="T574" s="20">
        <v>216.31</v>
      </c>
      <c r="U574" s="20">
        <v>865.25</v>
      </c>
      <c r="V574" s="20">
        <v>573.41</v>
      </c>
      <c r="W574" s="20">
        <v>291.85000000000002</v>
      </c>
      <c r="X574" s="20" t="s">
        <v>129</v>
      </c>
    </row>
    <row r="575" spans="1:24" x14ac:dyDescent="0.25">
      <c r="A575" s="23" t="s">
        <v>1038</v>
      </c>
      <c r="B575" s="22">
        <v>45648</v>
      </c>
      <c r="C575" s="23" t="s">
        <v>449</v>
      </c>
      <c r="D575" s="23" t="s">
        <v>65</v>
      </c>
      <c r="E575" s="23" t="s">
        <v>49</v>
      </c>
      <c r="F575" s="23" t="s">
        <v>2580</v>
      </c>
      <c r="G575" s="23" t="s">
        <v>2581</v>
      </c>
      <c r="H575" s="23" t="s">
        <v>52</v>
      </c>
      <c r="I575" s="23" t="s">
        <v>58</v>
      </c>
      <c r="J575" s="23" t="s">
        <v>73</v>
      </c>
      <c r="K575" s="23" t="s">
        <v>69</v>
      </c>
      <c r="L575" s="23" t="s">
        <v>2681</v>
      </c>
      <c r="M575" s="23" t="s">
        <v>30</v>
      </c>
      <c r="N575" s="23" t="s">
        <v>2578</v>
      </c>
      <c r="O575" s="23">
        <v>38</v>
      </c>
      <c r="P575" s="23">
        <v>25.92</v>
      </c>
      <c r="Q575" s="23">
        <v>13.29</v>
      </c>
      <c r="R575" s="23">
        <v>984.9</v>
      </c>
      <c r="S575" s="23">
        <f>ROUND(Cleaned_Sales!$T575/Cleaned_Sales!$R575,2)</f>
        <v>0.15</v>
      </c>
      <c r="T575" s="23">
        <v>147.74</v>
      </c>
      <c r="U575" s="23">
        <v>837.17</v>
      </c>
      <c r="V575" s="23">
        <v>504.87</v>
      </c>
      <c r="W575" s="23">
        <v>332.29</v>
      </c>
      <c r="X575" s="23" t="s">
        <v>129</v>
      </c>
    </row>
    <row r="576" spans="1:24" x14ac:dyDescent="0.25">
      <c r="A576" s="20" t="s">
        <v>1039</v>
      </c>
      <c r="B576" s="19">
        <v>45636</v>
      </c>
      <c r="C576" s="20" t="s">
        <v>325</v>
      </c>
      <c r="D576" s="20" t="s">
        <v>35</v>
      </c>
      <c r="E576" s="20" t="s">
        <v>126</v>
      </c>
      <c r="F576" s="20" t="s">
        <v>2589</v>
      </c>
      <c r="G576" s="20" t="s">
        <v>2586</v>
      </c>
      <c r="H576" s="20" t="s">
        <v>128</v>
      </c>
      <c r="I576" s="20" t="s">
        <v>40</v>
      </c>
      <c r="J576" s="20" t="s">
        <v>41</v>
      </c>
      <c r="K576" s="20" t="s">
        <v>265</v>
      </c>
      <c r="L576" s="20" t="s">
        <v>2663</v>
      </c>
      <c r="M576" s="20" t="s">
        <v>61</v>
      </c>
      <c r="N576" s="20" t="s">
        <v>84</v>
      </c>
      <c r="O576" s="20">
        <v>39</v>
      </c>
      <c r="P576" s="20">
        <v>90.29</v>
      </c>
      <c r="Q576" s="20">
        <v>55.31</v>
      </c>
      <c r="R576" s="20">
        <v>3521.4</v>
      </c>
      <c r="S576" s="20">
        <v>0.15</v>
      </c>
      <c r="T576" s="20">
        <v>528.21</v>
      </c>
      <c r="U576" s="20">
        <v>2993.19</v>
      </c>
      <c r="V576" s="20">
        <v>2157.06</v>
      </c>
      <c r="W576" s="20">
        <v>836.13</v>
      </c>
      <c r="X576" s="20" t="s">
        <v>45</v>
      </c>
    </row>
    <row r="577" spans="1:24" x14ac:dyDescent="0.25">
      <c r="A577" s="23" t="s">
        <v>1040</v>
      </c>
      <c r="B577" s="22">
        <v>45452</v>
      </c>
      <c r="C577" s="23" t="s">
        <v>367</v>
      </c>
      <c r="D577" s="23" t="s">
        <v>105</v>
      </c>
      <c r="E577" s="23" t="s">
        <v>23</v>
      </c>
      <c r="F577" s="23" t="s">
        <v>2576</v>
      </c>
      <c r="G577" s="23" t="s">
        <v>2577</v>
      </c>
      <c r="H577" s="23" t="s">
        <v>26</v>
      </c>
      <c r="I577" s="23" t="s">
        <v>40</v>
      </c>
      <c r="J577" s="23" t="s">
        <v>41</v>
      </c>
      <c r="K577" s="23" t="s">
        <v>69</v>
      </c>
      <c r="L577" s="23" t="s">
        <v>2681</v>
      </c>
      <c r="M577" s="23" t="s">
        <v>153</v>
      </c>
      <c r="N577" s="23" t="s">
        <v>84</v>
      </c>
      <c r="O577" s="23">
        <v>42</v>
      </c>
      <c r="P577" s="23">
        <v>72.75</v>
      </c>
      <c r="Q577" s="23">
        <v>42.39</v>
      </c>
      <c r="R577" s="23">
        <v>3055.71</v>
      </c>
      <c r="S577" s="23">
        <v>0.02</v>
      </c>
      <c r="T577" s="23">
        <v>61.11</v>
      </c>
      <c r="U577" s="23">
        <v>2994.59</v>
      </c>
      <c r="V577" s="23">
        <v>1780.32</v>
      </c>
      <c r="W577" s="23">
        <v>1214.27</v>
      </c>
      <c r="X577" s="23" t="s">
        <v>45</v>
      </c>
    </row>
    <row r="578" spans="1:24" x14ac:dyDescent="0.25">
      <c r="A578" s="20" t="s">
        <v>1041</v>
      </c>
      <c r="B578" s="19">
        <v>45638</v>
      </c>
      <c r="C578" s="20" t="s">
        <v>489</v>
      </c>
      <c r="D578" s="20" t="s">
        <v>105</v>
      </c>
      <c r="E578" s="20" t="s">
        <v>209</v>
      </c>
      <c r="F578" s="20" t="s">
        <v>2595</v>
      </c>
      <c r="G578" s="20" t="s">
        <v>2581</v>
      </c>
      <c r="H578" s="20" t="s">
        <v>116</v>
      </c>
      <c r="I578" s="20" t="s">
        <v>53</v>
      </c>
      <c r="J578" s="20" t="s">
        <v>54</v>
      </c>
      <c r="K578" s="20" t="s">
        <v>248</v>
      </c>
      <c r="L578" s="20" t="s">
        <v>2693</v>
      </c>
      <c r="M578" s="20" t="s">
        <v>153</v>
      </c>
      <c r="N578" s="20" t="s">
        <v>44</v>
      </c>
      <c r="O578" s="20">
        <v>70</v>
      </c>
      <c r="P578" s="20">
        <v>17.03</v>
      </c>
      <c r="Q578" s="20">
        <v>10.64</v>
      </c>
      <c r="R578" s="20">
        <v>1191.78</v>
      </c>
      <c r="S578" s="20">
        <v>0.02</v>
      </c>
      <c r="T578" s="20">
        <v>23.84</v>
      </c>
      <c r="U578" s="20">
        <v>1167.95</v>
      </c>
      <c r="V578" s="20">
        <v>744.64</v>
      </c>
      <c r="W578" s="20">
        <v>423.31</v>
      </c>
      <c r="X578" s="20" t="s">
        <v>129</v>
      </c>
    </row>
    <row r="579" spans="1:24" x14ac:dyDescent="0.25">
      <c r="A579" s="23" t="s">
        <v>1043</v>
      </c>
      <c r="B579" s="22">
        <v>45391</v>
      </c>
      <c r="C579" s="23" t="s">
        <v>1044</v>
      </c>
      <c r="D579" s="23" t="s">
        <v>359</v>
      </c>
      <c r="E579" s="23" t="s">
        <v>66</v>
      </c>
      <c r="F579" s="23" t="s">
        <v>2582</v>
      </c>
      <c r="G579" s="23" t="s">
        <v>2579</v>
      </c>
      <c r="H579" s="23" t="s">
        <v>68</v>
      </c>
      <c r="I579" s="23" t="s">
        <v>53</v>
      </c>
      <c r="J579" s="23" t="s">
        <v>232</v>
      </c>
      <c r="K579" s="23" t="s">
        <v>74</v>
      </c>
      <c r="L579" s="23" t="s">
        <v>2682</v>
      </c>
      <c r="M579" s="23" t="s">
        <v>30</v>
      </c>
      <c r="N579" s="23" t="s">
        <v>84</v>
      </c>
      <c r="O579" s="23">
        <v>56</v>
      </c>
      <c r="P579" s="23">
        <v>149.30000000000001</v>
      </c>
      <c r="Q579" s="23">
        <v>111.79</v>
      </c>
      <c r="R579" s="23">
        <v>8361</v>
      </c>
      <c r="S579" s="23">
        <v>0.05</v>
      </c>
      <c r="T579" s="23">
        <v>418.05</v>
      </c>
      <c r="U579" s="23">
        <v>7942.95</v>
      </c>
      <c r="V579" s="23">
        <v>6259.97</v>
      </c>
      <c r="W579" s="23">
        <v>1682.98</v>
      </c>
      <c r="X579" s="23" t="s">
        <v>129</v>
      </c>
    </row>
    <row r="580" spans="1:24" x14ac:dyDescent="0.25">
      <c r="A580" s="20" t="s">
        <v>1045</v>
      </c>
      <c r="B580" s="19">
        <v>45642</v>
      </c>
      <c r="C580" s="20" t="s">
        <v>931</v>
      </c>
      <c r="D580" s="20" t="s">
        <v>105</v>
      </c>
      <c r="E580" s="20" t="s">
        <v>222</v>
      </c>
      <c r="F580" s="20" t="s">
        <v>2597</v>
      </c>
      <c r="G580" s="20" t="s">
        <v>2587</v>
      </c>
      <c r="H580" s="20" t="s">
        <v>68</v>
      </c>
      <c r="I580" s="20" t="s">
        <v>88</v>
      </c>
      <c r="J580" s="20" t="s">
        <v>183</v>
      </c>
      <c r="K580" s="20" t="s">
        <v>152</v>
      </c>
      <c r="L580" s="20" t="s">
        <v>2688</v>
      </c>
      <c r="M580" s="20" t="s">
        <v>30</v>
      </c>
      <c r="N580" s="20" t="s">
        <v>2619</v>
      </c>
      <c r="O580" s="20">
        <v>79</v>
      </c>
      <c r="P580" s="20">
        <v>111.36</v>
      </c>
      <c r="Q580" s="20">
        <v>72.2</v>
      </c>
      <c r="R580" s="20">
        <v>8797.81</v>
      </c>
      <c r="S580" s="20">
        <v>0.15</v>
      </c>
      <c r="T580" s="20">
        <v>1319.67</v>
      </c>
      <c r="U580" s="20">
        <v>7478.14</v>
      </c>
      <c r="V580" s="20">
        <v>5703.46</v>
      </c>
      <c r="W580" s="20">
        <v>1774.68</v>
      </c>
      <c r="X580" s="20" t="s">
        <v>45</v>
      </c>
    </row>
    <row r="581" spans="1:24" x14ac:dyDescent="0.25">
      <c r="A581" s="23" t="s">
        <v>1046</v>
      </c>
      <c r="B581" s="22">
        <v>45364</v>
      </c>
      <c r="C581" s="23" t="s">
        <v>1047</v>
      </c>
      <c r="D581" s="23" t="s">
        <v>156</v>
      </c>
      <c r="E581" s="23" t="s">
        <v>165</v>
      </c>
      <c r="F581" s="23" t="s">
        <v>2592</v>
      </c>
      <c r="G581" s="23" t="s">
        <v>2586</v>
      </c>
      <c r="H581" s="23" t="s">
        <v>167</v>
      </c>
      <c r="I581" s="23" t="s">
        <v>53</v>
      </c>
      <c r="J581" s="23" t="s">
        <v>54</v>
      </c>
      <c r="K581" s="23" t="s">
        <v>253</v>
      </c>
      <c r="L581" s="23" t="s">
        <v>2694</v>
      </c>
      <c r="M581" s="23" t="s">
        <v>43</v>
      </c>
      <c r="N581" s="23" t="s">
        <v>2578</v>
      </c>
      <c r="O581" s="23">
        <v>41</v>
      </c>
      <c r="P581" s="23">
        <v>44.83</v>
      </c>
      <c r="Q581" s="23">
        <v>25.78</v>
      </c>
      <c r="R581" s="23">
        <v>1837.99</v>
      </c>
      <c r="S581" s="23">
        <v>0.2</v>
      </c>
      <c r="T581" s="23">
        <v>367.6</v>
      </c>
      <c r="U581" s="23">
        <v>1470.39</v>
      </c>
      <c r="V581" s="23">
        <v>1056.9100000000001</v>
      </c>
      <c r="W581" s="23">
        <v>413.48</v>
      </c>
      <c r="X581" s="23" t="s">
        <v>129</v>
      </c>
    </row>
    <row r="582" spans="1:24" x14ac:dyDescent="0.25">
      <c r="A582" s="20" t="s">
        <v>1048</v>
      </c>
      <c r="B582" s="19">
        <v>45350</v>
      </c>
      <c r="C582" s="20" t="s">
        <v>295</v>
      </c>
      <c r="D582" s="20" t="s">
        <v>22</v>
      </c>
      <c r="E582" s="20" t="s">
        <v>176</v>
      </c>
      <c r="F582" s="20" t="s">
        <v>2593</v>
      </c>
      <c r="G582" s="20" t="s">
        <v>2587</v>
      </c>
      <c r="H582" s="20" t="s">
        <v>39</v>
      </c>
      <c r="I582" s="20" t="s">
        <v>58</v>
      </c>
      <c r="J582" s="20" t="s">
        <v>59</v>
      </c>
      <c r="K582" s="20" t="s">
        <v>195</v>
      </c>
      <c r="L582" s="20" t="s">
        <v>2691</v>
      </c>
      <c r="M582" s="20" t="s">
        <v>30</v>
      </c>
      <c r="N582" s="20" t="s">
        <v>44</v>
      </c>
      <c r="O582" s="20">
        <v>60</v>
      </c>
      <c r="P582" s="20">
        <v>108.56</v>
      </c>
      <c r="Q582" s="20">
        <v>60.35</v>
      </c>
      <c r="R582" s="20">
        <v>6513.88</v>
      </c>
      <c r="S582" s="20">
        <v>0</v>
      </c>
      <c r="T582" s="20">
        <v>0</v>
      </c>
      <c r="U582" s="20">
        <v>6513.88</v>
      </c>
      <c r="V582" s="20">
        <v>3621.09</v>
      </c>
      <c r="W582" s="20">
        <v>2892.79</v>
      </c>
      <c r="X582" s="20" t="s">
        <v>45</v>
      </c>
    </row>
    <row r="583" spans="1:24" x14ac:dyDescent="0.25">
      <c r="A583" s="23" t="s">
        <v>1049</v>
      </c>
      <c r="B583" s="22">
        <v>45335</v>
      </c>
      <c r="C583" s="23" t="s">
        <v>565</v>
      </c>
      <c r="D583" s="23" t="s">
        <v>121</v>
      </c>
      <c r="E583" s="23" t="s">
        <v>109</v>
      </c>
      <c r="F583" s="23" t="s">
        <v>110</v>
      </c>
      <c r="G583" s="23" t="s">
        <v>2584</v>
      </c>
      <c r="H583" s="23" t="s">
        <v>81</v>
      </c>
      <c r="I583" s="23" t="s">
        <v>88</v>
      </c>
      <c r="J583" s="23" t="s">
        <v>183</v>
      </c>
      <c r="K583" s="23" t="s">
        <v>111</v>
      </c>
      <c r="L583" s="23" t="s">
        <v>2685</v>
      </c>
      <c r="M583" s="23" t="s">
        <v>43</v>
      </c>
      <c r="N583" s="23" t="s">
        <v>70</v>
      </c>
      <c r="O583" s="23">
        <v>10</v>
      </c>
      <c r="P583" s="23">
        <v>134.76</v>
      </c>
      <c r="Q583" s="23">
        <v>73.459999999999994</v>
      </c>
      <c r="R583" s="23">
        <v>1347.61</v>
      </c>
      <c r="S583" s="23">
        <v>0</v>
      </c>
      <c r="T583" s="23">
        <v>0</v>
      </c>
      <c r="U583" s="23">
        <v>1347.61</v>
      </c>
      <c r="V583" s="23">
        <v>734.55</v>
      </c>
      <c r="W583" s="23">
        <v>613.04999999999995</v>
      </c>
      <c r="X583" s="23" t="s">
        <v>129</v>
      </c>
    </row>
    <row r="584" spans="1:24" x14ac:dyDescent="0.25">
      <c r="A584" s="20" t="s">
        <v>1050</v>
      </c>
      <c r="B584" s="19">
        <v>45385</v>
      </c>
      <c r="C584" s="20" t="s">
        <v>878</v>
      </c>
      <c r="D584" s="20" t="s">
        <v>65</v>
      </c>
      <c r="E584" s="20" t="s">
        <v>49</v>
      </c>
      <c r="F584" s="20" t="s">
        <v>2580</v>
      </c>
      <c r="G584" s="20" t="s">
        <v>2581</v>
      </c>
      <c r="H584" s="20" t="s">
        <v>52</v>
      </c>
      <c r="I584" s="20" t="s">
        <v>88</v>
      </c>
      <c r="J584" s="20" t="s">
        <v>173</v>
      </c>
      <c r="K584" s="20" t="s">
        <v>248</v>
      </c>
      <c r="L584" s="20" t="s">
        <v>2693</v>
      </c>
      <c r="M584" s="20" t="s">
        <v>30</v>
      </c>
      <c r="N584" s="20" t="s">
        <v>84</v>
      </c>
      <c r="O584" s="20">
        <v>18</v>
      </c>
      <c r="P584" s="20">
        <v>24.44</v>
      </c>
      <c r="Q584" s="20">
        <v>12.15</v>
      </c>
      <c r="R584" s="20">
        <v>439.99</v>
      </c>
      <c r="S584" s="20">
        <v>0.05</v>
      </c>
      <c r="T584" s="20">
        <v>22</v>
      </c>
      <c r="U584" s="20">
        <v>417.99</v>
      </c>
      <c r="V584" s="20">
        <v>218.71</v>
      </c>
      <c r="W584" s="20">
        <v>199.28</v>
      </c>
      <c r="X584" s="20" t="s">
        <v>129</v>
      </c>
    </row>
    <row r="585" spans="1:24" x14ac:dyDescent="0.25">
      <c r="A585" s="23" t="s">
        <v>1051</v>
      </c>
      <c r="B585" s="22">
        <v>45346</v>
      </c>
      <c r="C585" s="23" t="s">
        <v>86</v>
      </c>
      <c r="D585" s="23" t="s">
        <v>87</v>
      </c>
      <c r="E585" s="23" t="s">
        <v>93</v>
      </c>
      <c r="F585" s="23" t="s">
        <v>2585</v>
      </c>
      <c r="G585" s="23" t="s">
        <v>2586</v>
      </c>
      <c r="H585" s="23" t="s">
        <v>96</v>
      </c>
      <c r="I585" s="23" t="s">
        <v>40</v>
      </c>
      <c r="J585" s="23" t="s">
        <v>117</v>
      </c>
      <c r="K585" s="23" t="s">
        <v>74</v>
      </c>
      <c r="L585" s="23" t="s">
        <v>2682</v>
      </c>
      <c r="M585" s="23" t="s">
        <v>153</v>
      </c>
      <c r="N585" s="23" t="s">
        <v>75</v>
      </c>
      <c r="O585" s="23">
        <v>78</v>
      </c>
      <c r="P585" s="23">
        <v>54.61</v>
      </c>
      <c r="Q585" s="23">
        <v>31.33</v>
      </c>
      <c r="R585" s="23">
        <v>4259.96</v>
      </c>
      <c r="S585" s="23">
        <v>0.02</v>
      </c>
      <c r="T585" s="23">
        <v>85.2</v>
      </c>
      <c r="U585" s="23">
        <v>4174.76</v>
      </c>
      <c r="V585" s="23">
        <v>2443.71</v>
      </c>
      <c r="W585" s="23">
        <v>1731.06</v>
      </c>
      <c r="X585" s="23" t="s">
        <v>45</v>
      </c>
    </row>
    <row r="586" spans="1:24" x14ac:dyDescent="0.25">
      <c r="A586" s="20" t="s">
        <v>1052</v>
      </c>
      <c r="B586" s="19">
        <v>45509</v>
      </c>
      <c r="C586" s="20" t="s">
        <v>567</v>
      </c>
      <c r="D586" s="20" t="s">
        <v>22</v>
      </c>
      <c r="E586" s="20" t="s">
        <v>250</v>
      </c>
      <c r="F586" s="20" t="s">
        <v>2598</v>
      </c>
      <c r="G586" s="20" t="s">
        <v>2581</v>
      </c>
      <c r="H586" s="20" t="s">
        <v>252</v>
      </c>
      <c r="I586" s="20" t="s">
        <v>88</v>
      </c>
      <c r="J586" s="20" t="s">
        <v>173</v>
      </c>
      <c r="K586" s="20" t="s">
        <v>261</v>
      </c>
      <c r="L586" s="20" t="s">
        <v>2695</v>
      </c>
      <c r="M586" s="20" t="s">
        <v>30</v>
      </c>
      <c r="N586" s="20" t="s">
        <v>2578</v>
      </c>
      <c r="O586" s="20">
        <v>17</v>
      </c>
      <c r="P586" s="20">
        <v>61.49</v>
      </c>
      <c r="Q586" s="20">
        <v>38.58</v>
      </c>
      <c r="R586" s="20">
        <v>1045.3800000000001</v>
      </c>
      <c r="S586" s="20">
        <v>0.02</v>
      </c>
      <c r="T586" s="20">
        <v>20.91</v>
      </c>
      <c r="U586" s="20">
        <v>1024.47</v>
      </c>
      <c r="V586" s="20">
        <v>655.84</v>
      </c>
      <c r="W586" s="20">
        <v>368.63</v>
      </c>
      <c r="X586" s="20" t="s">
        <v>45</v>
      </c>
    </row>
    <row r="587" spans="1:24" x14ac:dyDescent="0.25">
      <c r="A587" s="23" t="s">
        <v>1053</v>
      </c>
      <c r="B587" s="22">
        <v>45417</v>
      </c>
      <c r="C587" s="23" t="s">
        <v>131</v>
      </c>
      <c r="D587" s="23" t="s">
        <v>65</v>
      </c>
      <c r="E587" s="23" t="s">
        <v>126</v>
      </c>
      <c r="F587" s="23" t="s">
        <v>2589</v>
      </c>
      <c r="G587" s="23" t="s">
        <v>2586</v>
      </c>
      <c r="H587" s="23" t="s">
        <v>128</v>
      </c>
      <c r="I587" s="23" t="s">
        <v>53</v>
      </c>
      <c r="J587" s="23" t="s">
        <v>143</v>
      </c>
      <c r="K587" s="23" t="s">
        <v>74</v>
      </c>
      <c r="L587" s="23" t="s">
        <v>2682</v>
      </c>
      <c r="M587" s="23" t="s">
        <v>61</v>
      </c>
      <c r="N587" s="23" t="s">
        <v>70</v>
      </c>
      <c r="O587" s="23">
        <v>61</v>
      </c>
      <c r="P587" s="23">
        <v>93.41</v>
      </c>
      <c r="Q587" s="23">
        <v>56.08</v>
      </c>
      <c r="R587" s="23">
        <v>5698.07</v>
      </c>
      <c r="S587" s="23">
        <v>0.05</v>
      </c>
      <c r="T587" s="23">
        <v>284.89999999999998</v>
      </c>
      <c r="U587" s="23">
        <v>5413.17</v>
      </c>
      <c r="V587" s="23">
        <v>3420.67</v>
      </c>
      <c r="W587" s="23">
        <v>1992.5</v>
      </c>
      <c r="X587" s="23" t="s">
        <v>45</v>
      </c>
    </row>
    <row r="588" spans="1:24" x14ac:dyDescent="0.25">
      <c r="A588" s="20" t="s">
        <v>1054</v>
      </c>
      <c r="B588" s="19">
        <v>45493</v>
      </c>
      <c r="C588" s="20" t="s">
        <v>933</v>
      </c>
      <c r="D588" s="20" t="s">
        <v>159</v>
      </c>
      <c r="E588" s="20" t="s">
        <v>150</v>
      </c>
      <c r="F588" s="20" t="s">
        <v>2591</v>
      </c>
      <c r="G588" s="20" t="s">
        <v>2587</v>
      </c>
      <c r="H588" s="20" t="s">
        <v>134</v>
      </c>
      <c r="I588" s="20" t="s">
        <v>40</v>
      </c>
      <c r="J588" s="20" t="s">
        <v>117</v>
      </c>
      <c r="K588" s="20" t="s">
        <v>261</v>
      </c>
      <c r="L588" s="20" t="s">
        <v>2695</v>
      </c>
      <c r="M588" s="20" t="s">
        <v>153</v>
      </c>
      <c r="N588" s="20" t="s">
        <v>70</v>
      </c>
      <c r="O588" s="20">
        <v>6</v>
      </c>
      <c r="P588" s="20">
        <v>79.69</v>
      </c>
      <c r="Q588" s="20">
        <v>51.39</v>
      </c>
      <c r="R588" s="20">
        <v>478.15</v>
      </c>
      <c r="S588" s="20">
        <v>0.02</v>
      </c>
      <c r="T588" s="20">
        <v>9.56</v>
      </c>
      <c r="U588" s="20">
        <v>468.59</v>
      </c>
      <c r="V588" s="20">
        <v>308.35000000000002</v>
      </c>
      <c r="W588" s="20">
        <v>160.24</v>
      </c>
      <c r="X588" s="20" t="s">
        <v>129</v>
      </c>
    </row>
    <row r="589" spans="1:24" x14ac:dyDescent="0.25">
      <c r="A589" s="23" t="s">
        <v>1055</v>
      </c>
      <c r="B589" s="22">
        <v>45601</v>
      </c>
      <c r="C589" s="23" t="s">
        <v>2619</v>
      </c>
      <c r="D589" s="23" t="s">
        <v>2619</v>
      </c>
      <c r="E589" s="23" t="s">
        <v>66</v>
      </c>
      <c r="F589" s="23" t="s">
        <v>2582</v>
      </c>
      <c r="G589" s="23" t="s">
        <v>2579</v>
      </c>
      <c r="H589" s="23" t="s">
        <v>68</v>
      </c>
      <c r="I589" s="23" t="s">
        <v>88</v>
      </c>
      <c r="J589" s="23" t="s">
        <v>135</v>
      </c>
      <c r="K589" s="23" t="s">
        <v>144</v>
      </c>
      <c r="L589" s="23" t="s">
        <v>2687</v>
      </c>
      <c r="M589" s="23" t="s">
        <v>61</v>
      </c>
      <c r="N589" s="23" t="s">
        <v>2578</v>
      </c>
      <c r="O589" s="23">
        <v>75</v>
      </c>
      <c r="P589" s="23">
        <v>155.24</v>
      </c>
      <c r="Q589" s="23">
        <v>104.63</v>
      </c>
      <c r="R589" s="23">
        <v>11642.64</v>
      </c>
      <c r="S589" s="23">
        <v>0.1</v>
      </c>
      <c r="T589" s="23">
        <v>1164.26</v>
      </c>
      <c r="U589" s="23">
        <v>10478.379999999999</v>
      </c>
      <c r="V589" s="23">
        <v>7847.45</v>
      </c>
      <c r="W589" s="23">
        <v>2630.92</v>
      </c>
      <c r="X589" s="23" t="s">
        <v>45</v>
      </c>
    </row>
    <row r="590" spans="1:24" x14ac:dyDescent="0.25">
      <c r="A590" s="20" t="s">
        <v>1056</v>
      </c>
      <c r="B590" s="19">
        <v>45562</v>
      </c>
      <c r="C590" s="20" t="s">
        <v>461</v>
      </c>
      <c r="D590" s="20" t="s">
        <v>87</v>
      </c>
      <c r="E590" s="20" t="s">
        <v>99</v>
      </c>
      <c r="F590" s="20" t="s">
        <v>100</v>
      </c>
      <c r="G590" s="20" t="s">
        <v>2587</v>
      </c>
      <c r="H590" s="20" t="s">
        <v>102</v>
      </c>
      <c r="I590" s="20" t="s">
        <v>58</v>
      </c>
      <c r="J590" s="20" t="s">
        <v>73</v>
      </c>
      <c r="K590" s="20" t="s">
        <v>42</v>
      </c>
      <c r="L590" s="20" t="s">
        <v>2680</v>
      </c>
      <c r="M590" s="20" t="s">
        <v>153</v>
      </c>
      <c r="N590" s="20" t="s">
        <v>70</v>
      </c>
      <c r="O590" s="20">
        <v>56</v>
      </c>
      <c r="P590" s="20">
        <v>66.77</v>
      </c>
      <c r="Q590" s="20">
        <v>42.03</v>
      </c>
      <c r="R590" s="20">
        <v>3739.36</v>
      </c>
      <c r="S590" s="20">
        <v>0</v>
      </c>
      <c r="T590" s="20">
        <v>0</v>
      </c>
      <c r="U590" s="20">
        <v>3739.36</v>
      </c>
      <c r="V590" s="20">
        <v>2353.81</v>
      </c>
      <c r="W590" s="20">
        <v>1385.56</v>
      </c>
      <c r="X590" s="20" t="s">
        <v>32</v>
      </c>
    </row>
    <row r="591" spans="1:24" x14ac:dyDescent="0.25">
      <c r="A591" s="23" t="s">
        <v>1057</v>
      </c>
      <c r="B591" s="22">
        <v>45364</v>
      </c>
      <c r="C591" s="23" t="s">
        <v>477</v>
      </c>
      <c r="D591" s="23" t="s">
        <v>221</v>
      </c>
      <c r="E591" s="23" t="s">
        <v>126</v>
      </c>
      <c r="F591" s="23" t="s">
        <v>2589</v>
      </c>
      <c r="G591" s="23" t="s">
        <v>2586</v>
      </c>
      <c r="H591" s="23" t="s">
        <v>128</v>
      </c>
      <c r="I591" s="23" t="s">
        <v>53</v>
      </c>
      <c r="J591" s="23" t="s">
        <v>232</v>
      </c>
      <c r="K591" s="23" t="s">
        <v>60</v>
      </c>
      <c r="L591" s="23" t="s">
        <v>2677</v>
      </c>
      <c r="M591" s="23" t="s">
        <v>153</v>
      </c>
      <c r="N591" s="23" t="s">
        <v>2578</v>
      </c>
      <c r="O591" s="23">
        <v>50</v>
      </c>
      <c r="P591" s="23">
        <v>88.89</v>
      </c>
      <c r="Q591" s="23">
        <v>51.33</v>
      </c>
      <c r="R591" s="23">
        <v>4444.29</v>
      </c>
      <c r="S591" s="23">
        <v>0.1</v>
      </c>
      <c r="T591" s="23">
        <v>444.43</v>
      </c>
      <c r="U591" s="23">
        <v>3999.86</v>
      </c>
      <c r="V591" s="23">
        <v>2566.44</v>
      </c>
      <c r="W591" s="23">
        <v>1433.42</v>
      </c>
      <c r="X591" s="23" t="s">
        <v>129</v>
      </c>
    </row>
    <row r="592" spans="1:24" x14ac:dyDescent="0.25">
      <c r="A592" s="20" t="s">
        <v>1058</v>
      </c>
      <c r="B592" s="19">
        <v>45510</v>
      </c>
      <c r="C592" s="20" t="s">
        <v>631</v>
      </c>
      <c r="D592" s="20" t="s">
        <v>105</v>
      </c>
      <c r="E592" s="20" t="s">
        <v>222</v>
      </c>
      <c r="F592" s="20" t="s">
        <v>2597</v>
      </c>
      <c r="G592" s="20" t="s">
        <v>2587</v>
      </c>
      <c r="H592" s="20" t="s">
        <v>68</v>
      </c>
      <c r="I592" s="20" t="s">
        <v>53</v>
      </c>
      <c r="J592" s="20" t="s">
        <v>54</v>
      </c>
      <c r="K592" s="20" t="s">
        <v>265</v>
      </c>
      <c r="L592" s="20" t="s">
        <v>2663</v>
      </c>
      <c r="M592" s="20" t="s">
        <v>153</v>
      </c>
      <c r="N592" s="20" t="s">
        <v>70</v>
      </c>
      <c r="O592" s="20">
        <v>42</v>
      </c>
      <c r="P592" s="20">
        <v>127.08</v>
      </c>
      <c r="Q592" s="20">
        <v>81.45</v>
      </c>
      <c r="R592" s="20">
        <v>5337.26</v>
      </c>
      <c r="S592" s="20">
        <v>0.05</v>
      </c>
      <c r="T592" s="20">
        <v>266.86</v>
      </c>
      <c r="U592" s="20">
        <v>5070.3900000000003</v>
      </c>
      <c r="V592" s="20">
        <v>3420.98</v>
      </c>
      <c r="W592" s="20">
        <v>1649.41</v>
      </c>
      <c r="X592" s="20" t="s">
        <v>45</v>
      </c>
    </row>
    <row r="593" spans="1:24" x14ac:dyDescent="0.25">
      <c r="A593" s="23" t="s">
        <v>1059</v>
      </c>
      <c r="B593" s="22">
        <v>45383</v>
      </c>
      <c r="C593" s="23" t="s">
        <v>623</v>
      </c>
      <c r="D593" s="23" t="s">
        <v>156</v>
      </c>
      <c r="E593" s="23" t="s">
        <v>23</v>
      </c>
      <c r="F593" s="23" t="s">
        <v>2576</v>
      </c>
      <c r="G593" s="23" t="s">
        <v>2577</v>
      </c>
      <c r="H593" s="23" t="s">
        <v>26</v>
      </c>
      <c r="I593" s="23" t="s">
        <v>88</v>
      </c>
      <c r="J593" s="23" t="s">
        <v>183</v>
      </c>
      <c r="K593" s="23" t="s">
        <v>60</v>
      </c>
      <c r="L593" s="23" t="s">
        <v>2677</v>
      </c>
      <c r="M593" s="23" t="s">
        <v>153</v>
      </c>
      <c r="N593" s="23" t="s">
        <v>70</v>
      </c>
      <c r="O593" s="23">
        <v>39</v>
      </c>
      <c r="P593" s="23">
        <v>72.42</v>
      </c>
      <c r="Q593" s="23">
        <v>40.74</v>
      </c>
      <c r="R593" s="23">
        <v>2824.31</v>
      </c>
      <c r="S593" s="23">
        <v>0</v>
      </c>
      <c r="T593" s="23">
        <v>0</v>
      </c>
      <c r="U593" s="23">
        <v>2824.31</v>
      </c>
      <c r="V593" s="23">
        <v>1588.85</v>
      </c>
      <c r="W593" s="23">
        <v>1235.46</v>
      </c>
      <c r="X593" s="23" t="s">
        <v>45</v>
      </c>
    </row>
    <row r="594" spans="1:24" x14ac:dyDescent="0.25">
      <c r="A594" s="20" t="s">
        <v>1060</v>
      </c>
      <c r="B594" s="19">
        <v>45563</v>
      </c>
      <c r="C594" s="20" t="s">
        <v>679</v>
      </c>
      <c r="D594" s="20" t="s">
        <v>105</v>
      </c>
      <c r="E594" s="20" t="s">
        <v>93</v>
      </c>
      <c r="F594" s="20" t="s">
        <v>2585</v>
      </c>
      <c r="G594" s="20" t="s">
        <v>2586</v>
      </c>
      <c r="H594" s="20" t="s">
        <v>96</v>
      </c>
      <c r="I594" s="20" t="s">
        <v>88</v>
      </c>
      <c r="J594" s="20" t="s">
        <v>183</v>
      </c>
      <c r="K594" s="20" t="s">
        <v>261</v>
      </c>
      <c r="L594" s="20" t="s">
        <v>2695</v>
      </c>
      <c r="M594" s="20" t="s">
        <v>61</v>
      </c>
      <c r="N594" s="20" t="s">
        <v>70</v>
      </c>
      <c r="O594" s="20">
        <v>14</v>
      </c>
      <c r="P594" s="20">
        <v>53.83</v>
      </c>
      <c r="Q594" s="20">
        <v>29.89</v>
      </c>
      <c r="R594" s="20">
        <v>753.66</v>
      </c>
      <c r="S594" s="20">
        <v>0.05</v>
      </c>
      <c r="T594" s="20">
        <v>37.68</v>
      </c>
      <c r="U594" s="20">
        <v>715.98</v>
      </c>
      <c r="V594" s="20">
        <v>418.4</v>
      </c>
      <c r="W594" s="20">
        <v>297.58</v>
      </c>
      <c r="X594" s="20" t="s">
        <v>45</v>
      </c>
    </row>
    <row r="595" spans="1:24" x14ac:dyDescent="0.25">
      <c r="A595" s="23" t="s">
        <v>1061</v>
      </c>
      <c r="B595" s="22">
        <v>45622</v>
      </c>
      <c r="C595" s="23" t="s">
        <v>422</v>
      </c>
      <c r="D595" s="23" t="s">
        <v>48</v>
      </c>
      <c r="E595" s="23" t="s">
        <v>216</v>
      </c>
      <c r="F595" s="23" t="s">
        <v>2596</v>
      </c>
      <c r="G595" s="23" t="s">
        <v>2579</v>
      </c>
      <c r="H595" s="23" t="s">
        <v>134</v>
      </c>
      <c r="I595" s="23" t="s">
        <v>53</v>
      </c>
      <c r="J595" s="23" t="s">
        <v>54</v>
      </c>
      <c r="K595" s="23" t="s">
        <v>74</v>
      </c>
      <c r="L595" s="23" t="s">
        <v>2682</v>
      </c>
      <c r="M595" s="23" t="s">
        <v>153</v>
      </c>
      <c r="N595" s="23" t="s">
        <v>70</v>
      </c>
      <c r="O595" s="23">
        <v>37</v>
      </c>
      <c r="P595" s="23">
        <v>111.56</v>
      </c>
      <c r="Q595" s="23">
        <v>65.66</v>
      </c>
      <c r="R595" s="23">
        <v>4127.78</v>
      </c>
      <c r="S595" s="23">
        <v>0.02</v>
      </c>
      <c r="T595" s="23">
        <v>82.56</v>
      </c>
      <c r="U595" s="23">
        <v>4045.23</v>
      </c>
      <c r="V595" s="23">
        <v>2429.5500000000002</v>
      </c>
      <c r="W595" s="23">
        <v>1615.68</v>
      </c>
      <c r="X595" s="23" t="s">
        <v>32</v>
      </c>
    </row>
    <row r="596" spans="1:24" x14ac:dyDescent="0.25">
      <c r="A596" s="20" t="s">
        <v>1062</v>
      </c>
      <c r="B596" s="19">
        <v>45608</v>
      </c>
      <c r="C596" s="20" t="s">
        <v>363</v>
      </c>
      <c r="D596" s="20" t="s">
        <v>87</v>
      </c>
      <c r="E596" s="20" t="s">
        <v>216</v>
      </c>
      <c r="F596" s="20" t="s">
        <v>2596</v>
      </c>
      <c r="G596" s="20" t="s">
        <v>2579</v>
      </c>
      <c r="H596" s="20" t="s">
        <v>134</v>
      </c>
      <c r="I596" s="20" t="s">
        <v>58</v>
      </c>
      <c r="J596" s="20" t="s">
        <v>59</v>
      </c>
      <c r="K596" s="20" t="s">
        <v>144</v>
      </c>
      <c r="L596" s="20" t="s">
        <v>2687</v>
      </c>
      <c r="M596" s="20" t="s">
        <v>61</v>
      </c>
      <c r="N596" s="20" t="s">
        <v>44</v>
      </c>
      <c r="O596" s="20">
        <v>54</v>
      </c>
      <c r="P596" s="20">
        <v>101.46</v>
      </c>
      <c r="Q596" s="20">
        <v>65.7</v>
      </c>
      <c r="R596" s="20">
        <v>5478.76</v>
      </c>
      <c r="S596" s="20">
        <v>0.02</v>
      </c>
      <c r="T596" s="20">
        <v>109.58</v>
      </c>
      <c r="U596" s="20">
        <v>5369.19</v>
      </c>
      <c r="V596" s="20">
        <v>3548.01</v>
      </c>
      <c r="W596" s="20">
        <v>1821.18</v>
      </c>
      <c r="X596" s="20" t="s">
        <v>45</v>
      </c>
    </row>
    <row r="597" spans="1:24" x14ac:dyDescent="0.25">
      <c r="A597" s="23" t="s">
        <v>1063</v>
      </c>
      <c r="B597" s="22">
        <v>45475</v>
      </c>
      <c r="C597" s="23" t="s">
        <v>92</v>
      </c>
      <c r="D597" s="23" t="s">
        <v>48</v>
      </c>
      <c r="E597" s="23" t="s">
        <v>250</v>
      </c>
      <c r="F597" s="23" t="s">
        <v>2598</v>
      </c>
      <c r="G597" s="23" t="s">
        <v>2581</v>
      </c>
      <c r="H597" s="23" t="s">
        <v>252</v>
      </c>
      <c r="I597" s="23" t="s">
        <v>58</v>
      </c>
      <c r="J597" s="23" t="s">
        <v>345</v>
      </c>
      <c r="K597" s="23" t="s">
        <v>74</v>
      </c>
      <c r="L597" s="23" t="s">
        <v>2682</v>
      </c>
      <c r="M597" s="23" t="s">
        <v>43</v>
      </c>
      <c r="N597" s="23" t="s">
        <v>84</v>
      </c>
      <c r="O597" s="23">
        <v>11</v>
      </c>
      <c r="P597" s="23">
        <v>67</v>
      </c>
      <c r="Q597" s="23">
        <v>35.340000000000003</v>
      </c>
      <c r="R597" s="23">
        <v>736.98</v>
      </c>
      <c r="S597" s="23">
        <v>0.05</v>
      </c>
      <c r="T597" s="23">
        <v>36.85</v>
      </c>
      <c r="U597" s="23">
        <v>700.13</v>
      </c>
      <c r="V597" s="23">
        <v>388.73</v>
      </c>
      <c r="W597" s="23">
        <v>311.41000000000003</v>
      </c>
      <c r="X597" s="23" t="s">
        <v>45</v>
      </c>
    </row>
    <row r="598" spans="1:24" x14ac:dyDescent="0.25">
      <c r="A598" s="20" t="s">
        <v>1064</v>
      </c>
      <c r="B598" s="19">
        <v>45495</v>
      </c>
      <c r="C598" s="20" t="s">
        <v>64</v>
      </c>
      <c r="D598" s="20" t="s">
        <v>65</v>
      </c>
      <c r="E598" s="20" t="s">
        <v>187</v>
      </c>
      <c r="F598" s="20" t="s">
        <v>2594</v>
      </c>
      <c r="G598" s="20" t="s">
        <v>2577</v>
      </c>
      <c r="H598" s="20" t="s">
        <v>26</v>
      </c>
      <c r="I598" s="20" t="s">
        <v>40</v>
      </c>
      <c r="J598" s="20" t="s">
        <v>117</v>
      </c>
      <c r="K598" s="20" t="s">
        <v>118</v>
      </c>
      <c r="L598" s="20" t="s">
        <v>2686</v>
      </c>
      <c r="M598" s="20" t="s">
        <v>61</v>
      </c>
      <c r="N598" s="20" t="s">
        <v>84</v>
      </c>
      <c r="O598" s="20">
        <v>13</v>
      </c>
      <c r="P598" s="20">
        <v>46.04</v>
      </c>
      <c r="Q598" s="20">
        <v>28.49</v>
      </c>
      <c r="R598" s="20">
        <v>598.58000000000004</v>
      </c>
      <c r="S598" s="20">
        <v>0.2</v>
      </c>
      <c r="T598" s="20">
        <v>119.72</v>
      </c>
      <c r="U598" s="20">
        <v>478.86</v>
      </c>
      <c r="V598" s="20">
        <v>370.32</v>
      </c>
      <c r="W598" s="20">
        <v>108.54</v>
      </c>
      <c r="X598" s="20" t="s">
        <v>45</v>
      </c>
    </row>
    <row r="599" spans="1:24" x14ac:dyDescent="0.25">
      <c r="A599" s="23" t="s">
        <v>1065</v>
      </c>
      <c r="B599" s="22">
        <v>45539</v>
      </c>
      <c r="C599" s="23" t="s">
        <v>456</v>
      </c>
      <c r="D599" s="23" t="s">
        <v>22</v>
      </c>
      <c r="E599" s="23" t="s">
        <v>66</v>
      </c>
      <c r="F599" s="23" t="s">
        <v>2582</v>
      </c>
      <c r="G599" s="23" t="s">
        <v>2579</v>
      </c>
      <c r="H599" s="23" t="s">
        <v>68</v>
      </c>
      <c r="I599" s="23" t="s">
        <v>58</v>
      </c>
      <c r="J599" s="23" t="s">
        <v>73</v>
      </c>
      <c r="K599" s="23" t="s">
        <v>261</v>
      </c>
      <c r="L599" s="23" t="s">
        <v>2695</v>
      </c>
      <c r="M599" s="23" t="s">
        <v>43</v>
      </c>
      <c r="N599" s="23" t="s">
        <v>44</v>
      </c>
      <c r="O599" s="23">
        <v>24</v>
      </c>
      <c r="P599" s="23">
        <v>162.12</v>
      </c>
      <c r="Q599" s="23">
        <v>112.24</v>
      </c>
      <c r="R599" s="23">
        <v>3890.88</v>
      </c>
      <c r="S599" s="23">
        <v>0.02</v>
      </c>
      <c r="T599" s="23">
        <v>77.819999999999993</v>
      </c>
      <c r="U599" s="23">
        <v>3813.06</v>
      </c>
      <c r="V599" s="23">
        <v>2693.86</v>
      </c>
      <c r="W599" s="23">
        <v>1119.2</v>
      </c>
      <c r="X599" s="23" t="s">
        <v>45</v>
      </c>
    </row>
    <row r="600" spans="1:24" x14ac:dyDescent="0.25">
      <c r="A600" s="20" t="s">
        <v>1067</v>
      </c>
      <c r="B600" s="19">
        <v>45372</v>
      </c>
      <c r="C600" s="20" t="s">
        <v>1068</v>
      </c>
      <c r="D600" s="20" t="s">
        <v>105</v>
      </c>
      <c r="E600" s="20" t="s">
        <v>78</v>
      </c>
      <c r="F600" s="20" t="s">
        <v>2583</v>
      </c>
      <c r="G600" s="20" t="s">
        <v>2584</v>
      </c>
      <c r="H600" s="20" t="s">
        <v>81</v>
      </c>
      <c r="I600" s="20" t="s">
        <v>27</v>
      </c>
      <c r="J600" s="20" t="s">
        <v>28</v>
      </c>
      <c r="K600" s="20" t="s">
        <v>83</v>
      </c>
      <c r="L600" s="20" t="s">
        <v>2683</v>
      </c>
      <c r="M600" s="20" t="s">
        <v>43</v>
      </c>
      <c r="N600" s="20" t="s">
        <v>70</v>
      </c>
      <c r="O600" s="20">
        <v>64</v>
      </c>
      <c r="P600" s="20">
        <v>149.94999999999999</v>
      </c>
      <c r="Q600" s="20">
        <v>75.959999999999994</v>
      </c>
      <c r="R600" s="20">
        <v>9596.6</v>
      </c>
      <c r="S600" s="20">
        <v>0</v>
      </c>
      <c r="T600" s="20">
        <v>0</v>
      </c>
      <c r="U600" s="20">
        <v>9596.6</v>
      </c>
      <c r="V600" s="20">
        <v>4861.2700000000004</v>
      </c>
      <c r="W600" s="20">
        <v>4735.34</v>
      </c>
      <c r="X600" s="20" t="s">
        <v>45</v>
      </c>
    </row>
    <row r="601" spans="1:24" x14ac:dyDescent="0.25">
      <c r="A601" s="23" t="s">
        <v>1069</v>
      </c>
      <c r="B601" s="22">
        <v>45347</v>
      </c>
      <c r="C601" s="23" t="s">
        <v>653</v>
      </c>
      <c r="D601" s="23" t="s">
        <v>87</v>
      </c>
      <c r="E601" s="23" t="s">
        <v>187</v>
      </c>
      <c r="F601" s="23" t="s">
        <v>2594</v>
      </c>
      <c r="G601" s="23" t="s">
        <v>2577</v>
      </c>
      <c r="H601" s="23" t="s">
        <v>26</v>
      </c>
      <c r="I601" s="23" t="s">
        <v>88</v>
      </c>
      <c r="J601" s="23" t="s">
        <v>135</v>
      </c>
      <c r="K601" s="23" t="s">
        <v>184</v>
      </c>
      <c r="L601" s="23" t="s">
        <v>2690</v>
      </c>
      <c r="M601" s="23" t="s">
        <v>61</v>
      </c>
      <c r="N601" s="23" t="s">
        <v>75</v>
      </c>
      <c r="O601" s="23">
        <v>16</v>
      </c>
      <c r="P601" s="23">
        <v>48.66</v>
      </c>
      <c r="Q601" s="23">
        <v>30.71</v>
      </c>
      <c r="R601" s="23">
        <v>778.49</v>
      </c>
      <c r="S601" s="23">
        <v>0.05</v>
      </c>
      <c r="T601" s="23">
        <v>38.92</v>
      </c>
      <c r="U601" s="23">
        <v>739.56</v>
      </c>
      <c r="V601" s="23">
        <v>491.34</v>
      </c>
      <c r="W601" s="23">
        <v>248.22</v>
      </c>
      <c r="X601" s="23" t="s">
        <v>45</v>
      </c>
    </row>
    <row r="602" spans="1:24" x14ac:dyDescent="0.25">
      <c r="A602" s="20" t="s">
        <v>1070</v>
      </c>
      <c r="B602" s="19">
        <v>45360</v>
      </c>
      <c r="C602" s="20" t="s">
        <v>1071</v>
      </c>
      <c r="D602" s="20" t="s">
        <v>105</v>
      </c>
      <c r="E602" s="20" t="s">
        <v>150</v>
      </c>
      <c r="F602" s="20" t="s">
        <v>2591</v>
      </c>
      <c r="G602" s="20" t="s">
        <v>2587</v>
      </c>
      <c r="H602" s="20" t="s">
        <v>134</v>
      </c>
      <c r="I602" s="20" t="s">
        <v>40</v>
      </c>
      <c r="J602" s="20" t="s">
        <v>117</v>
      </c>
      <c r="K602" s="20" t="s">
        <v>69</v>
      </c>
      <c r="L602" s="20" t="s">
        <v>2681</v>
      </c>
      <c r="M602" s="20" t="s">
        <v>61</v>
      </c>
      <c r="N602" s="20" t="s">
        <v>70</v>
      </c>
      <c r="O602" s="20">
        <v>25</v>
      </c>
      <c r="P602" s="20">
        <v>0</v>
      </c>
      <c r="Q602" s="20">
        <v>50.87</v>
      </c>
      <c r="R602" s="20">
        <v>1983.13</v>
      </c>
      <c r="S602" s="20">
        <v>0</v>
      </c>
      <c r="T602" s="20">
        <v>0</v>
      </c>
      <c r="U602" s="20">
        <v>1983.13</v>
      </c>
      <c r="V602" s="20">
        <v>1271.8499999999999</v>
      </c>
      <c r="W602" s="20">
        <v>711.28</v>
      </c>
      <c r="X602" s="20" t="s">
        <v>129</v>
      </c>
    </row>
    <row r="603" spans="1:24" x14ac:dyDescent="0.25">
      <c r="A603" s="23" t="s">
        <v>1072</v>
      </c>
      <c r="B603" s="22">
        <v>45655</v>
      </c>
      <c r="C603" s="23" t="s">
        <v>363</v>
      </c>
      <c r="D603" s="23" t="s">
        <v>87</v>
      </c>
      <c r="E603" s="23" t="s">
        <v>222</v>
      </c>
      <c r="F603" s="23" t="s">
        <v>2597</v>
      </c>
      <c r="G603" s="23" t="s">
        <v>2587</v>
      </c>
      <c r="H603" s="23" t="s">
        <v>68</v>
      </c>
      <c r="I603" s="23" t="s">
        <v>53</v>
      </c>
      <c r="J603" s="23" t="s">
        <v>232</v>
      </c>
      <c r="K603" s="23" t="s">
        <v>261</v>
      </c>
      <c r="L603" s="23" t="s">
        <v>2695</v>
      </c>
      <c r="M603" s="23" t="s">
        <v>30</v>
      </c>
      <c r="N603" s="23" t="s">
        <v>44</v>
      </c>
      <c r="O603" s="23">
        <v>23</v>
      </c>
      <c r="P603" s="23">
        <v>116.52</v>
      </c>
      <c r="Q603" s="23">
        <v>79.03</v>
      </c>
      <c r="R603" s="23">
        <v>2680.01</v>
      </c>
      <c r="S603" s="23">
        <v>0</v>
      </c>
      <c r="T603" s="23">
        <v>0</v>
      </c>
      <c r="U603" s="23">
        <v>2680.01</v>
      </c>
      <c r="V603" s="23">
        <v>1817.59</v>
      </c>
      <c r="W603" s="23">
        <v>862.42</v>
      </c>
      <c r="X603" s="23" t="s">
        <v>45</v>
      </c>
    </row>
    <row r="604" spans="1:24" x14ac:dyDescent="0.25">
      <c r="A604" s="20" t="s">
        <v>1073</v>
      </c>
      <c r="B604" s="19">
        <v>45363</v>
      </c>
      <c r="C604" s="20" t="s">
        <v>631</v>
      </c>
      <c r="D604" s="20" t="s">
        <v>105</v>
      </c>
      <c r="E604" s="20" t="s">
        <v>222</v>
      </c>
      <c r="F604" s="20" t="s">
        <v>2597</v>
      </c>
      <c r="G604" s="20" t="s">
        <v>2587</v>
      </c>
      <c r="H604" s="20" t="s">
        <v>68</v>
      </c>
      <c r="I604" s="20" t="s">
        <v>27</v>
      </c>
      <c r="J604" s="20" t="s">
        <v>211</v>
      </c>
      <c r="K604" s="20" t="s">
        <v>195</v>
      </c>
      <c r="L604" s="20" t="s">
        <v>2691</v>
      </c>
      <c r="M604" s="20" t="s">
        <v>30</v>
      </c>
      <c r="N604" s="20" t="s">
        <v>75</v>
      </c>
      <c r="O604" s="20">
        <v>19</v>
      </c>
      <c r="P604" s="20">
        <v>127.65</v>
      </c>
      <c r="Q604" s="20">
        <v>81.53</v>
      </c>
      <c r="R604" s="20">
        <v>2425.39</v>
      </c>
      <c r="S604" s="20">
        <v>0.1</v>
      </c>
      <c r="T604" s="20">
        <v>242.54</v>
      </c>
      <c r="U604" s="20">
        <v>2182.86</v>
      </c>
      <c r="V604" s="20">
        <v>1549.15</v>
      </c>
      <c r="W604" s="20">
        <v>633.70000000000005</v>
      </c>
      <c r="X604" s="20" t="s">
        <v>129</v>
      </c>
    </row>
    <row r="605" spans="1:24" x14ac:dyDescent="0.25">
      <c r="A605" s="23" t="s">
        <v>1074</v>
      </c>
      <c r="B605" s="22">
        <v>45476</v>
      </c>
      <c r="C605" s="23" t="s">
        <v>1075</v>
      </c>
      <c r="D605" s="23" t="s">
        <v>65</v>
      </c>
      <c r="E605" s="23" t="s">
        <v>176</v>
      </c>
      <c r="F605" s="23" t="s">
        <v>2593</v>
      </c>
      <c r="G605" s="23" t="s">
        <v>2587</v>
      </c>
      <c r="H605" s="23" t="s">
        <v>39</v>
      </c>
      <c r="I605" s="23" t="s">
        <v>40</v>
      </c>
      <c r="J605" s="23" t="s">
        <v>82</v>
      </c>
      <c r="K605" s="23" t="s">
        <v>261</v>
      </c>
      <c r="L605" s="23" t="s">
        <v>2695</v>
      </c>
      <c r="M605" s="23" t="s">
        <v>61</v>
      </c>
      <c r="N605" s="23" t="s">
        <v>84</v>
      </c>
      <c r="O605" s="23">
        <v>56</v>
      </c>
      <c r="P605" s="23">
        <v>111.82</v>
      </c>
      <c r="Q605" s="23">
        <v>58.08</v>
      </c>
      <c r="R605" s="23">
        <v>6262.05</v>
      </c>
      <c r="S605" s="23">
        <v>0</v>
      </c>
      <c r="T605" s="23">
        <v>0</v>
      </c>
      <c r="U605" s="23">
        <v>6262.05</v>
      </c>
      <c r="V605" s="23">
        <v>3252.62</v>
      </c>
      <c r="W605" s="23">
        <v>3009.42</v>
      </c>
      <c r="X605" s="23" t="s">
        <v>45</v>
      </c>
    </row>
    <row r="606" spans="1:24" x14ac:dyDescent="0.25">
      <c r="A606" s="20" t="s">
        <v>1076</v>
      </c>
      <c r="B606" s="19">
        <v>45575</v>
      </c>
      <c r="C606" s="20" t="s">
        <v>495</v>
      </c>
      <c r="D606" s="20" t="s">
        <v>125</v>
      </c>
      <c r="E606" s="20" t="s">
        <v>23</v>
      </c>
      <c r="F606" s="20" t="s">
        <v>2576</v>
      </c>
      <c r="G606" s="20" t="s">
        <v>2577</v>
      </c>
      <c r="H606" s="20" t="s">
        <v>26</v>
      </c>
      <c r="I606" s="20" t="s">
        <v>58</v>
      </c>
      <c r="J606" s="20" t="s">
        <v>345</v>
      </c>
      <c r="K606" s="20" t="s">
        <v>69</v>
      </c>
      <c r="L606" s="20" t="s">
        <v>2681</v>
      </c>
      <c r="M606" s="20" t="s">
        <v>153</v>
      </c>
      <c r="N606" s="20" t="s">
        <v>44</v>
      </c>
      <c r="O606" s="20">
        <v>59</v>
      </c>
      <c r="P606" s="20">
        <v>73.45</v>
      </c>
      <c r="Q606" s="20">
        <v>43.89</v>
      </c>
      <c r="R606" s="20">
        <v>4333.29</v>
      </c>
      <c r="S606" s="20">
        <v>0</v>
      </c>
      <c r="T606" s="20">
        <v>0</v>
      </c>
      <c r="U606" s="20">
        <v>4333.29</v>
      </c>
      <c r="V606" s="20">
        <v>2589.5700000000002</v>
      </c>
      <c r="W606" s="20">
        <v>1743.72</v>
      </c>
      <c r="X606" s="20" t="s">
        <v>45</v>
      </c>
    </row>
    <row r="607" spans="1:24" x14ac:dyDescent="0.25">
      <c r="A607" s="23" t="s">
        <v>1077</v>
      </c>
      <c r="B607" s="22">
        <v>45330</v>
      </c>
      <c r="C607" s="23" t="s">
        <v>1078</v>
      </c>
      <c r="D607" s="23" t="s">
        <v>48</v>
      </c>
      <c r="E607" s="23" t="s">
        <v>216</v>
      </c>
      <c r="F607" s="23" t="s">
        <v>2596</v>
      </c>
      <c r="G607" s="23" t="s">
        <v>2579</v>
      </c>
      <c r="H607" s="23" t="s">
        <v>134</v>
      </c>
      <c r="I607" s="23" t="s">
        <v>88</v>
      </c>
      <c r="J607" s="23" t="s">
        <v>135</v>
      </c>
      <c r="K607" s="23" t="s">
        <v>261</v>
      </c>
      <c r="L607" s="23" t="s">
        <v>2695</v>
      </c>
      <c r="M607" s="23" t="s">
        <v>43</v>
      </c>
      <c r="N607" s="23" t="s">
        <v>75</v>
      </c>
      <c r="O607" s="23">
        <v>70</v>
      </c>
      <c r="P607" s="23">
        <v>113.47</v>
      </c>
      <c r="Q607" s="23">
        <v>68.59</v>
      </c>
      <c r="R607" s="23">
        <v>7942.87</v>
      </c>
      <c r="S607" s="23">
        <v>0.05</v>
      </c>
      <c r="T607" s="23">
        <v>397.14</v>
      </c>
      <c r="U607" s="23">
        <v>7545.73</v>
      </c>
      <c r="V607" s="23">
        <v>4801.54</v>
      </c>
      <c r="W607" s="23">
        <v>2744.19</v>
      </c>
      <c r="X607" s="23" t="s">
        <v>32</v>
      </c>
    </row>
    <row r="608" spans="1:24" x14ac:dyDescent="0.25">
      <c r="A608" s="20" t="s">
        <v>1079</v>
      </c>
      <c r="B608" s="19">
        <v>45526</v>
      </c>
      <c r="C608" s="20" t="s">
        <v>552</v>
      </c>
      <c r="D608" s="20" t="s">
        <v>163</v>
      </c>
      <c r="E608" s="20" t="s">
        <v>99</v>
      </c>
      <c r="F608" s="20" t="s">
        <v>100</v>
      </c>
      <c r="G608" s="20" t="s">
        <v>2587</v>
      </c>
      <c r="H608" s="20" t="s">
        <v>102</v>
      </c>
      <c r="I608" s="20" t="s">
        <v>27</v>
      </c>
      <c r="J608" s="20" t="s">
        <v>211</v>
      </c>
      <c r="K608" s="20" t="s">
        <v>184</v>
      </c>
      <c r="L608" s="20" t="s">
        <v>2690</v>
      </c>
      <c r="M608" s="20" t="s">
        <v>43</v>
      </c>
      <c r="N608" s="20" t="s">
        <v>44</v>
      </c>
      <c r="O608" s="20">
        <v>76</v>
      </c>
      <c r="P608" s="20">
        <v>75.430000000000007</v>
      </c>
      <c r="Q608" s="20">
        <v>43.22</v>
      </c>
      <c r="R608" s="20">
        <v>5732.7</v>
      </c>
      <c r="S608" s="20">
        <v>0.15</v>
      </c>
      <c r="T608" s="20">
        <v>859.9</v>
      </c>
      <c r="U608" s="20">
        <v>4872.79</v>
      </c>
      <c r="V608" s="20">
        <v>3284.96</v>
      </c>
      <c r="W608" s="20">
        <v>1587.83</v>
      </c>
      <c r="X608" s="20" t="s">
        <v>129</v>
      </c>
    </row>
    <row r="609" spans="1:24" x14ac:dyDescent="0.25">
      <c r="A609" s="23" t="s">
        <v>1080</v>
      </c>
      <c r="B609" s="22">
        <v>45412</v>
      </c>
      <c r="C609" s="23" t="s">
        <v>92</v>
      </c>
      <c r="D609" s="23" t="s">
        <v>48</v>
      </c>
      <c r="E609" s="23" t="s">
        <v>222</v>
      </c>
      <c r="F609" s="23" t="s">
        <v>2597</v>
      </c>
      <c r="G609" s="23" t="s">
        <v>2587</v>
      </c>
      <c r="H609" s="23" t="s">
        <v>68</v>
      </c>
      <c r="I609" s="23" t="s">
        <v>53</v>
      </c>
      <c r="J609" s="23" t="s">
        <v>232</v>
      </c>
      <c r="K609" s="23" t="s">
        <v>90</v>
      </c>
      <c r="L609" s="23" t="s">
        <v>2684</v>
      </c>
      <c r="M609" s="23" t="s">
        <v>153</v>
      </c>
      <c r="N609" s="23" t="s">
        <v>2578</v>
      </c>
      <c r="O609" s="23">
        <v>15</v>
      </c>
      <c r="P609" s="23">
        <v>110.98</v>
      </c>
      <c r="Q609" s="23">
        <v>83.38</v>
      </c>
      <c r="R609" s="23">
        <v>1664.75</v>
      </c>
      <c r="S609" s="23">
        <v>0.15</v>
      </c>
      <c r="T609" s="23">
        <v>249.71</v>
      </c>
      <c r="U609" s="23">
        <v>1415.04</v>
      </c>
      <c r="V609" s="23">
        <v>1250.67</v>
      </c>
      <c r="W609" s="23">
        <v>164.37</v>
      </c>
      <c r="X609" s="23" t="s">
        <v>45</v>
      </c>
    </row>
    <row r="610" spans="1:24" x14ac:dyDescent="0.25">
      <c r="A610" s="20" t="s">
        <v>1081</v>
      </c>
      <c r="B610" s="19">
        <v>45521</v>
      </c>
      <c r="C610" s="20" t="s">
        <v>316</v>
      </c>
      <c r="D610" s="20" t="s">
        <v>156</v>
      </c>
      <c r="E610" s="20" t="s">
        <v>176</v>
      </c>
      <c r="F610" s="20" t="s">
        <v>2593</v>
      </c>
      <c r="G610" s="20" t="s">
        <v>2587</v>
      </c>
      <c r="H610" s="20" t="s">
        <v>39</v>
      </c>
      <c r="I610" s="20" t="s">
        <v>40</v>
      </c>
      <c r="J610" s="20" t="s">
        <v>41</v>
      </c>
      <c r="K610" s="20" t="s">
        <v>60</v>
      </c>
      <c r="L610" s="20" t="s">
        <v>2677</v>
      </c>
      <c r="M610" s="20" t="s">
        <v>61</v>
      </c>
      <c r="N610" s="20" t="s">
        <v>2578</v>
      </c>
      <c r="O610" s="20">
        <v>54</v>
      </c>
      <c r="P610" s="20">
        <v>108</v>
      </c>
      <c r="Q610" s="20">
        <v>61.61</v>
      </c>
      <c r="R610" s="20">
        <v>5832.09</v>
      </c>
      <c r="S610" s="20">
        <v>0.02</v>
      </c>
      <c r="T610" s="20">
        <v>116.64</v>
      </c>
      <c r="U610" s="20">
        <v>5715.45</v>
      </c>
      <c r="V610" s="20">
        <v>3326.84</v>
      </c>
      <c r="W610" s="20">
        <v>2388.61</v>
      </c>
      <c r="X610" s="20" t="s">
        <v>129</v>
      </c>
    </row>
    <row r="611" spans="1:24" x14ac:dyDescent="0.25">
      <c r="A611" s="23" t="s">
        <v>1082</v>
      </c>
      <c r="B611" s="22">
        <v>45406</v>
      </c>
      <c r="C611" s="23" t="s">
        <v>312</v>
      </c>
      <c r="D611" s="23" t="s">
        <v>57</v>
      </c>
      <c r="E611" s="23" t="s">
        <v>114</v>
      </c>
      <c r="F611" s="23" t="s">
        <v>2588</v>
      </c>
      <c r="G611" s="23" t="s">
        <v>2586</v>
      </c>
      <c r="H611" s="23" t="s">
        <v>116</v>
      </c>
      <c r="I611" s="23" t="s">
        <v>40</v>
      </c>
      <c r="J611" s="23" t="s">
        <v>82</v>
      </c>
      <c r="K611" s="23" t="s">
        <v>83</v>
      </c>
      <c r="L611" s="23" t="s">
        <v>2683</v>
      </c>
      <c r="M611" s="23" t="s">
        <v>153</v>
      </c>
      <c r="N611" s="23" t="s">
        <v>70</v>
      </c>
      <c r="O611" s="23">
        <v>42</v>
      </c>
      <c r="P611" s="23">
        <v>36.71</v>
      </c>
      <c r="Q611" s="23">
        <v>21.83</v>
      </c>
      <c r="R611" s="23">
        <v>1542.02</v>
      </c>
      <c r="S611" s="23">
        <v>0.02</v>
      </c>
      <c r="T611" s="23">
        <v>30.84</v>
      </c>
      <c r="U611" s="23">
        <v>1511.18</v>
      </c>
      <c r="V611" s="23">
        <v>917.03</v>
      </c>
      <c r="W611" s="23">
        <v>594.14</v>
      </c>
      <c r="X611" s="23" t="s">
        <v>32</v>
      </c>
    </row>
    <row r="612" spans="1:24" x14ac:dyDescent="0.25">
      <c r="A612" s="20" t="s">
        <v>1083</v>
      </c>
      <c r="B612" s="19">
        <v>45417</v>
      </c>
      <c r="C612" s="20" t="s">
        <v>418</v>
      </c>
      <c r="D612" s="20" t="s">
        <v>159</v>
      </c>
      <c r="E612" s="20" t="s">
        <v>126</v>
      </c>
      <c r="F612" s="20" t="s">
        <v>2589</v>
      </c>
      <c r="G612" s="20" t="s">
        <v>2586</v>
      </c>
      <c r="H612" s="20" t="s">
        <v>128</v>
      </c>
      <c r="I612" s="20" t="s">
        <v>40</v>
      </c>
      <c r="J612" s="20" t="s">
        <v>117</v>
      </c>
      <c r="K612" s="20" t="s">
        <v>195</v>
      </c>
      <c r="L612" s="20" t="s">
        <v>2691</v>
      </c>
      <c r="M612" s="20" t="s">
        <v>61</v>
      </c>
      <c r="N612" s="20" t="s">
        <v>70</v>
      </c>
      <c r="O612" s="20">
        <v>6</v>
      </c>
      <c r="P612" s="20">
        <v>88.91</v>
      </c>
      <c r="Q612" s="20">
        <v>56.45</v>
      </c>
      <c r="R612" s="20">
        <v>533.45000000000005</v>
      </c>
      <c r="S612" s="20">
        <v>0.1</v>
      </c>
      <c r="T612" s="20">
        <v>53.35</v>
      </c>
      <c r="U612" s="20">
        <v>480.11</v>
      </c>
      <c r="V612" s="20">
        <v>338.68</v>
      </c>
      <c r="W612" s="20">
        <v>141.43</v>
      </c>
      <c r="X612" s="20" t="s">
        <v>45</v>
      </c>
    </row>
    <row r="613" spans="1:24" x14ac:dyDescent="0.25">
      <c r="A613" s="23" t="s">
        <v>1084</v>
      </c>
      <c r="B613" s="22">
        <v>45571</v>
      </c>
      <c r="C613" s="23" t="s">
        <v>1071</v>
      </c>
      <c r="D613" s="23" t="s">
        <v>105</v>
      </c>
      <c r="E613" s="23" t="s">
        <v>132</v>
      </c>
      <c r="F613" s="23" t="s">
        <v>133</v>
      </c>
      <c r="G613" s="23" t="s">
        <v>2581</v>
      </c>
      <c r="H613" s="23" t="s">
        <v>134</v>
      </c>
      <c r="I613" s="23" t="s">
        <v>40</v>
      </c>
      <c r="J613" s="23" t="s">
        <v>289</v>
      </c>
      <c r="K613" s="23" t="s">
        <v>118</v>
      </c>
      <c r="L613" s="23" t="s">
        <v>2686</v>
      </c>
      <c r="M613" s="23" t="s">
        <v>153</v>
      </c>
      <c r="N613" s="23" t="s">
        <v>70</v>
      </c>
      <c r="O613" s="23">
        <v>3</v>
      </c>
      <c r="P613" s="23">
        <v>57.86</v>
      </c>
      <c r="Q613" s="23">
        <v>36.29</v>
      </c>
      <c r="R613" s="23">
        <v>173.58</v>
      </c>
      <c r="S613" s="23">
        <v>0.02</v>
      </c>
      <c r="T613" s="23">
        <v>3.47</v>
      </c>
      <c r="U613" s="23">
        <v>170.11</v>
      </c>
      <c r="V613" s="23">
        <v>108.88</v>
      </c>
      <c r="W613" s="23">
        <v>61.23</v>
      </c>
      <c r="X613" s="23" t="s">
        <v>32</v>
      </c>
    </row>
    <row r="614" spans="1:24" x14ac:dyDescent="0.25">
      <c r="A614" s="20" t="s">
        <v>1085</v>
      </c>
      <c r="B614" s="19">
        <v>45488</v>
      </c>
      <c r="C614" s="20" t="s">
        <v>2619</v>
      </c>
      <c r="D614" s="20" t="s">
        <v>2619</v>
      </c>
      <c r="E614" s="20" t="s">
        <v>49</v>
      </c>
      <c r="F614" s="20" t="s">
        <v>2580</v>
      </c>
      <c r="G614" s="20" t="s">
        <v>2581</v>
      </c>
      <c r="H614" s="20" t="s">
        <v>52</v>
      </c>
      <c r="I614" s="20" t="s">
        <v>27</v>
      </c>
      <c r="J614" s="20" t="s">
        <v>106</v>
      </c>
      <c r="K614" s="20" t="s">
        <v>218</v>
      </c>
      <c r="L614" s="20" t="s">
        <v>2692</v>
      </c>
      <c r="M614" s="20" t="s">
        <v>153</v>
      </c>
      <c r="N614" s="20" t="s">
        <v>2578</v>
      </c>
      <c r="O614" s="20">
        <v>24</v>
      </c>
      <c r="P614" s="20">
        <v>25.75</v>
      </c>
      <c r="Q614" s="20">
        <v>13.46</v>
      </c>
      <c r="R614" s="20">
        <v>618.02</v>
      </c>
      <c r="S614" s="20">
        <v>0.1</v>
      </c>
      <c r="T614" s="20">
        <v>61.8</v>
      </c>
      <c r="U614" s="20">
        <v>556.22</v>
      </c>
      <c r="V614" s="20">
        <v>323.12</v>
      </c>
      <c r="W614" s="20">
        <v>233.1</v>
      </c>
      <c r="X614" s="20" t="s">
        <v>129</v>
      </c>
    </row>
    <row r="615" spans="1:24" x14ac:dyDescent="0.25">
      <c r="A615" s="23" t="s">
        <v>1086</v>
      </c>
      <c r="B615" s="22">
        <v>45444</v>
      </c>
      <c r="C615" s="23" t="s">
        <v>660</v>
      </c>
      <c r="D615" s="23" t="s">
        <v>264</v>
      </c>
      <c r="E615" s="23" t="s">
        <v>216</v>
      </c>
      <c r="F615" s="23" t="s">
        <v>2596</v>
      </c>
      <c r="G615" s="23" t="s">
        <v>2579</v>
      </c>
      <c r="H615" s="23" t="s">
        <v>134</v>
      </c>
      <c r="I615" s="23" t="s">
        <v>27</v>
      </c>
      <c r="J615" s="23" t="s">
        <v>106</v>
      </c>
      <c r="K615" s="23" t="s">
        <v>178</v>
      </c>
      <c r="L615" s="23" t="s">
        <v>2689</v>
      </c>
      <c r="M615" s="23" t="s">
        <v>30</v>
      </c>
      <c r="N615" s="23" t="s">
        <v>84</v>
      </c>
      <c r="O615" s="23">
        <v>15</v>
      </c>
      <c r="P615" s="23">
        <v>104.72</v>
      </c>
      <c r="Q615" s="23">
        <v>68.25</v>
      </c>
      <c r="R615" s="23">
        <v>1570.87</v>
      </c>
      <c r="S615" s="23">
        <v>0.15</v>
      </c>
      <c r="T615" s="23">
        <v>235.63</v>
      </c>
      <c r="U615" s="23">
        <v>1335.24</v>
      </c>
      <c r="V615" s="23">
        <v>1023.78</v>
      </c>
      <c r="W615" s="23">
        <v>311.45999999999998</v>
      </c>
      <c r="X615" s="23" t="s">
        <v>45</v>
      </c>
    </row>
    <row r="616" spans="1:24" x14ac:dyDescent="0.25">
      <c r="A616" s="20" t="s">
        <v>1087</v>
      </c>
      <c r="B616" s="19">
        <v>45480</v>
      </c>
      <c r="C616" s="20" t="s">
        <v>320</v>
      </c>
      <c r="D616" s="20" t="s">
        <v>264</v>
      </c>
      <c r="E616" s="20" t="s">
        <v>126</v>
      </c>
      <c r="F616" s="20" t="s">
        <v>2589</v>
      </c>
      <c r="G616" s="20" t="s">
        <v>2586</v>
      </c>
      <c r="H616" s="20" t="s">
        <v>128</v>
      </c>
      <c r="I616" s="20" t="s">
        <v>53</v>
      </c>
      <c r="J616" s="20" t="s">
        <v>122</v>
      </c>
      <c r="K616" s="20" t="s">
        <v>178</v>
      </c>
      <c r="L616" s="20" t="s">
        <v>2689</v>
      </c>
      <c r="M616" s="20" t="s">
        <v>43</v>
      </c>
      <c r="N616" s="20" t="s">
        <v>75</v>
      </c>
      <c r="O616" s="20">
        <v>64</v>
      </c>
      <c r="P616" s="20">
        <v>87.17</v>
      </c>
      <c r="Q616" s="20">
        <v>49.62</v>
      </c>
      <c r="R616" s="20">
        <v>5578.7</v>
      </c>
      <c r="S616" s="20">
        <v>0.05</v>
      </c>
      <c r="T616" s="20">
        <v>278.93</v>
      </c>
      <c r="U616" s="20">
        <v>5299.76</v>
      </c>
      <c r="V616" s="20">
        <v>3175.48</v>
      </c>
      <c r="W616" s="20">
        <v>2124.2800000000002</v>
      </c>
      <c r="X616" s="20" t="s">
        <v>45</v>
      </c>
    </row>
    <row r="617" spans="1:24" x14ac:dyDescent="0.25">
      <c r="A617" s="23" t="s">
        <v>1088</v>
      </c>
      <c r="B617" s="22">
        <v>45621</v>
      </c>
      <c r="C617" s="23" t="s">
        <v>104</v>
      </c>
      <c r="D617" s="23" t="s">
        <v>105</v>
      </c>
      <c r="E617" s="23" t="s">
        <v>222</v>
      </c>
      <c r="F617" s="23" t="s">
        <v>2597</v>
      </c>
      <c r="G617" s="23" t="s">
        <v>2587</v>
      </c>
      <c r="H617" s="23" t="s">
        <v>68</v>
      </c>
      <c r="I617" s="23" t="s">
        <v>58</v>
      </c>
      <c r="J617" s="23" t="s">
        <v>73</v>
      </c>
      <c r="K617" s="23" t="s">
        <v>74</v>
      </c>
      <c r="L617" s="23" t="s">
        <v>2682</v>
      </c>
      <c r="M617" s="23" t="s">
        <v>43</v>
      </c>
      <c r="N617" s="23" t="s">
        <v>2578</v>
      </c>
      <c r="O617" s="23">
        <v>43</v>
      </c>
      <c r="P617" s="23">
        <v>125.18</v>
      </c>
      <c r="Q617" s="23">
        <v>74.45</v>
      </c>
      <c r="R617" s="23">
        <v>5382.91</v>
      </c>
      <c r="S617" s="23">
        <v>0.02</v>
      </c>
      <c r="T617" s="23">
        <v>107.66</v>
      </c>
      <c r="U617" s="23">
        <v>5275.25</v>
      </c>
      <c r="V617" s="23">
        <v>3201.5</v>
      </c>
      <c r="W617" s="23">
        <v>2073.75</v>
      </c>
      <c r="X617" s="23" t="s">
        <v>32</v>
      </c>
    </row>
    <row r="618" spans="1:24" x14ac:dyDescent="0.25">
      <c r="A618" s="20" t="s">
        <v>1089</v>
      </c>
      <c r="B618" s="19">
        <v>45328</v>
      </c>
      <c r="C618" s="20" t="s">
        <v>137</v>
      </c>
      <c r="D618" s="20" t="s">
        <v>22</v>
      </c>
      <c r="E618" s="20" t="s">
        <v>126</v>
      </c>
      <c r="F618" s="20" t="s">
        <v>2589</v>
      </c>
      <c r="G618" s="20" t="s">
        <v>2586</v>
      </c>
      <c r="H618" s="20" t="s">
        <v>128</v>
      </c>
      <c r="I618" s="20" t="s">
        <v>88</v>
      </c>
      <c r="J618" s="20" t="s">
        <v>2112</v>
      </c>
      <c r="K618" s="20" t="s">
        <v>184</v>
      </c>
      <c r="L618" s="20" t="s">
        <v>2690</v>
      </c>
      <c r="M618" s="20" t="s">
        <v>43</v>
      </c>
      <c r="N618" s="20" t="s">
        <v>2619</v>
      </c>
      <c r="O618" s="20">
        <v>15</v>
      </c>
      <c r="P618" s="20">
        <v>87.43</v>
      </c>
      <c r="Q618" s="20">
        <v>55.95</v>
      </c>
      <c r="R618" s="20">
        <v>1311.48</v>
      </c>
      <c r="S618" s="20">
        <v>0</v>
      </c>
      <c r="T618" s="20">
        <v>0</v>
      </c>
      <c r="U618" s="20">
        <v>1483.64</v>
      </c>
      <c r="V618" s="20">
        <v>839.27</v>
      </c>
      <c r="W618" s="20">
        <v>472.21</v>
      </c>
      <c r="X618" s="20" t="s">
        <v>32</v>
      </c>
    </row>
    <row r="619" spans="1:24" x14ac:dyDescent="0.25">
      <c r="A619" s="23" t="s">
        <v>1090</v>
      </c>
      <c r="B619" s="22">
        <v>45384</v>
      </c>
      <c r="C619" s="23" t="s">
        <v>759</v>
      </c>
      <c r="D619" s="23" t="s">
        <v>35</v>
      </c>
      <c r="E619" s="23" t="s">
        <v>23</v>
      </c>
      <c r="F619" s="23" t="s">
        <v>2576</v>
      </c>
      <c r="G619" s="23" t="s">
        <v>2577</v>
      </c>
      <c r="H619" s="23" t="s">
        <v>26</v>
      </c>
      <c r="I619" s="23" t="s">
        <v>88</v>
      </c>
      <c r="J619" s="23" t="s">
        <v>135</v>
      </c>
      <c r="K619" s="23" t="s">
        <v>218</v>
      </c>
      <c r="L619" s="23" t="s">
        <v>2692</v>
      </c>
      <c r="M619" s="23" t="s">
        <v>153</v>
      </c>
      <c r="N619" s="23" t="s">
        <v>75</v>
      </c>
      <c r="O619" s="23">
        <v>53</v>
      </c>
      <c r="P619" s="23">
        <v>73.75</v>
      </c>
      <c r="Q619" s="23">
        <v>45.38</v>
      </c>
      <c r="R619" s="23">
        <v>3908.97</v>
      </c>
      <c r="S619" s="23">
        <v>0.02</v>
      </c>
      <c r="T619" s="23">
        <v>78.180000000000007</v>
      </c>
      <c r="U619" s="23">
        <v>3830.79</v>
      </c>
      <c r="V619" s="23">
        <v>2404.9299999999998</v>
      </c>
      <c r="W619" s="23">
        <v>1425.85</v>
      </c>
      <c r="X619" s="23" t="s">
        <v>32</v>
      </c>
    </row>
    <row r="620" spans="1:24" x14ac:dyDescent="0.25">
      <c r="A620" s="20" t="s">
        <v>1091</v>
      </c>
      <c r="B620" s="19">
        <v>45399</v>
      </c>
      <c r="C620" s="20" t="s">
        <v>404</v>
      </c>
      <c r="D620" s="20" t="s">
        <v>87</v>
      </c>
      <c r="E620" s="20" t="s">
        <v>165</v>
      </c>
      <c r="F620" s="20" t="s">
        <v>2592</v>
      </c>
      <c r="G620" s="20" t="s">
        <v>2586</v>
      </c>
      <c r="H620" s="20" t="s">
        <v>167</v>
      </c>
      <c r="I620" s="20" t="s">
        <v>53</v>
      </c>
      <c r="J620" s="20" t="s">
        <v>232</v>
      </c>
      <c r="K620" s="20" t="s">
        <v>90</v>
      </c>
      <c r="L620" s="20" t="s">
        <v>2684</v>
      </c>
      <c r="M620" s="20" t="s">
        <v>61</v>
      </c>
      <c r="N620" s="20" t="s">
        <v>2578</v>
      </c>
      <c r="O620" s="20">
        <v>29</v>
      </c>
      <c r="P620" s="20">
        <v>43.55</v>
      </c>
      <c r="Q620" s="20">
        <v>26.93</v>
      </c>
      <c r="R620" s="20">
        <v>1262.98</v>
      </c>
      <c r="S620" s="20">
        <v>0</v>
      </c>
      <c r="T620" s="20">
        <v>0</v>
      </c>
      <c r="U620" s="20">
        <v>1262.98</v>
      </c>
      <c r="V620" s="20">
        <v>780.83</v>
      </c>
      <c r="W620" s="20">
        <v>482.15</v>
      </c>
      <c r="X620" s="20" t="s">
        <v>129</v>
      </c>
    </row>
    <row r="621" spans="1:24" x14ac:dyDescent="0.25">
      <c r="A621" s="23" t="s">
        <v>1092</v>
      </c>
      <c r="B621" s="22">
        <v>45635</v>
      </c>
      <c r="C621" s="23" t="s">
        <v>679</v>
      </c>
      <c r="D621" s="23" t="s">
        <v>105</v>
      </c>
      <c r="E621" s="23" t="s">
        <v>187</v>
      </c>
      <c r="F621" s="23" t="s">
        <v>2594</v>
      </c>
      <c r="G621" s="23" t="s">
        <v>2577</v>
      </c>
      <c r="H621" s="23" t="s">
        <v>26</v>
      </c>
      <c r="I621" s="23" t="s">
        <v>27</v>
      </c>
      <c r="J621" s="23" t="s">
        <v>211</v>
      </c>
      <c r="K621" s="23" t="s">
        <v>74</v>
      </c>
      <c r="L621" s="23" t="s">
        <v>2682</v>
      </c>
      <c r="M621" s="23" t="s">
        <v>30</v>
      </c>
      <c r="N621" s="23" t="s">
        <v>70</v>
      </c>
      <c r="O621" s="23">
        <v>11</v>
      </c>
      <c r="P621" s="23">
        <v>50.08</v>
      </c>
      <c r="Q621" s="23">
        <v>29.72</v>
      </c>
      <c r="R621" s="23">
        <v>550.9</v>
      </c>
      <c r="S621" s="23">
        <v>0.2</v>
      </c>
      <c r="T621" s="23">
        <v>110.18</v>
      </c>
      <c r="U621" s="23">
        <v>440.72</v>
      </c>
      <c r="V621" s="23">
        <v>326.89</v>
      </c>
      <c r="W621" s="23">
        <v>113.83</v>
      </c>
      <c r="X621" s="23" t="s">
        <v>45</v>
      </c>
    </row>
    <row r="622" spans="1:24" x14ac:dyDescent="0.25">
      <c r="A622" s="20" t="s">
        <v>1093</v>
      </c>
      <c r="B622" s="19">
        <v>45510</v>
      </c>
      <c r="C622" s="20" t="s">
        <v>800</v>
      </c>
      <c r="D622" s="20" t="s">
        <v>264</v>
      </c>
      <c r="E622" s="20" t="s">
        <v>222</v>
      </c>
      <c r="F622" s="20" t="s">
        <v>2597</v>
      </c>
      <c r="G622" s="20" t="s">
        <v>2587</v>
      </c>
      <c r="H622" s="20" t="s">
        <v>68</v>
      </c>
      <c r="I622" s="20" t="s">
        <v>58</v>
      </c>
      <c r="J622" s="20" t="s">
        <v>323</v>
      </c>
      <c r="K622" s="20" t="s">
        <v>29</v>
      </c>
      <c r="L622" s="20" t="s">
        <v>2679</v>
      </c>
      <c r="M622" s="20" t="s">
        <v>61</v>
      </c>
      <c r="N622" s="20" t="s">
        <v>2578</v>
      </c>
      <c r="O622" s="20">
        <v>11</v>
      </c>
      <c r="P622" s="20">
        <v>128.31</v>
      </c>
      <c r="Q622" s="20">
        <v>73.239999999999995</v>
      </c>
      <c r="R622" s="20">
        <v>1411.36</v>
      </c>
      <c r="S622" s="20">
        <v>0.2</v>
      </c>
      <c r="T622" s="20">
        <v>282.27</v>
      </c>
      <c r="U622" s="20">
        <v>1129.08</v>
      </c>
      <c r="V622" s="20">
        <v>805.65</v>
      </c>
      <c r="W622" s="20">
        <v>323.44</v>
      </c>
      <c r="X622" s="20" t="s">
        <v>45</v>
      </c>
    </row>
    <row r="623" spans="1:24" x14ac:dyDescent="0.25">
      <c r="A623" s="23" t="s">
        <v>1094</v>
      </c>
      <c r="B623" s="22">
        <v>45449</v>
      </c>
      <c r="C623" s="23" t="s">
        <v>297</v>
      </c>
      <c r="D623" s="23" t="s">
        <v>87</v>
      </c>
      <c r="E623" s="23" t="s">
        <v>109</v>
      </c>
      <c r="F623" s="23" t="s">
        <v>110</v>
      </c>
      <c r="G623" s="23" t="s">
        <v>2584</v>
      </c>
      <c r="H623" s="23" t="s">
        <v>81</v>
      </c>
      <c r="I623" s="23" t="s">
        <v>88</v>
      </c>
      <c r="J623" s="23" t="s">
        <v>173</v>
      </c>
      <c r="K623" s="23" t="s">
        <v>261</v>
      </c>
      <c r="L623" s="23" t="s">
        <v>2695</v>
      </c>
      <c r="M623" s="23" t="s">
        <v>30</v>
      </c>
      <c r="N623" s="23" t="s">
        <v>70</v>
      </c>
      <c r="O623" s="23">
        <v>41</v>
      </c>
      <c r="P623" s="23">
        <v>129.16999999999999</v>
      </c>
      <c r="Q623" s="23">
        <v>77.989999999999995</v>
      </c>
      <c r="R623" s="23">
        <v>5295.86</v>
      </c>
      <c r="S623" s="23">
        <v>0.2</v>
      </c>
      <c r="T623" s="23">
        <v>1059.17</v>
      </c>
      <c r="U623" s="23">
        <v>4236.6899999999996</v>
      </c>
      <c r="V623" s="23">
        <v>3197.6</v>
      </c>
      <c r="W623" s="23">
        <v>1039.0899999999999</v>
      </c>
      <c r="X623" s="23" t="s">
        <v>45</v>
      </c>
    </row>
    <row r="624" spans="1:24" x14ac:dyDescent="0.25">
      <c r="A624" s="20" t="s">
        <v>1095</v>
      </c>
      <c r="B624" s="19">
        <v>45560</v>
      </c>
      <c r="C624" s="20" t="s">
        <v>983</v>
      </c>
      <c r="D624" s="20" t="s">
        <v>22</v>
      </c>
      <c r="E624" s="20" t="s">
        <v>126</v>
      </c>
      <c r="F624" s="20" t="s">
        <v>2589</v>
      </c>
      <c r="G624" s="20" t="s">
        <v>2586</v>
      </c>
      <c r="H624" s="20" t="s">
        <v>128</v>
      </c>
      <c r="I624" s="20" t="s">
        <v>58</v>
      </c>
      <c r="J624" s="20" t="s">
        <v>345</v>
      </c>
      <c r="K624" s="20" t="s">
        <v>152</v>
      </c>
      <c r="L624" s="20" t="s">
        <v>2688</v>
      </c>
      <c r="M624" s="20" t="s">
        <v>61</v>
      </c>
      <c r="N624" s="20" t="s">
        <v>2578</v>
      </c>
      <c r="O624" s="20">
        <v>50</v>
      </c>
      <c r="P624" s="20">
        <v>91.34</v>
      </c>
      <c r="Q624" s="20">
        <v>53.68</v>
      </c>
      <c r="R624" s="20">
        <v>4566.92</v>
      </c>
      <c r="S624" s="20">
        <v>0.2</v>
      </c>
      <c r="T624" s="20">
        <v>913.38</v>
      </c>
      <c r="U624" s="20">
        <v>3653.53</v>
      </c>
      <c r="V624" s="20">
        <v>2683.96</v>
      </c>
      <c r="W624" s="20">
        <v>969.58</v>
      </c>
      <c r="X624" s="20" t="s">
        <v>32</v>
      </c>
    </row>
    <row r="625" spans="1:24" x14ac:dyDescent="0.25">
      <c r="A625" s="23" t="s">
        <v>1096</v>
      </c>
      <c r="B625" s="22">
        <v>45401</v>
      </c>
      <c r="C625" s="23" t="s">
        <v>491</v>
      </c>
      <c r="D625" s="23" t="s">
        <v>57</v>
      </c>
      <c r="E625" s="23" t="s">
        <v>49</v>
      </c>
      <c r="F625" s="23" t="s">
        <v>2580</v>
      </c>
      <c r="G625" s="23" t="s">
        <v>2581</v>
      </c>
      <c r="H625" s="23" t="s">
        <v>52</v>
      </c>
      <c r="I625" s="23" t="s">
        <v>58</v>
      </c>
      <c r="J625" s="23" t="s">
        <v>59</v>
      </c>
      <c r="K625" s="23" t="s">
        <v>90</v>
      </c>
      <c r="L625" s="23" t="s">
        <v>2684</v>
      </c>
      <c r="M625" s="23" t="s">
        <v>30</v>
      </c>
      <c r="N625" s="23" t="s">
        <v>84</v>
      </c>
      <c r="O625" s="23">
        <v>51</v>
      </c>
      <c r="P625" s="23">
        <v>23.14</v>
      </c>
      <c r="Q625" s="23">
        <v>12.32</v>
      </c>
      <c r="R625" s="23">
        <v>1180.3499999999999</v>
      </c>
      <c r="S625" s="23">
        <v>0.02</v>
      </c>
      <c r="T625" s="23">
        <v>23.61</v>
      </c>
      <c r="U625" s="23">
        <v>1156.74</v>
      </c>
      <c r="V625" s="23">
        <v>628.54999999999995</v>
      </c>
      <c r="W625" s="23">
        <v>528.19000000000005</v>
      </c>
      <c r="X625" s="23" t="s">
        <v>32</v>
      </c>
    </row>
    <row r="626" spans="1:24" x14ac:dyDescent="0.25">
      <c r="A626" s="20" t="s">
        <v>1097</v>
      </c>
      <c r="B626" s="19">
        <v>45306</v>
      </c>
      <c r="C626" s="20" t="s">
        <v>1098</v>
      </c>
      <c r="D626" s="20" t="s">
        <v>121</v>
      </c>
      <c r="E626" s="20" t="s">
        <v>165</v>
      </c>
      <c r="F626" s="20" t="s">
        <v>2592</v>
      </c>
      <c r="G626" s="20" t="s">
        <v>2586</v>
      </c>
      <c r="H626" s="20" t="s">
        <v>167</v>
      </c>
      <c r="I626" s="20" t="s">
        <v>40</v>
      </c>
      <c r="J626" s="20" t="s">
        <v>41</v>
      </c>
      <c r="K626" s="20" t="s">
        <v>253</v>
      </c>
      <c r="L626" s="20" t="s">
        <v>2694</v>
      </c>
      <c r="M626" s="20" t="s">
        <v>61</v>
      </c>
      <c r="N626" s="20" t="s">
        <v>70</v>
      </c>
      <c r="O626" s="20">
        <v>77</v>
      </c>
      <c r="P626" s="20">
        <v>43.02</v>
      </c>
      <c r="Q626" s="20">
        <v>26.38</v>
      </c>
      <c r="R626" s="20">
        <v>3312.8</v>
      </c>
      <c r="S626" s="20">
        <v>0</v>
      </c>
      <c r="T626" s="20">
        <v>0</v>
      </c>
      <c r="U626" s="20">
        <v>3312.8</v>
      </c>
      <c r="V626" s="20">
        <v>2031.45</v>
      </c>
      <c r="W626" s="20">
        <v>1281.3599999999999</v>
      </c>
      <c r="X626" s="20" t="s">
        <v>45</v>
      </c>
    </row>
    <row r="627" spans="1:24" x14ac:dyDescent="0.25">
      <c r="A627" s="23" t="s">
        <v>1099</v>
      </c>
      <c r="B627" s="22">
        <v>45606</v>
      </c>
      <c r="C627" s="23" t="s">
        <v>2619</v>
      </c>
      <c r="D627" s="23" t="s">
        <v>2619</v>
      </c>
      <c r="E627" s="23" t="s">
        <v>109</v>
      </c>
      <c r="F627" s="23" t="s">
        <v>110</v>
      </c>
      <c r="G627" s="23" t="s">
        <v>2584</v>
      </c>
      <c r="H627" s="23" t="s">
        <v>81</v>
      </c>
      <c r="I627" s="23" t="s">
        <v>27</v>
      </c>
      <c r="J627" s="23" t="s">
        <v>106</v>
      </c>
      <c r="K627" s="23" t="s">
        <v>195</v>
      </c>
      <c r="L627" s="23" t="s">
        <v>2691</v>
      </c>
      <c r="M627" s="23" t="s">
        <v>30</v>
      </c>
      <c r="N627" s="23" t="s">
        <v>70</v>
      </c>
      <c r="O627" s="23">
        <v>73</v>
      </c>
      <c r="P627" s="23">
        <v>129.15</v>
      </c>
      <c r="Q627" s="23">
        <v>68.819999999999993</v>
      </c>
      <c r="R627" s="23">
        <v>9428.27</v>
      </c>
      <c r="S627" s="23">
        <v>0</v>
      </c>
      <c r="T627" s="23">
        <v>0</v>
      </c>
      <c r="U627" s="23">
        <v>9428.27</v>
      </c>
      <c r="V627" s="23">
        <v>5023.6000000000004</v>
      </c>
      <c r="W627" s="23">
        <v>4404.67</v>
      </c>
      <c r="X627" s="23" t="s">
        <v>45</v>
      </c>
    </row>
    <row r="628" spans="1:24" x14ac:dyDescent="0.25">
      <c r="A628" s="20" t="s">
        <v>1100</v>
      </c>
      <c r="B628" s="19">
        <v>45357</v>
      </c>
      <c r="C628" s="20" t="s">
        <v>158</v>
      </c>
      <c r="D628" s="20" t="s">
        <v>159</v>
      </c>
      <c r="E628" s="20" t="s">
        <v>250</v>
      </c>
      <c r="F628" s="20" t="s">
        <v>2598</v>
      </c>
      <c r="G628" s="20" t="s">
        <v>2581</v>
      </c>
      <c r="H628" s="20" t="s">
        <v>252</v>
      </c>
      <c r="I628" s="20" t="s">
        <v>88</v>
      </c>
      <c r="J628" s="20" t="s">
        <v>173</v>
      </c>
      <c r="K628" s="20" t="s">
        <v>184</v>
      </c>
      <c r="L628" s="20" t="s">
        <v>2690</v>
      </c>
      <c r="M628" s="20" t="s">
        <v>43</v>
      </c>
      <c r="N628" s="20" t="s">
        <v>70</v>
      </c>
      <c r="O628" s="20">
        <v>67</v>
      </c>
      <c r="P628" s="20">
        <v>62.58</v>
      </c>
      <c r="Q628" s="20">
        <v>40.04</v>
      </c>
      <c r="R628" s="20">
        <v>4193.0600000000004</v>
      </c>
      <c r="S628" s="20">
        <v>0.02</v>
      </c>
      <c r="T628" s="20">
        <v>83.86</v>
      </c>
      <c r="U628" s="20">
        <v>4109.2</v>
      </c>
      <c r="V628" s="20">
        <v>2682.66</v>
      </c>
      <c r="W628" s="20">
        <v>1426.54</v>
      </c>
      <c r="X628" s="20" t="s">
        <v>32</v>
      </c>
    </row>
    <row r="629" spans="1:24" x14ac:dyDescent="0.25">
      <c r="A629" s="23" t="s">
        <v>1101</v>
      </c>
      <c r="B629" s="22">
        <v>45532</v>
      </c>
      <c r="C629" s="23" t="s">
        <v>594</v>
      </c>
      <c r="D629" s="23" t="s">
        <v>105</v>
      </c>
      <c r="E629" s="23" t="s">
        <v>49</v>
      </c>
      <c r="F629" s="23" t="s">
        <v>2580</v>
      </c>
      <c r="G629" s="23" t="s">
        <v>2581</v>
      </c>
      <c r="H629" s="23" t="s">
        <v>52</v>
      </c>
      <c r="I629" s="23" t="s">
        <v>27</v>
      </c>
      <c r="J629" s="23" t="s">
        <v>189</v>
      </c>
      <c r="K629" s="23" t="s">
        <v>74</v>
      </c>
      <c r="L629" s="23" t="s">
        <v>2682</v>
      </c>
      <c r="M629" s="23" t="s">
        <v>30</v>
      </c>
      <c r="N629" s="23" t="s">
        <v>2578</v>
      </c>
      <c r="O629" s="23">
        <v>65</v>
      </c>
      <c r="P629" s="23">
        <v>23.21</v>
      </c>
      <c r="Q629" s="23">
        <v>13.09</v>
      </c>
      <c r="R629" s="23">
        <v>1508.51</v>
      </c>
      <c r="S629" s="23">
        <v>0</v>
      </c>
      <c r="T629" s="23">
        <v>0</v>
      </c>
      <c r="U629" s="23">
        <v>1508.51</v>
      </c>
      <c r="V629" s="23">
        <v>850.58</v>
      </c>
      <c r="W629" s="23">
        <v>657.93</v>
      </c>
      <c r="X629" s="23" t="s">
        <v>129</v>
      </c>
    </row>
    <row r="630" spans="1:24" x14ac:dyDescent="0.25">
      <c r="A630" s="20" t="s">
        <v>1102</v>
      </c>
      <c r="B630" s="19">
        <v>45348</v>
      </c>
      <c r="C630" s="20" t="s">
        <v>800</v>
      </c>
      <c r="D630" s="20" t="s">
        <v>264</v>
      </c>
      <c r="E630" s="20" t="s">
        <v>109</v>
      </c>
      <c r="F630" s="20" t="s">
        <v>110</v>
      </c>
      <c r="G630" s="20" t="s">
        <v>2584</v>
      </c>
      <c r="H630" s="20" t="s">
        <v>81</v>
      </c>
      <c r="I630" s="20" t="s">
        <v>53</v>
      </c>
      <c r="J630" s="20" t="s">
        <v>143</v>
      </c>
      <c r="K630" s="20" t="s">
        <v>60</v>
      </c>
      <c r="L630" s="20" t="s">
        <v>2677</v>
      </c>
      <c r="M630" s="20" t="s">
        <v>61</v>
      </c>
      <c r="N630" s="20" t="s">
        <v>70</v>
      </c>
      <c r="O630" s="20">
        <v>2</v>
      </c>
      <c r="P630" s="20">
        <v>116.14</v>
      </c>
      <c r="Q630" s="20">
        <v>71.42</v>
      </c>
      <c r="R630" s="20">
        <v>232.28</v>
      </c>
      <c r="S630" s="20">
        <v>0.2</v>
      </c>
      <c r="T630" s="20">
        <v>46.46</v>
      </c>
      <c r="U630" s="20">
        <v>185.83</v>
      </c>
      <c r="V630" s="20">
        <v>142.84</v>
      </c>
      <c r="W630" s="20">
        <v>42.98</v>
      </c>
      <c r="X630" s="20" t="s">
        <v>45</v>
      </c>
    </row>
    <row r="631" spans="1:24" x14ac:dyDescent="0.25">
      <c r="A631" s="23" t="s">
        <v>1103</v>
      </c>
      <c r="B631" s="22">
        <v>45613</v>
      </c>
      <c r="C631" s="23" t="s">
        <v>936</v>
      </c>
      <c r="D631" s="23" t="s">
        <v>57</v>
      </c>
      <c r="E631" s="23" t="s">
        <v>93</v>
      </c>
      <c r="F631" s="23" t="s">
        <v>2585</v>
      </c>
      <c r="G631" s="23" t="s">
        <v>2586</v>
      </c>
      <c r="H631" s="23" t="s">
        <v>96</v>
      </c>
      <c r="I631" s="23" t="s">
        <v>40</v>
      </c>
      <c r="J631" s="23" t="s">
        <v>289</v>
      </c>
      <c r="K631" s="23" t="s">
        <v>265</v>
      </c>
      <c r="L631" s="23" t="s">
        <v>2663</v>
      </c>
      <c r="M631" s="23" t="s">
        <v>30</v>
      </c>
      <c r="N631" s="23" t="s">
        <v>2578</v>
      </c>
      <c r="O631" s="23">
        <v>54</v>
      </c>
      <c r="P631" s="23">
        <v>54.09</v>
      </c>
      <c r="Q631" s="23">
        <v>32.630000000000003</v>
      </c>
      <c r="R631" s="23">
        <v>2920.84</v>
      </c>
      <c r="S631" s="23">
        <v>0.1</v>
      </c>
      <c r="T631" s="23">
        <v>292.08</v>
      </c>
      <c r="U631" s="23">
        <v>2628.75</v>
      </c>
      <c r="V631" s="23">
        <v>1761.75</v>
      </c>
      <c r="W631" s="23">
        <v>867</v>
      </c>
      <c r="X631" s="23" t="s">
        <v>32</v>
      </c>
    </row>
    <row r="632" spans="1:24" x14ac:dyDescent="0.25">
      <c r="A632" s="20" t="s">
        <v>1104</v>
      </c>
      <c r="B632" s="19">
        <v>45459</v>
      </c>
      <c r="C632" s="20" t="s">
        <v>322</v>
      </c>
      <c r="D632" s="20" t="s">
        <v>65</v>
      </c>
      <c r="E632" s="20" t="s">
        <v>209</v>
      </c>
      <c r="F632" s="20" t="s">
        <v>2595</v>
      </c>
      <c r="G632" s="20" t="s">
        <v>2581</v>
      </c>
      <c r="H632" s="20" t="s">
        <v>116</v>
      </c>
      <c r="I632" s="20" t="s">
        <v>88</v>
      </c>
      <c r="J632" s="20" t="s">
        <v>173</v>
      </c>
      <c r="K632" s="20" t="s">
        <v>83</v>
      </c>
      <c r="L632" s="20" t="s">
        <v>2683</v>
      </c>
      <c r="M632" s="20" t="s">
        <v>43</v>
      </c>
      <c r="N632" s="20" t="s">
        <v>2578</v>
      </c>
      <c r="O632" s="20">
        <v>71</v>
      </c>
      <c r="P632" s="20">
        <v>19.16</v>
      </c>
      <c r="Q632" s="20">
        <v>9.5299999999999994</v>
      </c>
      <c r="R632" s="20">
        <v>1360.15</v>
      </c>
      <c r="S632" s="20">
        <v>0.1</v>
      </c>
      <c r="T632" s="20">
        <v>136.02000000000001</v>
      </c>
      <c r="U632" s="20">
        <v>1224.1400000000001</v>
      </c>
      <c r="V632" s="20">
        <v>676.31</v>
      </c>
      <c r="W632" s="20">
        <v>547.82000000000005</v>
      </c>
      <c r="X632" s="20" t="s">
        <v>45</v>
      </c>
    </row>
    <row r="633" spans="1:24" x14ac:dyDescent="0.25">
      <c r="A633" s="23" t="s">
        <v>1105</v>
      </c>
      <c r="B633" s="22">
        <v>45424</v>
      </c>
      <c r="C633" s="23" t="s">
        <v>239</v>
      </c>
      <c r="D633" s="23" t="s">
        <v>65</v>
      </c>
      <c r="E633" s="23" t="s">
        <v>216</v>
      </c>
      <c r="F633" s="23" t="s">
        <v>2596</v>
      </c>
      <c r="G633" s="23" t="s">
        <v>2579</v>
      </c>
      <c r="H633" s="23" t="s">
        <v>134</v>
      </c>
      <c r="I633" s="23" t="s">
        <v>88</v>
      </c>
      <c r="J633" s="23" t="s">
        <v>183</v>
      </c>
      <c r="K633" s="23" t="s">
        <v>184</v>
      </c>
      <c r="L633" s="23" t="s">
        <v>2690</v>
      </c>
      <c r="M633" s="23" t="s">
        <v>153</v>
      </c>
      <c r="N633" s="23" t="s">
        <v>44</v>
      </c>
      <c r="O633" s="23">
        <v>57</v>
      </c>
      <c r="P633" s="23">
        <v>109.34</v>
      </c>
      <c r="Q633" s="23">
        <v>72.16</v>
      </c>
      <c r="R633" s="23">
        <v>6232.56</v>
      </c>
      <c r="S633" s="23">
        <v>0.05</v>
      </c>
      <c r="T633" s="23">
        <v>311.63</v>
      </c>
      <c r="U633" s="23">
        <v>5920.93</v>
      </c>
      <c r="V633" s="23">
        <v>4112.8999999999996</v>
      </c>
      <c r="W633" s="23">
        <v>1808.03</v>
      </c>
      <c r="X633" s="23" t="s">
        <v>45</v>
      </c>
    </row>
    <row r="634" spans="1:24" x14ac:dyDescent="0.25">
      <c r="A634" s="20" t="s">
        <v>1106</v>
      </c>
      <c r="B634" s="19">
        <v>45541</v>
      </c>
      <c r="C634" s="20" t="s">
        <v>418</v>
      </c>
      <c r="D634" s="20" t="s">
        <v>159</v>
      </c>
      <c r="E634" s="20" t="s">
        <v>109</v>
      </c>
      <c r="F634" s="20" t="s">
        <v>110</v>
      </c>
      <c r="G634" s="20" t="s">
        <v>2584</v>
      </c>
      <c r="H634" s="20" t="s">
        <v>81</v>
      </c>
      <c r="I634" s="20" t="s">
        <v>27</v>
      </c>
      <c r="J634" s="20" t="s">
        <v>106</v>
      </c>
      <c r="K634" s="20" t="s">
        <v>69</v>
      </c>
      <c r="L634" s="20" t="s">
        <v>2681</v>
      </c>
      <c r="M634" s="20" t="s">
        <v>61</v>
      </c>
      <c r="N634" s="20" t="s">
        <v>70</v>
      </c>
      <c r="O634" s="20">
        <v>11</v>
      </c>
      <c r="P634" s="20">
        <v>119.01</v>
      </c>
      <c r="Q634" s="20">
        <v>73.900000000000006</v>
      </c>
      <c r="R634" s="20">
        <v>1309.1199999999999</v>
      </c>
      <c r="S634" s="20">
        <v>0.2</v>
      </c>
      <c r="T634" s="20">
        <v>261.82</v>
      </c>
      <c r="U634" s="20">
        <v>1047.29</v>
      </c>
      <c r="V634" s="20">
        <v>812.91</v>
      </c>
      <c r="W634" s="20">
        <v>234.39</v>
      </c>
      <c r="X634" s="20" t="s">
        <v>45</v>
      </c>
    </row>
    <row r="635" spans="1:24" x14ac:dyDescent="0.25">
      <c r="A635" s="23" t="s">
        <v>1107</v>
      </c>
      <c r="B635" s="22">
        <v>45514</v>
      </c>
      <c r="C635" s="23" t="s">
        <v>169</v>
      </c>
      <c r="D635" s="23" t="s">
        <v>57</v>
      </c>
      <c r="E635" s="23" t="s">
        <v>109</v>
      </c>
      <c r="F635" s="23" t="s">
        <v>110</v>
      </c>
      <c r="G635" s="23" t="s">
        <v>2584</v>
      </c>
      <c r="H635" s="23" t="s">
        <v>81</v>
      </c>
      <c r="I635" s="23" t="s">
        <v>53</v>
      </c>
      <c r="J635" s="23" t="s">
        <v>122</v>
      </c>
      <c r="K635" s="23" t="s">
        <v>144</v>
      </c>
      <c r="L635" s="23" t="s">
        <v>2687</v>
      </c>
      <c r="M635" s="23" t="s">
        <v>30</v>
      </c>
      <c r="N635" s="23" t="s">
        <v>75</v>
      </c>
      <c r="O635" s="23">
        <v>70</v>
      </c>
      <c r="P635" s="23">
        <v>134.47</v>
      </c>
      <c r="Q635" s="23">
        <v>79.55</v>
      </c>
      <c r="R635" s="23">
        <v>9412.8799999999992</v>
      </c>
      <c r="S635" s="23">
        <v>0.02</v>
      </c>
      <c r="T635" s="23">
        <v>188.26</v>
      </c>
      <c r="U635" s="23">
        <v>9224.6299999999992</v>
      </c>
      <c r="V635" s="23">
        <v>5568.61</v>
      </c>
      <c r="W635" s="23">
        <v>3656.02</v>
      </c>
      <c r="X635" s="23" t="s">
        <v>45</v>
      </c>
    </row>
    <row r="636" spans="1:24" x14ac:dyDescent="0.25">
      <c r="A636" s="20" t="s">
        <v>1108</v>
      </c>
      <c r="B636" s="19">
        <v>45515</v>
      </c>
      <c r="C636" s="20" t="s">
        <v>533</v>
      </c>
      <c r="D636" s="20" t="s">
        <v>163</v>
      </c>
      <c r="E636" s="20" t="s">
        <v>99</v>
      </c>
      <c r="F636" s="20" t="s">
        <v>100</v>
      </c>
      <c r="G636" s="20" t="s">
        <v>2587</v>
      </c>
      <c r="H636" s="20" t="s">
        <v>102</v>
      </c>
      <c r="I636" s="20" t="s">
        <v>53</v>
      </c>
      <c r="J636" s="20" t="s">
        <v>232</v>
      </c>
      <c r="K636" s="20" t="s">
        <v>261</v>
      </c>
      <c r="L636" s="20" t="s">
        <v>2695</v>
      </c>
      <c r="M636" s="20" t="s">
        <v>43</v>
      </c>
      <c r="N636" s="20" t="s">
        <v>44</v>
      </c>
      <c r="O636" s="20">
        <v>36</v>
      </c>
      <c r="P636" s="20">
        <v>65.39</v>
      </c>
      <c r="Q636" s="20">
        <v>40.92</v>
      </c>
      <c r="R636" s="20">
        <v>2354.13</v>
      </c>
      <c r="S636" s="20">
        <v>0.2</v>
      </c>
      <c r="T636" s="20">
        <v>470.83</v>
      </c>
      <c r="U636" s="20">
        <v>1883.3</v>
      </c>
      <c r="V636" s="20">
        <v>1473.08</v>
      </c>
      <c r="W636" s="20">
        <v>410.22</v>
      </c>
      <c r="X636" s="20" t="s">
        <v>45</v>
      </c>
    </row>
    <row r="637" spans="1:24" x14ac:dyDescent="0.25">
      <c r="A637" s="23" t="s">
        <v>1109</v>
      </c>
      <c r="B637" s="22">
        <v>45640</v>
      </c>
      <c r="C637" s="23" t="s">
        <v>651</v>
      </c>
      <c r="D637" s="23" t="s">
        <v>105</v>
      </c>
      <c r="E637" s="23" t="s">
        <v>49</v>
      </c>
      <c r="F637" s="23" t="s">
        <v>2580</v>
      </c>
      <c r="G637" s="23" t="s">
        <v>2581</v>
      </c>
      <c r="H637" s="23" t="s">
        <v>52</v>
      </c>
      <c r="I637" s="23" t="s">
        <v>58</v>
      </c>
      <c r="J637" s="23" t="s">
        <v>345</v>
      </c>
      <c r="K637" s="23" t="s">
        <v>29</v>
      </c>
      <c r="L637" s="23" t="s">
        <v>2679</v>
      </c>
      <c r="M637" s="23" t="s">
        <v>43</v>
      </c>
      <c r="N637" s="23" t="s">
        <v>75</v>
      </c>
      <c r="O637" s="23">
        <v>67</v>
      </c>
      <c r="P637" s="23">
        <v>26.97</v>
      </c>
      <c r="Q637" s="23">
        <v>13.73</v>
      </c>
      <c r="R637" s="23">
        <v>1806.9</v>
      </c>
      <c r="S637" s="23">
        <v>0.1</v>
      </c>
      <c r="T637" s="23">
        <v>180.69</v>
      </c>
      <c r="U637" s="23">
        <v>1626.21</v>
      </c>
      <c r="V637" s="23">
        <v>919.97</v>
      </c>
      <c r="W637" s="23">
        <v>706.23</v>
      </c>
      <c r="X637" s="23" t="s">
        <v>45</v>
      </c>
    </row>
    <row r="638" spans="1:24" x14ac:dyDescent="0.25">
      <c r="A638" s="20" t="s">
        <v>1110</v>
      </c>
      <c r="B638" s="19">
        <v>45425</v>
      </c>
      <c r="C638" s="20" t="s">
        <v>737</v>
      </c>
      <c r="D638" s="20" t="s">
        <v>22</v>
      </c>
      <c r="E638" s="20" t="s">
        <v>36</v>
      </c>
      <c r="F638" s="20" t="s">
        <v>37</v>
      </c>
      <c r="G638" s="20" t="s">
        <v>2579</v>
      </c>
      <c r="H638" s="20" t="s">
        <v>39</v>
      </c>
      <c r="I638" s="20" t="s">
        <v>27</v>
      </c>
      <c r="J638" s="20" t="s">
        <v>189</v>
      </c>
      <c r="K638" s="20" t="s">
        <v>253</v>
      </c>
      <c r="L638" s="20" t="s">
        <v>2694</v>
      </c>
      <c r="M638" s="20" t="s">
        <v>30</v>
      </c>
      <c r="N638" s="20" t="s">
        <v>2578</v>
      </c>
      <c r="O638" s="20">
        <v>34</v>
      </c>
      <c r="P638" s="20">
        <v>156.76</v>
      </c>
      <c r="Q638" s="20">
        <v>92.3</v>
      </c>
      <c r="R638" s="20">
        <v>5329.88</v>
      </c>
      <c r="S638" s="20">
        <v>0.2</v>
      </c>
      <c r="T638" s="20">
        <v>1065.98</v>
      </c>
      <c r="U638" s="20">
        <v>4263.8999999999996</v>
      </c>
      <c r="V638" s="20">
        <v>3138.17</v>
      </c>
      <c r="W638" s="20">
        <v>1125.73</v>
      </c>
      <c r="X638" s="20" t="s">
        <v>45</v>
      </c>
    </row>
    <row r="639" spans="1:24" x14ac:dyDescent="0.25">
      <c r="A639" s="23" t="s">
        <v>1111</v>
      </c>
      <c r="B639" s="22">
        <v>45339</v>
      </c>
      <c r="C639" s="23" t="s">
        <v>1112</v>
      </c>
      <c r="D639" s="23" t="s">
        <v>159</v>
      </c>
      <c r="E639" s="23" t="s">
        <v>114</v>
      </c>
      <c r="F639" s="23" t="s">
        <v>2588</v>
      </c>
      <c r="G639" s="23" t="s">
        <v>2586</v>
      </c>
      <c r="H639" s="23" t="s">
        <v>116</v>
      </c>
      <c r="I639" s="23" t="s">
        <v>58</v>
      </c>
      <c r="J639" s="23" t="s">
        <v>73</v>
      </c>
      <c r="K639" s="23" t="s">
        <v>60</v>
      </c>
      <c r="L639" s="23" t="s">
        <v>2677</v>
      </c>
      <c r="M639" s="23" t="s">
        <v>43</v>
      </c>
      <c r="N639" s="23" t="s">
        <v>70</v>
      </c>
      <c r="O639" s="23">
        <v>43</v>
      </c>
      <c r="P639" s="23">
        <v>35.590000000000003</v>
      </c>
      <c r="Q639" s="23">
        <v>19.71</v>
      </c>
      <c r="R639" s="23">
        <v>1530.44</v>
      </c>
      <c r="S639" s="23">
        <v>0.05</v>
      </c>
      <c r="T639" s="23">
        <v>76.52</v>
      </c>
      <c r="U639" s="23">
        <v>1453.92</v>
      </c>
      <c r="V639" s="23">
        <v>847.69</v>
      </c>
      <c r="W639" s="23">
        <v>606.22</v>
      </c>
      <c r="X639" s="23" t="s">
        <v>32</v>
      </c>
    </row>
    <row r="640" spans="1:24" x14ac:dyDescent="0.25">
      <c r="A640" s="20" t="s">
        <v>1113</v>
      </c>
      <c r="B640" s="19">
        <v>45390</v>
      </c>
      <c r="C640" s="20" t="s">
        <v>410</v>
      </c>
      <c r="D640" s="20" t="s">
        <v>149</v>
      </c>
      <c r="E640" s="20" t="s">
        <v>176</v>
      </c>
      <c r="F640" s="20" t="s">
        <v>2593</v>
      </c>
      <c r="G640" s="20" t="s">
        <v>2587</v>
      </c>
      <c r="H640" s="20" t="s">
        <v>39</v>
      </c>
      <c r="I640" s="20" t="s">
        <v>53</v>
      </c>
      <c r="J640" s="20" t="s">
        <v>122</v>
      </c>
      <c r="K640" s="20" t="s">
        <v>261</v>
      </c>
      <c r="L640" s="20" t="s">
        <v>2695</v>
      </c>
      <c r="M640" s="20" t="s">
        <v>30</v>
      </c>
      <c r="N640" s="20" t="s">
        <v>70</v>
      </c>
      <c r="O640" s="20">
        <v>33</v>
      </c>
      <c r="P640" s="20">
        <v>108.69</v>
      </c>
      <c r="Q640" s="20">
        <v>66.930000000000007</v>
      </c>
      <c r="R640" s="20">
        <v>3586.61</v>
      </c>
      <c r="S640" s="20">
        <v>0.02</v>
      </c>
      <c r="T640" s="20">
        <v>71.73</v>
      </c>
      <c r="U640" s="20">
        <v>3514.88</v>
      </c>
      <c r="V640" s="20">
        <v>2208.8200000000002</v>
      </c>
      <c r="W640" s="20">
        <v>1306.06</v>
      </c>
      <c r="X640" s="20" t="s">
        <v>32</v>
      </c>
    </row>
    <row r="641" spans="1:24" x14ac:dyDescent="0.25">
      <c r="A641" s="23" t="s">
        <v>1114</v>
      </c>
      <c r="B641" s="22">
        <v>45587</v>
      </c>
      <c r="C641" s="23" t="s">
        <v>305</v>
      </c>
      <c r="D641" s="23" t="s">
        <v>87</v>
      </c>
      <c r="E641" s="23" t="s">
        <v>78</v>
      </c>
      <c r="F641" s="23" t="s">
        <v>2583</v>
      </c>
      <c r="G641" s="23" t="s">
        <v>2584</v>
      </c>
      <c r="H641" s="23" t="s">
        <v>81</v>
      </c>
      <c r="I641" s="23" t="s">
        <v>53</v>
      </c>
      <c r="J641" s="23" t="s">
        <v>54</v>
      </c>
      <c r="K641" s="23" t="s">
        <v>83</v>
      </c>
      <c r="L641" s="23" t="s">
        <v>2683</v>
      </c>
      <c r="M641" s="23" t="s">
        <v>61</v>
      </c>
      <c r="N641" s="23" t="s">
        <v>44</v>
      </c>
      <c r="O641" s="23">
        <v>72</v>
      </c>
      <c r="P641" s="23">
        <v>138.74</v>
      </c>
      <c r="Q641" s="23">
        <v>75.73</v>
      </c>
      <c r="R641" s="23">
        <v>9989.5499999999993</v>
      </c>
      <c r="S641" s="23">
        <v>0.15</v>
      </c>
      <c r="T641" s="23">
        <v>1498.43</v>
      </c>
      <c r="U641" s="23">
        <v>8491.1200000000008</v>
      </c>
      <c r="V641" s="23">
        <v>5452.38</v>
      </c>
      <c r="W641" s="23">
        <v>3038.74</v>
      </c>
      <c r="X641" s="23" t="s">
        <v>32</v>
      </c>
    </row>
    <row r="642" spans="1:24" x14ac:dyDescent="0.25">
      <c r="A642" s="20" t="s">
        <v>1115</v>
      </c>
      <c r="B642" s="19">
        <v>45454</v>
      </c>
      <c r="C642" s="20" t="s">
        <v>237</v>
      </c>
      <c r="D642" s="20" t="s">
        <v>105</v>
      </c>
      <c r="E642" s="20" t="s">
        <v>49</v>
      </c>
      <c r="F642" s="20" t="s">
        <v>2580</v>
      </c>
      <c r="G642" s="20" t="s">
        <v>2581</v>
      </c>
      <c r="H642" s="20" t="s">
        <v>52</v>
      </c>
      <c r="I642" s="20" t="s">
        <v>27</v>
      </c>
      <c r="J642" s="20" t="s">
        <v>106</v>
      </c>
      <c r="K642" s="20" t="s">
        <v>248</v>
      </c>
      <c r="L642" s="20" t="s">
        <v>2693</v>
      </c>
      <c r="M642" s="20" t="s">
        <v>30</v>
      </c>
      <c r="N642" s="20" t="s">
        <v>75</v>
      </c>
      <c r="O642" s="20">
        <v>40</v>
      </c>
      <c r="P642" s="20">
        <v>23.2</v>
      </c>
      <c r="Q642" s="20">
        <v>12.85</v>
      </c>
      <c r="R642" s="20">
        <v>928.09</v>
      </c>
      <c r="S642" s="20">
        <v>0.02</v>
      </c>
      <c r="T642" s="20">
        <v>18.559999999999999</v>
      </c>
      <c r="U642" s="20">
        <v>909.53</v>
      </c>
      <c r="V642" s="20">
        <v>513.85</v>
      </c>
      <c r="W642" s="20">
        <v>395.68</v>
      </c>
      <c r="X642" s="20" t="s">
        <v>129</v>
      </c>
    </row>
    <row r="643" spans="1:24" x14ac:dyDescent="0.25">
      <c r="A643" s="23" t="s">
        <v>1116</v>
      </c>
      <c r="B643" s="22">
        <v>45576</v>
      </c>
      <c r="C643" s="23" t="s">
        <v>653</v>
      </c>
      <c r="D643" s="23" t="s">
        <v>87</v>
      </c>
      <c r="E643" s="23" t="s">
        <v>109</v>
      </c>
      <c r="F643" s="23" t="s">
        <v>110</v>
      </c>
      <c r="G643" s="23" t="s">
        <v>2584</v>
      </c>
      <c r="H643" s="23" t="s">
        <v>81</v>
      </c>
      <c r="I643" s="23" t="s">
        <v>27</v>
      </c>
      <c r="J643" s="23" t="s">
        <v>211</v>
      </c>
      <c r="K643" s="23" t="s">
        <v>265</v>
      </c>
      <c r="L643" s="23" t="s">
        <v>2663</v>
      </c>
      <c r="M643" s="23" t="s">
        <v>43</v>
      </c>
      <c r="N643" s="23" t="s">
        <v>75</v>
      </c>
      <c r="O643" s="23">
        <v>69</v>
      </c>
      <c r="P643" s="23">
        <v>115.19</v>
      </c>
      <c r="Q643" s="23">
        <v>71</v>
      </c>
      <c r="R643" s="23">
        <v>7947.88</v>
      </c>
      <c r="S643" s="23">
        <v>0.15</v>
      </c>
      <c r="T643" s="23">
        <v>1192.18</v>
      </c>
      <c r="U643" s="23">
        <v>6755.7</v>
      </c>
      <c r="V643" s="23">
        <v>4899.05</v>
      </c>
      <c r="W643" s="23">
        <v>1856.65</v>
      </c>
      <c r="X643" s="23" t="s">
        <v>129</v>
      </c>
    </row>
    <row r="644" spans="1:24" x14ac:dyDescent="0.25">
      <c r="A644" s="20" t="s">
        <v>1117</v>
      </c>
      <c r="B644" s="19">
        <v>45422</v>
      </c>
      <c r="C644" s="20" t="s">
        <v>471</v>
      </c>
      <c r="D644" s="20" t="s">
        <v>125</v>
      </c>
      <c r="E644" s="20" t="s">
        <v>132</v>
      </c>
      <c r="F644" s="20" t="s">
        <v>133</v>
      </c>
      <c r="G644" s="20" t="s">
        <v>2581</v>
      </c>
      <c r="H644" s="20" t="s">
        <v>134</v>
      </c>
      <c r="I644" s="20" t="s">
        <v>53</v>
      </c>
      <c r="J644" s="20" t="s">
        <v>232</v>
      </c>
      <c r="K644" s="20" t="s">
        <v>144</v>
      </c>
      <c r="L644" s="20" t="s">
        <v>2687</v>
      </c>
      <c r="M644" s="20" t="s">
        <v>43</v>
      </c>
      <c r="N644" s="20" t="s">
        <v>70</v>
      </c>
      <c r="O644" s="20">
        <v>32</v>
      </c>
      <c r="P644" s="20">
        <v>61.2</v>
      </c>
      <c r="Q644" s="20">
        <v>33.36</v>
      </c>
      <c r="R644" s="20">
        <v>1958.3</v>
      </c>
      <c r="S644" s="20">
        <v>0.15</v>
      </c>
      <c r="T644" s="20">
        <v>293.74</v>
      </c>
      <c r="U644" s="20">
        <v>1664.55</v>
      </c>
      <c r="V644" s="20">
        <v>1067.45</v>
      </c>
      <c r="W644" s="20">
        <v>597.1</v>
      </c>
      <c r="X644" s="20" t="s">
        <v>45</v>
      </c>
    </row>
    <row r="645" spans="1:24" x14ac:dyDescent="0.25">
      <c r="A645" s="23" t="s">
        <v>1118</v>
      </c>
      <c r="B645" s="22">
        <v>45519</v>
      </c>
      <c r="C645" s="23" t="s">
        <v>715</v>
      </c>
      <c r="D645" s="23" t="s">
        <v>264</v>
      </c>
      <c r="E645" s="23" t="s">
        <v>49</v>
      </c>
      <c r="F645" s="23" t="s">
        <v>2580</v>
      </c>
      <c r="G645" s="23" t="s">
        <v>2581</v>
      </c>
      <c r="H645" s="23" t="s">
        <v>52</v>
      </c>
      <c r="I645" s="23" t="s">
        <v>27</v>
      </c>
      <c r="J645" s="23" t="s">
        <v>189</v>
      </c>
      <c r="K645" s="23" t="s">
        <v>253</v>
      </c>
      <c r="L645" s="23" t="s">
        <v>2694</v>
      </c>
      <c r="M645" s="23" t="s">
        <v>153</v>
      </c>
      <c r="N645" s="23" t="s">
        <v>75</v>
      </c>
      <c r="O645" s="23">
        <v>8</v>
      </c>
      <c r="P645" s="23">
        <v>24.9</v>
      </c>
      <c r="Q645" s="23">
        <v>13.09</v>
      </c>
      <c r="R645" s="23">
        <v>199.22</v>
      </c>
      <c r="S645" s="23">
        <v>0.05</v>
      </c>
      <c r="T645" s="23">
        <v>9.9600000000000009</v>
      </c>
      <c r="U645" s="23">
        <v>189.26</v>
      </c>
      <c r="V645" s="23">
        <v>104.72</v>
      </c>
      <c r="W645" s="23">
        <v>84.54</v>
      </c>
      <c r="X645" s="23" t="s">
        <v>129</v>
      </c>
    </row>
    <row r="646" spans="1:24" x14ac:dyDescent="0.25">
      <c r="A646" s="20" t="s">
        <v>1119</v>
      </c>
      <c r="B646" s="19">
        <v>45608</v>
      </c>
      <c r="C646" s="20" t="s">
        <v>596</v>
      </c>
      <c r="D646" s="20" t="s">
        <v>597</v>
      </c>
      <c r="E646" s="20" t="s">
        <v>209</v>
      </c>
      <c r="F646" s="20" t="s">
        <v>2595</v>
      </c>
      <c r="G646" s="20" t="s">
        <v>2581</v>
      </c>
      <c r="H646" s="20" t="s">
        <v>116</v>
      </c>
      <c r="I646" s="20" t="s">
        <v>27</v>
      </c>
      <c r="J646" s="20" t="s">
        <v>106</v>
      </c>
      <c r="K646" s="20" t="s">
        <v>248</v>
      </c>
      <c r="L646" s="20" t="s">
        <v>2693</v>
      </c>
      <c r="M646" s="20" t="s">
        <v>153</v>
      </c>
      <c r="N646" s="20" t="s">
        <v>70</v>
      </c>
      <c r="O646" s="20">
        <v>10</v>
      </c>
      <c r="P646" s="20">
        <v>18.11</v>
      </c>
      <c r="Q646" s="20">
        <v>9.65</v>
      </c>
      <c r="R646" s="20">
        <v>181.13</v>
      </c>
      <c r="S646" s="20">
        <v>0.02</v>
      </c>
      <c r="T646" s="20">
        <v>3.62</v>
      </c>
      <c r="U646" s="20">
        <v>177.5</v>
      </c>
      <c r="V646" s="20">
        <v>96.52</v>
      </c>
      <c r="W646" s="20">
        <v>80.98</v>
      </c>
      <c r="X646" s="20" t="s">
        <v>32</v>
      </c>
    </row>
    <row r="647" spans="1:24" x14ac:dyDescent="0.25">
      <c r="A647" s="23" t="s">
        <v>1120</v>
      </c>
      <c r="B647" s="22">
        <v>45423</v>
      </c>
      <c r="C647" s="23" t="s">
        <v>335</v>
      </c>
      <c r="D647" s="23" t="s">
        <v>156</v>
      </c>
      <c r="E647" s="23" t="s">
        <v>132</v>
      </c>
      <c r="F647" s="23" t="s">
        <v>133</v>
      </c>
      <c r="G647" s="23" t="s">
        <v>2581</v>
      </c>
      <c r="H647" s="23" t="s">
        <v>134</v>
      </c>
      <c r="I647" s="23" t="s">
        <v>58</v>
      </c>
      <c r="J647" s="23" t="s">
        <v>59</v>
      </c>
      <c r="K647" s="23" t="s">
        <v>152</v>
      </c>
      <c r="L647" s="23" t="s">
        <v>2688</v>
      </c>
      <c r="M647" s="23" t="s">
        <v>61</v>
      </c>
      <c r="N647" s="23" t="s">
        <v>44</v>
      </c>
      <c r="O647" s="23">
        <v>2</v>
      </c>
      <c r="P647" s="23">
        <v>61.48</v>
      </c>
      <c r="Q647" s="23">
        <v>32.770000000000003</v>
      </c>
      <c r="R647" s="23">
        <v>122.97</v>
      </c>
      <c r="S647" s="23">
        <v>0.2</v>
      </c>
      <c r="T647" s="23">
        <v>24.59</v>
      </c>
      <c r="U647" s="23">
        <v>98.37</v>
      </c>
      <c r="V647" s="23">
        <v>65.53</v>
      </c>
      <c r="W647" s="23">
        <v>32.840000000000003</v>
      </c>
      <c r="X647" s="23" t="s">
        <v>129</v>
      </c>
    </row>
    <row r="648" spans="1:24" x14ac:dyDescent="0.25">
      <c r="A648" s="20" t="s">
        <v>1121</v>
      </c>
      <c r="B648" s="19">
        <v>45492</v>
      </c>
      <c r="C648" s="20" t="s">
        <v>1122</v>
      </c>
      <c r="D648" s="20" t="s">
        <v>159</v>
      </c>
      <c r="E648" s="20" t="s">
        <v>165</v>
      </c>
      <c r="F648" s="20" t="s">
        <v>2592</v>
      </c>
      <c r="G648" s="20" t="s">
        <v>2586</v>
      </c>
      <c r="H648" s="20" t="s">
        <v>167</v>
      </c>
      <c r="I648" s="20" t="s">
        <v>53</v>
      </c>
      <c r="J648" s="20" t="s">
        <v>143</v>
      </c>
      <c r="K648" s="20" t="s">
        <v>144</v>
      </c>
      <c r="L648" s="20" t="s">
        <v>2687</v>
      </c>
      <c r="M648" s="20" t="s">
        <v>43</v>
      </c>
      <c r="N648" s="20" t="s">
        <v>44</v>
      </c>
      <c r="O648" s="20">
        <v>21</v>
      </c>
      <c r="P648" s="20">
        <v>41.32</v>
      </c>
      <c r="Q648" s="20">
        <v>24.31</v>
      </c>
      <c r="R648" s="20">
        <v>867.82</v>
      </c>
      <c r="S648" s="20">
        <v>0.15</v>
      </c>
      <c r="T648" s="20">
        <v>130.16999999999999</v>
      </c>
      <c r="U648" s="20">
        <v>737.65</v>
      </c>
      <c r="V648" s="20">
        <v>510.45</v>
      </c>
      <c r="W648" s="20">
        <v>227.2</v>
      </c>
      <c r="X648" s="20" t="s">
        <v>32</v>
      </c>
    </row>
    <row r="649" spans="1:24" x14ac:dyDescent="0.25">
      <c r="A649" s="23" t="s">
        <v>1123</v>
      </c>
      <c r="B649" s="22">
        <v>45448</v>
      </c>
      <c r="C649" s="23" t="s">
        <v>322</v>
      </c>
      <c r="D649" s="23" t="s">
        <v>65</v>
      </c>
      <c r="E649" s="23" t="s">
        <v>165</v>
      </c>
      <c r="F649" s="23" t="s">
        <v>2592</v>
      </c>
      <c r="G649" s="23" t="s">
        <v>2586</v>
      </c>
      <c r="H649" s="23" t="s">
        <v>167</v>
      </c>
      <c r="I649" s="23" t="s">
        <v>88</v>
      </c>
      <c r="J649" s="23" t="s">
        <v>183</v>
      </c>
      <c r="K649" s="23" t="s">
        <v>248</v>
      </c>
      <c r="L649" s="23" t="s">
        <v>2693</v>
      </c>
      <c r="M649" s="23" t="s">
        <v>61</v>
      </c>
      <c r="N649" s="23" t="s">
        <v>2578</v>
      </c>
      <c r="O649" s="23">
        <v>11</v>
      </c>
      <c r="P649" s="23">
        <v>38.72</v>
      </c>
      <c r="Q649" s="23">
        <v>24.88</v>
      </c>
      <c r="R649" s="23">
        <v>425.96</v>
      </c>
      <c r="S649" s="23">
        <v>0.05</v>
      </c>
      <c r="T649" s="23">
        <v>21.3</v>
      </c>
      <c r="U649" s="23">
        <v>404.66</v>
      </c>
      <c r="V649" s="23">
        <v>273.63</v>
      </c>
      <c r="W649" s="23">
        <v>131.03</v>
      </c>
      <c r="X649" s="23" t="s">
        <v>45</v>
      </c>
    </row>
    <row r="650" spans="1:24" x14ac:dyDescent="0.25">
      <c r="A650" s="20" t="s">
        <v>1124</v>
      </c>
      <c r="B650" s="19">
        <v>45523</v>
      </c>
      <c r="C650" s="20" t="s">
        <v>1075</v>
      </c>
      <c r="D650" s="20" t="s">
        <v>65</v>
      </c>
      <c r="E650" s="20" t="s">
        <v>109</v>
      </c>
      <c r="F650" s="20" t="s">
        <v>110</v>
      </c>
      <c r="G650" s="20" t="s">
        <v>2584</v>
      </c>
      <c r="H650" s="20" t="s">
        <v>81</v>
      </c>
      <c r="I650" s="20" t="s">
        <v>27</v>
      </c>
      <c r="J650" s="20" t="s">
        <v>106</v>
      </c>
      <c r="K650" s="20" t="s">
        <v>74</v>
      </c>
      <c r="L650" s="20" t="s">
        <v>2682</v>
      </c>
      <c r="M650" s="20" t="s">
        <v>30</v>
      </c>
      <c r="N650" s="20" t="s">
        <v>75</v>
      </c>
      <c r="O650" s="20">
        <v>4</v>
      </c>
      <c r="P650" s="20">
        <v>131.78</v>
      </c>
      <c r="Q650" s="20">
        <v>68.22</v>
      </c>
      <c r="R650" s="20">
        <v>527.12</v>
      </c>
      <c r="S650" s="20">
        <v>0.1</v>
      </c>
      <c r="T650" s="20">
        <v>52.71</v>
      </c>
      <c r="U650" s="20">
        <v>474.41</v>
      </c>
      <c r="V650" s="20">
        <v>272.86</v>
      </c>
      <c r="W650" s="20">
        <v>201.55</v>
      </c>
      <c r="X650" s="20" t="s">
        <v>45</v>
      </c>
    </row>
    <row r="651" spans="1:24" x14ac:dyDescent="0.25">
      <c r="A651" s="23" t="s">
        <v>1125</v>
      </c>
      <c r="B651" s="22">
        <v>45319</v>
      </c>
      <c r="C651" s="23" t="s">
        <v>422</v>
      </c>
      <c r="D651" s="23" t="s">
        <v>48</v>
      </c>
      <c r="E651" s="23" t="s">
        <v>216</v>
      </c>
      <c r="F651" s="23" t="s">
        <v>2596</v>
      </c>
      <c r="G651" s="23" t="s">
        <v>2579</v>
      </c>
      <c r="H651" s="23" t="s">
        <v>134</v>
      </c>
      <c r="I651" s="23" t="s">
        <v>58</v>
      </c>
      <c r="J651" s="23" t="s">
        <v>323</v>
      </c>
      <c r="K651" s="23" t="s">
        <v>218</v>
      </c>
      <c r="L651" s="23" t="s">
        <v>2692</v>
      </c>
      <c r="M651" s="23" t="s">
        <v>61</v>
      </c>
      <c r="N651" s="23" t="s">
        <v>75</v>
      </c>
      <c r="O651" s="23">
        <v>12</v>
      </c>
      <c r="P651" s="23">
        <v>109.37</v>
      </c>
      <c r="Q651" s="23">
        <v>71.39</v>
      </c>
      <c r="R651" s="23">
        <v>1312.38</v>
      </c>
      <c r="S651" s="23">
        <v>0.1</v>
      </c>
      <c r="T651" s="23">
        <v>131.24</v>
      </c>
      <c r="U651" s="23">
        <v>1181.1400000000001</v>
      </c>
      <c r="V651" s="23">
        <v>856.64</v>
      </c>
      <c r="W651" s="23">
        <v>324.5</v>
      </c>
      <c r="X651" s="23" t="s">
        <v>45</v>
      </c>
    </row>
    <row r="652" spans="1:24" x14ac:dyDescent="0.25">
      <c r="A652" s="20" t="s">
        <v>1126</v>
      </c>
      <c r="B652" s="19">
        <v>45447</v>
      </c>
      <c r="C652" s="20" t="s">
        <v>569</v>
      </c>
      <c r="D652" s="20" t="s">
        <v>121</v>
      </c>
      <c r="E652" s="20" t="s">
        <v>49</v>
      </c>
      <c r="F652" s="20" t="s">
        <v>2580</v>
      </c>
      <c r="G652" s="20" t="s">
        <v>2581</v>
      </c>
      <c r="H652" s="20" t="s">
        <v>52</v>
      </c>
      <c r="I652" s="20" t="s">
        <v>58</v>
      </c>
      <c r="J652" s="20" t="s">
        <v>323</v>
      </c>
      <c r="K652" s="20" t="s">
        <v>60</v>
      </c>
      <c r="L652" s="20" t="s">
        <v>2677</v>
      </c>
      <c r="M652" s="20" t="s">
        <v>153</v>
      </c>
      <c r="N652" s="20" t="s">
        <v>84</v>
      </c>
      <c r="O652" s="20">
        <v>2</v>
      </c>
      <c r="P652" s="20">
        <v>25.75</v>
      </c>
      <c r="Q652" s="20">
        <v>12.86</v>
      </c>
      <c r="R652" s="20">
        <v>51.51</v>
      </c>
      <c r="S652" s="20">
        <v>0</v>
      </c>
      <c r="T652" s="20">
        <v>0</v>
      </c>
      <c r="U652" s="20">
        <v>51.51</v>
      </c>
      <c r="V652" s="20">
        <v>25.73</v>
      </c>
      <c r="W652" s="20">
        <v>25.78</v>
      </c>
      <c r="X652" s="20" t="s">
        <v>45</v>
      </c>
    </row>
    <row r="653" spans="1:24" x14ac:dyDescent="0.25">
      <c r="A653" s="23" t="s">
        <v>1127</v>
      </c>
      <c r="B653" s="22">
        <v>45571</v>
      </c>
      <c r="C653" s="23" t="s">
        <v>945</v>
      </c>
      <c r="D653" s="23" t="s">
        <v>159</v>
      </c>
      <c r="E653" s="23" t="s">
        <v>126</v>
      </c>
      <c r="F653" s="23" t="s">
        <v>2589</v>
      </c>
      <c r="G653" s="23" t="s">
        <v>2586</v>
      </c>
      <c r="H653" s="23" t="s">
        <v>128</v>
      </c>
      <c r="I653" s="23" t="s">
        <v>40</v>
      </c>
      <c r="J653" s="23" t="s">
        <v>289</v>
      </c>
      <c r="K653" s="23" t="s">
        <v>74</v>
      </c>
      <c r="L653" s="23" t="s">
        <v>2682</v>
      </c>
      <c r="M653" s="23" t="s">
        <v>153</v>
      </c>
      <c r="N653" s="23" t="s">
        <v>84</v>
      </c>
      <c r="O653" s="23">
        <v>57</v>
      </c>
      <c r="P653" s="23">
        <v>93.89</v>
      </c>
      <c r="Q653" s="23">
        <v>55.6</v>
      </c>
      <c r="R653" s="23">
        <v>5351.75</v>
      </c>
      <c r="S653" s="23">
        <v>0</v>
      </c>
      <c r="T653" s="23">
        <v>0</v>
      </c>
      <c r="U653" s="23">
        <v>5351.75</v>
      </c>
      <c r="V653" s="23">
        <v>3169.47</v>
      </c>
      <c r="W653" s="23">
        <v>2182.2800000000002</v>
      </c>
      <c r="X653" s="23" t="s">
        <v>45</v>
      </c>
    </row>
    <row r="654" spans="1:24" x14ac:dyDescent="0.25">
      <c r="A654" s="20" t="s">
        <v>1128</v>
      </c>
      <c r="B654" s="19">
        <v>45387</v>
      </c>
      <c r="C654" s="20" t="s">
        <v>1129</v>
      </c>
      <c r="D654" s="20" t="s">
        <v>65</v>
      </c>
      <c r="E654" s="20" t="s">
        <v>176</v>
      </c>
      <c r="F654" s="20" t="s">
        <v>2593</v>
      </c>
      <c r="G654" s="20" t="s">
        <v>2587</v>
      </c>
      <c r="H654" s="20" t="s">
        <v>39</v>
      </c>
      <c r="I654" s="20" t="s">
        <v>58</v>
      </c>
      <c r="J654" s="20" t="s">
        <v>323</v>
      </c>
      <c r="K654" s="20" t="s">
        <v>118</v>
      </c>
      <c r="L654" s="20" t="s">
        <v>2686</v>
      </c>
      <c r="M654" s="20" t="s">
        <v>153</v>
      </c>
      <c r="N654" s="20" t="s">
        <v>70</v>
      </c>
      <c r="O654" s="20">
        <v>41</v>
      </c>
      <c r="P654" s="20">
        <v>111.33</v>
      </c>
      <c r="Q654" s="20">
        <v>62.03</v>
      </c>
      <c r="R654" s="20">
        <v>4564.4399999999996</v>
      </c>
      <c r="S654" s="20">
        <v>0.1</v>
      </c>
      <c r="T654" s="20">
        <v>456.44</v>
      </c>
      <c r="U654" s="20">
        <v>4108</v>
      </c>
      <c r="V654" s="20">
        <v>2543.11</v>
      </c>
      <c r="W654" s="20">
        <v>1564.88</v>
      </c>
      <c r="X654" s="20" t="s">
        <v>45</v>
      </c>
    </row>
    <row r="655" spans="1:24" x14ac:dyDescent="0.25">
      <c r="A655" s="23" t="s">
        <v>1130</v>
      </c>
      <c r="B655" s="22">
        <v>45476</v>
      </c>
      <c r="C655" s="23" t="s">
        <v>1131</v>
      </c>
      <c r="D655" s="23" t="s">
        <v>259</v>
      </c>
      <c r="E655" s="23" t="s">
        <v>66</v>
      </c>
      <c r="F655" s="23" t="s">
        <v>2582</v>
      </c>
      <c r="G655" s="23" t="s">
        <v>2579</v>
      </c>
      <c r="H655" s="23" t="s">
        <v>68</v>
      </c>
      <c r="I655" s="23" t="s">
        <v>27</v>
      </c>
      <c r="J655" s="23" t="s">
        <v>211</v>
      </c>
      <c r="K655" s="23" t="s">
        <v>2619</v>
      </c>
      <c r="L655" s="23" t="s">
        <v>2619</v>
      </c>
      <c r="M655" s="23" t="s">
        <v>61</v>
      </c>
      <c r="N655" s="23" t="s">
        <v>70</v>
      </c>
      <c r="O655" s="23">
        <v>74</v>
      </c>
      <c r="P655" s="23">
        <v>162.65</v>
      </c>
      <c r="Q655" s="23">
        <v>106.65</v>
      </c>
      <c r="R655" s="23">
        <v>12036.12</v>
      </c>
      <c r="S655" s="23">
        <v>0.15</v>
      </c>
      <c r="T655" s="23">
        <v>1805.42</v>
      </c>
      <c r="U655" s="23">
        <v>10230.709999999999</v>
      </c>
      <c r="V655" s="23">
        <v>7892.41</v>
      </c>
      <c r="W655" s="23">
        <v>2338.3000000000002</v>
      </c>
      <c r="X655" s="23" t="s">
        <v>45</v>
      </c>
    </row>
    <row r="656" spans="1:24" x14ac:dyDescent="0.25">
      <c r="A656" s="20" t="s">
        <v>1132</v>
      </c>
      <c r="B656" s="19">
        <v>45360</v>
      </c>
      <c r="C656" s="20" t="s">
        <v>681</v>
      </c>
      <c r="D656" s="20" t="s">
        <v>105</v>
      </c>
      <c r="E656" s="20" t="s">
        <v>176</v>
      </c>
      <c r="F656" s="20" t="s">
        <v>2593</v>
      </c>
      <c r="G656" s="20" t="s">
        <v>2587</v>
      </c>
      <c r="H656" s="20" t="s">
        <v>39</v>
      </c>
      <c r="I656" s="20" t="s">
        <v>27</v>
      </c>
      <c r="J656" s="20" t="s">
        <v>28</v>
      </c>
      <c r="K656" s="20" t="s">
        <v>83</v>
      </c>
      <c r="L656" s="20" t="s">
        <v>2683</v>
      </c>
      <c r="M656" s="20" t="s">
        <v>153</v>
      </c>
      <c r="N656" s="20" t="s">
        <v>2578</v>
      </c>
      <c r="O656" s="20">
        <v>39</v>
      </c>
      <c r="P656" s="20">
        <v>110.55</v>
      </c>
      <c r="Q656" s="20">
        <v>67.69</v>
      </c>
      <c r="R656" s="20">
        <v>4311.62</v>
      </c>
      <c r="S656" s="20">
        <v>0.2</v>
      </c>
      <c r="T656" s="20">
        <v>862.32</v>
      </c>
      <c r="U656" s="20">
        <v>3449.3</v>
      </c>
      <c r="V656" s="20">
        <v>2639.81</v>
      </c>
      <c r="W656" s="20">
        <v>809.49</v>
      </c>
      <c r="X656" s="20" t="s">
        <v>32</v>
      </c>
    </row>
    <row r="657" spans="1:24" x14ac:dyDescent="0.25">
      <c r="A657" s="23" t="s">
        <v>1133</v>
      </c>
      <c r="B657" s="22">
        <v>45424</v>
      </c>
      <c r="C657" s="23" t="s">
        <v>1134</v>
      </c>
      <c r="D657" s="23" t="s">
        <v>159</v>
      </c>
      <c r="E657" s="23" t="s">
        <v>93</v>
      </c>
      <c r="F657" s="23" t="s">
        <v>2585</v>
      </c>
      <c r="G657" s="23" t="s">
        <v>2586</v>
      </c>
      <c r="H657" s="23" t="s">
        <v>96</v>
      </c>
      <c r="I657" s="23" t="s">
        <v>40</v>
      </c>
      <c r="J657" s="23" t="s">
        <v>117</v>
      </c>
      <c r="K657" s="23" t="s">
        <v>74</v>
      </c>
      <c r="L657" s="23" t="s">
        <v>2682</v>
      </c>
      <c r="M657" s="23" t="s">
        <v>30</v>
      </c>
      <c r="N657" s="23" t="s">
        <v>2578</v>
      </c>
      <c r="O657" s="23">
        <v>47</v>
      </c>
      <c r="P657" s="23">
        <v>52.99</v>
      </c>
      <c r="Q657" s="23">
        <v>31.98</v>
      </c>
      <c r="R657" s="23">
        <v>2490.4499999999998</v>
      </c>
      <c r="S657" s="23">
        <v>0.2</v>
      </c>
      <c r="T657" s="23">
        <v>498.09</v>
      </c>
      <c r="U657" s="23">
        <v>1992.36</v>
      </c>
      <c r="V657" s="23">
        <v>1503.2</v>
      </c>
      <c r="W657" s="23">
        <v>489.16</v>
      </c>
      <c r="X657" s="23" t="s">
        <v>32</v>
      </c>
    </row>
    <row r="658" spans="1:24" x14ac:dyDescent="0.25">
      <c r="A658" s="20" t="s">
        <v>1135</v>
      </c>
      <c r="B658" s="19">
        <v>45481</v>
      </c>
      <c r="C658" s="20" t="s">
        <v>967</v>
      </c>
      <c r="D658" s="20" t="s">
        <v>35</v>
      </c>
      <c r="E658" s="20" t="s">
        <v>176</v>
      </c>
      <c r="F658" s="20" t="s">
        <v>2593</v>
      </c>
      <c r="G658" s="20" t="s">
        <v>2587</v>
      </c>
      <c r="H658" s="20" t="s">
        <v>39</v>
      </c>
      <c r="I658" s="20" t="s">
        <v>58</v>
      </c>
      <c r="J658" s="20" t="s">
        <v>323</v>
      </c>
      <c r="K658" s="20" t="s">
        <v>42</v>
      </c>
      <c r="L658" s="20" t="s">
        <v>2680</v>
      </c>
      <c r="M658" s="20" t="s">
        <v>61</v>
      </c>
      <c r="N658" s="20" t="s">
        <v>75</v>
      </c>
      <c r="O658" s="20">
        <v>41</v>
      </c>
      <c r="P658" s="20">
        <v>97.33</v>
      </c>
      <c r="Q658" s="20">
        <v>66.94</v>
      </c>
      <c r="R658" s="20">
        <v>3990.33</v>
      </c>
      <c r="S658" s="20">
        <v>0.1</v>
      </c>
      <c r="T658" s="20">
        <v>399.03</v>
      </c>
      <c r="U658" s="20">
        <v>3591.3</v>
      </c>
      <c r="V658" s="20">
        <v>2744.65</v>
      </c>
      <c r="W658" s="20">
        <v>846.64</v>
      </c>
      <c r="X658" s="20" t="s">
        <v>45</v>
      </c>
    </row>
    <row r="659" spans="1:24" x14ac:dyDescent="0.25">
      <c r="A659" s="23" t="s">
        <v>1136</v>
      </c>
      <c r="B659" s="22">
        <v>45313</v>
      </c>
      <c r="C659" s="23" t="s">
        <v>1137</v>
      </c>
      <c r="D659" s="23" t="s">
        <v>163</v>
      </c>
      <c r="E659" s="23" t="s">
        <v>250</v>
      </c>
      <c r="F659" s="23" t="s">
        <v>2598</v>
      </c>
      <c r="G659" s="23" t="s">
        <v>2581</v>
      </c>
      <c r="H659" s="23" t="s">
        <v>252</v>
      </c>
      <c r="I659" s="23" t="s">
        <v>53</v>
      </c>
      <c r="J659" s="23" t="s">
        <v>122</v>
      </c>
      <c r="K659" s="23" t="s">
        <v>83</v>
      </c>
      <c r="L659" s="23" t="s">
        <v>2683</v>
      </c>
      <c r="M659" s="23" t="s">
        <v>30</v>
      </c>
      <c r="N659" s="23" t="s">
        <v>44</v>
      </c>
      <c r="O659" s="23">
        <v>78</v>
      </c>
      <c r="P659" s="23">
        <v>68.989999999999995</v>
      </c>
      <c r="Q659" s="23">
        <v>40.6</v>
      </c>
      <c r="R659" s="23">
        <v>5381.33</v>
      </c>
      <c r="S659" s="23">
        <v>0.2</v>
      </c>
      <c r="T659" s="23">
        <v>1076.27</v>
      </c>
      <c r="U659" s="23">
        <v>4305.0600000000004</v>
      </c>
      <c r="V659" s="23">
        <v>3166.86</v>
      </c>
      <c r="W659" s="23">
        <v>1138.2</v>
      </c>
      <c r="X659" s="23" t="s">
        <v>129</v>
      </c>
    </row>
    <row r="660" spans="1:24" x14ac:dyDescent="0.25">
      <c r="A660" s="20" t="s">
        <v>1138</v>
      </c>
      <c r="B660" s="19">
        <v>45491</v>
      </c>
      <c r="C660" s="20" t="s">
        <v>859</v>
      </c>
      <c r="D660" s="20" t="s">
        <v>221</v>
      </c>
      <c r="E660" s="20" t="s">
        <v>93</v>
      </c>
      <c r="F660" s="20" t="s">
        <v>2585</v>
      </c>
      <c r="G660" s="20" t="s">
        <v>2586</v>
      </c>
      <c r="H660" s="20" t="s">
        <v>96</v>
      </c>
      <c r="I660" s="20" t="s">
        <v>53</v>
      </c>
      <c r="J660" s="20" t="s">
        <v>143</v>
      </c>
      <c r="K660" s="20" t="s">
        <v>184</v>
      </c>
      <c r="L660" s="20" t="s">
        <v>2690</v>
      </c>
      <c r="M660" s="20" t="s">
        <v>43</v>
      </c>
      <c r="N660" s="20" t="s">
        <v>70</v>
      </c>
      <c r="O660" s="20">
        <v>70</v>
      </c>
      <c r="P660" s="20">
        <v>57.85</v>
      </c>
      <c r="Q660" s="20">
        <v>31.41</v>
      </c>
      <c r="R660" s="20">
        <v>4049.35</v>
      </c>
      <c r="S660" s="20">
        <v>0.05</v>
      </c>
      <c r="T660" s="20">
        <v>202.47</v>
      </c>
      <c r="U660" s="20">
        <v>3846.88</v>
      </c>
      <c r="V660" s="20">
        <v>2198.64</v>
      </c>
      <c r="W660" s="20">
        <v>1648.24</v>
      </c>
      <c r="X660" s="20" t="s">
        <v>45</v>
      </c>
    </row>
    <row r="661" spans="1:24" x14ac:dyDescent="0.25">
      <c r="A661" s="23" t="s">
        <v>1139</v>
      </c>
      <c r="B661" s="22">
        <v>45366</v>
      </c>
      <c r="C661" s="23" t="s">
        <v>1131</v>
      </c>
      <c r="D661" s="23" t="s">
        <v>259</v>
      </c>
      <c r="E661" s="23" t="s">
        <v>126</v>
      </c>
      <c r="F661" s="23" t="s">
        <v>2589</v>
      </c>
      <c r="G661" s="23" t="s">
        <v>2586</v>
      </c>
      <c r="H661" s="23" t="s">
        <v>128</v>
      </c>
      <c r="I661" s="23" t="s">
        <v>53</v>
      </c>
      <c r="J661" s="23" t="s">
        <v>54</v>
      </c>
      <c r="K661" s="23" t="s">
        <v>170</v>
      </c>
      <c r="L661" s="23" t="s">
        <v>2671</v>
      </c>
      <c r="M661" s="23" t="s">
        <v>153</v>
      </c>
      <c r="N661" s="23" t="s">
        <v>44</v>
      </c>
      <c r="O661" s="23">
        <v>27</v>
      </c>
      <c r="P661" s="23">
        <v>90.08</v>
      </c>
      <c r="Q661" s="23">
        <v>55.89</v>
      </c>
      <c r="R661" s="23">
        <v>2432.2800000000002</v>
      </c>
      <c r="S661" s="23">
        <v>0.02</v>
      </c>
      <c r="T661" s="23">
        <v>48.65</v>
      </c>
      <c r="U661" s="23">
        <v>2383.63</v>
      </c>
      <c r="V661" s="23">
        <v>1509.01</v>
      </c>
      <c r="W661" s="23">
        <v>874.62</v>
      </c>
      <c r="X661" s="23" t="s">
        <v>45</v>
      </c>
    </row>
    <row r="662" spans="1:24" x14ac:dyDescent="0.25">
      <c r="A662" s="20" t="s">
        <v>1140</v>
      </c>
      <c r="B662" s="19">
        <v>45565</v>
      </c>
      <c r="C662" s="20" t="s">
        <v>312</v>
      </c>
      <c r="D662" s="20" t="s">
        <v>57</v>
      </c>
      <c r="E662" s="20" t="s">
        <v>114</v>
      </c>
      <c r="F662" s="20" t="s">
        <v>2588</v>
      </c>
      <c r="G662" s="20" t="s">
        <v>2586</v>
      </c>
      <c r="H662" s="20" t="s">
        <v>116</v>
      </c>
      <c r="I662" s="20" t="s">
        <v>27</v>
      </c>
      <c r="J662" s="20" t="s">
        <v>28</v>
      </c>
      <c r="K662" s="20" t="s">
        <v>144</v>
      </c>
      <c r="L662" s="20" t="s">
        <v>2687</v>
      </c>
      <c r="M662" s="20" t="s">
        <v>43</v>
      </c>
      <c r="N662" s="20" t="s">
        <v>2578</v>
      </c>
      <c r="O662" s="20">
        <v>5</v>
      </c>
      <c r="P662" s="20">
        <v>33.840000000000003</v>
      </c>
      <c r="Q662" s="20">
        <v>20.420000000000002</v>
      </c>
      <c r="R662" s="20">
        <v>169.21</v>
      </c>
      <c r="S662" s="20">
        <v>0.02</v>
      </c>
      <c r="T662" s="20">
        <v>3.38</v>
      </c>
      <c r="U662" s="20">
        <v>165.83</v>
      </c>
      <c r="V662" s="20">
        <v>102.12</v>
      </c>
      <c r="W662" s="20">
        <v>63.7</v>
      </c>
      <c r="X662" s="20" t="s">
        <v>45</v>
      </c>
    </row>
    <row r="663" spans="1:24" x14ac:dyDescent="0.25">
      <c r="A663" s="23" t="s">
        <v>1141</v>
      </c>
      <c r="B663" s="22">
        <v>45311</v>
      </c>
      <c r="C663" s="23" t="s">
        <v>1142</v>
      </c>
      <c r="D663" s="23" t="s">
        <v>149</v>
      </c>
      <c r="E663" s="23" t="s">
        <v>150</v>
      </c>
      <c r="F663" s="23" t="s">
        <v>2591</v>
      </c>
      <c r="G663" s="23" t="s">
        <v>2587</v>
      </c>
      <c r="H663" s="23" t="s">
        <v>134</v>
      </c>
      <c r="I663" s="23" t="s">
        <v>58</v>
      </c>
      <c r="J663" s="23" t="s">
        <v>59</v>
      </c>
      <c r="K663" s="23" t="s">
        <v>170</v>
      </c>
      <c r="L663" s="23" t="s">
        <v>2671</v>
      </c>
      <c r="M663" s="23" t="s">
        <v>30</v>
      </c>
      <c r="N663" s="23" t="s">
        <v>70</v>
      </c>
      <c r="O663" s="23">
        <v>19</v>
      </c>
      <c r="P663" s="23">
        <v>90.69</v>
      </c>
      <c r="Q663" s="23">
        <v>54.68</v>
      </c>
      <c r="R663" s="23">
        <v>1723.12</v>
      </c>
      <c r="S663" s="23">
        <v>0</v>
      </c>
      <c r="T663" s="23">
        <v>0</v>
      </c>
      <c r="U663" s="23">
        <v>1723.12</v>
      </c>
      <c r="V663" s="23">
        <v>1038.9100000000001</v>
      </c>
      <c r="W663" s="23">
        <v>684.21</v>
      </c>
      <c r="X663" s="23" t="s">
        <v>32</v>
      </c>
    </row>
    <row r="664" spans="1:24" x14ac:dyDescent="0.25">
      <c r="A664" s="20" t="s">
        <v>1143</v>
      </c>
      <c r="B664" s="19">
        <v>45360</v>
      </c>
      <c r="C664" s="20" t="s">
        <v>480</v>
      </c>
      <c r="D664" s="20" t="s">
        <v>22</v>
      </c>
      <c r="E664" s="20" t="s">
        <v>109</v>
      </c>
      <c r="F664" s="20" t="s">
        <v>110</v>
      </c>
      <c r="G664" s="20" t="s">
        <v>2584</v>
      </c>
      <c r="H664" s="20" t="s">
        <v>81</v>
      </c>
      <c r="I664" s="20" t="s">
        <v>58</v>
      </c>
      <c r="J664" s="20" t="s">
        <v>73</v>
      </c>
      <c r="K664" s="20" t="s">
        <v>83</v>
      </c>
      <c r="L664" s="20" t="s">
        <v>2683</v>
      </c>
      <c r="M664" s="20" t="s">
        <v>61</v>
      </c>
      <c r="N664" s="20" t="s">
        <v>70</v>
      </c>
      <c r="O664" s="20">
        <v>42</v>
      </c>
      <c r="P664" s="20">
        <v>117.05</v>
      </c>
      <c r="Q664" s="20">
        <v>72.73</v>
      </c>
      <c r="R664" s="20">
        <v>4916.16</v>
      </c>
      <c r="S664" s="20">
        <v>0.2</v>
      </c>
      <c r="T664" s="20">
        <v>983.23</v>
      </c>
      <c r="U664" s="20">
        <v>3932.93</v>
      </c>
      <c r="V664" s="20">
        <v>3054.66</v>
      </c>
      <c r="W664" s="20">
        <v>878.27</v>
      </c>
      <c r="X664" s="20" t="s">
        <v>45</v>
      </c>
    </row>
    <row r="665" spans="1:24" x14ac:dyDescent="0.25">
      <c r="A665" s="23" t="s">
        <v>1144</v>
      </c>
      <c r="B665" s="22">
        <v>45333</v>
      </c>
      <c r="C665" s="23" t="s">
        <v>1098</v>
      </c>
      <c r="D665" s="23" t="s">
        <v>121</v>
      </c>
      <c r="E665" s="23" t="s">
        <v>187</v>
      </c>
      <c r="F665" s="23" t="s">
        <v>2594</v>
      </c>
      <c r="G665" s="23" t="s">
        <v>2577</v>
      </c>
      <c r="H665" s="23" t="s">
        <v>26</v>
      </c>
      <c r="I665" s="23" t="s">
        <v>53</v>
      </c>
      <c r="J665" s="23" t="s">
        <v>54</v>
      </c>
      <c r="K665" s="23" t="s">
        <v>118</v>
      </c>
      <c r="L665" s="23" t="s">
        <v>2686</v>
      </c>
      <c r="M665" s="23" t="s">
        <v>153</v>
      </c>
      <c r="N665" s="23" t="s">
        <v>75</v>
      </c>
      <c r="O665" s="23">
        <v>61</v>
      </c>
      <c r="P665" s="23">
        <v>50.33</v>
      </c>
      <c r="Q665" s="23">
        <v>27.55</v>
      </c>
      <c r="R665" s="23">
        <v>3070.26</v>
      </c>
      <c r="S665" s="23">
        <v>0</v>
      </c>
      <c r="T665" s="23">
        <v>0</v>
      </c>
      <c r="U665" s="23">
        <v>3070.26</v>
      </c>
      <c r="V665" s="23">
        <v>1680.29</v>
      </c>
      <c r="W665" s="23">
        <v>1389.98</v>
      </c>
      <c r="X665" s="23" t="s">
        <v>129</v>
      </c>
    </row>
    <row r="666" spans="1:24" x14ac:dyDescent="0.25">
      <c r="A666" s="20" t="s">
        <v>1145</v>
      </c>
      <c r="B666" s="19">
        <v>45588</v>
      </c>
      <c r="C666" s="20" t="s">
        <v>382</v>
      </c>
      <c r="D666" s="20" t="s">
        <v>22</v>
      </c>
      <c r="E666" s="20" t="s">
        <v>36</v>
      </c>
      <c r="F666" s="20" t="s">
        <v>37</v>
      </c>
      <c r="G666" s="20" t="s">
        <v>2579</v>
      </c>
      <c r="H666" s="20" t="s">
        <v>39</v>
      </c>
      <c r="I666" s="20" t="s">
        <v>53</v>
      </c>
      <c r="J666" s="20" t="s">
        <v>232</v>
      </c>
      <c r="K666" s="20" t="s">
        <v>60</v>
      </c>
      <c r="L666" s="20" t="s">
        <v>2677</v>
      </c>
      <c r="M666" s="20" t="s">
        <v>30</v>
      </c>
      <c r="N666" s="20" t="s">
        <v>70</v>
      </c>
      <c r="O666" s="20">
        <v>30</v>
      </c>
      <c r="P666" s="20">
        <v>159.99</v>
      </c>
      <c r="Q666" s="20">
        <v>98.29</v>
      </c>
      <c r="R666" s="20">
        <v>4799.8100000000004</v>
      </c>
      <c r="S666" s="20">
        <v>0</v>
      </c>
      <c r="T666" s="20">
        <v>0</v>
      </c>
      <c r="U666" s="20">
        <v>4799.8100000000004</v>
      </c>
      <c r="V666" s="20">
        <v>2948.72</v>
      </c>
      <c r="W666" s="20">
        <v>1851.09</v>
      </c>
      <c r="X666" s="20" t="s">
        <v>45</v>
      </c>
    </row>
    <row r="667" spans="1:24" x14ac:dyDescent="0.25">
      <c r="A667" s="23" t="s">
        <v>1146</v>
      </c>
      <c r="B667" s="22">
        <v>45459</v>
      </c>
      <c r="C667" s="23" t="s">
        <v>239</v>
      </c>
      <c r="D667" s="23" t="s">
        <v>65</v>
      </c>
      <c r="E667" s="23" t="s">
        <v>209</v>
      </c>
      <c r="F667" s="23" t="s">
        <v>2595</v>
      </c>
      <c r="G667" s="23" t="s">
        <v>2581</v>
      </c>
      <c r="H667" s="23" t="s">
        <v>116</v>
      </c>
      <c r="I667" s="23" t="s">
        <v>27</v>
      </c>
      <c r="J667" s="23" t="s">
        <v>106</v>
      </c>
      <c r="K667" s="23" t="s">
        <v>60</v>
      </c>
      <c r="L667" s="23" t="s">
        <v>2677</v>
      </c>
      <c r="M667" s="23" t="s">
        <v>43</v>
      </c>
      <c r="N667" s="23" t="s">
        <v>84</v>
      </c>
      <c r="O667" s="23">
        <v>24</v>
      </c>
      <c r="P667" s="23">
        <v>18</v>
      </c>
      <c r="Q667" s="23">
        <v>9.86</v>
      </c>
      <c r="R667" s="23">
        <v>432.01</v>
      </c>
      <c r="S667" s="23">
        <v>0.2</v>
      </c>
      <c r="T667" s="23">
        <v>86.4</v>
      </c>
      <c r="U667" s="23">
        <v>345.61</v>
      </c>
      <c r="V667" s="23">
        <v>236.62</v>
      </c>
      <c r="W667" s="23">
        <v>108.99</v>
      </c>
      <c r="X667" s="23" t="s">
        <v>45</v>
      </c>
    </row>
    <row r="668" spans="1:24" x14ac:dyDescent="0.25">
      <c r="A668" s="20" t="s">
        <v>1147</v>
      </c>
      <c r="B668" s="19">
        <v>45443</v>
      </c>
      <c r="C668" s="20" t="s">
        <v>701</v>
      </c>
      <c r="D668" s="20" t="s">
        <v>48</v>
      </c>
      <c r="E668" s="20" t="s">
        <v>222</v>
      </c>
      <c r="F668" s="20" t="s">
        <v>2597</v>
      </c>
      <c r="G668" s="20" t="s">
        <v>2587</v>
      </c>
      <c r="H668" s="20" t="s">
        <v>68</v>
      </c>
      <c r="I668" s="20" t="s">
        <v>88</v>
      </c>
      <c r="J668" s="20" t="s">
        <v>135</v>
      </c>
      <c r="K668" s="20" t="s">
        <v>265</v>
      </c>
      <c r="L668" s="20" t="s">
        <v>2663</v>
      </c>
      <c r="M668" s="20" t="s">
        <v>43</v>
      </c>
      <c r="N668" s="20" t="s">
        <v>44</v>
      </c>
      <c r="O668" s="20">
        <v>50</v>
      </c>
      <c r="P668" s="20">
        <v>117.3</v>
      </c>
      <c r="Q668" s="20">
        <v>82.04</v>
      </c>
      <c r="R668" s="20">
        <v>5864.84</v>
      </c>
      <c r="S668" s="20">
        <v>0.15</v>
      </c>
      <c r="T668" s="20">
        <v>879.73</v>
      </c>
      <c r="U668" s="20">
        <v>4985.1099999999997</v>
      </c>
      <c r="V668" s="20">
        <v>4101.8999999999996</v>
      </c>
      <c r="W668" s="20">
        <v>883.22</v>
      </c>
      <c r="X668" s="20" t="s">
        <v>129</v>
      </c>
    </row>
    <row r="669" spans="1:24" x14ac:dyDescent="0.25">
      <c r="A669" s="23" t="s">
        <v>1148</v>
      </c>
      <c r="B669" s="22">
        <v>45389</v>
      </c>
      <c r="C669" s="23" t="s">
        <v>278</v>
      </c>
      <c r="D669" s="23" t="s">
        <v>48</v>
      </c>
      <c r="E669" s="23" t="s">
        <v>109</v>
      </c>
      <c r="F669" s="23" t="s">
        <v>110</v>
      </c>
      <c r="G669" s="23" t="s">
        <v>2584</v>
      </c>
      <c r="H669" s="23" t="s">
        <v>81</v>
      </c>
      <c r="I669" s="23" t="s">
        <v>88</v>
      </c>
      <c r="J669" s="23" t="s">
        <v>2112</v>
      </c>
      <c r="K669" s="23" t="s">
        <v>42</v>
      </c>
      <c r="L669" s="23" t="s">
        <v>2680</v>
      </c>
      <c r="M669" s="23" t="s">
        <v>43</v>
      </c>
      <c r="N669" s="23" t="s">
        <v>75</v>
      </c>
      <c r="O669" s="23">
        <v>80</v>
      </c>
      <c r="P669" s="23">
        <v>119.91</v>
      </c>
      <c r="Q669" s="23">
        <v>68.760000000000005</v>
      </c>
      <c r="R669" s="23">
        <v>9592.56</v>
      </c>
      <c r="S669" s="23">
        <v>0.2</v>
      </c>
      <c r="T669" s="23">
        <v>1918.51</v>
      </c>
      <c r="U669" s="23">
        <v>7674.05</v>
      </c>
      <c r="V669" s="23">
        <v>5501.08</v>
      </c>
      <c r="W669" s="23">
        <v>2172.9699999999998</v>
      </c>
      <c r="X669" s="23" t="s">
        <v>32</v>
      </c>
    </row>
    <row r="670" spans="1:24" x14ac:dyDescent="0.25">
      <c r="A670" s="20" t="s">
        <v>1149</v>
      </c>
      <c r="B670" s="19">
        <v>45468</v>
      </c>
      <c r="C670" s="20" t="s">
        <v>1033</v>
      </c>
      <c r="D670" s="20" t="s">
        <v>105</v>
      </c>
      <c r="E670" s="20" t="s">
        <v>99</v>
      </c>
      <c r="F670" s="20" t="s">
        <v>100</v>
      </c>
      <c r="G670" s="20" t="s">
        <v>2587</v>
      </c>
      <c r="H670" s="20" t="s">
        <v>102</v>
      </c>
      <c r="I670" s="20" t="s">
        <v>40</v>
      </c>
      <c r="J670" s="20" t="s">
        <v>289</v>
      </c>
      <c r="K670" s="20" t="s">
        <v>218</v>
      </c>
      <c r="L670" s="20" t="s">
        <v>2692</v>
      </c>
      <c r="M670" s="20" t="s">
        <v>43</v>
      </c>
      <c r="N670" s="20" t="s">
        <v>2578</v>
      </c>
      <c r="O670" s="20">
        <v>21</v>
      </c>
      <c r="P670" s="20">
        <v>65.97</v>
      </c>
      <c r="Q670" s="20">
        <v>42.94</v>
      </c>
      <c r="R670" s="20">
        <v>1385.27</v>
      </c>
      <c r="S670" s="20">
        <v>0.05</v>
      </c>
      <c r="T670" s="20">
        <v>69.260000000000005</v>
      </c>
      <c r="U670" s="20">
        <v>1316.01</v>
      </c>
      <c r="V670" s="20">
        <v>901.68</v>
      </c>
      <c r="W670" s="20">
        <v>414.33</v>
      </c>
      <c r="X670" s="20" t="s">
        <v>45</v>
      </c>
    </row>
    <row r="671" spans="1:24" x14ac:dyDescent="0.25">
      <c r="A671" s="23" t="s">
        <v>1150</v>
      </c>
      <c r="B671" s="22">
        <v>45494</v>
      </c>
      <c r="C671" s="23" t="s">
        <v>535</v>
      </c>
      <c r="D671" s="23" t="s">
        <v>221</v>
      </c>
      <c r="E671" s="23" t="s">
        <v>187</v>
      </c>
      <c r="F671" s="23" t="s">
        <v>2594</v>
      </c>
      <c r="G671" s="23" t="s">
        <v>2577</v>
      </c>
      <c r="H671" s="23" t="s">
        <v>26</v>
      </c>
      <c r="I671" s="23" t="s">
        <v>40</v>
      </c>
      <c r="J671" s="23" t="s">
        <v>117</v>
      </c>
      <c r="K671" s="23" t="s">
        <v>42</v>
      </c>
      <c r="L671" s="23" t="s">
        <v>2680</v>
      </c>
      <c r="M671" s="23" t="s">
        <v>30</v>
      </c>
      <c r="N671" s="23" t="s">
        <v>44</v>
      </c>
      <c r="O671" s="23">
        <v>32</v>
      </c>
      <c r="P671" s="23">
        <v>45.86</v>
      </c>
      <c r="Q671" s="23">
        <v>31.26</v>
      </c>
      <c r="R671" s="23">
        <v>1467.48</v>
      </c>
      <c r="S671" s="23">
        <v>0</v>
      </c>
      <c r="T671" s="23">
        <v>0</v>
      </c>
      <c r="U671" s="23">
        <v>1467.48</v>
      </c>
      <c r="V671" s="23">
        <v>1000.41</v>
      </c>
      <c r="W671" s="23">
        <v>467.08</v>
      </c>
      <c r="X671" s="23" t="s">
        <v>45</v>
      </c>
    </row>
    <row r="672" spans="1:24" x14ac:dyDescent="0.25">
      <c r="A672" s="20" t="s">
        <v>1151</v>
      </c>
      <c r="B672" s="19">
        <v>45526</v>
      </c>
      <c r="C672" s="20" t="s">
        <v>757</v>
      </c>
      <c r="D672" s="20" t="s">
        <v>163</v>
      </c>
      <c r="E672" s="20" t="s">
        <v>150</v>
      </c>
      <c r="F672" s="20" t="s">
        <v>2591</v>
      </c>
      <c r="G672" s="20" t="s">
        <v>2587</v>
      </c>
      <c r="H672" s="20" t="s">
        <v>134</v>
      </c>
      <c r="I672" s="20" t="s">
        <v>27</v>
      </c>
      <c r="J672" s="20" t="s">
        <v>28</v>
      </c>
      <c r="K672" s="20" t="s">
        <v>144</v>
      </c>
      <c r="L672" s="20" t="s">
        <v>2687</v>
      </c>
      <c r="M672" s="20" t="s">
        <v>43</v>
      </c>
      <c r="N672" s="20" t="s">
        <v>84</v>
      </c>
      <c r="O672" s="20">
        <v>48</v>
      </c>
      <c r="P672" s="20">
        <v>85.19</v>
      </c>
      <c r="Q672" s="20">
        <v>49.44</v>
      </c>
      <c r="R672" s="20">
        <v>4089.2</v>
      </c>
      <c r="S672" s="20">
        <v>0.05</v>
      </c>
      <c r="T672" s="20">
        <v>204.46</v>
      </c>
      <c r="U672" s="20">
        <v>3884.74</v>
      </c>
      <c r="V672" s="20">
        <v>2372.98</v>
      </c>
      <c r="W672" s="20">
        <v>1511.76</v>
      </c>
      <c r="X672" s="20" t="s">
        <v>45</v>
      </c>
    </row>
    <row r="673" spans="1:24" x14ac:dyDescent="0.25">
      <c r="A673" s="23" t="s">
        <v>1152</v>
      </c>
      <c r="B673" s="22">
        <v>45319</v>
      </c>
      <c r="C673" s="23" t="s">
        <v>688</v>
      </c>
      <c r="D673" s="23" t="s">
        <v>156</v>
      </c>
      <c r="E673" s="23" t="s">
        <v>141</v>
      </c>
      <c r="F673" s="23" t="s">
        <v>2590</v>
      </c>
      <c r="G673" s="23" t="s">
        <v>2577</v>
      </c>
      <c r="H673" s="23" t="s">
        <v>26</v>
      </c>
      <c r="I673" s="23" t="s">
        <v>40</v>
      </c>
      <c r="J673" s="23" t="s">
        <v>117</v>
      </c>
      <c r="K673" s="23" t="s">
        <v>184</v>
      </c>
      <c r="L673" s="23" t="s">
        <v>2690</v>
      </c>
      <c r="M673" s="23" t="s">
        <v>153</v>
      </c>
      <c r="N673" s="23" t="s">
        <v>70</v>
      </c>
      <c r="O673" s="23">
        <v>45</v>
      </c>
      <c r="P673" s="23">
        <v>95.19</v>
      </c>
      <c r="Q673" s="23">
        <v>56.08</v>
      </c>
      <c r="R673" s="23">
        <v>4283.66</v>
      </c>
      <c r="S673" s="23">
        <v>0.1</v>
      </c>
      <c r="T673" s="23">
        <v>428.37</v>
      </c>
      <c r="U673" s="23">
        <v>3855.3</v>
      </c>
      <c r="V673" s="23">
        <v>2523.7600000000002</v>
      </c>
      <c r="W673" s="23">
        <v>1331.54</v>
      </c>
      <c r="X673" s="23" t="s">
        <v>45</v>
      </c>
    </row>
    <row r="674" spans="1:24" x14ac:dyDescent="0.25">
      <c r="A674" s="20" t="s">
        <v>1153</v>
      </c>
      <c r="B674" s="19">
        <v>45337</v>
      </c>
      <c r="C674" s="20" t="s">
        <v>137</v>
      </c>
      <c r="D674" s="20" t="s">
        <v>22</v>
      </c>
      <c r="E674" s="20" t="s">
        <v>165</v>
      </c>
      <c r="F674" s="20" t="s">
        <v>2592</v>
      </c>
      <c r="G674" s="20" t="s">
        <v>2586</v>
      </c>
      <c r="H674" s="20" t="s">
        <v>167</v>
      </c>
      <c r="I674" s="20" t="s">
        <v>88</v>
      </c>
      <c r="J674" s="20" t="s">
        <v>173</v>
      </c>
      <c r="K674" s="20" t="s">
        <v>170</v>
      </c>
      <c r="L674" s="20" t="s">
        <v>2671</v>
      </c>
      <c r="M674" s="20" t="s">
        <v>153</v>
      </c>
      <c r="N674" s="20" t="s">
        <v>70</v>
      </c>
      <c r="O674" s="20">
        <v>53</v>
      </c>
      <c r="P674" s="20">
        <v>42.07</v>
      </c>
      <c r="Q674" s="20">
        <v>25.01</v>
      </c>
      <c r="R674" s="20">
        <v>2229.5100000000002</v>
      </c>
      <c r="S674" s="20">
        <v>0</v>
      </c>
      <c r="T674" s="20">
        <v>0</v>
      </c>
      <c r="U674" s="20">
        <v>2229.5100000000002</v>
      </c>
      <c r="V674" s="20">
        <v>1325.27</v>
      </c>
      <c r="W674" s="20">
        <v>904.24</v>
      </c>
      <c r="X674" s="20" t="s">
        <v>32</v>
      </c>
    </row>
    <row r="675" spans="1:24" x14ac:dyDescent="0.25">
      <c r="A675" s="23" t="s">
        <v>1154</v>
      </c>
      <c r="B675" s="22">
        <v>45434</v>
      </c>
      <c r="C675" s="23" t="s">
        <v>1155</v>
      </c>
      <c r="D675" s="23" t="s">
        <v>87</v>
      </c>
      <c r="E675" s="23" t="s">
        <v>132</v>
      </c>
      <c r="F675" s="23" t="s">
        <v>133</v>
      </c>
      <c r="G675" s="23" t="s">
        <v>2581</v>
      </c>
      <c r="H675" s="23" t="s">
        <v>134</v>
      </c>
      <c r="I675" s="23" t="s">
        <v>53</v>
      </c>
      <c r="J675" s="23" t="s">
        <v>232</v>
      </c>
      <c r="K675" s="23" t="s">
        <v>178</v>
      </c>
      <c r="L675" s="23" t="s">
        <v>2689</v>
      </c>
      <c r="M675" s="23" t="s">
        <v>30</v>
      </c>
      <c r="N675" s="23" t="s">
        <v>2578</v>
      </c>
      <c r="O675" s="23">
        <v>7</v>
      </c>
      <c r="P675" s="23">
        <v>61.41</v>
      </c>
      <c r="Q675" s="23">
        <v>36.58</v>
      </c>
      <c r="R675" s="23">
        <v>429.84</v>
      </c>
      <c r="S675" s="23">
        <v>0.1</v>
      </c>
      <c r="T675" s="23">
        <v>42.98</v>
      </c>
      <c r="U675" s="23">
        <v>386.86</v>
      </c>
      <c r="V675" s="23">
        <v>256.06</v>
      </c>
      <c r="W675" s="23">
        <v>130.80000000000001</v>
      </c>
      <c r="X675" s="23" t="s">
        <v>45</v>
      </c>
    </row>
    <row r="676" spans="1:24" x14ac:dyDescent="0.25">
      <c r="A676" s="20" t="s">
        <v>1156</v>
      </c>
      <c r="B676" s="19">
        <v>45404</v>
      </c>
      <c r="C676" s="20" t="s">
        <v>237</v>
      </c>
      <c r="D676" s="20" t="s">
        <v>105</v>
      </c>
      <c r="E676" s="20" t="s">
        <v>36</v>
      </c>
      <c r="F676" s="20" t="s">
        <v>37</v>
      </c>
      <c r="G676" s="20" t="s">
        <v>2579</v>
      </c>
      <c r="H676" s="20" t="s">
        <v>39</v>
      </c>
      <c r="I676" s="20" t="s">
        <v>58</v>
      </c>
      <c r="J676" s="20" t="s">
        <v>345</v>
      </c>
      <c r="K676" s="20" t="s">
        <v>170</v>
      </c>
      <c r="L676" s="20" t="s">
        <v>2671</v>
      </c>
      <c r="M676" s="20" t="s">
        <v>61</v>
      </c>
      <c r="N676" s="20" t="s">
        <v>84</v>
      </c>
      <c r="O676" s="20">
        <v>51</v>
      </c>
      <c r="P676" s="20">
        <v>174.96</v>
      </c>
      <c r="Q676" s="20">
        <v>102.81</v>
      </c>
      <c r="R676" s="20">
        <v>8923.1</v>
      </c>
      <c r="S676" s="20">
        <v>0.15</v>
      </c>
      <c r="T676" s="20">
        <v>1338.46</v>
      </c>
      <c r="U676" s="20">
        <v>7584.63</v>
      </c>
      <c r="V676" s="20">
        <v>5243.5</v>
      </c>
      <c r="W676" s="20">
        <v>2341.13</v>
      </c>
      <c r="X676" s="20" t="s">
        <v>45</v>
      </c>
    </row>
    <row r="677" spans="1:24" x14ac:dyDescent="0.25">
      <c r="A677" s="23" t="s">
        <v>1157</v>
      </c>
      <c r="B677" s="22">
        <v>45473</v>
      </c>
      <c r="C677" s="23" t="s">
        <v>314</v>
      </c>
      <c r="D677" s="23" t="s">
        <v>163</v>
      </c>
      <c r="E677" s="23" t="s">
        <v>66</v>
      </c>
      <c r="F677" s="23" t="s">
        <v>2582</v>
      </c>
      <c r="G677" s="23" t="s">
        <v>2579</v>
      </c>
      <c r="H677" s="23" t="s">
        <v>68</v>
      </c>
      <c r="I677" s="23" t="s">
        <v>40</v>
      </c>
      <c r="J677" s="23" t="s">
        <v>117</v>
      </c>
      <c r="K677" s="23" t="s">
        <v>178</v>
      </c>
      <c r="L677" s="23" t="s">
        <v>2689</v>
      </c>
      <c r="M677" s="23" t="s">
        <v>30</v>
      </c>
      <c r="N677" s="23" t="s">
        <v>44</v>
      </c>
      <c r="O677" s="23">
        <v>56</v>
      </c>
      <c r="P677" s="23">
        <v>155.02000000000001</v>
      </c>
      <c r="Q677" s="23">
        <v>99.22</v>
      </c>
      <c r="R677" s="23">
        <v>8680.89</v>
      </c>
      <c r="S677" s="23">
        <v>0.02</v>
      </c>
      <c r="T677" s="23">
        <v>173.62</v>
      </c>
      <c r="U677" s="23">
        <v>8507.2800000000007</v>
      </c>
      <c r="V677" s="23">
        <v>5556.23</v>
      </c>
      <c r="W677" s="23">
        <v>2951.04</v>
      </c>
      <c r="X677" s="23" t="s">
        <v>45</v>
      </c>
    </row>
    <row r="678" spans="1:24" x14ac:dyDescent="0.25">
      <c r="A678" s="20" t="s">
        <v>1158</v>
      </c>
      <c r="B678" s="19">
        <v>45458</v>
      </c>
      <c r="C678" s="20" t="s">
        <v>1159</v>
      </c>
      <c r="D678" s="20" t="s">
        <v>159</v>
      </c>
      <c r="E678" s="20" t="s">
        <v>93</v>
      </c>
      <c r="F678" s="20" t="s">
        <v>2585</v>
      </c>
      <c r="G678" s="20" t="s">
        <v>2586</v>
      </c>
      <c r="H678" s="20" t="s">
        <v>96</v>
      </c>
      <c r="I678" s="20" t="s">
        <v>88</v>
      </c>
      <c r="J678" s="20" t="s">
        <v>2112</v>
      </c>
      <c r="K678" s="20" t="s">
        <v>42</v>
      </c>
      <c r="L678" s="20" t="s">
        <v>2680</v>
      </c>
      <c r="M678" s="20" t="s">
        <v>61</v>
      </c>
      <c r="N678" s="20" t="s">
        <v>84</v>
      </c>
      <c r="O678" s="20">
        <v>47</v>
      </c>
      <c r="P678" s="20">
        <v>54.63</v>
      </c>
      <c r="Q678" s="20">
        <v>33.15</v>
      </c>
      <c r="R678" s="20">
        <v>2567.81</v>
      </c>
      <c r="S678" s="20">
        <v>0.2</v>
      </c>
      <c r="T678" s="20">
        <v>513.55999999999995</v>
      </c>
      <c r="U678" s="20">
        <v>2054.25</v>
      </c>
      <c r="V678" s="20">
        <v>1558.15</v>
      </c>
      <c r="W678" s="20">
        <v>496.1</v>
      </c>
      <c r="X678" s="20" t="s">
        <v>32</v>
      </c>
    </row>
    <row r="679" spans="1:24" x14ac:dyDescent="0.25">
      <c r="A679" s="23" t="s">
        <v>1160</v>
      </c>
      <c r="B679" s="22">
        <v>45324</v>
      </c>
      <c r="C679" s="23" t="s">
        <v>511</v>
      </c>
      <c r="D679" s="23" t="s">
        <v>163</v>
      </c>
      <c r="E679" s="23" t="s">
        <v>49</v>
      </c>
      <c r="F679" s="23" t="s">
        <v>2580</v>
      </c>
      <c r="G679" s="23" t="s">
        <v>2581</v>
      </c>
      <c r="H679" s="23" t="s">
        <v>52</v>
      </c>
      <c r="I679" s="23" t="s">
        <v>40</v>
      </c>
      <c r="J679" s="23" t="s">
        <v>117</v>
      </c>
      <c r="K679" s="23" t="s">
        <v>74</v>
      </c>
      <c r="L679" s="23" t="s">
        <v>2682</v>
      </c>
      <c r="M679" s="23" t="s">
        <v>43</v>
      </c>
      <c r="N679" s="23" t="s">
        <v>2578</v>
      </c>
      <c r="O679" s="23">
        <v>61</v>
      </c>
      <c r="P679" s="23">
        <v>24.12</v>
      </c>
      <c r="Q679" s="23">
        <v>12.01</v>
      </c>
      <c r="R679" s="23">
        <v>1471.51</v>
      </c>
      <c r="S679" s="23">
        <v>0.1</v>
      </c>
      <c r="T679" s="23">
        <v>147.15</v>
      </c>
      <c r="U679" s="23">
        <v>1324.36</v>
      </c>
      <c r="V679" s="23">
        <v>732.65</v>
      </c>
      <c r="W679" s="23">
        <v>591.71</v>
      </c>
      <c r="X679" s="23" t="s">
        <v>32</v>
      </c>
    </row>
    <row r="680" spans="1:24" x14ac:dyDescent="0.25">
      <c r="A680" s="20" t="s">
        <v>1161</v>
      </c>
      <c r="B680" s="19">
        <v>45384</v>
      </c>
      <c r="C680" s="20" t="s">
        <v>263</v>
      </c>
      <c r="D680" s="20" t="s">
        <v>264</v>
      </c>
      <c r="E680" s="20" t="s">
        <v>176</v>
      </c>
      <c r="F680" s="20" t="s">
        <v>2593</v>
      </c>
      <c r="G680" s="20" t="s">
        <v>2587</v>
      </c>
      <c r="H680" s="20" t="s">
        <v>39</v>
      </c>
      <c r="I680" s="20" t="s">
        <v>58</v>
      </c>
      <c r="J680" s="20" t="s">
        <v>323</v>
      </c>
      <c r="K680" s="20" t="s">
        <v>29</v>
      </c>
      <c r="L680" s="20" t="s">
        <v>2679</v>
      </c>
      <c r="M680" s="20" t="s">
        <v>153</v>
      </c>
      <c r="N680" s="20" t="s">
        <v>44</v>
      </c>
      <c r="O680" s="20">
        <v>54</v>
      </c>
      <c r="P680" s="20">
        <v>99.86</v>
      </c>
      <c r="Q680" s="20">
        <v>66.62</v>
      </c>
      <c r="R680" s="20">
        <v>5392.27</v>
      </c>
      <c r="S680" s="20">
        <v>0</v>
      </c>
      <c r="T680" s="20">
        <v>0</v>
      </c>
      <c r="U680" s="20">
        <v>5392.27</v>
      </c>
      <c r="V680" s="20">
        <v>3597.31</v>
      </c>
      <c r="W680" s="20">
        <v>1794.96</v>
      </c>
      <c r="X680" s="20" t="s">
        <v>45</v>
      </c>
    </row>
    <row r="681" spans="1:24" x14ac:dyDescent="0.25">
      <c r="A681" s="23" t="s">
        <v>1162</v>
      </c>
      <c r="B681" s="22">
        <v>45391</v>
      </c>
      <c r="C681" s="23" t="s">
        <v>466</v>
      </c>
      <c r="D681" s="23" t="s">
        <v>221</v>
      </c>
      <c r="E681" s="23" t="s">
        <v>216</v>
      </c>
      <c r="F681" s="23" t="s">
        <v>2596</v>
      </c>
      <c r="G681" s="23" t="s">
        <v>2579</v>
      </c>
      <c r="H681" s="23" t="s">
        <v>134</v>
      </c>
      <c r="I681" s="23" t="s">
        <v>88</v>
      </c>
      <c r="J681" s="23" t="s">
        <v>183</v>
      </c>
      <c r="K681" s="23" t="s">
        <v>83</v>
      </c>
      <c r="L681" s="23" t="s">
        <v>2683</v>
      </c>
      <c r="M681" s="23" t="s">
        <v>43</v>
      </c>
      <c r="N681" s="23" t="s">
        <v>2578</v>
      </c>
      <c r="O681" s="23">
        <v>68</v>
      </c>
      <c r="P681" s="23">
        <v>105.86</v>
      </c>
      <c r="Q681" s="23">
        <v>68.739999999999995</v>
      </c>
      <c r="R681" s="23">
        <v>7198.32</v>
      </c>
      <c r="S681" s="23">
        <v>0.05</v>
      </c>
      <c r="T681" s="23">
        <v>359.92</v>
      </c>
      <c r="U681" s="23">
        <v>6838.4</v>
      </c>
      <c r="V681" s="23">
        <v>4674.07</v>
      </c>
      <c r="W681" s="23">
        <v>2164.33</v>
      </c>
      <c r="X681" s="23" t="s">
        <v>129</v>
      </c>
    </row>
    <row r="682" spans="1:24" x14ac:dyDescent="0.25">
      <c r="A682" s="20" t="s">
        <v>1163</v>
      </c>
      <c r="B682" s="19">
        <v>45597</v>
      </c>
      <c r="C682" s="20" t="s">
        <v>711</v>
      </c>
      <c r="D682" s="20" t="s">
        <v>57</v>
      </c>
      <c r="E682" s="20" t="s">
        <v>209</v>
      </c>
      <c r="F682" s="20" t="s">
        <v>2595</v>
      </c>
      <c r="G682" s="20" t="s">
        <v>2581</v>
      </c>
      <c r="H682" s="20" t="s">
        <v>116</v>
      </c>
      <c r="I682" s="20" t="s">
        <v>27</v>
      </c>
      <c r="J682" s="20" t="s">
        <v>106</v>
      </c>
      <c r="K682" s="20" t="s">
        <v>218</v>
      </c>
      <c r="L682" s="20" t="s">
        <v>2692</v>
      </c>
      <c r="M682" s="20" t="s">
        <v>43</v>
      </c>
      <c r="N682" s="20" t="s">
        <v>84</v>
      </c>
      <c r="O682" s="20">
        <v>3</v>
      </c>
      <c r="P682" s="20">
        <v>19.11</v>
      </c>
      <c r="Q682" s="20">
        <v>10.19</v>
      </c>
      <c r="R682" s="20">
        <v>57.33</v>
      </c>
      <c r="S682" s="20">
        <v>0.15</v>
      </c>
      <c r="T682" s="20">
        <v>8.6</v>
      </c>
      <c r="U682" s="20">
        <v>48.73</v>
      </c>
      <c r="V682" s="20">
        <v>30.56</v>
      </c>
      <c r="W682" s="20">
        <v>18.18</v>
      </c>
      <c r="X682" s="20" t="s">
        <v>45</v>
      </c>
    </row>
    <row r="683" spans="1:24" x14ac:dyDescent="0.25">
      <c r="A683" s="23" t="s">
        <v>1164</v>
      </c>
      <c r="B683" s="22">
        <v>45559</v>
      </c>
      <c r="C683" s="23" t="s">
        <v>430</v>
      </c>
      <c r="D683" s="23" t="s">
        <v>156</v>
      </c>
      <c r="E683" s="23" t="s">
        <v>141</v>
      </c>
      <c r="F683" s="23" t="s">
        <v>2590</v>
      </c>
      <c r="G683" s="23" t="s">
        <v>2577</v>
      </c>
      <c r="H683" s="23" t="s">
        <v>26</v>
      </c>
      <c r="I683" s="23" t="s">
        <v>27</v>
      </c>
      <c r="J683" s="23" t="s">
        <v>189</v>
      </c>
      <c r="K683" s="23" t="s">
        <v>144</v>
      </c>
      <c r="L683" s="23" t="s">
        <v>2687</v>
      </c>
      <c r="M683" s="23" t="s">
        <v>43</v>
      </c>
      <c r="N683" s="23" t="s">
        <v>75</v>
      </c>
      <c r="O683" s="23">
        <v>9</v>
      </c>
      <c r="P683" s="23">
        <v>100.5</v>
      </c>
      <c r="Q683" s="23">
        <v>61.2</v>
      </c>
      <c r="R683" s="23">
        <v>904.53</v>
      </c>
      <c r="S683" s="23">
        <v>0</v>
      </c>
      <c r="T683" s="23">
        <v>0</v>
      </c>
      <c r="U683" s="23">
        <v>904.53</v>
      </c>
      <c r="V683" s="23">
        <v>550.78</v>
      </c>
      <c r="W683" s="23">
        <v>353.75</v>
      </c>
      <c r="X683" s="23" t="s">
        <v>45</v>
      </c>
    </row>
    <row r="684" spans="1:24" x14ac:dyDescent="0.25">
      <c r="A684" s="20" t="s">
        <v>1165</v>
      </c>
      <c r="B684" s="19">
        <v>45355</v>
      </c>
      <c r="C684" s="20" t="s">
        <v>408</v>
      </c>
      <c r="D684" s="20" t="s">
        <v>65</v>
      </c>
      <c r="E684" s="20" t="s">
        <v>99</v>
      </c>
      <c r="F684" s="20" t="s">
        <v>100</v>
      </c>
      <c r="G684" s="20" t="s">
        <v>2587</v>
      </c>
      <c r="H684" s="20" t="s">
        <v>102</v>
      </c>
      <c r="I684" s="20" t="s">
        <v>58</v>
      </c>
      <c r="J684" s="20" t="s">
        <v>73</v>
      </c>
      <c r="K684" s="20" t="s">
        <v>178</v>
      </c>
      <c r="L684" s="20" t="s">
        <v>2689</v>
      </c>
      <c r="M684" s="20" t="s">
        <v>153</v>
      </c>
      <c r="N684" s="20" t="s">
        <v>44</v>
      </c>
      <c r="O684" s="20">
        <v>60</v>
      </c>
      <c r="P684" s="20">
        <v>71.5</v>
      </c>
      <c r="Q684" s="20">
        <v>41.23</v>
      </c>
      <c r="R684" s="20">
        <v>4289.7299999999996</v>
      </c>
      <c r="S684" s="20">
        <v>0.2</v>
      </c>
      <c r="T684" s="20">
        <v>857.95</v>
      </c>
      <c r="U684" s="20">
        <v>3431.79</v>
      </c>
      <c r="V684" s="20">
        <v>2474.08</v>
      </c>
      <c r="W684" s="20">
        <v>957.7</v>
      </c>
      <c r="X684" s="20" t="s">
        <v>32</v>
      </c>
    </row>
    <row r="685" spans="1:24" x14ac:dyDescent="0.25">
      <c r="A685" s="23" t="s">
        <v>1166</v>
      </c>
      <c r="B685" s="22">
        <v>45604</v>
      </c>
      <c r="C685" s="23" t="s">
        <v>487</v>
      </c>
      <c r="D685" s="23" t="s">
        <v>156</v>
      </c>
      <c r="E685" s="23" t="s">
        <v>109</v>
      </c>
      <c r="F685" s="23" t="s">
        <v>110</v>
      </c>
      <c r="G685" s="23" t="s">
        <v>2584</v>
      </c>
      <c r="H685" s="23" t="s">
        <v>81</v>
      </c>
      <c r="I685" s="23" t="s">
        <v>88</v>
      </c>
      <c r="J685" s="23" t="s">
        <v>2112</v>
      </c>
      <c r="K685" s="23" t="s">
        <v>184</v>
      </c>
      <c r="L685" s="23" t="s">
        <v>2690</v>
      </c>
      <c r="M685" s="23" t="s">
        <v>30</v>
      </c>
      <c r="N685" s="23" t="s">
        <v>84</v>
      </c>
      <c r="O685" s="23">
        <v>21</v>
      </c>
      <c r="P685" s="23">
        <v>124.88</v>
      </c>
      <c r="Q685" s="23">
        <v>72.67</v>
      </c>
      <c r="R685" s="23">
        <v>2622.4</v>
      </c>
      <c r="S685" s="23">
        <v>0.05</v>
      </c>
      <c r="T685" s="23">
        <v>131.12</v>
      </c>
      <c r="U685" s="23">
        <v>2491.2800000000002</v>
      </c>
      <c r="V685" s="23">
        <v>1526.06</v>
      </c>
      <c r="W685" s="23">
        <v>965.22</v>
      </c>
      <c r="X685" s="23" t="s">
        <v>45</v>
      </c>
    </row>
    <row r="686" spans="1:24" x14ac:dyDescent="0.25">
      <c r="A686" s="20" t="s">
        <v>1167</v>
      </c>
      <c r="B686" s="19">
        <v>45442</v>
      </c>
      <c r="C686" s="20" t="s">
        <v>454</v>
      </c>
      <c r="D686" s="20" t="s">
        <v>156</v>
      </c>
      <c r="E686" s="20" t="s">
        <v>23</v>
      </c>
      <c r="F686" s="20" t="s">
        <v>2576</v>
      </c>
      <c r="G686" s="20" t="s">
        <v>2577</v>
      </c>
      <c r="H686" s="20" t="s">
        <v>26</v>
      </c>
      <c r="I686" s="20" t="s">
        <v>27</v>
      </c>
      <c r="J686" s="20" t="s">
        <v>211</v>
      </c>
      <c r="K686" s="20" t="s">
        <v>152</v>
      </c>
      <c r="L686" s="20" t="s">
        <v>2688</v>
      </c>
      <c r="M686" s="20" t="s">
        <v>153</v>
      </c>
      <c r="N686" s="20" t="s">
        <v>44</v>
      </c>
      <c r="O686" s="20">
        <v>35</v>
      </c>
      <c r="P686" s="20">
        <v>80.81</v>
      </c>
      <c r="Q686" s="20">
        <v>42.51</v>
      </c>
      <c r="R686" s="20">
        <v>2828.29</v>
      </c>
      <c r="S686" s="20">
        <v>0.15</v>
      </c>
      <c r="T686" s="20">
        <v>424.24</v>
      </c>
      <c r="U686" s="20">
        <v>2404.04</v>
      </c>
      <c r="V686" s="20">
        <v>1487.86</v>
      </c>
      <c r="W686" s="20">
        <v>916.18</v>
      </c>
      <c r="X686" s="20" t="s">
        <v>129</v>
      </c>
    </row>
    <row r="687" spans="1:24" x14ac:dyDescent="0.25">
      <c r="A687" s="23" t="s">
        <v>1168</v>
      </c>
      <c r="B687" s="22">
        <v>45315</v>
      </c>
      <c r="C687" s="23" t="s">
        <v>227</v>
      </c>
      <c r="D687" s="23" t="s">
        <v>159</v>
      </c>
      <c r="E687" s="23" t="s">
        <v>23</v>
      </c>
      <c r="F687" s="23" t="s">
        <v>2576</v>
      </c>
      <c r="G687" s="23" t="s">
        <v>2577</v>
      </c>
      <c r="H687" s="23" t="s">
        <v>26</v>
      </c>
      <c r="I687" s="23" t="s">
        <v>88</v>
      </c>
      <c r="J687" s="23" t="s">
        <v>173</v>
      </c>
      <c r="K687" s="23" t="s">
        <v>74</v>
      </c>
      <c r="L687" s="23" t="s">
        <v>2682</v>
      </c>
      <c r="M687" s="23" t="s">
        <v>153</v>
      </c>
      <c r="N687" s="23" t="s">
        <v>2578</v>
      </c>
      <c r="O687" s="23">
        <v>39</v>
      </c>
      <c r="P687" s="23">
        <v>70.819999999999993</v>
      </c>
      <c r="Q687" s="23">
        <v>42.67</v>
      </c>
      <c r="R687" s="23">
        <v>2761.98</v>
      </c>
      <c r="S687" s="23">
        <v>0.05</v>
      </c>
      <c r="T687" s="23">
        <v>138.1</v>
      </c>
      <c r="U687" s="23">
        <v>2623.88</v>
      </c>
      <c r="V687" s="23">
        <v>1664.31</v>
      </c>
      <c r="W687" s="23">
        <v>959.58</v>
      </c>
      <c r="X687" s="23" t="s">
        <v>129</v>
      </c>
    </row>
    <row r="688" spans="1:24" x14ac:dyDescent="0.25">
      <c r="A688" s="20" t="s">
        <v>1169</v>
      </c>
      <c r="B688" s="19">
        <v>45329</v>
      </c>
      <c r="C688" s="20" t="s">
        <v>199</v>
      </c>
      <c r="D688" s="20" t="s">
        <v>105</v>
      </c>
      <c r="E688" s="20" t="s">
        <v>222</v>
      </c>
      <c r="F688" s="20" t="s">
        <v>2597</v>
      </c>
      <c r="G688" s="20" t="s">
        <v>2587</v>
      </c>
      <c r="H688" s="20" t="s">
        <v>68</v>
      </c>
      <c r="I688" s="20" t="s">
        <v>88</v>
      </c>
      <c r="J688" s="20" t="s">
        <v>2112</v>
      </c>
      <c r="K688" s="20" t="s">
        <v>111</v>
      </c>
      <c r="L688" s="20" t="s">
        <v>2685</v>
      </c>
      <c r="M688" s="20" t="s">
        <v>61</v>
      </c>
      <c r="N688" s="20" t="s">
        <v>75</v>
      </c>
      <c r="O688" s="20">
        <v>20</v>
      </c>
      <c r="P688" s="20">
        <v>119.69</v>
      </c>
      <c r="Q688" s="20">
        <v>71.83</v>
      </c>
      <c r="R688" s="20">
        <v>2393.85</v>
      </c>
      <c r="S688" s="20">
        <v>0.1</v>
      </c>
      <c r="T688" s="20">
        <v>239.39</v>
      </c>
      <c r="U688" s="20">
        <v>2154.4699999999998</v>
      </c>
      <c r="V688" s="20">
        <v>1436.53</v>
      </c>
      <c r="W688" s="20">
        <v>717.94</v>
      </c>
      <c r="X688" s="20" t="s">
        <v>45</v>
      </c>
    </row>
    <row r="689" spans="1:24" x14ac:dyDescent="0.25">
      <c r="A689" s="23" t="s">
        <v>1170</v>
      </c>
      <c r="B689" s="22">
        <v>45396</v>
      </c>
      <c r="C689" s="23" t="s">
        <v>1171</v>
      </c>
      <c r="D689" s="23" t="s">
        <v>35</v>
      </c>
      <c r="E689" s="23" t="s">
        <v>114</v>
      </c>
      <c r="F689" s="23" t="s">
        <v>2588</v>
      </c>
      <c r="G689" s="23" t="s">
        <v>2586</v>
      </c>
      <c r="H689" s="23" t="s">
        <v>116</v>
      </c>
      <c r="I689" s="23" t="s">
        <v>88</v>
      </c>
      <c r="J689" s="23" t="s">
        <v>135</v>
      </c>
      <c r="K689" s="23" t="s">
        <v>184</v>
      </c>
      <c r="L689" s="23" t="s">
        <v>2690</v>
      </c>
      <c r="M689" s="23" t="s">
        <v>43</v>
      </c>
      <c r="N689" s="23" t="s">
        <v>75</v>
      </c>
      <c r="O689" s="23">
        <v>33</v>
      </c>
      <c r="P689" s="23">
        <v>35.76</v>
      </c>
      <c r="Q689" s="23">
        <v>21.33</v>
      </c>
      <c r="R689" s="23">
        <v>1180.1199999999999</v>
      </c>
      <c r="S689" s="23">
        <v>0</v>
      </c>
      <c r="T689" s="23">
        <v>0</v>
      </c>
      <c r="U689" s="23">
        <v>1180.1199999999999</v>
      </c>
      <c r="V689" s="23">
        <v>704.01</v>
      </c>
      <c r="W689" s="23">
        <v>476.11</v>
      </c>
      <c r="X689" s="23" t="s">
        <v>45</v>
      </c>
    </row>
    <row r="690" spans="1:24" x14ac:dyDescent="0.25">
      <c r="A690" s="20" t="s">
        <v>1172</v>
      </c>
      <c r="B690" s="19">
        <v>45591</v>
      </c>
      <c r="C690" s="20" t="s">
        <v>197</v>
      </c>
      <c r="D690" s="20" t="s">
        <v>159</v>
      </c>
      <c r="E690" s="20" t="s">
        <v>126</v>
      </c>
      <c r="F690" s="20" t="s">
        <v>2589</v>
      </c>
      <c r="G690" s="20" t="s">
        <v>2586</v>
      </c>
      <c r="H690" s="20" t="s">
        <v>128</v>
      </c>
      <c r="I690" s="20" t="s">
        <v>58</v>
      </c>
      <c r="J690" s="20" t="s">
        <v>323</v>
      </c>
      <c r="K690" s="20" t="s">
        <v>265</v>
      </c>
      <c r="L690" s="20" t="s">
        <v>2663</v>
      </c>
      <c r="M690" s="20" t="s">
        <v>385</v>
      </c>
      <c r="N690" s="20" t="s">
        <v>84</v>
      </c>
      <c r="O690" s="20">
        <v>56</v>
      </c>
      <c r="P690" s="20">
        <v>83.39</v>
      </c>
      <c r="Q690" s="20">
        <v>53.77</v>
      </c>
      <c r="R690" s="20">
        <v>4669.68</v>
      </c>
      <c r="S690" s="20">
        <v>0.2</v>
      </c>
      <c r="T690" s="20">
        <v>933.94</v>
      </c>
      <c r="U690" s="20">
        <v>3735.74</v>
      </c>
      <c r="V690" s="20">
        <v>3011.16</v>
      </c>
      <c r="W690" s="20">
        <v>724.58</v>
      </c>
      <c r="X690" s="20" t="s">
        <v>45</v>
      </c>
    </row>
    <row r="691" spans="1:24" x14ac:dyDescent="0.25">
      <c r="A691" s="23" t="s">
        <v>1173</v>
      </c>
      <c r="B691" s="22">
        <v>45333</v>
      </c>
      <c r="C691" s="23" t="s">
        <v>373</v>
      </c>
      <c r="D691" s="23" t="s">
        <v>264</v>
      </c>
      <c r="E691" s="23" t="s">
        <v>36</v>
      </c>
      <c r="F691" s="23" t="s">
        <v>37</v>
      </c>
      <c r="G691" s="23" t="s">
        <v>2579</v>
      </c>
      <c r="H691" s="23" t="s">
        <v>39</v>
      </c>
      <c r="I691" s="23" t="s">
        <v>27</v>
      </c>
      <c r="J691" s="23" t="s">
        <v>106</v>
      </c>
      <c r="K691" s="23" t="s">
        <v>265</v>
      </c>
      <c r="L691" s="23" t="s">
        <v>2663</v>
      </c>
      <c r="M691" s="23" t="s">
        <v>153</v>
      </c>
      <c r="N691" s="23" t="s">
        <v>70</v>
      </c>
      <c r="O691" s="23">
        <v>38</v>
      </c>
      <c r="P691" s="23">
        <v>160.83000000000001</v>
      </c>
      <c r="Q691" s="23">
        <v>99.44</v>
      </c>
      <c r="R691" s="23">
        <v>6111.4</v>
      </c>
      <c r="S691" s="23">
        <v>0.2</v>
      </c>
      <c r="T691" s="23">
        <v>1222.28</v>
      </c>
      <c r="U691" s="23">
        <v>4889.12</v>
      </c>
      <c r="V691" s="23">
        <v>3778.66</v>
      </c>
      <c r="W691" s="23">
        <v>1110.46</v>
      </c>
      <c r="X691" s="23" t="s">
        <v>45</v>
      </c>
    </row>
    <row r="692" spans="1:24" x14ac:dyDescent="0.25">
      <c r="A692" s="20" t="s">
        <v>1174</v>
      </c>
      <c r="B692" s="19">
        <v>45455</v>
      </c>
      <c r="C692" s="20" t="s">
        <v>1175</v>
      </c>
      <c r="D692" s="20" t="s">
        <v>156</v>
      </c>
      <c r="E692" s="20" t="s">
        <v>150</v>
      </c>
      <c r="F692" s="20" t="s">
        <v>2591</v>
      </c>
      <c r="G692" s="20" t="s">
        <v>2587</v>
      </c>
      <c r="H692" s="20" t="s">
        <v>134</v>
      </c>
      <c r="I692" s="20" t="s">
        <v>53</v>
      </c>
      <c r="J692" s="20" t="s">
        <v>54</v>
      </c>
      <c r="K692" s="20" t="s">
        <v>111</v>
      </c>
      <c r="L692" s="20" t="s">
        <v>2685</v>
      </c>
      <c r="M692" s="20" t="s">
        <v>547</v>
      </c>
      <c r="N692" s="20" t="s">
        <v>75</v>
      </c>
      <c r="O692" s="20">
        <v>64</v>
      </c>
      <c r="P692" s="20">
        <v>78.5</v>
      </c>
      <c r="Q692" s="20">
        <v>52.34</v>
      </c>
      <c r="R692" s="20">
        <v>5023.8</v>
      </c>
      <c r="S692" s="20">
        <v>0.1</v>
      </c>
      <c r="T692" s="20">
        <v>502.38</v>
      </c>
      <c r="U692" s="20">
        <v>3747.39</v>
      </c>
      <c r="V692" s="20">
        <v>3349.54</v>
      </c>
      <c r="W692" s="20">
        <v>1171.8800000000001</v>
      </c>
      <c r="X692" s="20" t="s">
        <v>129</v>
      </c>
    </row>
    <row r="693" spans="1:24" x14ac:dyDescent="0.25">
      <c r="A693" s="23" t="s">
        <v>1176</v>
      </c>
      <c r="B693" s="22">
        <v>45591</v>
      </c>
      <c r="C693" s="23" t="s">
        <v>917</v>
      </c>
      <c r="D693" s="23" t="s">
        <v>57</v>
      </c>
      <c r="E693" s="23" t="s">
        <v>176</v>
      </c>
      <c r="F693" s="23" t="s">
        <v>2593</v>
      </c>
      <c r="G693" s="23" t="s">
        <v>2587</v>
      </c>
      <c r="H693" s="23" t="s">
        <v>39</v>
      </c>
      <c r="I693" s="23" t="s">
        <v>40</v>
      </c>
      <c r="J693" s="23" t="s">
        <v>289</v>
      </c>
      <c r="K693" s="23" t="s">
        <v>195</v>
      </c>
      <c r="L693" s="23" t="s">
        <v>2691</v>
      </c>
      <c r="M693" s="23" t="s">
        <v>61</v>
      </c>
      <c r="N693" s="23" t="s">
        <v>84</v>
      </c>
      <c r="O693" s="23">
        <v>30</v>
      </c>
      <c r="P693" s="23">
        <v>107.45</v>
      </c>
      <c r="Q693" s="23">
        <v>63.71</v>
      </c>
      <c r="R693" s="23">
        <v>3223.54</v>
      </c>
      <c r="S693" s="23">
        <v>0.02</v>
      </c>
      <c r="T693" s="23">
        <v>64.47</v>
      </c>
      <c r="U693" s="23">
        <v>3159.07</v>
      </c>
      <c r="V693" s="23">
        <v>1911.4</v>
      </c>
      <c r="W693" s="23">
        <v>1247.67</v>
      </c>
      <c r="X693" s="23" t="s">
        <v>32</v>
      </c>
    </row>
    <row r="694" spans="1:24" x14ac:dyDescent="0.25">
      <c r="A694" s="20" t="s">
        <v>1177</v>
      </c>
      <c r="B694" s="19">
        <v>45473</v>
      </c>
      <c r="C694" s="20" t="s">
        <v>584</v>
      </c>
      <c r="D694" s="20" t="s">
        <v>105</v>
      </c>
      <c r="E694" s="20" t="s">
        <v>78</v>
      </c>
      <c r="F694" s="20" t="s">
        <v>2583</v>
      </c>
      <c r="G694" s="20" t="s">
        <v>2584</v>
      </c>
      <c r="H694" s="20" t="s">
        <v>81</v>
      </c>
      <c r="I694" s="20" t="s">
        <v>88</v>
      </c>
      <c r="J694" s="20" t="s">
        <v>183</v>
      </c>
      <c r="K694" s="20" t="s">
        <v>265</v>
      </c>
      <c r="L694" s="20" t="s">
        <v>2663</v>
      </c>
      <c r="M694" s="20" t="s">
        <v>61</v>
      </c>
      <c r="N694" s="20" t="s">
        <v>44</v>
      </c>
      <c r="O694" s="20">
        <v>27</v>
      </c>
      <c r="P694" s="20">
        <v>147.44999999999999</v>
      </c>
      <c r="Q694" s="20">
        <v>78.23</v>
      </c>
      <c r="R694" s="20">
        <v>3981.06</v>
      </c>
      <c r="S694" s="20">
        <v>0.2</v>
      </c>
      <c r="T694" s="20">
        <v>796.21</v>
      </c>
      <c r="U694" s="20">
        <v>3184.85</v>
      </c>
      <c r="V694" s="20">
        <v>2112.1</v>
      </c>
      <c r="W694" s="20">
        <v>1072.75</v>
      </c>
      <c r="X694" s="20" t="s">
        <v>129</v>
      </c>
    </row>
    <row r="695" spans="1:24" x14ac:dyDescent="0.25">
      <c r="A695" s="23" t="s">
        <v>1178</v>
      </c>
      <c r="B695" s="22">
        <v>45641</v>
      </c>
      <c r="C695" s="23" t="s">
        <v>408</v>
      </c>
      <c r="D695" s="23" t="s">
        <v>65</v>
      </c>
      <c r="E695" s="23" t="s">
        <v>216</v>
      </c>
      <c r="F695" s="23" t="s">
        <v>2596</v>
      </c>
      <c r="G695" s="23" t="s">
        <v>2579</v>
      </c>
      <c r="H695" s="23" t="s">
        <v>134</v>
      </c>
      <c r="I695" s="23" t="s">
        <v>53</v>
      </c>
      <c r="J695" s="23" t="s">
        <v>232</v>
      </c>
      <c r="K695" s="23" t="s">
        <v>218</v>
      </c>
      <c r="L695" s="23" t="s">
        <v>2692</v>
      </c>
      <c r="M695" s="23" t="s">
        <v>43</v>
      </c>
      <c r="N695" s="23" t="s">
        <v>2578</v>
      </c>
      <c r="O695" s="23">
        <v>13</v>
      </c>
      <c r="P695" s="23">
        <v>104.9</v>
      </c>
      <c r="Q695" s="23">
        <v>70.31</v>
      </c>
      <c r="R695" s="23">
        <v>1363.76</v>
      </c>
      <c r="S695" s="23">
        <v>0.05</v>
      </c>
      <c r="T695" s="23">
        <v>68.19</v>
      </c>
      <c r="U695" s="23">
        <v>1295.58</v>
      </c>
      <c r="V695" s="23">
        <v>914.07</v>
      </c>
      <c r="W695" s="23">
        <v>381.51</v>
      </c>
      <c r="X695" s="23" t="s">
        <v>32</v>
      </c>
    </row>
    <row r="696" spans="1:24" x14ac:dyDescent="0.25">
      <c r="A696" s="20" t="s">
        <v>1179</v>
      </c>
      <c r="B696" s="19">
        <v>45556</v>
      </c>
      <c r="C696" s="20" t="s">
        <v>681</v>
      </c>
      <c r="D696" s="20" t="s">
        <v>105</v>
      </c>
      <c r="E696" s="20" t="s">
        <v>49</v>
      </c>
      <c r="F696" s="20" t="s">
        <v>2580</v>
      </c>
      <c r="G696" s="20" t="s">
        <v>2581</v>
      </c>
      <c r="H696" s="20" t="s">
        <v>52</v>
      </c>
      <c r="I696" s="20" t="s">
        <v>53</v>
      </c>
      <c r="J696" s="20" t="s">
        <v>122</v>
      </c>
      <c r="K696" s="20" t="s">
        <v>60</v>
      </c>
      <c r="L696" s="20" t="s">
        <v>2677</v>
      </c>
      <c r="M696" s="20" t="s">
        <v>43</v>
      </c>
      <c r="N696" s="20" t="s">
        <v>2578</v>
      </c>
      <c r="O696" s="20">
        <v>47</v>
      </c>
      <c r="P696" s="20">
        <v>23.09</v>
      </c>
      <c r="Q696" s="20">
        <v>13.3</v>
      </c>
      <c r="R696" s="20">
        <v>1085.44</v>
      </c>
      <c r="S696" s="20">
        <v>0</v>
      </c>
      <c r="T696" s="20">
        <v>0</v>
      </c>
      <c r="U696" s="20">
        <v>1085.44</v>
      </c>
      <c r="V696" s="20">
        <v>624.88</v>
      </c>
      <c r="W696" s="20">
        <v>460.56</v>
      </c>
      <c r="X696" s="20" t="s">
        <v>45</v>
      </c>
    </row>
    <row r="697" spans="1:24" x14ac:dyDescent="0.25">
      <c r="A697" s="23" t="s">
        <v>1180</v>
      </c>
      <c r="B697" s="22">
        <v>45381</v>
      </c>
      <c r="C697" s="23" t="s">
        <v>524</v>
      </c>
      <c r="D697" s="23" t="s">
        <v>125</v>
      </c>
      <c r="E697" s="23" t="s">
        <v>49</v>
      </c>
      <c r="F697" s="23" t="s">
        <v>2580</v>
      </c>
      <c r="G697" s="23" t="s">
        <v>2581</v>
      </c>
      <c r="H697" s="23" t="s">
        <v>52</v>
      </c>
      <c r="I697" s="23" t="s">
        <v>27</v>
      </c>
      <c r="J697" s="23" t="s">
        <v>211</v>
      </c>
      <c r="K697" s="23" t="s">
        <v>195</v>
      </c>
      <c r="L697" s="23" t="s">
        <v>2691</v>
      </c>
      <c r="M697" s="23" t="s">
        <v>61</v>
      </c>
      <c r="N697" s="23" t="s">
        <v>84</v>
      </c>
      <c r="O697" s="23">
        <v>28</v>
      </c>
      <c r="P697" s="23">
        <v>26.05</v>
      </c>
      <c r="Q697" s="23">
        <v>12.04</v>
      </c>
      <c r="R697" s="23">
        <v>729.38</v>
      </c>
      <c r="S697" s="23">
        <v>0.05</v>
      </c>
      <c r="T697" s="23">
        <v>36.47</v>
      </c>
      <c r="U697" s="23">
        <v>692.91</v>
      </c>
      <c r="V697" s="23">
        <v>337.15</v>
      </c>
      <c r="W697" s="23">
        <v>355.76</v>
      </c>
      <c r="X697" s="23" t="s">
        <v>129</v>
      </c>
    </row>
    <row r="698" spans="1:24" x14ac:dyDescent="0.25">
      <c r="A698" s="20" t="s">
        <v>1181</v>
      </c>
      <c r="B698" s="19">
        <v>45372</v>
      </c>
      <c r="C698" s="20" t="s">
        <v>1044</v>
      </c>
      <c r="D698" s="20" t="s">
        <v>359</v>
      </c>
      <c r="E698" s="20" t="s">
        <v>165</v>
      </c>
      <c r="F698" s="20" t="s">
        <v>2592</v>
      </c>
      <c r="G698" s="20" t="s">
        <v>2586</v>
      </c>
      <c r="H698" s="20" t="s">
        <v>167</v>
      </c>
      <c r="I698" s="20" t="s">
        <v>53</v>
      </c>
      <c r="J698" s="20" t="s">
        <v>232</v>
      </c>
      <c r="K698" s="20" t="s">
        <v>195</v>
      </c>
      <c r="L698" s="20" t="s">
        <v>2691</v>
      </c>
      <c r="M698" s="20" t="s">
        <v>43</v>
      </c>
      <c r="N698" s="20" t="s">
        <v>2578</v>
      </c>
      <c r="O698" s="20">
        <v>13</v>
      </c>
      <c r="P698" s="20">
        <v>41.95</v>
      </c>
      <c r="Q698" s="20">
        <v>24.62</v>
      </c>
      <c r="R698" s="20">
        <v>545.38</v>
      </c>
      <c r="S698" s="20">
        <v>0</v>
      </c>
      <c r="T698" s="20">
        <v>0</v>
      </c>
      <c r="U698" s="20">
        <v>545.38</v>
      </c>
      <c r="V698" s="20">
        <v>320.02</v>
      </c>
      <c r="W698" s="20">
        <v>225.35</v>
      </c>
      <c r="X698" s="20" t="s">
        <v>45</v>
      </c>
    </row>
    <row r="699" spans="1:24" x14ac:dyDescent="0.25">
      <c r="A699" s="23" t="s">
        <v>1182</v>
      </c>
      <c r="B699" s="22">
        <v>45377</v>
      </c>
      <c r="C699" s="23" t="s">
        <v>602</v>
      </c>
      <c r="D699" s="23" t="s">
        <v>159</v>
      </c>
      <c r="E699" s="23" t="s">
        <v>132</v>
      </c>
      <c r="F699" s="23" t="s">
        <v>133</v>
      </c>
      <c r="G699" s="23" t="s">
        <v>2581</v>
      </c>
      <c r="H699" s="23" t="s">
        <v>134</v>
      </c>
      <c r="I699" s="23" t="s">
        <v>40</v>
      </c>
      <c r="J699" s="23" t="s">
        <v>289</v>
      </c>
      <c r="K699" s="23" t="s">
        <v>42</v>
      </c>
      <c r="L699" s="23" t="s">
        <v>2680</v>
      </c>
      <c r="M699" s="23" t="s">
        <v>43</v>
      </c>
      <c r="N699" s="23" t="s">
        <v>75</v>
      </c>
      <c r="O699" s="23">
        <v>44</v>
      </c>
      <c r="P699" s="23">
        <v>56.94</v>
      </c>
      <c r="Q699" s="23">
        <v>34.450000000000003</v>
      </c>
      <c r="R699" s="23">
        <v>2505.44</v>
      </c>
      <c r="S699" s="23">
        <v>0.1</v>
      </c>
      <c r="T699" s="23">
        <v>250.54</v>
      </c>
      <c r="U699" s="23">
        <v>2254.89</v>
      </c>
      <c r="V699" s="23">
        <v>1515.88</v>
      </c>
      <c r="W699" s="23">
        <v>739.02</v>
      </c>
      <c r="X699" s="23" t="s">
        <v>45</v>
      </c>
    </row>
    <row r="700" spans="1:24" x14ac:dyDescent="0.25">
      <c r="A700" s="20" t="s">
        <v>1183</v>
      </c>
      <c r="B700" s="19">
        <v>45306</v>
      </c>
      <c r="C700" s="20" t="s">
        <v>1184</v>
      </c>
      <c r="D700" s="20" t="s">
        <v>65</v>
      </c>
      <c r="E700" s="20" t="s">
        <v>93</v>
      </c>
      <c r="F700" s="20" t="s">
        <v>2585</v>
      </c>
      <c r="G700" s="20" t="s">
        <v>2586</v>
      </c>
      <c r="H700" s="20" t="s">
        <v>96</v>
      </c>
      <c r="I700" s="20" t="s">
        <v>88</v>
      </c>
      <c r="J700" s="20" t="s">
        <v>2112</v>
      </c>
      <c r="K700" s="20" t="s">
        <v>83</v>
      </c>
      <c r="L700" s="20" t="s">
        <v>2683</v>
      </c>
      <c r="M700" s="20" t="s">
        <v>30</v>
      </c>
      <c r="N700" s="20" t="s">
        <v>2578</v>
      </c>
      <c r="O700" s="20">
        <v>5</v>
      </c>
      <c r="P700" s="20">
        <v>53.54</v>
      </c>
      <c r="Q700" s="20">
        <v>33.39</v>
      </c>
      <c r="R700" s="20">
        <v>267.70999999999998</v>
      </c>
      <c r="S700" s="20">
        <v>0.2</v>
      </c>
      <c r="T700" s="20">
        <v>53.54</v>
      </c>
      <c r="U700" s="20">
        <v>214.17</v>
      </c>
      <c r="V700" s="20">
        <v>166.94</v>
      </c>
      <c r="W700" s="20">
        <v>47.23</v>
      </c>
      <c r="X700" s="20" t="s">
        <v>32</v>
      </c>
    </row>
    <row r="701" spans="1:24" x14ac:dyDescent="0.25">
      <c r="A701" s="23" t="s">
        <v>1185</v>
      </c>
      <c r="B701" s="22">
        <v>45490</v>
      </c>
      <c r="C701" s="23" t="s">
        <v>800</v>
      </c>
      <c r="D701" s="23" t="s">
        <v>264</v>
      </c>
      <c r="E701" s="23" t="s">
        <v>176</v>
      </c>
      <c r="F701" s="23" t="s">
        <v>2593</v>
      </c>
      <c r="G701" s="23" t="s">
        <v>2587</v>
      </c>
      <c r="H701" s="23" t="s">
        <v>39</v>
      </c>
      <c r="I701" s="23" t="s">
        <v>88</v>
      </c>
      <c r="J701" s="23" t="s">
        <v>173</v>
      </c>
      <c r="K701" s="23" t="s">
        <v>218</v>
      </c>
      <c r="L701" s="23" t="s">
        <v>2692</v>
      </c>
      <c r="M701" s="23" t="s">
        <v>61</v>
      </c>
      <c r="N701" s="23" t="s">
        <v>75</v>
      </c>
      <c r="O701" s="23">
        <v>23</v>
      </c>
      <c r="P701" s="23">
        <v>97.73</v>
      </c>
      <c r="Q701" s="23">
        <v>63.19</v>
      </c>
      <c r="R701" s="23">
        <v>2247.88</v>
      </c>
      <c r="S701" s="23">
        <v>0.1</v>
      </c>
      <c r="T701" s="23">
        <v>224.79</v>
      </c>
      <c r="U701" s="23">
        <v>2023.09</v>
      </c>
      <c r="V701" s="23">
        <v>1453.34</v>
      </c>
      <c r="W701" s="23">
        <v>569.76</v>
      </c>
      <c r="X701" s="23" t="s">
        <v>45</v>
      </c>
    </row>
    <row r="702" spans="1:24" x14ac:dyDescent="0.25">
      <c r="A702" s="20" t="s">
        <v>1186</v>
      </c>
      <c r="B702" s="19">
        <v>45541</v>
      </c>
      <c r="C702" s="20" t="s">
        <v>341</v>
      </c>
      <c r="D702" s="20" t="s">
        <v>259</v>
      </c>
      <c r="E702" s="20" t="s">
        <v>187</v>
      </c>
      <c r="F702" s="20" t="s">
        <v>2594</v>
      </c>
      <c r="G702" s="20" t="s">
        <v>2577</v>
      </c>
      <c r="H702" s="20" t="s">
        <v>26</v>
      </c>
      <c r="I702" s="20" t="s">
        <v>58</v>
      </c>
      <c r="J702" s="20" t="s">
        <v>73</v>
      </c>
      <c r="K702" s="20" t="s">
        <v>265</v>
      </c>
      <c r="L702" s="20" t="s">
        <v>2663</v>
      </c>
      <c r="M702" s="20" t="s">
        <v>30</v>
      </c>
      <c r="N702" s="20" t="s">
        <v>84</v>
      </c>
      <c r="O702" s="20">
        <f>ROUND(Cleaned_Sales!$R702/Cleaned_Sales!$P702,0)</f>
        <v>42</v>
      </c>
      <c r="P702" s="20">
        <v>50.78</v>
      </c>
      <c r="Q702" s="20">
        <v>31.09</v>
      </c>
      <c r="R702" s="20">
        <v>2132.88</v>
      </c>
      <c r="S702" s="20">
        <v>0.15</v>
      </c>
      <c r="T702" s="20">
        <v>319.93</v>
      </c>
      <c r="U702" s="20">
        <v>1812.95</v>
      </c>
      <c r="V702" s="20">
        <v>1305.5999999999999</v>
      </c>
      <c r="W702" s="20">
        <v>507.35</v>
      </c>
      <c r="X702" s="20" t="s">
        <v>45</v>
      </c>
    </row>
    <row r="703" spans="1:24" x14ac:dyDescent="0.25">
      <c r="A703" s="23" t="s">
        <v>1187</v>
      </c>
      <c r="B703" s="22">
        <v>45573</v>
      </c>
      <c r="C703" s="23" t="s">
        <v>817</v>
      </c>
      <c r="D703" s="23" t="s">
        <v>121</v>
      </c>
      <c r="E703" s="23" t="s">
        <v>132</v>
      </c>
      <c r="F703" s="23" t="s">
        <v>133</v>
      </c>
      <c r="G703" s="23" t="s">
        <v>2581</v>
      </c>
      <c r="H703" s="23" t="s">
        <v>134</v>
      </c>
      <c r="I703" s="23" t="s">
        <v>53</v>
      </c>
      <c r="J703" s="23" t="s">
        <v>143</v>
      </c>
      <c r="K703" s="23" t="s">
        <v>144</v>
      </c>
      <c r="L703" s="23" t="s">
        <v>2687</v>
      </c>
      <c r="M703" s="23" t="s">
        <v>30</v>
      </c>
      <c r="N703" s="23" t="s">
        <v>2578</v>
      </c>
      <c r="O703" s="23">
        <v>33</v>
      </c>
      <c r="P703" s="23">
        <v>58.61</v>
      </c>
      <c r="Q703" s="23">
        <v>35.54</v>
      </c>
      <c r="R703" s="23">
        <v>1934.19</v>
      </c>
      <c r="S703" s="23">
        <v>0.05</v>
      </c>
      <c r="T703" s="23">
        <v>96.71</v>
      </c>
      <c r="U703" s="23">
        <v>1837.48</v>
      </c>
      <c r="V703" s="23">
        <v>1172.95</v>
      </c>
      <c r="W703" s="23">
        <v>664.53</v>
      </c>
      <c r="X703" s="23" t="s">
        <v>45</v>
      </c>
    </row>
    <row r="704" spans="1:24" x14ac:dyDescent="0.25">
      <c r="A704" s="20" t="s">
        <v>1188</v>
      </c>
      <c r="B704" s="19">
        <v>45371</v>
      </c>
      <c r="C704" s="20" t="s">
        <v>693</v>
      </c>
      <c r="D704" s="20" t="s">
        <v>57</v>
      </c>
      <c r="E704" s="20" t="s">
        <v>93</v>
      </c>
      <c r="F704" s="20" t="s">
        <v>2585</v>
      </c>
      <c r="G704" s="20" t="s">
        <v>2586</v>
      </c>
      <c r="H704" s="20" t="s">
        <v>96</v>
      </c>
      <c r="I704" s="20" t="s">
        <v>53</v>
      </c>
      <c r="J704" s="20" t="s">
        <v>232</v>
      </c>
      <c r="K704" s="20" t="s">
        <v>74</v>
      </c>
      <c r="L704" s="20" t="s">
        <v>2682</v>
      </c>
      <c r="M704" s="20" t="s">
        <v>153</v>
      </c>
      <c r="N704" s="20" t="s">
        <v>2578</v>
      </c>
      <c r="O704" s="20">
        <v>25</v>
      </c>
      <c r="P704" s="20">
        <v>56.41</v>
      </c>
      <c r="Q704" s="20">
        <v>33.35</v>
      </c>
      <c r="R704" s="20">
        <v>1410.27</v>
      </c>
      <c r="S704" s="20">
        <v>0</v>
      </c>
      <c r="T704" s="20">
        <v>0</v>
      </c>
      <c r="U704" s="20">
        <v>1410.27</v>
      </c>
      <c r="V704" s="20">
        <v>833.84</v>
      </c>
      <c r="W704" s="20">
        <v>576.42999999999995</v>
      </c>
      <c r="X704" s="20" t="s">
        <v>45</v>
      </c>
    </row>
    <row r="705" spans="1:24" x14ac:dyDescent="0.25">
      <c r="A705" s="23" t="s">
        <v>1189</v>
      </c>
      <c r="B705" s="22">
        <v>45571</v>
      </c>
      <c r="C705" s="23" t="s">
        <v>727</v>
      </c>
      <c r="D705" s="23" t="s">
        <v>65</v>
      </c>
      <c r="E705" s="23" t="s">
        <v>99</v>
      </c>
      <c r="F705" s="23" t="s">
        <v>100</v>
      </c>
      <c r="G705" s="23" t="s">
        <v>2587</v>
      </c>
      <c r="H705" s="23" t="s">
        <v>102</v>
      </c>
      <c r="I705" s="23" t="s">
        <v>40</v>
      </c>
      <c r="J705" s="23" t="s">
        <v>82</v>
      </c>
      <c r="K705" s="23" t="s">
        <v>60</v>
      </c>
      <c r="L705" s="23" t="s">
        <v>2677</v>
      </c>
      <c r="M705" s="23" t="s">
        <v>30</v>
      </c>
      <c r="N705" s="23" t="s">
        <v>75</v>
      </c>
      <c r="O705" s="23">
        <v>26</v>
      </c>
      <c r="P705" s="23">
        <v>70.239999999999995</v>
      </c>
      <c r="Q705" s="23">
        <v>44.13</v>
      </c>
      <c r="R705" s="23">
        <v>1826.25</v>
      </c>
      <c r="S705" s="23">
        <v>0.05</v>
      </c>
      <c r="T705" s="23">
        <v>91.31</v>
      </c>
      <c r="U705" s="23">
        <v>1734.94</v>
      </c>
      <c r="V705" s="23">
        <v>1147.4100000000001</v>
      </c>
      <c r="W705" s="23">
        <v>587.53</v>
      </c>
      <c r="X705" s="23" t="s">
        <v>45</v>
      </c>
    </row>
    <row r="706" spans="1:24" x14ac:dyDescent="0.25">
      <c r="A706" s="20" t="s">
        <v>1190</v>
      </c>
      <c r="B706" s="19">
        <v>45642</v>
      </c>
      <c r="C706" s="20" t="s">
        <v>852</v>
      </c>
      <c r="D706" s="20" t="s">
        <v>57</v>
      </c>
      <c r="E706" s="20" t="s">
        <v>126</v>
      </c>
      <c r="F706" s="20" t="s">
        <v>2589</v>
      </c>
      <c r="G706" s="20" t="s">
        <v>2586</v>
      </c>
      <c r="H706" s="20" t="s">
        <v>128</v>
      </c>
      <c r="I706" s="20" t="s">
        <v>53</v>
      </c>
      <c r="J706" s="20" t="s">
        <v>54</v>
      </c>
      <c r="K706" s="20" t="s">
        <v>29</v>
      </c>
      <c r="L706" s="20" t="s">
        <v>2679</v>
      </c>
      <c r="M706" s="20" t="s">
        <v>61</v>
      </c>
      <c r="N706" s="20" t="s">
        <v>70</v>
      </c>
      <c r="O706" s="20">
        <v>16</v>
      </c>
      <c r="P706" s="20">
        <v>89.19</v>
      </c>
      <c r="Q706" s="20">
        <v>54.07</v>
      </c>
      <c r="R706" s="20">
        <v>1427.11</v>
      </c>
      <c r="S706" s="20">
        <v>0.15</v>
      </c>
      <c r="T706" s="20">
        <v>214.07</v>
      </c>
      <c r="U706" s="20">
        <v>1213.04</v>
      </c>
      <c r="V706" s="20">
        <v>865.13</v>
      </c>
      <c r="W706" s="20">
        <v>347.91</v>
      </c>
      <c r="X706" s="20" t="s">
        <v>45</v>
      </c>
    </row>
    <row r="707" spans="1:24" x14ac:dyDescent="0.25">
      <c r="A707" s="23" t="s">
        <v>1191</v>
      </c>
      <c r="B707" s="22">
        <v>45412</v>
      </c>
      <c r="C707" s="23" t="s">
        <v>1075</v>
      </c>
      <c r="D707" s="23" t="s">
        <v>65</v>
      </c>
      <c r="E707" s="23" t="s">
        <v>176</v>
      </c>
      <c r="F707" s="23" t="s">
        <v>2593</v>
      </c>
      <c r="G707" s="23" t="s">
        <v>2587</v>
      </c>
      <c r="H707" s="23" t="s">
        <v>39</v>
      </c>
      <c r="I707" s="23" t="s">
        <v>53</v>
      </c>
      <c r="J707" s="23" t="s">
        <v>232</v>
      </c>
      <c r="K707" s="23" t="s">
        <v>265</v>
      </c>
      <c r="L707" s="23" t="s">
        <v>2663</v>
      </c>
      <c r="M707" s="23" t="s">
        <v>43</v>
      </c>
      <c r="N707" s="23" t="s">
        <v>70</v>
      </c>
      <c r="O707" s="23">
        <v>3</v>
      </c>
      <c r="P707" s="23">
        <v>101.15</v>
      </c>
      <c r="Q707" s="23">
        <v>60.46</v>
      </c>
      <c r="R707" s="23">
        <v>303.45</v>
      </c>
      <c r="S707" s="23">
        <v>0.02</v>
      </c>
      <c r="T707" s="23">
        <v>6.07</v>
      </c>
      <c r="U707" s="23">
        <v>297.38</v>
      </c>
      <c r="V707" s="23">
        <v>181.37</v>
      </c>
      <c r="W707" s="23">
        <v>116.01</v>
      </c>
      <c r="X707" s="23" t="s">
        <v>45</v>
      </c>
    </row>
    <row r="708" spans="1:24" x14ac:dyDescent="0.25">
      <c r="A708" s="20" t="s">
        <v>1192</v>
      </c>
      <c r="B708" s="19">
        <v>45419</v>
      </c>
      <c r="C708" s="20" t="s">
        <v>318</v>
      </c>
      <c r="D708" s="20" t="s">
        <v>121</v>
      </c>
      <c r="E708" s="20" t="s">
        <v>250</v>
      </c>
      <c r="F708" s="20" t="s">
        <v>2598</v>
      </c>
      <c r="G708" s="20" t="s">
        <v>2581</v>
      </c>
      <c r="H708" s="20" t="s">
        <v>252</v>
      </c>
      <c r="I708" s="20" t="s">
        <v>53</v>
      </c>
      <c r="J708" s="20" t="s">
        <v>143</v>
      </c>
      <c r="K708" s="20" t="s">
        <v>218</v>
      </c>
      <c r="L708" s="20" t="s">
        <v>2692</v>
      </c>
      <c r="M708" s="20" t="s">
        <v>43</v>
      </c>
      <c r="N708" s="20" t="s">
        <v>70</v>
      </c>
      <c r="O708" s="20">
        <v>26</v>
      </c>
      <c r="P708" s="20">
        <v>61.01</v>
      </c>
      <c r="Q708" s="20">
        <v>39.93</v>
      </c>
      <c r="R708" s="20">
        <v>1586.27</v>
      </c>
      <c r="S708" s="20">
        <v>0.02</v>
      </c>
      <c r="T708" s="20">
        <v>31.73</v>
      </c>
      <c r="U708" s="20">
        <v>1554.54</v>
      </c>
      <c r="V708" s="20">
        <v>1038.18</v>
      </c>
      <c r="W708" s="20">
        <v>516.36</v>
      </c>
      <c r="X708" s="20" t="s">
        <v>45</v>
      </c>
    </row>
    <row r="709" spans="1:24" x14ac:dyDescent="0.25">
      <c r="A709" s="23" t="s">
        <v>1193</v>
      </c>
      <c r="B709" s="22">
        <v>45383</v>
      </c>
      <c r="C709" s="23" t="s">
        <v>461</v>
      </c>
      <c r="D709" s="23" t="s">
        <v>87</v>
      </c>
      <c r="E709" s="23" t="s">
        <v>126</v>
      </c>
      <c r="F709" s="23" t="s">
        <v>2589</v>
      </c>
      <c r="G709" s="23" t="s">
        <v>2586</v>
      </c>
      <c r="H709" s="23" t="s">
        <v>128</v>
      </c>
      <c r="I709" s="23" t="s">
        <v>27</v>
      </c>
      <c r="J709" s="23" t="s">
        <v>106</v>
      </c>
      <c r="K709" s="23" t="s">
        <v>248</v>
      </c>
      <c r="L709" s="23" t="s">
        <v>2693</v>
      </c>
      <c r="M709" s="23" t="s">
        <v>30</v>
      </c>
      <c r="N709" s="23" t="s">
        <v>2578</v>
      </c>
      <c r="O709" s="23">
        <v>31</v>
      </c>
      <c r="P709" s="23">
        <v>83.26</v>
      </c>
      <c r="Q709" s="23">
        <v>52.35</v>
      </c>
      <c r="R709" s="23">
        <v>2580.9699999999998</v>
      </c>
      <c r="S709" s="23">
        <v>0.15</v>
      </c>
      <c r="T709" s="23">
        <v>387.15</v>
      </c>
      <c r="U709" s="23">
        <v>2193.8200000000002</v>
      </c>
      <c r="V709" s="23">
        <v>1622.85</v>
      </c>
      <c r="W709" s="23">
        <v>570.98</v>
      </c>
      <c r="X709" s="23" t="s">
        <v>45</v>
      </c>
    </row>
    <row r="710" spans="1:24" x14ac:dyDescent="0.25">
      <c r="A710" s="20" t="s">
        <v>1194</v>
      </c>
      <c r="B710" s="19">
        <v>45440</v>
      </c>
      <c r="C710" s="20" t="s">
        <v>475</v>
      </c>
      <c r="D710" s="20" t="s">
        <v>57</v>
      </c>
      <c r="E710" s="20" t="s">
        <v>250</v>
      </c>
      <c r="F710" s="20" t="s">
        <v>2598</v>
      </c>
      <c r="G710" s="20" t="s">
        <v>2581</v>
      </c>
      <c r="H710" s="20" t="s">
        <v>252</v>
      </c>
      <c r="I710" s="20" t="s">
        <v>40</v>
      </c>
      <c r="J710" s="20" t="s">
        <v>117</v>
      </c>
      <c r="K710" s="20" t="s">
        <v>261</v>
      </c>
      <c r="L710" s="20" t="s">
        <v>2695</v>
      </c>
      <c r="M710" s="20" t="s">
        <v>61</v>
      </c>
      <c r="N710" s="20" t="s">
        <v>70</v>
      </c>
      <c r="O710" s="20">
        <v>39</v>
      </c>
      <c r="P710" s="20">
        <v>66.48</v>
      </c>
      <c r="Q710" s="20">
        <v>35.35</v>
      </c>
      <c r="R710" s="20">
        <v>2592.73</v>
      </c>
      <c r="S710" s="20">
        <v>0.1</v>
      </c>
      <c r="T710" s="20">
        <v>259.27</v>
      </c>
      <c r="U710" s="20">
        <v>2333.4499999999998</v>
      </c>
      <c r="V710" s="20">
        <v>1378.82</v>
      </c>
      <c r="W710" s="20">
        <v>954.64</v>
      </c>
      <c r="X710" s="20" t="s">
        <v>129</v>
      </c>
    </row>
    <row r="711" spans="1:24" x14ac:dyDescent="0.25">
      <c r="A711" s="23" t="s">
        <v>1195</v>
      </c>
      <c r="B711" s="22">
        <v>45460</v>
      </c>
      <c r="C711" s="23" t="s">
        <v>608</v>
      </c>
      <c r="D711" s="23" t="s">
        <v>22</v>
      </c>
      <c r="E711" s="23" t="s">
        <v>209</v>
      </c>
      <c r="F711" s="23" t="s">
        <v>2595</v>
      </c>
      <c r="G711" s="23" t="s">
        <v>2581</v>
      </c>
      <c r="H711" s="23" t="s">
        <v>116</v>
      </c>
      <c r="I711" s="23" t="s">
        <v>40</v>
      </c>
      <c r="J711" s="23" t="s">
        <v>82</v>
      </c>
      <c r="K711" s="23" t="s">
        <v>2619</v>
      </c>
      <c r="L711" s="23" t="s">
        <v>2619</v>
      </c>
      <c r="M711" s="23" t="s">
        <v>153</v>
      </c>
      <c r="N711" s="23" t="s">
        <v>75</v>
      </c>
      <c r="O711" s="23">
        <v>39</v>
      </c>
      <c r="P711" s="23">
        <v>18.170000000000002</v>
      </c>
      <c r="Q711" s="23">
        <v>10.17</v>
      </c>
      <c r="R711" s="23">
        <v>708.81</v>
      </c>
      <c r="S711" s="23">
        <v>0.05</v>
      </c>
      <c r="T711" s="23">
        <v>35.44</v>
      </c>
      <c r="U711" s="23">
        <v>673.37</v>
      </c>
      <c r="V711" s="23">
        <v>396.46</v>
      </c>
      <c r="W711" s="23">
        <v>276.92</v>
      </c>
      <c r="X711" s="23" t="s">
        <v>45</v>
      </c>
    </row>
    <row r="712" spans="1:24" x14ac:dyDescent="0.25">
      <c r="A712" s="20" t="s">
        <v>1196</v>
      </c>
      <c r="B712" s="19">
        <v>45432</v>
      </c>
      <c r="C712" s="20" t="s">
        <v>438</v>
      </c>
      <c r="D712" s="20" t="s">
        <v>221</v>
      </c>
      <c r="E712" s="20" t="s">
        <v>250</v>
      </c>
      <c r="F712" s="20" t="s">
        <v>2598</v>
      </c>
      <c r="G712" s="20" t="s">
        <v>2581</v>
      </c>
      <c r="H712" s="20" t="s">
        <v>252</v>
      </c>
      <c r="I712" s="20" t="s">
        <v>53</v>
      </c>
      <c r="J712" s="20" t="s">
        <v>122</v>
      </c>
      <c r="K712" s="20" t="s">
        <v>170</v>
      </c>
      <c r="L712" s="20" t="s">
        <v>2671</v>
      </c>
      <c r="M712" s="20" t="s">
        <v>30</v>
      </c>
      <c r="N712" s="20" t="s">
        <v>2578</v>
      </c>
      <c r="O712" s="20">
        <v>56</v>
      </c>
      <c r="P712" s="20">
        <v>68.5</v>
      </c>
      <c r="Q712" s="20">
        <v>39.950000000000003</v>
      </c>
      <c r="R712" s="20">
        <v>3835.75</v>
      </c>
      <c r="S712" s="20">
        <v>0</v>
      </c>
      <c r="T712" s="20">
        <v>0</v>
      </c>
      <c r="U712" s="20">
        <v>3835.75</v>
      </c>
      <c r="V712" s="20">
        <v>2237.4299999999998</v>
      </c>
      <c r="W712" s="20">
        <v>1598.33</v>
      </c>
      <c r="X712" s="20" t="s">
        <v>45</v>
      </c>
    </row>
    <row r="713" spans="1:24" x14ac:dyDescent="0.25">
      <c r="A713" s="23" t="s">
        <v>1197</v>
      </c>
      <c r="B713" s="22">
        <v>45557</v>
      </c>
      <c r="C713" s="23" t="s">
        <v>213</v>
      </c>
      <c r="D713" s="23" t="s">
        <v>87</v>
      </c>
      <c r="E713" s="23" t="s">
        <v>109</v>
      </c>
      <c r="F713" s="23" t="s">
        <v>110</v>
      </c>
      <c r="G713" s="23" t="s">
        <v>2584</v>
      </c>
      <c r="H713" s="23" t="s">
        <v>81</v>
      </c>
      <c r="I713" s="23" t="s">
        <v>27</v>
      </c>
      <c r="J713" s="23" t="s">
        <v>211</v>
      </c>
      <c r="K713" s="23" t="s">
        <v>118</v>
      </c>
      <c r="L713" s="23" t="s">
        <v>2686</v>
      </c>
      <c r="M713" s="23" t="s">
        <v>153</v>
      </c>
      <c r="N713" s="23" t="s">
        <v>70</v>
      </c>
      <c r="O713" s="23">
        <v>59</v>
      </c>
      <c r="P713" s="23">
        <v>133.06</v>
      </c>
      <c r="Q713" s="23">
        <v>78.17</v>
      </c>
      <c r="R713" s="23">
        <v>7850.42</v>
      </c>
      <c r="S713" s="23">
        <v>1.25</v>
      </c>
      <c r="T713" s="23">
        <v>0</v>
      </c>
      <c r="U713" s="23">
        <v>7850.42</v>
      </c>
      <c r="V713" s="23">
        <v>4612.08</v>
      </c>
      <c r="W713" s="23">
        <v>3238.34</v>
      </c>
      <c r="X713" s="23" t="s">
        <v>45</v>
      </c>
    </row>
    <row r="714" spans="1:24" x14ac:dyDescent="0.25">
      <c r="A714" s="20" t="s">
        <v>1198</v>
      </c>
      <c r="B714" s="19">
        <v>45504</v>
      </c>
      <c r="C714" s="20" t="s">
        <v>449</v>
      </c>
      <c r="D714" s="20" t="s">
        <v>65</v>
      </c>
      <c r="E714" s="20" t="s">
        <v>99</v>
      </c>
      <c r="F714" s="20" t="s">
        <v>100</v>
      </c>
      <c r="G714" s="20" t="s">
        <v>2587</v>
      </c>
      <c r="H714" s="20" t="s">
        <v>102</v>
      </c>
      <c r="I714" s="20" t="s">
        <v>27</v>
      </c>
      <c r="J714" s="20" t="s">
        <v>106</v>
      </c>
      <c r="K714" s="20" t="s">
        <v>152</v>
      </c>
      <c r="L714" s="20" t="s">
        <v>2688</v>
      </c>
      <c r="M714" s="20" t="s">
        <v>43</v>
      </c>
      <c r="N714" s="20" t="s">
        <v>75</v>
      </c>
      <c r="O714" s="20">
        <v>15</v>
      </c>
      <c r="P714" s="20">
        <v>64.75</v>
      </c>
      <c r="Q714" s="20">
        <v>39.42</v>
      </c>
      <c r="R714" s="20">
        <v>971.23</v>
      </c>
      <c r="S714" s="20">
        <v>0.15</v>
      </c>
      <c r="T714" s="20">
        <v>145.68</v>
      </c>
      <c r="U714" s="20">
        <v>825.55</v>
      </c>
      <c r="V714" s="20">
        <v>591.34</v>
      </c>
      <c r="W714" s="20">
        <v>234.21</v>
      </c>
      <c r="X714" s="20" t="s">
        <v>129</v>
      </c>
    </row>
    <row r="715" spans="1:24" x14ac:dyDescent="0.25">
      <c r="A715" s="23" t="s">
        <v>1199</v>
      </c>
      <c r="B715" s="22">
        <v>45487</v>
      </c>
      <c r="C715" s="23" t="s">
        <v>664</v>
      </c>
      <c r="D715" s="23" t="s">
        <v>125</v>
      </c>
      <c r="E715" s="23" t="s">
        <v>36</v>
      </c>
      <c r="F715" s="23" t="s">
        <v>37</v>
      </c>
      <c r="G715" s="23" t="s">
        <v>2579</v>
      </c>
      <c r="H715" s="23" t="s">
        <v>39</v>
      </c>
      <c r="I715" s="23" t="s">
        <v>88</v>
      </c>
      <c r="J715" s="23" t="s">
        <v>173</v>
      </c>
      <c r="K715" s="23" t="s">
        <v>184</v>
      </c>
      <c r="L715" s="23" t="s">
        <v>2690</v>
      </c>
      <c r="M715" s="23" t="s">
        <v>153</v>
      </c>
      <c r="N715" s="23" t="s">
        <v>44</v>
      </c>
      <c r="O715" s="23">
        <v>46</v>
      </c>
      <c r="P715" s="23">
        <v>163.19999999999999</v>
      </c>
      <c r="Q715" s="23">
        <v>93.1</v>
      </c>
      <c r="R715" s="23">
        <v>7507.01</v>
      </c>
      <c r="S715" s="23">
        <v>0.1</v>
      </c>
      <c r="T715" s="23">
        <v>750.7</v>
      </c>
      <c r="U715" s="23">
        <v>6756.31</v>
      </c>
      <c r="V715" s="23">
        <v>4282.6400000000003</v>
      </c>
      <c r="W715" s="23">
        <v>2473.67</v>
      </c>
      <c r="X715" s="23" t="s">
        <v>32</v>
      </c>
    </row>
    <row r="716" spans="1:24" x14ac:dyDescent="0.25">
      <c r="A716" s="20" t="s">
        <v>1200</v>
      </c>
      <c r="B716" s="19">
        <v>45427</v>
      </c>
      <c r="C716" s="20" t="s">
        <v>535</v>
      </c>
      <c r="D716" s="20" t="s">
        <v>221</v>
      </c>
      <c r="E716" s="20" t="s">
        <v>176</v>
      </c>
      <c r="F716" s="20" t="s">
        <v>2593</v>
      </c>
      <c r="G716" s="20" t="s">
        <v>2587</v>
      </c>
      <c r="H716" s="20" t="s">
        <v>39</v>
      </c>
      <c r="I716" s="20" t="s">
        <v>88</v>
      </c>
      <c r="J716" s="20" t="s">
        <v>173</v>
      </c>
      <c r="K716" s="20" t="s">
        <v>69</v>
      </c>
      <c r="L716" s="20" t="s">
        <v>2681</v>
      </c>
      <c r="M716" s="20" t="s">
        <v>153</v>
      </c>
      <c r="N716" s="20" t="s">
        <v>2578</v>
      </c>
      <c r="O716" s="20">
        <v>48</v>
      </c>
      <c r="P716" s="20">
        <v>110.04</v>
      </c>
      <c r="Q716" s="20">
        <v>59.76</v>
      </c>
      <c r="R716" s="20">
        <v>5281.85</v>
      </c>
      <c r="S716" s="20">
        <v>0.02</v>
      </c>
      <c r="T716" s="20">
        <v>105.64</v>
      </c>
      <c r="U716" s="20">
        <v>5176.22</v>
      </c>
      <c r="V716" s="20">
        <v>2868.47</v>
      </c>
      <c r="W716" s="20">
        <v>2307.75</v>
      </c>
      <c r="X716" s="20" t="s">
        <v>45</v>
      </c>
    </row>
    <row r="717" spans="1:24" x14ac:dyDescent="0.25">
      <c r="A717" s="23" t="s">
        <v>1201</v>
      </c>
      <c r="B717" s="22">
        <v>45485</v>
      </c>
      <c r="C717" s="23" t="s">
        <v>373</v>
      </c>
      <c r="D717" s="23" t="s">
        <v>264</v>
      </c>
      <c r="E717" s="23" t="s">
        <v>99</v>
      </c>
      <c r="F717" s="23" t="s">
        <v>100</v>
      </c>
      <c r="G717" s="23" t="s">
        <v>2587</v>
      </c>
      <c r="H717" s="23" t="s">
        <v>102</v>
      </c>
      <c r="I717" s="23" t="s">
        <v>53</v>
      </c>
      <c r="J717" s="23" t="s">
        <v>54</v>
      </c>
      <c r="K717" s="23" t="s">
        <v>60</v>
      </c>
      <c r="L717" s="23" t="s">
        <v>2677</v>
      </c>
      <c r="M717" s="23" t="s">
        <v>61</v>
      </c>
      <c r="N717" s="23" t="s">
        <v>44</v>
      </c>
      <c r="O717" s="23">
        <v>61</v>
      </c>
      <c r="P717" s="23">
        <v>70.37</v>
      </c>
      <c r="Q717" s="23">
        <v>39.85</v>
      </c>
      <c r="R717" s="23">
        <v>4292.5200000000004</v>
      </c>
      <c r="S717" s="23">
        <v>0.2</v>
      </c>
      <c r="T717" s="23">
        <v>858.5</v>
      </c>
      <c r="U717" s="23">
        <v>3434.01</v>
      </c>
      <c r="V717" s="23">
        <v>2430.71</v>
      </c>
      <c r="W717" s="23">
        <v>1003.31</v>
      </c>
      <c r="X717" s="23" t="s">
        <v>129</v>
      </c>
    </row>
    <row r="718" spans="1:24" x14ac:dyDescent="0.25">
      <c r="A718" s="20" t="s">
        <v>1202</v>
      </c>
      <c r="B718" s="19">
        <v>45299</v>
      </c>
      <c r="C718" s="20" t="s">
        <v>375</v>
      </c>
      <c r="D718" s="20" t="s">
        <v>221</v>
      </c>
      <c r="E718" s="20" t="s">
        <v>23</v>
      </c>
      <c r="F718" s="20" t="s">
        <v>2576</v>
      </c>
      <c r="G718" s="20" t="s">
        <v>2577</v>
      </c>
      <c r="H718" s="20" t="s">
        <v>26</v>
      </c>
      <c r="I718" s="20" t="s">
        <v>27</v>
      </c>
      <c r="J718" s="20" t="s">
        <v>106</v>
      </c>
      <c r="K718" s="20" t="s">
        <v>218</v>
      </c>
      <c r="L718" s="20" t="s">
        <v>2692</v>
      </c>
      <c r="M718" s="20" t="s">
        <v>43</v>
      </c>
      <c r="N718" s="20" t="s">
        <v>70</v>
      </c>
      <c r="O718" s="20">
        <v>59</v>
      </c>
      <c r="P718" s="20">
        <v>77.72</v>
      </c>
      <c r="Q718" s="20">
        <v>42.63</v>
      </c>
      <c r="R718" s="20">
        <v>4585.4799999999996</v>
      </c>
      <c r="S718" s="20">
        <v>0</v>
      </c>
      <c r="T718" s="20">
        <v>0</v>
      </c>
      <c r="U718" s="20">
        <v>4585.4799999999996</v>
      </c>
      <c r="V718" s="20">
        <v>2514.9</v>
      </c>
      <c r="W718" s="20">
        <v>2070.58</v>
      </c>
      <c r="X718" s="20" t="s">
        <v>129</v>
      </c>
    </row>
    <row r="719" spans="1:24" x14ac:dyDescent="0.25">
      <c r="A719" s="23" t="s">
        <v>1203</v>
      </c>
      <c r="B719" s="22">
        <v>45318</v>
      </c>
      <c r="C719" s="23" t="s">
        <v>1137</v>
      </c>
      <c r="D719" s="23" t="s">
        <v>163</v>
      </c>
      <c r="E719" s="23" t="s">
        <v>78</v>
      </c>
      <c r="F719" s="23" t="s">
        <v>2583</v>
      </c>
      <c r="G719" s="23" t="s">
        <v>2584</v>
      </c>
      <c r="H719" s="23" t="s">
        <v>81</v>
      </c>
      <c r="I719" s="23" t="s">
        <v>88</v>
      </c>
      <c r="J719" s="23" t="s">
        <v>183</v>
      </c>
      <c r="K719" s="23" t="s">
        <v>144</v>
      </c>
      <c r="L719" s="23" t="s">
        <v>2687</v>
      </c>
      <c r="M719" s="23" t="s">
        <v>153</v>
      </c>
      <c r="N719" s="23" t="s">
        <v>70</v>
      </c>
      <c r="O719" s="23">
        <v>55</v>
      </c>
      <c r="P719" s="23">
        <v>141.97999999999999</v>
      </c>
      <c r="Q719" s="23">
        <v>81.75</v>
      </c>
      <c r="R719" s="23">
        <v>7808.67</v>
      </c>
      <c r="S719" s="23">
        <v>0.1</v>
      </c>
      <c r="T719" s="23">
        <v>780.87</v>
      </c>
      <c r="U719" s="23">
        <v>7027.8</v>
      </c>
      <c r="V719" s="23">
        <v>4496.2700000000004</v>
      </c>
      <c r="W719" s="23">
        <v>2531.5300000000002</v>
      </c>
      <c r="X719" s="23" t="s">
        <v>45</v>
      </c>
    </row>
    <row r="720" spans="1:24" x14ac:dyDescent="0.25">
      <c r="A720" s="20" t="s">
        <v>1204</v>
      </c>
      <c r="B720" s="19">
        <v>45591</v>
      </c>
      <c r="C720" s="20" t="s">
        <v>626</v>
      </c>
      <c r="D720" s="20" t="s">
        <v>163</v>
      </c>
      <c r="E720" s="20" t="s">
        <v>222</v>
      </c>
      <c r="F720" s="20" t="s">
        <v>2597</v>
      </c>
      <c r="G720" s="20" t="s">
        <v>2587</v>
      </c>
      <c r="H720" s="20" t="s">
        <v>68</v>
      </c>
      <c r="I720" s="20" t="s">
        <v>58</v>
      </c>
      <c r="J720" s="20" t="s">
        <v>345</v>
      </c>
      <c r="K720" s="20" t="s">
        <v>90</v>
      </c>
      <c r="L720" s="20" t="s">
        <v>2684</v>
      </c>
      <c r="M720" s="20" t="s">
        <v>43</v>
      </c>
      <c r="N720" s="20" t="s">
        <v>70</v>
      </c>
      <c r="O720" s="20">
        <v>31</v>
      </c>
      <c r="P720" s="20">
        <v>121.58</v>
      </c>
      <c r="Q720" s="20">
        <v>81.099999999999994</v>
      </c>
      <c r="R720" s="20">
        <v>3769.06</v>
      </c>
      <c r="S720" s="20">
        <v>0.1</v>
      </c>
      <c r="T720" s="20">
        <v>376.91</v>
      </c>
      <c r="U720" s="20">
        <v>3392.15</v>
      </c>
      <c r="V720" s="20">
        <v>2513.9699999999998</v>
      </c>
      <c r="W720" s="20">
        <v>878.18</v>
      </c>
      <c r="X720" s="20" t="s">
        <v>45</v>
      </c>
    </row>
    <row r="721" spans="1:24" x14ac:dyDescent="0.25">
      <c r="A721" s="23" t="s">
        <v>1205</v>
      </c>
      <c r="B721" s="22">
        <v>45413</v>
      </c>
      <c r="C721" s="23" t="s">
        <v>515</v>
      </c>
      <c r="D721" s="23" t="s">
        <v>48</v>
      </c>
      <c r="E721" s="23" t="s">
        <v>66</v>
      </c>
      <c r="F721" s="23" t="s">
        <v>2582</v>
      </c>
      <c r="G721" s="23" t="s">
        <v>2579</v>
      </c>
      <c r="H721" s="23" t="s">
        <v>68</v>
      </c>
      <c r="I721" s="23" t="s">
        <v>88</v>
      </c>
      <c r="J721" s="23" t="s">
        <v>2112</v>
      </c>
      <c r="K721" s="23" t="s">
        <v>253</v>
      </c>
      <c r="L721" s="23" t="s">
        <v>2694</v>
      </c>
      <c r="M721" s="23" t="s">
        <v>153</v>
      </c>
      <c r="N721" s="23" t="s">
        <v>2578</v>
      </c>
      <c r="O721" s="23">
        <v>64</v>
      </c>
      <c r="P721" s="23">
        <v>149.01</v>
      </c>
      <c r="Q721" s="23">
        <v>106.37</v>
      </c>
      <c r="R721" s="23">
        <v>9536.42</v>
      </c>
      <c r="S721" s="23">
        <v>0</v>
      </c>
      <c r="T721" s="23">
        <v>0</v>
      </c>
      <c r="U721" s="23">
        <v>9536.42</v>
      </c>
      <c r="V721" s="23">
        <v>6807.67</v>
      </c>
      <c r="W721" s="23">
        <v>2728.75</v>
      </c>
      <c r="X721" s="23" t="s">
        <v>32</v>
      </c>
    </row>
    <row r="722" spans="1:24" x14ac:dyDescent="0.25">
      <c r="A722" s="20" t="s">
        <v>1206</v>
      </c>
      <c r="B722" s="19">
        <v>45400</v>
      </c>
      <c r="C722" s="20" t="s">
        <v>953</v>
      </c>
      <c r="D722" s="20" t="s">
        <v>221</v>
      </c>
      <c r="E722" s="20" t="s">
        <v>187</v>
      </c>
      <c r="F722" s="20" t="s">
        <v>2594</v>
      </c>
      <c r="G722" s="20" t="s">
        <v>2577</v>
      </c>
      <c r="H722" s="20" t="s">
        <v>26</v>
      </c>
      <c r="I722" s="20" t="s">
        <v>58</v>
      </c>
      <c r="J722" s="20" t="s">
        <v>323</v>
      </c>
      <c r="K722" s="20" t="s">
        <v>261</v>
      </c>
      <c r="L722" s="20" t="s">
        <v>2695</v>
      </c>
      <c r="M722" s="20" t="s">
        <v>43</v>
      </c>
      <c r="N722" s="20" t="s">
        <v>2578</v>
      </c>
      <c r="O722" s="20">
        <v>24</v>
      </c>
      <c r="P722" s="20">
        <v>47.34</v>
      </c>
      <c r="Q722" s="20">
        <v>27.25</v>
      </c>
      <c r="R722" s="20">
        <v>1136.07</v>
      </c>
      <c r="S722" s="20">
        <v>0</v>
      </c>
      <c r="T722" s="20">
        <v>0</v>
      </c>
      <c r="U722" s="20">
        <v>1136.07</v>
      </c>
      <c r="V722" s="20">
        <v>653.89</v>
      </c>
      <c r="W722" s="20">
        <v>482.17</v>
      </c>
      <c r="X722" s="20" t="s">
        <v>32</v>
      </c>
    </row>
    <row r="723" spans="1:24" x14ac:dyDescent="0.25">
      <c r="A723" s="23" t="s">
        <v>1207</v>
      </c>
      <c r="B723" s="22">
        <v>45412</v>
      </c>
      <c r="C723" s="23" t="s">
        <v>631</v>
      </c>
      <c r="D723" s="23" t="s">
        <v>105</v>
      </c>
      <c r="E723" s="23" t="s">
        <v>187</v>
      </c>
      <c r="F723" s="23" t="s">
        <v>2594</v>
      </c>
      <c r="G723" s="23" t="s">
        <v>2577</v>
      </c>
      <c r="H723" s="23" t="s">
        <v>26</v>
      </c>
      <c r="I723" s="23" t="s">
        <v>58</v>
      </c>
      <c r="J723" s="23" t="s">
        <v>345</v>
      </c>
      <c r="K723" s="23" t="s">
        <v>248</v>
      </c>
      <c r="L723" s="23" t="s">
        <v>2693</v>
      </c>
      <c r="M723" s="23" t="s">
        <v>153</v>
      </c>
      <c r="N723" s="23" t="s">
        <v>2578</v>
      </c>
      <c r="O723" s="23">
        <v>39</v>
      </c>
      <c r="P723" s="23">
        <v>51.66</v>
      </c>
      <c r="Q723" s="23">
        <v>28.57</v>
      </c>
      <c r="R723" s="23">
        <v>2014.92</v>
      </c>
      <c r="S723" s="23">
        <v>0.02</v>
      </c>
      <c r="T723" s="23">
        <v>40.299999999999997</v>
      </c>
      <c r="U723" s="23">
        <v>1974.62</v>
      </c>
      <c r="V723" s="23">
        <v>1114.1500000000001</v>
      </c>
      <c r="W723" s="23">
        <v>860.47</v>
      </c>
      <c r="X723" s="23" t="s">
        <v>45</v>
      </c>
    </row>
    <row r="724" spans="1:24" x14ac:dyDescent="0.25">
      <c r="A724" s="20" t="s">
        <v>1208</v>
      </c>
      <c r="B724" s="19">
        <v>45421</v>
      </c>
      <c r="C724" s="20" t="s">
        <v>526</v>
      </c>
      <c r="D724" s="20" t="s">
        <v>159</v>
      </c>
      <c r="E724" s="20" t="s">
        <v>126</v>
      </c>
      <c r="F724" s="20" t="s">
        <v>2589</v>
      </c>
      <c r="G724" s="20" t="s">
        <v>2586</v>
      </c>
      <c r="H724" s="20" t="s">
        <v>128</v>
      </c>
      <c r="I724" s="20" t="s">
        <v>27</v>
      </c>
      <c r="J724" s="20" t="s">
        <v>106</v>
      </c>
      <c r="K724" s="20" t="s">
        <v>74</v>
      </c>
      <c r="L724" s="20" t="s">
        <v>2682</v>
      </c>
      <c r="M724" s="20" t="s">
        <v>43</v>
      </c>
      <c r="N724" s="20" t="s">
        <v>44</v>
      </c>
      <c r="O724" s="20">
        <v>42</v>
      </c>
      <c r="P724" s="20">
        <v>90.17</v>
      </c>
      <c r="Q724" s="20">
        <v>50.68</v>
      </c>
      <c r="R724" s="20">
        <v>3787.31</v>
      </c>
      <c r="S724" s="20">
        <v>0</v>
      </c>
      <c r="T724" s="20">
        <v>0</v>
      </c>
      <c r="U724" s="20">
        <v>3787.31</v>
      </c>
      <c r="V724" s="20">
        <v>2128.59</v>
      </c>
      <c r="W724" s="20">
        <v>1658.73</v>
      </c>
      <c r="X724" s="20" t="s">
        <v>45</v>
      </c>
    </row>
    <row r="725" spans="1:24" x14ac:dyDescent="0.25">
      <c r="A725" s="23" t="s">
        <v>1209</v>
      </c>
      <c r="B725" s="22">
        <v>45490</v>
      </c>
      <c r="C725" s="23" t="s">
        <v>1210</v>
      </c>
      <c r="D725" s="23" t="s">
        <v>65</v>
      </c>
      <c r="E725" s="23" t="s">
        <v>216</v>
      </c>
      <c r="F725" s="23" t="s">
        <v>2596</v>
      </c>
      <c r="G725" s="23" t="s">
        <v>2579</v>
      </c>
      <c r="H725" s="23" t="s">
        <v>134</v>
      </c>
      <c r="I725" s="23" t="s">
        <v>53</v>
      </c>
      <c r="J725" s="23" t="s">
        <v>122</v>
      </c>
      <c r="K725" s="23" t="s">
        <v>261</v>
      </c>
      <c r="L725" s="23" t="s">
        <v>2695</v>
      </c>
      <c r="M725" s="23" t="s">
        <v>30</v>
      </c>
      <c r="N725" s="23" t="s">
        <v>84</v>
      </c>
      <c r="O725" s="23">
        <v>5</v>
      </c>
      <c r="P725" s="23">
        <v>115.47</v>
      </c>
      <c r="Q725" s="23">
        <v>70.599999999999994</v>
      </c>
      <c r="R725" s="23">
        <v>577.36</v>
      </c>
      <c r="S725" s="23">
        <v>0.2</v>
      </c>
      <c r="T725" s="23">
        <v>115.47</v>
      </c>
      <c r="U725" s="23">
        <v>461.89</v>
      </c>
      <c r="V725" s="23">
        <v>353</v>
      </c>
      <c r="W725" s="23">
        <v>108.89</v>
      </c>
      <c r="X725" s="23" t="s">
        <v>45</v>
      </c>
    </row>
    <row r="726" spans="1:24" x14ac:dyDescent="0.25">
      <c r="A726" s="20" t="s">
        <v>1211</v>
      </c>
      <c r="B726" s="19">
        <v>45294</v>
      </c>
      <c r="C726" s="20" t="s">
        <v>660</v>
      </c>
      <c r="D726" s="20" t="s">
        <v>264</v>
      </c>
      <c r="E726" s="20" t="s">
        <v>114</v>
      </c>
      <c r="F726" s="20" t="s">
        <v>2588</v>
      </c>
      <c r="G726" s="20" t="s">
        <v>2586</v>
      </c>
      <c r="H726" s="20" t="s">
        <v>116</v>
      </c>
      <c r="I726" s="20" t="s">
        <v>58</v>
      </c>
      <c r="J726" s="20" t="s">
        <v>323</v>
      </c>
      <c r="K726" s="20" t="s">
        <v>74</v>
      </c>
      <c r="L726" s="20" t="s">
        <v>2682</v>
      </c>
      <c r="M726" s="20" t="s">
        <v>153</v>
      </c>
      <c r="N726" s="20" t="s">
        <v>75</v>
      </c>
      <c r="O726" s="20">
        <v>70</v>
      </c>
      <c r="P726" s="20">
        <v>35.229999999999997</v>
      </c>
      <c r="Q726" s="20">
        <v>22.16</v>
      </c>
      <c r="R726" s="20">
        <v>2465.8000000000002</v>
      </c>
      <c r="S726" s="20">
        <v>0.15</v>
      </c>
      <c r="T726" s="20">
        <v>369.87</v>
      </c>
      <c r="U726" s="20">
        <v>2095.9299999999998</v>
      </c>
      <c r="V726" s="20">
        <v>1551.07</v>
      </c>
      <c r="W726" s="20">
        <v>544.86</v>
      </c>
      <c r="X726" s="20" t="s">
        <v>45</v>
      </c>
    </row>
    <row r="727" spans="1:24" x14ac:dyDescent="0.25">
      <c r="A727" s="23" t="s">
        <v>1212</v>
      </c>
      <c r="B727" s="22">
        <v>45349</v>
      </c>
      <c r="C727" s="23" t="s">
        <v>519</v>
      </c>
      <c r="D727" s="23" t="s">
        <v>121</v>
      </c>
      <c r="E727" s="23" t="s">
        <v>93</v>
      </c>
      <c r="F727" s="23" t="s">
        <v>2585</v>
      </c>
      <c r="G727" s="23" t="s">
        <v>2586</v>
      </c>
      <c r="H727" s="23" t="s">
        <v>96</v>
      </c>
      <c r="I727" s="23" t="s">
        <v>88</v>
      </c>
      <c r="J727" s="23" t="s">
        <v>173</v>
      </c>
      <c r="K727" s="23" t="s">
        <v>248</v>
      </c>
      <c r="L727" s="23" t="s">
        <v>2693</v>
      </c>
      <c r="M727" s="23" t="s">
        <v>153</v>
      </c>
      <c r="N727" s="23" t="s">
        <v>44</v>
      </c>
      <c r="O727" s="23">
        <v>18</v>
      </c>
      <c r="P727" s="23">
        <v>53.36</v>
      </c>
      <c r="Q727" s="23">
        <v>32.979999999999997</v>
      </c>
      <c r="R727" s="23">
        <v>960.52</v>
      </c>
      <c r="S727" s="23">
        <v>0.02</v>
      </c>
      <c r="T727" s="23">
        <v>19.21</v>
      </c>
      <c r="U727" s="23">
        <v>941.31</v>
      </c>
      <c r="V727" s="23">
        <v>593.61</v>
      </c>
      <c r="W727" s="23">
        <v>347.7</v>
      </c>
      <c r="X727" s="23" t="s">
        <v>32</v>
      </c>
    </row>
    <row r="728" spans="1:24" x14ac:dyDescent="0.25">
      <c r="A728" s="20" t="s">
        <v>1214</v>
      </c>
      <c r="B728" s="19">
        <v>45444</v>
      </c>
      <c r="C728" s="20" t="s">
        <v>1215</v>
      </c>
      <c r="D728" s="20" t="s">
        <v>163</v>
      </c>
      <c r="E728" s="20" t="s">
        <v>176</v>
      </c>
      <c r="F728" s="20" t="s">
        <v>2593</v>
      </c>
      <c r="G728" s="20" t="s">
        <v>2587</v>
      </c>
      <c r="H728" s="20" t="s">
        <v>39</v>
      </c>
      <c r="I728" s="20" t="s">
        <v>27</v>
      </c>
      <c r="J728" s="20" t="s">
        <v>106</v>
      </c>
      <c r="K728" s="20" t="s">
        <v>253</v>
      </c>
      <c r="L728" s="20" t="s">
        <v>2694</v>
      </c>
      <c r="M728" s="20" t="s">
        <v>61</v>
      </c>
      <c r="N728" s="20" t="s">
        <v>2578</v>
      </c>
      <c r="O728" s="20">
        <v>50</v>
      </c>
      <c r="P728" s="20">
        <v>100.44</v>
      </c>
      <c r="Q728" s="20">
        <v>58.74</v>
      </c>
      <c r="R728" s="20">
        <v>5022.1899999999996</v>
      </c>
      <c r="S728" s="20">
        <v>0.1</v>
      </c>
      <c r="T728" s="20">
        <v>502.22</v>
      </c>
      <c r="U728" s="20">
        <v>4519.97</v>
      </c>
      <c r="V728" s="20">
        <v>2936.8</v>
      </c>
      <c r="W728" s="20">
        <v>1583.17</v>
      </c>
      <c r="X728" s="20" t="s">
        <v>45</v>
      </c>
    </row>
    <row r="729" spans="1:24" x14ac:dyDescent="0.25">
      <c r="A729" s="23" t="s">
        <v>1216</v>
      </c>
      <c r="B729" s="22">
        <v>45366</v>
      </c>
      <c r="C729" s="23" t="s">
        <v>926</v>
      </c>
      <c r="D729" s="23" t="s">
        <v>22</v>
      </c>
      <c r="E729" s="23" t="s">
        <v>126</v>
      </c>
      <c r="F729" s="23" t="s">
        <v>2589</v>
      </c>
      <c r="G729" s="23" t="s">
        <v>2586</v>
      </c>
      <c r="H729" s="23" t="s">
        <v>128</v>
      </c>
      <c r="I729" s="23" t="s">
        <v>40</v>
      </c>
      <c r="J729" s="23" t="s">
        <v>289</v>
      </c>
      <c r="K729" s="23" t="s">
        <v>261</v>
      </c>
      <c r="L729" s="23" t="s">
        <v>2695</v>
      </c>
      <c r="M729" s="23" t="s">
        <v>43</v>
      </c>
      <c r="N729" s="23" t="s">
        <v>2578</v>
      </c>
      <c r="O729" s="23">
        <v>33</v>
      </c>
      <c r="P729" s="23">
        <v>93.41</v>
      </c>
      <c r="Q729" s="23">
        <v>56.25</v>
      </c>
      <c r="R729" s="23">
        <v>3082.4</v>
      </c>
      <c r="S729" s="23">
        <v>0.15</v>
      </c>
      <c r="T729" s="23">
        <v>462.36</v>
      </c>
      <c r="U729" s="23">
        <v>2620.04</v>
      </c>
      <c r="V729" s="23">
        <v>1856.18</v>
      </c>
      <c r="W729" s="23">
        <v>763.86</v>
      </c>
      <c r="X729" s="23" t="s">
        <v>32</v>
      </c>
    </row>
    <row r="730" spans="1:24" x14ac:dyDescent="0.25">
      <c r="A730" s="20" t="s">
        <v>1217</v>
      </c>
      <c r="B730" s="19">
        <v>45372</v>
      </c>
      <c r="C730" s="20" t="s">
        <v>113</v>
      </c>
      <c r="D730" s="20" t="s">
        <v>65</v>
      </c>
      <c r="E730" s="20" t="s">
        <v>114</v>
      </c>
      <c r="F730" s="20" t="s">
        <v>2588</v>
      </c>
      <c r="G730" s="20" t="s">
        <v>2586</v>
      </c>
      <c r="H730" s="20" t="s">
        <v>116</v>
      </c>
      <c r="I730" s="20" t="s">
        <v>40</v>
      </c>
      <c r="J730" s="20" t="s">
        <v>41</v>
      </c>
      <c r="K730" s="20" t="s">
        <v>90</v>
      </c>
      <c r="L730" s="20" t="s">
        <v>2684</v>
      </c>
      <c r="M730" s="20" t="s">
        <v>43</v>
      </c>
      <c r="N730" s="20" t="s">
        <v>75</v>
      </c>
      <c r="O730" s="20">
        <v>4</v>
      </c>
      <c r="P730" s="20">
        <v>32.69</v>
      </c>
      <c r="Q730" s="20">
        <v>20.5</v>
      </c>
      <c r="R730" s="20">
        <v>130.77000000000001</v>
      </c>
      <c r="S730" s="20">
        <v>0.1</v>
      </c>
      <c r="T730" s="20">
        <v>13.08</v>
      </c>
      <c r="U730" s="20">
        <v>117.69</v>
      </c>
      <c r="V730" s="20">
        <v>81.99</v>
      </c>
      <c r="W730" s="20">
        <v>35.700000000000003</v>
      </c>
      <c r="X730" s="20" t="s">
        <v>129</v>
      </c>
    </row>
    <row r="731" spans="1:24" x14ac:dyDescent="0.25">
      <c r="A731" s="23" t="s">
        <v>1218</v>
      </c>
      <c r="B731" s="22">
        <v>45398</v>
      </c>
      <c r="C731" s="23" t="s">
        <v>1219</v>
      </c>
      <c r="D731" s="23" t="s">
        <v>359</v>
      </c>
      <c r="E731" s="23" t="s">
        <v>132</v>
      </c>
      <c r="F731" s="23" t="s">
        <v>133</v>
      </c>
      <c r="G731" s="23" t="s">
        <v>2581</v>
      </c>
      <c r="H731" s="23" t="s">
        <v>134</v>
      </c>
      <c r="I731" s="23" t="s">
        <v>27</v>
      </c>
      <c r="J731" s="23" t="s">
        <v>28</v>
      </c>
      <c r="K731" s="23" t="s">
        <v>83</v>
      </c>
      <c r="L731" s="23" t="s">
        <v>2683</v>
      </c>
      <c r="M731" s="23" t="s">
        <v>43</v>
      </c>
      <c r="N731" s="23" t="s">
        <v>44</v>
      </c>
      <c r="O731" s="23">
        <v>39</v>
      </c>
      <c r="P731" s="23">
        <v>59.87</v>
      </c>
      <c r="Q731" s="23">
        <v>36.03</v>
      </c>
      <c r="R731" s="23">
        <v>2335.0100000000002</v>
      </c>
      <c r="S731" s="23">
        <v>0.1</v>
      </c>
      <c r="T731" s="23">
        <v>233.5</v>
      </c>
      <c r="U731" s="23">
        <v>2101.5100000000002</v>
      </c>
      <c r="V731" s="23">
        <v>1405.23</v>
      </c>
      <c r="W731" s="23">
        <v>696.28</v>
      </c>
      <c r="X731" s="23" t="s">
        <v>45</v>
      </c>
    </row>
    <row r="732" spans="1:24" x14ac:dyDescent="0.25">
      <c r="A732" s="20" t="s">
        <v>1220</v>
      </c>
      <c r="B732" s="19">
        <v>45327</v>
      </c>
      <c r="C732" s="20" t="s">
        <v>131</v>
      </c>
      <c r="D732" s="20" t="s">
        <v>65</v>
      </c>
      <c r="E732" s="20" t="s">
        <v>78</v>
      </c>
      <c r="F732" s="20" t="s">
        <v>2583</v>
      </c>
      <c r="G732" s="20" t="s">
        <v>2584</v>
      </c>
      <c r="H732" s="20" t="s">
        <v>81</v>
      </c>
      <c r="I732" s="20" t="s">
        <v>27</v>
      </c>
      <c r="J732" s="20" t="s">
        <v>189</v>
      </c>
      <c r="K732" s="20" t="s">
        <v>111</v>
      </c>
      <c r="L732" s="20" t="s">
        <v>2685</v>
      </c>
      <c r="M732" s="20" t="s">
        <v>61</v>
      </c>
      <c r="N732" s="20" t="s">
        <v>75</v>
      </c>
      <c r="O732" s="20">
        <v>61</v>
      </c>
      <c r="P732" s="20">
        <v>137.18</v>
      </c>
      <c r="Q732" s="20">
        <v>80.3</v>
      </c>
      <c r="R732" s="20">
        <v>8368.2000000000007</v>
      </c>
      <c r="S732" s="20">
        <v>0</v>
      </c>
      <c r="T732" s="20">
        <v>0</v>
      </c>
      <c r="U732" s="20">
        <v>8368.2000000000007</v>
      </c>
      <c r="V732" s="20">
        <v>4898.47</v>
      </c>
      <c r="W732" s="20">
        <v>3469.73</v>
      </c>
      <c r="X732" s="20" t="s">
        <v>129</v>
      </c>
    </row>
    <row r="733" spans="1:24" x14ac:dyDescent="0.25">
      <c r="A733" s="23" t="s">
        <v>1221</v>
      </c>
      <c r="B733" s="22">
        <v>45342</v>
      </c>
      <c r="C733" s="23" t="s">
        <v>1028</v>
      </c>
      <c r="D733" s="23" t="s">
        <v>57</v>
      </c>
      <c r="E733" s="23" t="s">
        <v>126</v>
      </c>
      <c r="F733" s="23" t="s">
        <v>2589</v>
      </c>
      <c r="G733" s="23" t="s">
        <v>2586</v>
      </c>
      <c r="H733" s="23" t="s">
        <v>128</v>
      </c>
      <c r="I733" s="23" t="s">
        <v>88</v>
      </c>
      <c r="J733" s="23" t="s">
        <v>183</v>
      </c>
      <c r="K733" s="23" t="s">
        <v>29</v>
      </c>
      <c r="L733" s="23" t="s">
        <v>2679</v>
      </c>
      <c r="M733" s="23" t="s">
        <v>43</v>
      </c>
      <c r="N733" s="23" t="s">
        <v>2578</v>
      </c>
      <c r="O733" s="23">
        <v>48</v>
      </c>
      <c r="P733" s="23">
        <v>96.81</v>
      </c>
      <c r="Q733" s="23">
        <v>52.09</v>
      </c>
      <c r="R733" s="23">
        <v>4646.9399999999996</v>
      </c>
      <c r="S733" s="23">
        <v>0.15</v>
      </c>
      <c r="T733" s="23">
        <v>697.04</v>
      </c>
      <c r="U733" s="23">
        <v>3949.9</v>
      </c>
      <c r="V733" s="23">
        <v>2500.4899999999998</v>
      </c>
      <c r="W733" s="23">
        <v>1449.42</v>
      </c>
      <c r="X733" s="23" t="s">
        <v>45</v>
      </c>
    </row>
    <row r="734" spans="1:24" x14ac:dyDescent="0.25">
      <c r="A734" s="20" t="s">
        <v>1222</v>
      </c>
      <c r="B734" s="19">
        <v>45606</v>
      </c>
      <c r="C734" s="20" t="s">
        <v>449</v>
      </c>
      <c r="D734" s="20" t="s">
        <v>65</v>
      </c>
      <c r="E734" s="20" t="s">
        <v>114</v>
      </c>
      <c r="F734" s="20" t="s">
        <v>2588</v>
      </c>
      <c r="G734" s="20" t="s">
        <v>2586</v>
      </c>
      <c r="H734" s="20" t="s">
        <v>116</v>
      </c>
      <c r="I734" s="20" t="s">
        <v>88</v>
      </c>
      <c r="J734" s="20" t="s">
        <v>2112</v>
      </c>
      <c r="K734" s="20" t="s">
        <v>195</v>
      </c>
      <c r="L734" s="20" t="s">
        <v>2691</v>
      </c>
      <c r="M734" s="20" t="s">
        <v>61</v>
      </c>
      <c r="N734" s="20" t="s">
        <v>75</v>
      </c>
      <c r="O734" s="20">
        <v>38</v>
      </c>
      <c r="P734" s="20">
        <v>36.590000000000003</v>
      </c>
      <c r="Q734" s="20">
        <v>20.21</v>
      </c>
      <c r="R734" s="20">
        <v>1390.29</v>
      </c>
      <c r="S734" s="20">
        <v>25</v>
      </c>
      <c r="T734" s="20">
        <v>208.54</v>
      </c>
      <c r="U734" s="20">
        <v>1181.74</v>
      </c>
      <c r="V734" s="20">
        <v>768.11</v>
      </c>
      <c r="W734" s="20">
        <v>413.63</v>
      </c>
      <c r="X734" s="20" t="s">
        <v>45</v>
      </c>
    </row>
    <row r="735" spans="1:24" x14ac:dyDescent="0.25">
      <c r="A735" s="23" t="s">
        <v>1223</v>
      </c>
      <c r="B735" s="22">
        <v>45331</v>
      </c>
      <c r="C735" s="23" t="s">
        <v>563</v>
      </c>
      <c r="D735" s="23" t="s">
        <v>156</v>
      </c>
      <c r="E735" s="23" t="s">
        <v>209</v>
      </c>
      <c r="F735" s="23" t="s">
        <v>2595</v>
      </c>
      <c r="G735" s="23" t="s">
        <v>2581</v>
      </c>
      <c r="H735" s="23" t="s">
        <v>116</v>
      </c>
      <c r="I735" s="23" t="s">
        <v>40</v>
      </c>
      <c r="J735" s="23" t="s">
        <v>82</v>
      </c>
      <c r="K735" s="23" t="s">
        <v>69</v>
      </c>
      <c r="L735" s="23" t="s">
        <v>2681</v>
      </c>
      <c r="M735" s="23" t="s">
        <v>43</v>
      </c>
      <c r="N735" s="23" t="s">
        <v>75</v>
      </c>
      <c r="O735" s="23">
        <v>30</v>
      </c>
      <c r="P735" s="23">
        <v>16.62</v>
      </c>
      <c r="Q735" s="23">
        <v>-10</v>
      </c>
      <c r="R735" s="23">
        <v>498.45</v>
      </c>
      <c r="S735" s="23">
        <v>0.02</v>
      </c>
      <c r="T735" s="23">
        <v>9.9700000000000006</v>
      </c>
      <c r="U735" s="23">
        <v>488.48</v>
      </c>
      <c r="V735" s="23">
        <v>298.89</v>
      </c>
      <c r="W735" s="23">
        <v>189.59</v>
      </c>
      <c r="X735" s="23" t="s">
        <v>45</v>
      </c>
    </row>
    <row r="736" spans="1:24" x14ac:dyDescent="0.25">
      <c r="A736" s="20" t="s">
        <v>1224</v>
      </c>
      <c r="B736" s="19">
        <v>45417</v>
      </c>
      <c r="C736" s="20" t="s">
        <v>636</v>
      </c>
      <c r="D736" s="20" t="s">
        <v>87</v>
      </c>
      <c r="E736" s="20" t="s">
        <v>114</v>
      </c>
      <c r="F736" s="20" t="s">
        <v>2588</v>
      </c>
      <c r="G736" s="20" t="s">
        <v>2586</v>
      </c>
      <c r="H736" s="20" t="s">
        <v>116</v>
      </c>
      <c r="I736" s="20" t="s">
        <v>40</v>
      </c>
      <c r="J736" s="20" t="s">
        <v>117</v>
      </c>
      <c r="K736" s="20" t="s">
        <v>90</v>
      </c>
      <c r="L736" s="20" t="s">
        <v>2684</v>
      </c>
      <c r="M736" s="20" t="s">
        <v>153</v>
      </c>
      <c r="N736" s="20" t="s">
        <v>2578</v>
      </c>
      <c r="O736" s="20">
        <v>72</v>
      </c>
      <c r="P736" s="20">
        <v>33.119999999999997</v>
      </c>
      <c r="Q736" s="20">
        <v>20.43</v>
      </c>
      <c r="R736" s="20">
        <v>2384.81</v>
      </c>
      <c r="S736" s="20">
        <v>0</v>
      </c>
      <c r="T736" s="20">
        <v>0</v>
      </c>
      <c r="U736" s="20">
        <v>2384.81</v>
      </c>
      <c r="V736" s="20">
        <v>1470.93</v>
      </c>
      <c r="W736" s="20">
        <v>913.88</v>
      </c>
      <c r="X736" s="20" t="s">
        <v>32</v>
      </c>
    </row>
    <row r="737" spans="1:24" x14ac:dyDescent="0.25">
      <c r="A737" s="23" t="s">
        <v>1225</v>
      </c>
      <c r="B737" s="22">
        <v>45579</v>
      </c>
      <c r="C737" s="23" t="s">
        <v>140</v>
      </c>
      <c r="D737" s="23" t="s">
        <v>87</v>
      </c>
      <c r="E737" s="23" t="s">
        <v>150</v>
      </c>
      <c r="F737" s="23" t="s">
        <v>2591</v>
      </c>
      <c r="G737" s="23" t="s">
        <v>2587</v>
      </c>
      <c r="H737" s="23" t="s">
        <v>134</v>
      </c>
      <c r="I737" s="23" t="s">
        <v>53</v>
      </c>
      <c r="J737" s="23" t="s">
        <v>122</v>
      </c>
      <c r="K737" s="23" t="s">
        <v>248</v>
      </c>
      <c r="L737" s="23" t="s">
        <v>2693</v>
      </c>
      <c r="M737" s="23" t="s">
        <v>61</v>
      </c>
      <c r="N737" s="23" t="s">
        <v>44</v>
      </c>
      <c r="O737" s="23">
        <v>16</v>
      </c>
      <c r="P737" s="23">
        <v>83.29</v>
      </c>
      <c r="Q737" s="23">
        <v>52.03</v>
      </c>
      <c r="R737" s="23">
        <v>1332.72</v>
      </c>
      <c r="S737" s="23">
        <v>0.05</v>
      </c>
      <c r="T737" s="23">
        <v>66.64</v>
      </c>
      <c r="U737" s="23">
        <v>1266.08</v>
      </c>
      <c r="V737" s="23">
        <v>832.43</v>
      </c>
      <c r="W737" s="23">
        <v>433.65</v>
      </c>
      <c r="X737" s="23" t="s">
        <v>45</v>
      </c>
    </row>
    <row r="738" spans="1:24" x14ac:dyDescent="0.25">
      <c r="A738" s="20" t="s">
        <v>1226</v>
      </c>
      <c r="B738" s="19">
        <v>45529</v>
      </c>
      <c r="C738" s="20" t="s">
        <v>389</v>
      </c>
      <c r="D738" s="20" t="s">
        <v>264</v>
      </c>
      <c r="E738" s="20" t="s">
        <v>176</v>
      </c>
      <c r="F738" s="20" t="s">
        <v>2593</v>
      </c>
      <c r="G738" s="20" t="s">
        <v>2587</v>
      </c>
      <c r="H738" s="20" t="s">
        <v>39</v>
      </c>
      <c r="I738" s="20" t="s">
        <v>27</v>
      </c>
      <c r="J738" s="20" t="s">
        <v>106</v>
      </c>
      <c r="K738" s="20" t="s">
        <v>170</v>
      </c>
      <c r="L738" s="20" t="s">
        <v>2671</v>
      </c>
      <c r="M738" s="20" t="s">
        <v>153</v>
      </c>
      <c r="N738" s="20" t="s">
        <v>75</v>
      </c>
      <c r="O738" s="20">
        <v>53</v>
      </c>
      <c r="P738" s="20">
        <v>109.93</v>
      </c>
      <c r="Q738" s="20">
        <v>61.15</v>
      </c>
      <c r="R738" s="20">
        <v>5826.12</v>
      </c>
      <c r="S738" s="20">
        <v>0.2</v>
      </c>
      <c r="T738" s="20">
        <v>1165.22</v>
      </c>
      <c r="U738" s="20">
        <v>4660.8999999999996</v>
      </c>
      <c r="V738" s="20">
        <v>3241.11</v>
      </c>
      <c r="W738" s="20">
        <v>1419.79</v>
      </c>
      <c r="X738" s="20" t="s">
        <v>32</v>
      </c>
    </row>
    <row r="739" spans="1:24" x14ac:dyDescent="0.25">
      <c r="A739" s="23" t="s">
        <v>1227</v>
      </c>
      <c r="B739" s="22">
        <v>45499</v>
      </c>
      <c r="C739" s="23" t="s">
        <v>458</v>
      </c>
      <c r="D739" s="23" t="s">
        <v>163</v>
      </c>
      <c r="E739" s="23" t="s">
        <v>99</v>
      </c>
      <c r="F739" s="23" t="s">
        <v>100</v>
      </c>
      <c r="G739" s="23" t="s">
        <v>2587</v>
      </c>
      <c r="H739" s="23" t="s">
        <v>102</v>
      </c>
      <c r="I739" s="23" t="s">
        <v>88</v>
      </c>
      <c r="J739" s="23" t="s">
        <v>173</v>
      </c>
      <c r="K739" s="23" t="s">
        <v>265</v>
      </c>
      <c r="L739" s="23" t="s">
        <v>2663</v>
      </c>
      <c r="M739" s="23" t="s">
        <v>153</v>
      </c>
      <c r="N739" s="23" t="s">
        <v>44</v>
      </c>
      <c r="O739" s="23">
        <v>14</v>
      </c>
      <c r="P739" s="23">
        <v>72.92</v>
      </c>
      <c r="Q739" s="23">
        <v>41.27</v>
      </c>
      <c r="R739" s="23">
        <v>1020.93</v>
      </c>
      <c r="S739" s="23">
        <v>0.05</v>
      </c>
      <c r="T739" s="23">
        <v>51.05</v>
      </c>
      <c r="U739" s="23">
        <v>969.88</v>
      </c>
      <c r="V739" s="23">
        <v>577.79</v>
      </c>
      <c r="W739" s="23">
        <v>392.09</v>
      </c>
      <c r="X739" s="23" t="s">
        <v>45</v>
      </c>
    </row>
    <row r="740" spans="1:24" x14ac:dyDescent="0.25">
      <c r="A740" s="20" t="s">
        <v>1228</v>
      </c>
      <c r="B740" s="19">
        <v>45540</v>
      </c>
      <c r="C740" s="20" t="s">
        <v>477</v>
      </c>
      <c r="D740" s="20" t="s">
        <v>221</v>
      </c>
      <c r="E740" s="20" t="s">
        <v>132</v>
      </c>
      <c r="F740" s="20" t="s">
        <v>133</v>
      </c>
      <c r="G740" s="20" t="s">
        <v>2581</v>
      </c>
      <c r="H740" s="20" t="s">
        <v>134</v>
      </c>
      <c r="I740" s="20" t="s">
        <v>27</v>
      </c>
      <c r="J740" s="20" t="s">
        <v>211</v>
      </c>
      <c r="K740" s="20" t="s">
        <v>152</v>
      </c>
      <c r="L740" s="20" t="s">
        <v>2688</v>
      </c>
      <c r="M740" s="20" t="s">
        <v>153</v>
      </c>
      <c r="N740" s="20" t="s">
        <v>75</v>
      </c>
      <c r="O740" s="20">
        <v>1</v>
      </c>
      <c r="P740" s="20">
        <v>58.5</v>
      </c>
      <c r="Q740" s="20">
        <v>35.82</v>
      </c>
      <c r="R740" s="20">
        <v>58.5</v>
      </c>
      <c r="S740" s="20">
        <v>0</v>
      </c>
      <c r="T740" s="20">
        <v>0</v>
      </c>
      <c r="U740" s="20">
        <v>58.5</v>
      </c>
      <c r="V740" s="20">
        <v>35.82</v>
      </c>
      <c r="W740" s="20">
        <v>22.68</v>
      </c>
      <c r="X740" s="20" t="s">
        <v>45</v>
      </c>
    </row>
    <row r="741" spans="1:24" x14ac:dyDescent="0.25">
      <c r="A741" s="23" t="s">
        <v>1229</v>
      </c>
      <c r="B741" s="22">
        <v>45409</v>
      </c>
      <c r="C741" s="23" t="s">
        <v>305</v>
      </c>
      <c r="D741" s="23" t="s">
        <v>87</v>
      </c>
      <c r="E741" s="23" t="s">
        <v>209</v>
      </c>
      <c r="F741" s="23" t="s">
        <v>2595</v>
      </c>
      <c r="G741" s="23" t="s">
        <v>2581</v>
      </c>
      <c r="H741" s="23" t="s">
        <v>116</v>
      </c>
      <c r="I741" s="23" t="s">
        <v>27</v>
      </c>
      <c r="J741" s="23" t="s">
        <v>189</v>
      </c>
      <c r="K741" s="23" t="s">
        <v>265</v>
      </c>
      <c r="L741" s="23" t="s">
        <v>2663</v>
      </c>
      <c r="M741" s="23" t="s">
        <v>547</v>
      </c>
      <c r="N741" s="23" t="s">
        <v>84</v>
      </c>
      <c r="O741" s="23">
        <v>9</v>
      </c>
      <c r="P741" s="23">
        <v>17.440000000000001</v>
      </c>
      <c r="Q741" s="23">
        <v>9.36</v>
      </c>
      <c r="R741" s="23">
        <v>156.94</v>
      </c>
      <c r="S741" s="23">
        <v>0</v>
      </c>
      <c r="T741" s="23">
        <v>0</v>
      </c>
      <c r="U741" s="23">
        <v>156.94</v>
      </c>
      <c r="V741" s="23">
        <v>84.21</v>
      </c>
      <c r="W741" s="23">
        <v>72.73</v>
      </c>
      <c r="X741" s="23" t="s">
        <v>129</v>
      </c>
    </row>
    <row r="742" spans="1:24" x14ac:dyDescent="0.25">
      <c r="A742" s="20" t="s">
        <v>1230</v>
      </c>
      <c r="B742" s="19">
        <v>45377</v>
      </c>
      <c r="C742" s="20" t="s">
        <v>859</v>
      </c>
      <c r="D742" s="20" t="s">
        <v>221</v>
      </c>
      <c r="E742" s="20" t="s">
        <v>36</v>
      </c>
      <c r="F742" s="20" t="s">
        <v>37</v>
      </c>
      <c r="G742" s="20" t="s">
        <v>2579</v>
      </c>
      <c r="H742" s="20" t="s">
        <v>39</v>
      </c>
      <c r="I742" s="20" t="s">
        <v>27</v>
      </c>
      <c r="J742" s="20" t="s">
        <v>883</v>
      </c>
      <c r="K742" s="20" t="s">
        <v>265</v>
      </c>
      <c r="L742" s="20" t="s">
        <v>2663</v>
      </c>
      <c r="M742" s="20" t="s">
        <v>61</v>
      </c>
      <c r="N742" s="20" t="s">
        <v>75</v>
      </c>
      <c r="O742" s="20">
        <v>69</v>
      </c>
      <c r="P742" s="20">
        <v>154.05000000000001</v>
      </c>
      <c r="Q742" s="20">
        <v>-10</v>
      </c>
      <c r="R742" s="20">
        <v>10629.67</v>
      </c>
      <c r="S742" s="20">
        <v>0.15</v>
      </c>
      <c r="T742" s="20">
        <v>1594.45</v>
      </c>
      <c r="U742" s="20">
        <v>9035.2199999999993</v>
      </c>
      <c r="V742" s="20">
        <v>7374.06</v>
      </c>
      <c r="W742" s="20">
        <v>1661.16</v>
      </c>
      <c r="X742" s="20" t="s">
        <v>129</v>
      </c>
    </row>
    <row r="743" spans="1:24" x14ac:dyDescent="0.25">
      <c r="A743" s="23" t="s">
        <v>1231</v>
      </c>
      <c r="B743" s="22">
        <v>45610</v>
      </c>
      <c r="C743" s="23" t="s">
        <v>533</v>
      </c>
      <c r="D743" s="23" t="s">
        <v>163</v>
      </c>
      <c r="E743" s="23" t="s">
        <v>222</v>
      </c>
      <c r="F743" s="23" t="s">
        <v>2597</v>
      </c>
      <c r="G743" s="23" t="s">
        <v>2587</v>
      </c>
      <c r="H743" s="23" t="s">
        <v>68</v>
      </c>
      <c r="I743" s="23" t="s">
        <v>53</v>
      </c>
      <c r="J743" s="23" t="s">
        <v>54</v>
      </c>
      <c r="K743" s="23" t="s">
        <v>178</v>
      </c>
      <c r="L743" s="23" t="s">
        <v>2689</v>
      </c>
      <c r="M743" s="23" t="s">
        <v>61</v>
      </c>
      <c r="N743" s="23" t="s">
        <v>84</v>
      </c>
      <c r="O743" s="23">
        <v>64</v>
      </c>
      <c r="P743" s="23">
        <v>117.85</v>
      </c>
      <c r="Q743" s="23">
        <v>80.17</v>
      </c>
      <c r="R743" s="23">
        <v>7542.58</v>
      </c>
      <c r="S743" s="23">
        <v>0.2</v>
      </c>
      <c r="T743" s="23">
        <v>1508.52</v>
      </c>
      <c r="U743" s="23">
        <v>6034.06</v>
      </c>
      <c r="V743" s="23">
        <v>5131.08</v>
      </c>
      <c r="W743" s="23">
        <v>902.98</v>
      </c>
      <c r="X743" s="23" t="s">
        <v>129</v>
      </c>
    </row>
    <row r="744" spans="1:24" x14ac:dyDescent="0.25">
      <c r="A744" s="20" t="s">
        <v>1232</v>
      </c>
      <c r="B744" s="19">
        <v>45651</v>
      </c>
      <c r="C744" s="20" t="s">
        <v>267</v>
      </c>
      <c r="D744" s="20" t="s">
        <v>65</v>
      </c>
      <c r="E744" s="20" t="s">
        <v>114</v>
      </c>
      <c r="F744" s="20" t="s">
        <v>2588</v>
      </c>
      <c r="G744" s="20" t="s">
        <v>2586</v>
      </c>
      <c r="H744" s="20" t="s">
        <v>116</v>
      </c>
      <c r="I744" s="20" t="s">
        <v>58</v>
      </c>
      <c r="J744" s="20" t="s">
        <v>323</v>
      </c>
      <c r="K744" s="20" t="s">
        <v>83</v>
      </c>
      <c r="L744" s="20" t="s">
        <v>2683</v>
      </c>
      <c r="M744" s="20" t="s">
        <v>61</v>
      </c>
      <c r="N744" s="20" t="s">
        <v>2578</v>
      </c>
      <c r="O744" s="20">
        <v>17</v>
      </c>
      <c r="P744" s="20">
        <v>35.08</v>
      </c>
      <c r="Q744" s="20">
        <v>21.95</v>
      </c>
      <c r="R744" s="20">
        <v>596.33000000000004</v>
      </c>
      <c r="S744" s="20">
        <v>0.02</v>
      </c>
      <c r="T744" s="20">
        <v>11.93</v>
      </c>
      <c r="U744" s="20">
        <v>584.41</v>
      </c>
      <c r="V744" s="20">
        <v>373.2</v>
      </c>
      <c r="W744" s="20">
        <v>211.2</v>
      </c>
      <c r="X744" s="20" t="s">
        <v>45</v>
      </c>
    </row>
    <row r="745" spans="1:24" x14ac:dyDescent="0.25">
      <c r="A745" s="23" t="s">
        <v>1233</v>
      </c>
      <c r="B745" s="22">
        <v>45330</v>
      </c>
      <c r="C745" s="23" t="s">
        <v>837</v>
      </c>
      <c r="D745" s="23" t="s">
        <v>65</v>
      </c>
      <c r="E745" s="23" t="s">
        <v>187</v>
      </c>
      <c r="F745" s="23" t="s">
        <v>2594</v>
      </c>
      <c r="G745" s="23" t="s">
        <v>2577</v>
      </c>
      <c r="H745" s="23" t="s">
        <v>26</v>
      </c>
      <c r="I745" s="23" t="s">
        <v>58</v>
      </c>
      <c r="J745" s="23" t="s">
        <v>73</v>
      </c>
      <c r="K745" s="23" t="s">
        <v>184</v>
      </c>
      <c r="L745" s="23" t="s">
        <v>2690</v>
      </c>
      <c r="M745" s="23" t="s">
        <v>153</v>
      </c>
      <c r="N745" s="23" t="s">
        <v>84</v>
      </c>
      <c r="O745" s="23">
        <v>68</v>
      </c>
      <c r="P745" s="23">
        <v>49.55</v>
      </c>
      <c r="Q745" s="23">
        <v>27.48</v>
      </c>
      <c r="R745" s="23">
        <v>3369.57</v>
      </c>
      <c r="S745" s="23">
        <v>0.05</v>
      </c>
      <c r="T745" s="23">
        <v>168.48</v>
      </c>
      <c r="U745" s="23">
        <v>3201.09</v>
      </c>
      <c r="V745" s="23">
        <v>1868.41</v>
      </c>
      <c r="W745" s="23">
        <v>1332.68</v>
      </c>
      <c r="X745" s="23" t="s">
        <v>45</v>
      </c>
    </row>
    <row r="746" spans="1:24" x14ac:dyDescent="0.25">
      <c r="A746" s="20" t="s">
        <v>1234</v>
      </c>
      <c r="B746" s="19">
        <v>45436</v>
      </c>
      <c r="C746" s="20" t="s">
        <v>389</v>
      </c>
      <c r="D746" s="20" t="s">
        <v>264</v>
      </c>
      <c r="E746" s="20" t="s">
        <v>23</v>
      </c>
      <c r="F746" s="20" t="s">
        <v>2576</v>
      </c>
      <c r="G746" s="20" t="s">
        <v>2577</v>
      </c>
      <c r="H746" s="20" t="s">
        <v>26</v>
      </c>
      <c r="I746" s="20" t="s">
        <v>40</v>
      </c>
      <c r="J746" s="20" t="s">
        <v>117</v>
      </c>
      <c r="K746" s="20" t="s">
        <v>170</v>
      </c>
      <c r="L746" s="20" t="s">
        <v>2671</v>
      </c>
      <c r="M746" s="20" t="s">
        <v>30</v>
      </c>
      <c r="N746" s="20" t="s">
        <v>75</v>
      </c>
      <c r="O746" s="20">
        <v>57</v>
      </c>
      <c r="P746" s="20">
        <v>69.44</v>
      </c>
      <c r="Q746" s="20">
        <v>43.8</v>
      </c>
      <c r="R746" s="20">
        <v>3958</v>
      </c>
      <c r="S746" s="20">
        <v>0.1</v>
      </c>
      <c r="T746" s="20">
        <v>395.8</v>
      </c>
      <c r="U746" s="20">
        <v>3562.2</v>
      </c>
      <c r="V746" s="20">
        <v>2496.79</v>
      </c>
      <c r="W746" s="20">
        <v>1065.4100000000001</v>
      </c>
      <c r="X746" s="20" t="s">
        <v>32</v>
      </c>
    </row>
    <row r="747" spans="1:24" x14ac:dyDescent="0.25">
      <c r="A747" s="23" t="s">
        <v>1235</v>
      </c>
      <c r="B747" s="22">
        <v>45415</v>
      </c>
      <c r="C747" s="23" t="s">
        <v>1236</v>
      </c>
      <c r="D747" s="23" t="s">
        <v>156</v>
      </c>
      <c r="E747" s="23" t="s">
        <v>250</v>
      </c>
      <c r="F747" s="23" t="s">
        <v>2598</v>
      </c>
      <c r="G747" s="23" t="s">
        <v>2581</v>
      </c>
      <c r="H747" s="23" t="s">
        <v>252</v>
      </c>
      <c r="I747" s="23" t="s">
        <v>53</v>
      </c>
      <c r="J747" s="23" t="s">
        <v>232</v>
      </c>
      <c r="K747" s="23" t="s">
        <v>144</v>
      </c>
      <c r="L747" s="23" t="s">
        <v>2687</v>
      </c>
      <c r="M747" s="23" t="s">
        <v>61</v>
      </c>
      <c r="N747" s="23" t="s">
        <v>84</v>
      </c>
      <c r="O747" s="23">
        <v>59</v>
      </c>
      <c r="P747" s="23">
        <v>69.959999999999994</v>
      </c>
      <c r="Q747" s="23">
        <v>35.58</v>
      </c>
      <c r="R747" s="23">
        <v>4127.6899999999996</v>
      </c>
      <c r="S747" s="23">
        <v>0.15</v>
      </c>
      <c r="T747" s="23">
        <v>619.15</v>
      </c>
      <c r="U747" s="23">
        <v>3508.54</v>
      </c>
      <c r="V747" s="23">
        <v>2099.19</v>
      </c>
      <c r="W747" s="23">
        <v>1409.35</v>
      </c>
      <c r="X747" s="23" t="s">
        <v>45</v>
      </c>
    </row>
    <row r="748" spans="1:24" x14ac:dyDescent="0.25">
      <c r="A748" s="20" t="s">
        <v>1237</v>
      </c>
      <c r="B748" s="19">
        <v>45504</v>
      </c>
      <c r="C748" s="20" t="s">
        <v>276</v>
      </c>
      <c r="D748" s="20" t="s">
        <v>221</v>
      </c>
      <c r="E748" s="20" t="s">
        <v>132</v>
      </c>
      <c r="F748" s="20" t="s">
        <v>133</v>
      </c>
      <c r="G748" s="20" t="s">
        <v>2581</v>
      </c>
      <c r="H748" s="20" t="s">
        <v>134</v>
      </c>
      <c r="I748" s="20" t="s">
        <v>53</v>
      </c>
      <c r="J748" s="20" t="s">
        <v>143</v>
      </c>
      <c r="K748" s="20" t="s">
        <v>69</v>
      </c>
      <c r="L748" s="20" t="s">
        <v>2681</v>
      </c>
      <c r="M748" s="20" t="s">
        <v>385</v>
      </c>
      <c r="N748" s="20" t="s">
        <v>70</v>
      </c>
      <c r="O748" s="20">
        <v>64</v>
      </c>
      <c r="P748" s="20">
        <v>58.59</v>
      </c>
      <c r="Q748" s="20">
        <v>32.57</v>
      </c>
      <c r="R748" s="20">
        <v>3749.94</v>
      </c>
      <c r="S748" s="20">
        <v>0.05</v>
      </c>
      <c r="T748" s="20">
        <v>187.5</v>
      </c>
      <c r="U748" s="20">
        <v>3562.44</v>
      </c>
      <c r="V748" s="20">
        <v>2084.39</v>
      </c>
      <c r="W748" s="20">
        <v>1478.06</v>
      </c>
      <c r="X748" s="20" t="s">
        <v>45</v>
      </c>
    </row>
    <row r="749" spans="1:24" x14ac:dyDescent="0.25">
      <c r="A749" s="23" t="s">
        <v>1238</v>
      </c>
      <c r="B749" s="22">
        <v>45565</v>
      </c>
      <c r="C749" s="23" t="s">
        <v>477</v>
      </c>
      <c r="D749" s="23" t="s">
        <v>221</v>
      </c>
      <c r="E749" s="23" t="s">
        <v>78</v>
      </c>
      <c r="F749" s="23" t="s">
        <v>2583</v>
      </c>
      <c r="G749" s="23" t="s">
        <v>2584</v>
      </c>
      <c r="H749" s="23" t="s">
        <v>81</v>
      </c>
      <c r="I749" s="23" t="s">
        <v>53</v>
      </c>
      <c r="J749" s="23" t="s">
        <v>232</v>
      </c>
      <c r="K749" s="23" t="s">
        <v>178</v>
      </c>
      <c r="L749" s="23" t="s">
        <v>2689</v>
      </c>
      <c r="M749" s="23" t="s">
        <v>30</v>
      </c>
      <c r="N749" s="23" t="s">
        <v>75</v>
      </c>
      <c r="O749" s="23">
        <v>39</v>
      </c>
      <c r="P749" s="23">
        <v>130.41999999999999</v>
      </c>
      <c r="Q749" s="23">
        <v>75.84</v>
      </c>
      <c r="R749" s="23">
        <v>5086.2700000000004</v>
      </c>
      <c r="S749" s="23">
        <v>0</v>
      </c>
      <c r="T749" s="23">
        <v>0</v>
      </c>
      <c r="U749" s="23">
        <v>5086.2700000000004</v>
      </c>
      <c r="V749" s="23">
        <v>2957.84</v>
      </c>
      <c r="W749" s="23">
        <v>2128.4299999999998</v>
      </c>
      <c r="X749" s="23" t="s">
        <v>45</v>
      </c>
    </row>
    <row r="750" spans="1:24" x14ac:dyDescent="0.25">
      <c r="A750" s="20" t="s">
        <v>1239</v>
      </c>
      <c r="B750" s="19">
        <v>45351</v>
      </c>
      <c r="C750" s="20" t="s">
        <v>447</v>
      </c>
      <c r="D750" s="20" t="s">
        <v>48</v>
      </c>
      <c r="E750" s="20" t="s">
        <v>66</v>
      </c>
      <c r="F750" s="20" t="s">
        <v>2582</v>
      </c>
      <c r="G750" s="20" t="s">
        <v>2579</v>
      </c>
      <c r="H750" s="20" t="s">
        <v>68</v>
      </c>
      <c r="I750" s="20" t="s">
        <v>88</v>
      </c>
      <c r="J750" s="20" t="s">
        <v>183</v>
      </c>
      <c r="K750" s="20" t="s">
        <v>60</v>
      </c>
      <c r="L750" s="20" t="s">
        <v>2677</v>
      </c>
      <c r="M750" s="20" t="s">
        <v>153</v>
      </c>
      <c r="N750" s="20" t="s">
        <v>84</v>
      </c>
      <c r="O750" s="20">
        <v>14</v>
      </c>
      <c r="P750" s="20">
        <v>168.42</v>
      </c>
      <c r="Q750" s="20">
        <v>101.62</v>
      </c>
      <c r="R750" s="20">
        <v>2357.8200000000002</v>
      </c>
      <c r="S750" s="20">
        <v>0.2</v>
      </c>
      <c r="T750" s="20">
        <v>471.56</v>
      </c>
      <c r="U750" s="20">
        <v>1886.26</v>
      </c>
      <c r="V750" s="20">
        <v>1422.63</v>
      </c>
      <c r="W750" s="20">
        <v>463.63</v>
      </c>
      <c r="X750" s="20" t="s">
        <v>32</v>
      </c>
    </row>
    <row r="751" spans="1:24" x14ac:dyDescent="0.25">
      <c r="A751" s="23" t="s">
        <v>1240</v>
      </c>
      <c r="B751" s="22">
        <v>45469</v>
      </c>
      <c r="C751" s="23" t="s">
        <v>617</v>
      </c>
      <c r="D751" s="23" t="s">
        <v>22</v>
      </c>
      <c r="E751" s="23" t="s">
        <v>141</v>
      </c>
      <c r="F751" s="23" t="s">
        <v>2590</v>
      </c>
      <c r="G751" s="23" t="s">
        <v>2577</v>
      </c>
      <c r="H751" s="23" t="s">
        <v>26</v>
      </c>
      <c r="I751" s="23" t="s">
        <v>88</v>
      </c>
      <c r="J751" s="23" t="s">
        <v>2112</v>
      </c>
      <c r="K751" s="23" t="s">
        <v>152</v>
      </c>
      <c r="L751" s="23" t="s">
        <v>2688</v>
      </c>
      <c r="M751" s="23" t="s">
        <v>153</v>
      </c>
      <c r="N751" s="23" t="s">
        <v>70</v>
      </c>
      <c r="O751" s="23">
        <v>76</v>
      </c>
      <c r="P751" s="23">
        <v>93.41</v>
      </c>
      <c r="Q751" s="23">
        <v>55.05</v>
      </c>
      <c r="R751" s="23">
        <v>7099</v>
      </c>
      <c r="S751" s="23">
        <v>0.05</v>
      </c>
      <c r="T751" s="23">
        <v>354.95</v>
      </c>
      <c r="U751" s="23">
        <v>6744.05</v>
      </c>
      <c r="V751" s="23">
        <v>4183.5600000000004</v>
      </c>
      <c r="W751" s="23">
        <v>2560.4899999999998</v>
      </c>
      <c r="X751" s="23" t="s">
        <v>45</v>
      </c>
    </row>
    <row r="752" spans="1:24" x14ac:dyDescent="0.25">
      <c r="A752" s="20" t="s">
        <v>1241</v>
      </c>
      <c r="B752" s="19">
        <v>45415</v>
      </c>
      <c r="C752" s="20" t="s">
        <v>843</v>
      </c>
      <c r="D752" s="20" t="s">
        <v>22</v>
      </c>
      <c r="E752" s="20" t="s">
        <v>78</v>
      </c>
      <c r="F752" s="20" t="s">
        <v>2583</v>
      </c>
      <c r="G752" s="20" t="s">
        <v>2584</v>
      </c>
      <c r="H752" s="20" t="s">
        <v>81</v>
      </c>
      <c r="I752" s="20" t="s">
        <v>53</v>
      </c>
      <c r="J752" s="20" t="s">
        <v>232</v>
      </c>
      <c r="K752" s="20" t="s">
        <v>111</v>
      </c>
      <c r="L752" s="20" t="s">
        <v>2685</v>
      </c>
      <c r="M752" s="20" t="s">
        <v>30</v>
      </c>
      <c r="N752" s="20" t="s">
        <v>84</v>
      </c>
      <c r="O752" s="20">
        <v>20</v>
      </c>
      <c r="P752" s="20">
        <v>148.25</v>
      </c>
      <c r="Q752" s="20">
        <v>77.760000000000005</v>
      </c>
      <c r="R752" s="20">
        <v>2964.93</v>
      </c>
      <c r="S752" s="20">
        <v>0.2</v>
      </c>
      <c r="T752" s="20">
        <v>592.99</v>
      </c>
      <c r="U752" s="20">
        <v>2371.94</v>
      </c>
      <c r="V752" s="20">
        <v>1555.28</v>
      </c>
      <c r="W752" s="20">
        <v>816.66</v>
      </c>
      <c r="X752" s="20" t="s">
        <v>45</v>
      </c>
    </row>
    <row r="753" spans="1:24" x14ac:dyDescent="0.25">
      <c r="A753" s="23" t="s">
        <v>1242</v>
      </c>
      <c r="B753" s="22">
        <v>45602</v>
      </c>
      <c r="C753" s="23" t="s">
        <v>1219</v>
      </c>
      <c r="D753" s="23" t="s">
        <v>359</v>
      </c>
      <c r="E753" s="23" t="s">
        <v>66</v>
      </c>
      <c r="F753" s="23" t="s">
        <v>2582</v>
      </c>
      <c r="G753" s="23" t="s">
        <v>2579</v>
      </c>
      <c r="H753" s="23" t="s">
        <v>68</v>
      </c>
      <c r="I753" s="23" t="s">
        <v>40</v>
      </c>
      <c r="J753" s="23" t="s">
        <v>117</v>
      </c>
      <c r="K753" s="23" t="s">
        <v>74</v>
      </c>
      <c r="L753" s="23" t="s">
        <v>2682</v>
      </c>
      <c r="M753" s="23" t="s">
        <v>30</v>
      </c>
      <c r="N753" s="23" t="s">
        <v>84</v>
      </c>
      <c r="O753" s="23">
        <v>61</v>
      </c>
      <c r="P753" s="23">
        <v>166.43</v>
      </c>
      <c r="Q753" s="23">
        <v>96.86</v>
      </c>
      <c r="R753" s="23">
        <v>10152.24</v>
      </c>
      <c r="S753" s="23">
        <v>0.2</v>
      </c>
      <c r="T753" s="23">
        <v>2030.45</v>
      </c>
      <c r="U753" s="23">
        <v>8121.79</v>
      </c>
      <c r="V753" s="23">
        <v>5908.56</v>
      </c>
      <c r="W753" s="23">
        <v>2213.2399999999998</v>
      </c>
      <c r="X753" s="23" t="s">
        <v>45</v>
      </c>
    </row>
    <row r="754" spans="1:24" x14ac:dyDescent="0.25">
      <c r="A754" s="20" t="s">
        <v>1243</v>
      </c>
      <c r="B754" s="19">
        <v>45626</v>
      </c>
      <c r="C754" s="20" t="s">
        <v>276</v>
      </c>
      <c r="D754" s="20" t="s">
        <v>221</v>
      </c>
      <c r="E754" s="20" t="s">
        <v>99</v>
      </c>
      <c r="F754" s="20" t="s">
        <v>100</v>
      </c>
      <c r="G754" s="20" t="s">
        <v>2587</v>
      </c>
      <c r="H754" s="20" t="s">
        <v>102</v>
      </c>
      <c r="I754" s="20" t="s">
        <v>27</v>
      </c>
      <c r="J754" s="20" t="s">
        <v>106</v>
      </c>
      <c r="K754" s="20" t="s">
        <v>118</v>
      </c>
      <c r="L754" s="20" t="s">
        <v>2686</v>
      </c>
      <c r="M754" s="20" t="s">
        <v>43</v>
      </c>
      <c r="N754" s="20" t="s">
        <v>2578</v>
      </c>
      <c r="O754" s="20">
        <v>47</v>
      </c>
      <c r="P754" s="20">
        <v>68.33</v>
      </c>
      <c r="Q754" s="20">
        <v>38.49</v>
      </c>
      <c r="R754" s="20">
        <v>3211.52</v>
      </c>
      <c r="S754" s="20">
        <v>0.2</v>
      </c>
      <c r="T754" s="20">
        <v>642.29999999999995</v>
      </c>
      <c r="U754" s="20">
        <v>2569.2199999999998</v>
      </c>
      <c r="V754" s="20">
        <v>1808.93</v>
      </c>
      <c r="W754" s="20">
        <v>760.28</v>
      </c>
      <c r="X754" s="20" t="s">
        <v>45</v>
      </c>
    </row>
    <row r="755" spans="1:24" x14ac:dyDescent="0.25">
      <c r="A755" s="23" t="s">
        <v>1244</v>
      </c>
      <c r="B755" s="22">
        <v>45583</v>
      </c>
      <c r="C755" s="23" t="s">
        <v>98</v>
      </c>
      <c r="D755" s="23" t="s">
        <v>48</v>
      </c>
      <c r="E755" s="23" t="s">
        <v>250</v>
      </c>
      <c r="F755" s="23" t="s">
        <v>2598</v>
      </c>
      <c r="G755" s="23" t="s">
        <v>2581</v>
      </c>
      <c r="H755" s="23" t="s">
        <v>252</v>
      </c>
      <c r="I755" s="23" t="s">
        <v>88</v>
      </c>
      <c r="J755" s="23" t="s">
        <v>2112</v>
      </c>
      <c r="K755" s="23" t="s">
        <v>152</v>
      </c>
      <c r="L755" s="23" t="s">
        <v>2688</v>
      </c>
      <c r="M755" s="23" t="s">
        <v>153</v>
      </c>
      <c r="N755" s="23" t="s">
        <v>2578</v>
      </c>
      <c r="O755" s="23">
        <v>25</v>
      </c>
      <c r="P755" s="23">
        <v>62.1</v>
      </c>
      <c r="Q755" s="23">
        <v>35.200000000000003</v>
      </c>
      <c r="R755" s="23">
        <v>1552.42</v>
      </c>
      <c r="S755" s="23">
        <v>0.2</v>
      </c>
      <c r="T755" s="23">
        <v>310.48</v>
      </c>
      <c r="U755" s="23">
        <v>1241.94</v>
      </c>
      <c r="V755" s="23">
        <v>879.92</v>
      </c>
      <c r="W755" s="23">
        <v>362.02</v>
      </c>
      <c r="X755" s="23" t="s">
        <v>32</v>
      </c>
    </row>
    <row r="756" spans="1:24" x14ac:dyDescent="0.25">
      <c r="A756" s="20" t="s">
        <v>1245</v>
      </c>
      <c r="B756" s="19">
        <v>45305</v>
      </c>
      <c r="C756" s="20" t="s">
        <v>491</v>
      </c>
      <c r="D756" s="20" t="s">
        <v>57</v>
      </c>
      <c r="E756" s="20" t="s">
        <v>132</v>
      </c>
      <c r="F756" s="20" t="s">
        <v>133</v>
      </c>
      <c r="G756" s="20" t="s">
        <v>2581</v>
      </c>
      <c r="H756" s="20" t="s">
        <v>134</v>
      </c>
      <c r="I756" s="20" t="s">
        <v>58</v>
      </c>
      <c r="J756" s="20" t="s">
        <v>345</v>
      </c>
      <c r="K756" s="20" t="s">
        <v>118</v>
      </c>
      <c r="L756" s="20" t="s">
        <v>2686</v>
      </c>
      <c r="M756" s="20" t="s">
        <v>61</v>
      </c>
      <c r="N756" s="20" t="s">
        <v>2578</v>
      </c>
      <c r="O756" s="20">
        <v>43</v>
      </c>
      <c r="P756" s="20">
        <v>56.39</v>
      </c>
      <c r="Q756" s="20">
        <v>33.53</v>
      </c>
      <c r="R756" s="20">
        <v>2424.94</v>
      </c>
      <c r="S756" s="20">
        <v>0</v>
      </c>
      <c r="T756" s="20">
        <v>0</v>
      </c>
      <c r="U756" s="20">
        <v>2424.94</v>
      </c>
      <c r="V756" s="20">
        <v>1441.8</v>
      </c>
      <c r="W756" s="20">
        <v>983.14</v>
      </c>
      <c r="X756" s="20" t="s">
        <v>45</v>
      </c>
    </row>
    <row r="757" spans="1:24" x14ac:dyDescent="0.25">
      <c r="A757" s="23" t="s">
        <v>1246</v>
      </c>
      <c r="B757" s="22">
        <v>45323</v>
      </c>
      <c r="C757" s="23" t="s">
        <v>643</v>
      </c>
      <c r="D757" s="23" t="s">
        <v>359</v>
      </c>
      <c r="E757" s="23" t="s">
        <v>49</v>
      </c>
      <c r="F757" s="23" t="s">
        <v>2580</v>
      </c>
      <c r="G757" s="23" t="s">
        <v>2581</v>
      </c>
      <c r="H757" s="23" t="s">
        <v>52</v>
      </c>
      <c r="I757" s="23" t="s">
        <v>40</v>
      </c>
      <c r="J757" s="23" t="s">
        <v>82</v>
      </c>
      <c r="K757" s="23" t="s">
        <v>60</v>
      </c>
      <c r="L757" s="23" t="s">
        <v>2677</v>
      </c>
      <c r="M757" s="23" t="s">
        <v>30</v>
      </c>
      <c r="N757" s="23" t="s">
        <v>75</v>
      </c>
      <c r="O757" s="23">
        <v>12</v>
      </c>
      <c r="P757" s="23">
        <v>25.35</v>
      </c>
      <c r="Q757" s="23">
        <v>13.51</v>
      </c>
      <c r="R757" s="23">
        <v>304.17</v>
      </c>
      <c r="S757" s="23">
        <v>0.05</v>
      </c>
      <c r="T757" s="23">
        <v>15.21</v>
      </c>
      <c r="U757" s="23">
        <v>288.95999999999998</v>
      </c>
      <c r="V757" s="23">
        <v>162.13</v>
      </c>
      <c r="W757" s="23">
        <v>126.83</v>
      </c>
      <c r="X757" s="23" t="s">
        <v>129</v>
      </c>
    </row>
    <row r="758" spans="1:24" x14ac:dyDescent="0.25">
      <c r="A758" s="20" t="s">
        <v>1247</v>
      </c>
      <c r="B758" s="19">
        <v>45298</v>
      </c>
      <c r="C758" s="20" t="s">
        <v>563</v>
      </c>
      <c r="D758" s="20" t="s">
        <v>156</v>
      </c>
      <c r="E758" s="20" t="s">
        <v>209</v>
      </c>
      <c r="F758" s="20" t="s">
        <v>2595</v>
      </c>
      <c r="G758" s="20" t="s">
        <v>2581</v>
      </c>
      <c r="H758" s="20" t="s">
        <v>116</v>
      </c>
      <c r="I758" s="20" t="s">
        <v>40</v>
      </c>
      <c r="J758" s="20" t="s">
        <v>289</v>
      </c>
      <c r="K758" s="20" t="s">
        <v>253</v>
      </c>
      <c r="L758" s="20" t="s">
        <v>2694</v>
      </c>
      <c r="M758" s="20" t="s">
        <v>43</v>
      </c>
      <c r="N758" s="20" t="s">
        <v>44</v>
      </c>
      <c r="O758" s="20">
        <v>59</v>
      </c>
      <c r="P758" s="20">
        <v>19.12</v>
      </c>
      <c r="Q758" s="20">
        <v>10.73</v>
      </c>
      <c r="R758" s="20">
        <v>1128.06</v>
      </c>
      <c r="S758" s="20">
        <v>0.1</v>
      </c>
      <c r="T758" s="20">
        <v>112.81</v>
      </c>
      <c r="U758" s="20">
        <v>1015.25</v>
      </c>
      <c r="V758" s="20">
        <v>633.01</v>
      </c>
      <c r="W758" s="20">
        <v>382.24</v>
      </c>
      <c r="X758" s="20" t="s">
        <v>45</v>
      </c>
    </row>
    <row r="759" spans="1:24" x14ac:dyDescent="0.25">
      <c r="A759" s="23" t="s">
        <v>1248</v>
      </c>
      <c r="B759" s="22">
        <v>45502</v>
      </c>
      <c r="C759" s="23" t="s">
        <v>924</v>
      </c>
      <c r="D759" s="23" t="s">
        <v>48</v>
      </c>
      <c r="E759" s="23" t="s">
        <v>165</v>
      </c>
      <c r="F759" s="23" t="s">
        <v>2592</v>
      </c>
      <c r="G759" s="23" t="s">
        <v>2586</v>
      </c>
      <c r="H759" s="23" t="s">
        <v>167</v>
      </c>
      <c r="I759" s="23" t="s">
        <v>58</v>
      </c>
      <c r="J759" s="23" t="s">
        <v>345</v>
      </c>
      <c r="K759" s="23" t="s">
        <v>69</v>
      </c>
      <c r="L759" s="23" t="s">
        <v>2681</v>
      </c>
      <c r="M759" s="23" t="s">
        <v>30</v>
      </c>
      <c r="N759" s="23" t="s">
        <v>84</v>
      </c>
      <c r="O759" s="23">
        <v>49</v>
      </c>
      <c r="P759" s="23">
        <v>44.2</v>
      </c>
      <c r="Q759" s="23">
        <v>23.68</v>
      </c>
      <c r="R759" s="23">
        <v>2165.86</v>
      </c>
      <c r="S759" s="23">
        <v>0</v>
      </c>
      <c r="T759" s="23">
        <v>0</v>
      </c>
      <c r="U759" s="23">
        <v>2165.86</v>
      </c>
      <c r="V759" s="23">
        <v>1160.46</v>
      </c>
      <c r="W759" s="23">
        <v>1005.4</v>
      </c>
      <c r="X759" s="23" t="s">
        <v>45</v>
      </c>
    </row>
    <row r="760" spans="1:24" x14ac:dyDescent="0.25">
      <c r="A760" s="20" t="s">
        <v>1249</v>
      </c>
      <c r="B760" s="19">
        <v>45637</v>
      </c>
      <c r="C760" s="20" t="s">
        <v>299</v>
      </c>
      <c r="D760" s="20" t="s">
        <v>159</v>
      </c>
      <c r="E760" s="20" t="s">
        <v>78</v>
      </c>
      <c r="F760" s="20" t="s">
        <v>2583</v>
      </c>
      <c r="G760" s="20" t="s">
        <v>2584</v>
      </c>
      <c r="H760" s="20" t="s">
        <v>81</v>
      </c>
      <c r="I760" s="20" t="s">
        <v>88</v>
      </c>
      <c r="J760" s="20" t="s">
        <v>173</v>
      </c>
      <c r="K760" s="20" t="s">
        <v>178</v>
      </c>
      <c r="L760" s="20" t="s">
        <v>2689</v>
      </c>
      <c r="M760" s="20" t="s">
        <v>30</v>
      </c>
      <c r="N760" s="20" t="s">
        <v>44</v>
      </c>
      <c r="O760" s="20">
        <v>63</v>
      </c>
      <c r="P760" s="20">
        <v>132.54</v>
      </c>
      <c r="Q760" s="20">
        <v>77.64</v>
      </c>
      <c r="R760" s="20">
        <v>8350.1299999999992</v>
      </c>
      <c r="S760" s="20">
        <v>0.2</v>
      </c>
      <c r="T760" s="20">
        <v>1670.03</v>
      </c>
      <c r="U760" s="20">
        <v>6680.1</v>
      </c>
      <c r="V760" s="20">
        <v>4891.2700000000004</v>
      </c>
      <c r="W760" s="20">
        <v>1788.84</v>
      </c>
      <c r="X760" s="20" t="s">
        <v>129</v>
      </c>
    </row>
    <row r="761" spans="1:24" x14ac:dyDescent="0.25">
      <c r="A761" s="23" t="s">
        <v>1250</v>
      </c>
      <c r="B761" s="22">
        <v>45489</v>
      </c>
      <c r="C761" s="23" t="s">
        <v>272</v>
      </c>
      <c r="D761" s="23" t="s">
        <v>105</v>
      </c>
      <c r="E761" s="23" t="s">
        <v>132</v>
      </c>
      <c r="F761" s="23" t="s">
        <v>133</v>
      </c>
      <c r="G761" s="23" t="s">
        <v>2581</v>
      </c>
      <c r="H761" s="23" t="s">
        <v>134</v>
      </c>
      <c r="I761" s="23" t="s">
        <v>40</v>
      </c>
      <c r="J761" s="23" t="s">
        <v>82</v>
      </c>
      <c r="K761" s="23" t="s">
        <v>265</v>
      </c>
      <c r="L761" s="23" t="s">
        <v>2663</v>
      </c>
      <c r="M761" s="23" t="s">
        <v>153</v>
      </c>
      <c r="N761" s="23" t="s">
        <v>75</v>
      </c>
      <c r="O761" s="23">
        <v>16</v>
      </c>
      <c r="P761" s="23">
        <v>60.74</v>
      </c>
      <c r="Q761" s="23">
        <v>33.799999999999997</v>
      </c>
      <c r="R761" s="23">
        <v>971.81</v>
      </c>
      <c r="S761" s="23">
        <v>0</v>
      </c>
      <c r="T761" s="23">
        <v>0</v>
      </c>
      <c r="U761" s="23">
        <v>971.81</v>
      </c>
      <c r="V761" s="23">
        <v>540.86</v>
      </c>
      <c r="W761" s="23">
        <v>430.94</v>
      </c>
      <c r="X761" s="23" t="s">
        <v>45</v>
      </c>
    </row>
    <row r="762" spans="1:24" x14ac:dyDescent="0.25">
      <c r="A762" s="20" t="s">
        <v>1251</v>
      </c>
      <c r="B762" s="19">
        <v>45327</v>
      </c>
      <c r="C762" s="20" t="s">
        <v>802</v>
      </c>
      <c r="D762" s="20" t="s">
        <v>22</v>
      </c>
      <c r="E762" s="20" t="s">
        <v>126</v>
      </c>
      <c r="F762" s="20" t="s">
        <v>2589</v>
      </c>
      <c r="G762" s="20" t="s">
        <v>2586</v>
      </c>
      <c r="H762" s="20" t="s">
        <v>128</v>
      </c>
      <c r="I762" s="20" t="s">
        <v>27</v>
      </c>
      <c r="J762" s="20" t="s">
        <v>211</v>
      </c>
      <c r="K762" s="20" t="s">
        <v>218</v>
      </c>
      <c r="L762" s="20" t="s">
        <v>2692</v>
      </c>
      <c r="M762" s="20" t="s">
        <v>61</v>
      </c>
      <c r="N762" s="20" t="s">
        <v>75</v>
      </c>
      <c r="O762" s="20">
        <v>32</v>
      </c>
      <c r="P762" s="20">
        <v>93.76</v>
      </c>
      <c r="Q762" s="20">
        <v>51.91</v>
      </c>
      <c r="R762" s="20">
        <v>3000.27</v>
      </c>
      <c r="S762" s="20">
        <v>0.15</v>
      </c>
      <c r="T762" s="20">
        <v>450.04</v>
      </c>
      <c r="U762" s="20">
        <v>2550.23</v>
      </c>
      <c r="V762" s="20">
        <v>1661.19</v>
      </c>
      <c r="W762" s="20">
        <v>889.04</v>
      </c>
      <c r="X762" s="20" t="s">
        <v>32</v>
      </c>
    </row>
    <row r="763" spans="1:24" x14ac:dyDescent="0.25">
      <c r="A763" s="23" t="s">
        <v>1252</v>
      </c>
      <c r="B763" s="22">
        <v>45329</v>
      </c>
      <c r="C763" s="23" t="s">
        <v>1253</v>
      </c>
      <c r="D763" s="23" t="s">
        <v>259</v>
      </c>
      <c r="E763" s="23" t="s">
        <v>250</v>
      </c>
      <c r="F763" s="23" t="s">
        <v>2598</v>
      </c>
      <c r="G763" s="23" t="s">
        <v>2581</v>
      </c>
      <c r="H763" s="23" t="s">
        <v>252</v>
      </c>
      <c r="I763" s="23" t="s">
        <v>88</v>
      </c>
      <c r="J763" s="23" t="s">
        <v>135</v>
      </c>
      <c r="K763" s="23" t="s">
        <v>83</v>
      </c>
      <c r="L763" s="23" t="s">
        <v>2683</v>
      </c>
      <c r="M763" s="23" t="s">
        <v>153</v>
      </c>
      <c r="N763" s="23" t="s">
        <v>70</v>
      </c>
      <c r="O763" s="23">
        <v>5</v>
      </c>
      <c r="P763" s="23">
        <v>61.58</v>
      </c>
      <c r="Q763" s="23">
        <v>39.03</v>
      </c>
      <c r="R763" s="23">
        <v>307.89</v>
      </c>
      <c r="S763" s="23">
        <v>0.05</v>
      </c>
      <c r="T763" s="23">
        <v>15.39</v>
      </c>
      <c r="U763" s="23">
        <v>292.49</v>
      </c>
      <c r="V763" s="23">
        <v>195.13</v>
      </c>
      <c r="W763" s="23">
        <v>97.37</v>
      </c>
      <c r="X763" s="23" t="s">
        <v>45</v>
      </c>
    </row>
    <row r="764" spans="1:24" x14ac:dyDescent="0.25">
      <c r="A764" s="20" t="s">
        <v>1254</v>
      </c>
      <c r="B764" s="19">
        <v>45542</v>
      </c>
      <c r="C764" s="20" t="s">
        <v>1098</v>
      </c>
      <c r="D764" s="20" t="s">
        <v>121</v>
      </c>
      <c r="E764" s="20" t="s">
        <v>209</v>
      </c>
      <c r="F764" s="20" t="s">
        <v>2595</v>
      </c>
      <c r="G764" s="20" t="s">
        <v>2581</v>
      </c>
      <c r="H764" s="20" t="s">
        <v>116</v>
      </c>
      <c r="I764" s="20" t="s">
        <v>40</v>
      </c>
      <c r="J764" s="20" t="s">
        <v>41</v>
      </c>
      <c r="K764" s="20" t="s">
        <v>218</v>
      </c>
      <c r="L764" s="20" t="s">
        <v>2692</v>
      </c>
      <c r="M764" s="20" t="s">
        <v>30</v>
      </c>
      <c r="N764" s="20" t="s">
        <v>70</v>
      </c>
      <c r="O764" s="20">
        <v>50</v>
      </c>
      <c r="P764" s="20">
        <v>16.739999999999998</v>
      </c>
      <c r="Q764" s="20">
        <v>10.130000000000001</v>
      </c>
      <c r="R764" s="20">
        <v>837.25</v>
      </c>
      <c r="S764" s="20">
        <v>0</v>
      </c>
      <c r="T764" s="20">
        <v>0</v>
      </c>
      <c r="U764" s="20">
        <v>837.25</v>
      </c>
      <c r="V764" s="20">
        <v>506.56</v>
      </c>
      <c r="W764" s="20">
        <v>330.69</v>
      </c>
      <c r="X764" s="20" t="s">
        <v>45</v>
      </c>
    </row>
    <row r="765" spans="1:24" x14ac:dyDescent="0.25">
      <c r="A765" s="23" t="s">
        <v>1255</v>
      </c>
      <c r="B765" s="22">
        <v>45471</v>
      </c>
      <c r="C765" s="23" t="s">
        <v>169</v>
      </c>
      <c r="D765" s="23" t="s">
        <v>57</v>
      </c>
      <c r="E765" s="23" t="s">
        <v>141</v>
      </c>
      <c r="F765" s="23" t="s">
        <v>2590</v>
      </c>
      <c r="G765" s="23" t="s">
        <v>2577</v>
      </c>
      <c r="H765" s="23" t="s">
        <v>26</v>
      </c>
      <c r="I765" s="23" t="s">
        <v>27</v>
      </c>
      <c r="J765" s="23" t="s">
        <v>28</v>
      </c>
      <c r="K765" s="23" t="s">
        <v>178</v>
      </c>
      <c r="L765" s="23" t="s">
        <v>2689</v>
      </c>
      <c r="M765" s="23" t="s">
        <v>61</v>
      </c>
      <c r="N765" s="23" t="s">
        <v>44</v>
      </c>
      <c r="O765" s="23">
        <v>40</v>
      </c>
      <c r="P765" s="23">
        <v>89.33</v>
      </c>
      <c r="Q765" s="23">
        <v>58.21</v>
      </c>
      <c r="R765" s="23">
        <v>3573.25</v>
      </c>
      <c r="S765" s="23">
        <v>0.2</v>
      </c>
      <c r="T765" s="23">
        <v>714.65</v>
      </c>
      <c r="U765" s="23">
        <v>2858.6</v>
      </c>
      <c r="V765" s="23">
        <v>2328.2600000000002</v>
      </c>
      <c r="W765" s="23">
        <v>530.35</v>
      </c>
      <c r="X765" s="23" t="s">
        <v>129</v>
      </c>
    </row>
    <row r="766" spans="1:24" x14ac:dyDescent="0.25">
      <c r="A766" s="20" t="s">
        <v>1256</v>
      </c>
      <c r="B766" s="19">
        <v>45596</v>
      </c>
      <c r="C766" s="20" t="s">
        <v>199</v>
      </c>
      <c r="D766" s="20" t="s">
        <v>105</v>
      </c>
      <c r="E766" s="20" t="s">
        <v>109</v>
      </c>
      <c r="F766" s="20" t="s">
        <v>110</v>
      </c>
      <c r="G766" s="20" t="s">
        <v>2584</v>
      </c>
      <c r="H766" s="20" t="s">
        <v>81</v>
      </c>
      <c r="I766" s="20" t="s">
        <v>40</v>
      </c>
      <c r="J766" s="20" t="s">
        <v>41</v>
      </c>
      <c r="K766" s="20" t="s">
        <v>261</v>
      </c>
      <c r="L766" s="20" t="s">
        <v>2695</v>
      </c>
      <c r="M766" s="20" t="s">
        <v>30</v>
      </c>
      <c r="N766" s="20" t="s">
        <v>84</v>
      </c>
      <c r="O766" s="20">
        <v>57</v>
      </c>
      <c r="P766" s="20">
        <v>131.55000000000001</v>
      </c>
      <c r="Q766" s="20">
        <v>76.33</v>
      </c>
      <c r="R766" s="20">
        <v>7498.36</v>
      </c>
      <c r="S766" s="20">
        <v>0.05</v>
      </c>
      <c r="T766" s="20">
        <v>374.92</v>
      </c>
      <c r="U766" s="20">
        <v>7123.44</v>
      </c>
      <c r="V766" s="20">
        <v>4351.09</v>
      </c>
      <c r="W766" s="20">
        <v>2772.35</v>
      </c>
      <c r="X766" s="20" t="s">
        <v>45</v>
      </c>
    </row>
    <row r="767" spans="1:24" x14ac:dyDescent="0.25">
      <c r="A767" s="23" t="s">
        <v>1257</v>
      </c>
      <c r="B767" s="22">
        <v>45655</v>
      </c>
      <c r="C767" s="23" t="s">
        <v>711</v>
      </c>
      <c r="D767" s="23" t="s">
        <v>57</v>
      </c>
      <c r="E767" s="23" t="s">
        <v>150</v>
      </c>
      <c r="F767" s="23" t="s">
        <v>2591</v>
      </c>
      <c r="G767" s="23" t="s">
        <v>2587</v>
      </c>
      <c r="H767" s="23" t="s">
        <v>134</v>
      </c>
      <c r="I767" s="23" t="s">
        <v>27</v>
      </c>
      <c r="J767" s="23" t="s">
        <v>106</v>
      </c>
      <c r="K767" s="23" t="s">
        <v>74</v>
      </c>
      <c r="L767" s="23" t="s">
        <v>2682</v>
      </c>
      <c r="M767" s="23" t="s">
        <v>43</v>
      </c>
      <c r="N767" s="23" t="s">
        <v>75</v>
      </c>
      <c r="O767" s="23">
        <v>65</v>
      </c>
      <c r="P767" s="23">
        <v>90.96</v>
      </c>
      <c r="Q767" s="23">
        <v>48.4</v>
      </c>
      <c r="R767" s="23">
        <v>5912.49</v>
      </c>
      <c r="S767" s="23">
        <v>0.1</v>
      </c>
      <c r="T767" s="23">
        <v>591.25</v>
      </c>
      <c r="U767" s="23">
        <v>5321.24</v>
      </c>
      <c r="V767" s="23">
        <v>3145.93</v>
      </c>
      <c r="W767" s="23">
        <v>2175.3200000000002</v>
      </c>
      <c r="X767" s="23" t="s">
        <v>45</v>
      </c>
    </row>
    <row r="768" spans="1:24" x14ac:dyDescent="0.25">
      <c r="A768" s="20" t="s">
        <v>1258</v>
      </c>
      <c r="B768" s="19">
        <v>45636</v>
      </c>
      <c r="C768" s="20" t="s">
        <v>148</v>
      </c>
      <c r="D768" s="20" t="s">
        <v>149</v>
      </c>
      <c r="E768" s="20" t="s">
        <v>250</v>
      </c>
      <c r="F768" s="20" t="s">
        <v>2598</v>
      </c>
      <c r="G768" s="20" t="s">
        <v>2581</v>
      </c>
      <c r="H768" s="20" t="s">
        <v>252</v>
      </c>
      <c r="I768" s="20" t="s">
        <v>40</v>
      </c>
      <c r="J768" s="20" t="s">
        <v>117</v>
      </c>
      <c r="K768" s="20" t="s">
        <v>144</v>
      </c>
      <c r="L768" s="20" t="s">
        <v>2687</v>
      </c>
      <c r="M768" s="20" t="s">
        <v>30</v>
      </c>
      <c r="N768" s="20" t="s">
        <v>44</v>
      </c>
      <c r="O768" s="20">
        <v>35</v>
      </c>
      <c r="P768" s="20">
        <v>63.14</v>
      </c>
      <c r="Q768" s="20">
        <v>36.090000000000003</v>
      </c>
      <c r="R768" s="20">
        <v>2209.7600000000002</v>
      </c>
      <c r="S768" s="20">
        <v>0.15</v>
      </c>
      <c r="T768" s="20">
        <v>331.46</v>
      </c>
      <c r="U768" s="20">
        <v>1878.3</v>
      </c>
      <c r="V768" s="20">
        <v>1263.29</v>
      </c>
      <c r="W768" s="20">
        <v>615.01</v>
      </c>
      <c r="X768" s="20" t="s">
        <v>129</v>
      </c>
    </row>
    <row r="769" spans="1:24" x14ac:dyDescent="0.25">
      <c r="A769" s="23" t="s">
        <v>1259</v>
      </c>
      <c r="B769" s="22">
        <v>45627</v>
      </c>
      <c r="C769" s="23" t="s">
        <v>594</v>
      </c>
      <c r="D769" s="23" t="s">
        <v>105</v>
      </c>
      <c r="E769" s="23" t="s">
        <v>109</v>
      </c>
      <c r="F769" s="23" t="s">
        <v>110</v>
      </c>
      <c r="G769" s="23" t="s">
        <v>2584</v>
      </c>
      <c r="H769" s="23" t="s">
        <v>81</v>
      </c>
      <c r="I769" s="23" t="s">
        <v>88</v>
      </c>
      <c r="J769" s="23" t="s">
        <v>2112</v>
      </c>
      <c r="K769" s="23" t="s">
        <v>195</v>
      </c>
      <c r="L769" s="23" t="s">
        <v>2691</v>
      </c>
      <c r="M769" s="23" t="s">
        <v>61</v>
      </c>
      <c r="N769" s="23" t="s">
        <v>44</v>
      </c>
      <c r="O769" s="23">
        <v>1</v>
      </c>
      <c r="P769" s="23">
        <v>125.45</v>
      </c>
      <c r="Q769" s="23">
        <v>73.14</v>
      </c>
      <c r="R769" s="23">
        <v>125.45</v>
      </c>
      <c r="S769" s="23">
        <v>0</v>
      </c>
      <c r="T769" s="23">
        <v>0</v>
      </c>
      <c r="U769" s="23">
        <v>125.45</v>
      </c>
      <c r="V769" s="23">
        <v>73.14</v>
      </c>
      <c r="W769" s="23">
        <v>52.31</v>
      </c>
      <c r="X769" s="23" t="s">
        <v>45</v>
      </c>
    </row>
    <row r="770" spans="1:24" x14ac:dyDescent="0.25">
      <c r="A770" s="20" t="s">
        <v>1260</v>
      </c>
      <c r="B770" s="19">
        <v>45647</v>
      </c>
      <c r="C770" s="20" t="s">
        <v>1261</v>
      </c>
      <c r="D770" s="20" t="s">
        <v>393</v>
      </c>
      <c r="E770" s="20" t="s">
        <v>36</v>
      </c>
      <c r="F770" s="20" t="s">
        <v>37</v>
      </c>
      <c r="G770" s="20" t="s">
        <v>2579</v>
      </c>
      <c r="H770" s="20" t="s">
        <v>39</v>
      </c>
      <c r="I770" s="20" t="s">
        <v>58</v>
      </c>
      <c r="J770" s="20" t="s">
        <v>59</v>
      </c>
      <c r="K770" s="20" t="s">
        <v>184</v>
      </c>
      <c r="L770" s="20" t="s">
        <v>2690</v>
      </c>
      <c r="M770" s="20" t="s">
        <v>61</v>
      </c>
      <c r="N770" s="20" t="s">
        <v>2619</v>
      </c>
      <c r="O770" s="20">
        <v>57</v>
      </c>
      <c r="P770" s="20">
        <v>152.29</v>
      </c>
      <c r="Q770" s="20">
        <v>105.56</v>
      </c>
      <c r="R770" s="20">
        <v>8680.27</v>
      </c>
      <c r="S770" s="20">
        <v>0.1</v>
      </c>
      <c r="T770" s="20">
        <v>868.03</v>
      </c>
      <c r="U770" s="20">
        <v>7812.25</v>
      </c>
      <c r="V770" s="20">
        <v>6017.06</v>
      </c>
      <c r="W770" s="20">
        <v>1795.18</v>
      </c>
      <c r="X770" s="20" t="s">
        <v>45</v>
      </c>
    </row>
    <row r="771" spans="1:24" x14ac:dyDescent="0.25">
      <c r="A771" s="23" t="s">
        <v>1262</v>
      </c>
      <c r="B771" s="22">
        <v>45554</v>
      </c>
      <c r="C771" s="23" t="s">
        <v>1033</v>
      </c>
      <c r="D771" s="23" t="s">
        <v>105</v>
      </c>
      <c r="E771" s="23" t="s">
        <v>150</v>
      </c>
      <c r="F771" s="23" t="s">
        <v>2591</v>
      </c>
      <c r="G771" s="23" t="s">
        <v>2587</v>
      </c>
      <c r="H771" s="23" t="s">
        <v>134</v>
      </c>
      <c r="I771" s="23" t="s">
        <v>58</v>
      </c>
      <c r="J771" s="23" t="s">
        <v>73</v>
      </c>
      <c r="K771" s="23" t="s">
        <v>195</v>
      </c>
      <c r="L771" s="23" t="s">
        <v>2691</v>
      </c>
      <c r="M771" s="23" t="s">
        <v>30</v>
      </c>
      <c r="N771" s="23" t="s">
        <v>84</v>
      </c>
      <c r="O771" s="23">
        <v>19</v>
      </c>
      <c r="P771" s="23">
        <v>84.17</v>
      </c>
      <c r="Q771" s="23">
        <v>47.56</v>
      </c>
      <c r="R771" s="23">
        <v>1599.23</v>
      </c>
      <c r="S771" s="23">
        <v>0.1</v>
      </c>
      <c r="T771" s="23">
        <v>159.91999999999999</v>
      </c>
      <c r="U771" s="23">
        <v>1439.31</v>
      </c>
      <c r="V771" s="23">
        <v>903.64</v>
      </c>
      <c r="W771" s="23">
        <v>535.66</v>
      </c>
      <c r="X771" s="23" t="s">
        <v>45</v>
      </c>
    </row>
    <row r="772" spans="1:24" x14ac:dyDescent="0.25">
      <c r="A772" s="20" t="s">
        <v>1263</v>
      </c>
      <c r="B772" s="19">
        <v>45600</v>
      </c>
      <c r="C772" s="20" t="s">
        <v>931</v>
      </c>
      <c r="D772" s="20" t="s">
        <v>105</v>
      </c>
      <c r="E772" s="20" t="s">
        <v>150</v>
      </c>
      <c r="F772" s="20" t="s">
        <v>2591</v>
      </c>
      <c r="G772" s="20" t="s">
        <v>2587</v>
      </c>
      <c r="H772" s="20" t="s">
        <v>134</v>
      </c>
      <c r="I772" s="20" t="s">
        <v>88</v>
      </c>
      <c r="J772" s="20" t="s">
        <v>2112</v>
      </c>
      <c r="K772" s="20" t="s">
        <v>42</v>
      </c>
      <c r="L772" s="20" t="s">
        <v>2680</v>
      </c>
      <c r="M772" s="20" t="s">
        <v>43</v>
      </c>
      <c r="N772" s="20" t="s">
        <v>2578</v>
      </c>
      <c r="O772" s="20">
        <v>62</v>
      </c>
      <c r="P772" s="20">
        <v>82.97</v>
      </c>
      <c r="Q772" s="20">
        <v>49.88</v>
      </c>
      <c r="R772" s="20">
        <v>5144.21</v>
      </c>
      <c r="S772" s="20">
        <v>0.05</v>
      </c>
      <c r="T772" s="20">
        <v>257.20999999999998</v>
      </c>
      <c r="U772" s="20">
        <v>4887</v>
      </c>
      <c r="V772" s="20">
        <v>3092.47</v>
      </c>
      <c r="W772" s="20">
        <v>1794.53</v>
      </c>
      <c r="X772" s="20" t="s">
        <v>45</v>
      </c>
    </row>
    <row r="773" spans="1:24" x14ac:dyDescent="0.25">
      <c r="A773" s="23" t="s">
        <v>1264</v>
      </c>
      <c r="B773" s="22">
        <v>45608</v>
      </c>
      <c r="C773" s="23" t="s">
        <v>1265</v>
      </c>
      <c r="D773" s="23" t="s">
        <v>48</v>
      </c>
      <c r="E773" s="23" t="s">
        <v>99</v>
      </c>
      <c r="F773" s="23" t="s">
        <v>100</v>
      </c>
      <c r="G773" s="23" t="s">
        <v>2587</v>
      </c>
      <c r="H773" s="23" t="s">
        <v>102</v>
      </c>
      <c r="I773" s="23" t="s">
        <v>88</v>
      </c>
      <c r="J773" s="23" t="s">
        <v>173</v>
      </c>
      <c r="K773" s="23" t="s">
        <v>178</v>
      </c>
      <c r="L773" s="23" t="s">
        <v>2689</v>
      </c>
      <c r="M773" s="23" t="s">
        <v>43</v>
      </c>
      <c r="N773" s="23" t="s">
        <v>75</v>
      </c>
      <c r="O773" s="23">
        <v>70</v>
      </c>
      <c r="P773" s="23">
        <v>69.33</v>
      </c>
      <c r="Q773" s="23">
        <v>41.76</v>
      </c>
      <c r="R773" s="23">
        <v>4853.21</v>
      </c>
      <c r="S773" s="23">
        <v>0</v>
      </c>
      <c r="T773" s="23">
        <v>0</v>
      </c>
      <c r="U773" s="23">
        <v>4853.21</v>
      </c>
      <c r="V773" s="23">
        <v>2922.94</v>
      </c>
      <c r="W773" s="23">
        <v>1930.27</v>
      </c>
      <c r="X773" s="23" t="s">
        <v>45</v>
      </c>
    </row>
    <row r="774" spans="1:24" x14ac:dyDescent="0.25">
      <c r="A774" s="20" t="s">
        <v>1266</v>
      </c>
      <c r="B774" s="19">
        <v>45476</v>
      </c>
      <c r="C774" s="20" t="s">
        <v>1267</v>
      </c>
      <c r="D774" s="20" t="s">
        <v>149</v>
      </c>
      <c r="E774" s="20" t="s">
        <v>209</v>
      </c>
      <c r="F774" s="20" t="s">
        <v>2595</v>
      </c>
      <c r="G774" s="20" t="s">
        <v>2581</v>
      </c>
      <c r="H774" s="20" t="s">
        <v>116</v>
      </c>
      <c r="I774" s="20" t="s">
        <v>88</v>
      </c>
      <c r="J774" s="20" t="s">
        <v>135</v>
      </c>
      <c r="K774" s="20" t="s">
        <v>42</v>
      </c>
      <c r="L774" s="20" t="s">
        <v>2680</v>
      </c>
      <c r="M774" s="20" t="s">
        <v>30</v>
      </c>
      <c r="N774" s="20" t="s">
        <v>84</v>
      </c>
      <c r="O774" s="20">
        <v>68</v>
      </c>
      <c r="P774" s="20">
        <v>19.420000000000002</v>
      </c>
      <c r="Q774" s="20">
        <v>10.61</v>
      </c>
      <c r="R774" s="20">
        <v>1320.72</v>
      </c>
      <c r="S774" s="20">
        <v>0.02</v>
      </c>
      <c r="T774" s="20">
        <v>26.41</v>
      </c>
      <c r="U774" s="20">
        <v>1294.3</v>
      </c>
      <c r="V774" s="20">
        <v>721.38</v>
      </c>
      <c r="W774" s="20">
        <v>572.91999999999996</v>
      </c>
      <c r="X774" s="20" t="s">
        <v>45</v>
      </c>
    </row>
    <row r="775" spans="1:24" x14ac:dyDescent="0.25">
      <c r="A775" s="23" t="s">
        <v>1268</v>
      </c>
      <c r="B775" s="22">
        <v>45656</v>
      </c>
      <c r="C775" s="23" t="s">
        <v>1075</v>
      </c>
      <c r="D775" s="23" t="s">
        <v>65</v>
      </c>
      <c r="E775" s="23" t="s">
        <v>216</v>
      </c>
      <c r="F775" s="23" t="s">
        <v>2596</v>
      </c>
      <c r="G775" s="23" t="s">
        <v>2579</v>
      </c>
      <c r="H775" s="23" t="s">
        <v>134</v>
      </c>
      <c r="I775" s="23" t="s">
        <v>58</v>
      </c>
      <c r="J775" s="23" t="s">
        <v>59</v>
      </c>
      <c r="K775" s="23" t="s">
        <v>184</v>
      </c>
      <c r="L775" s="23" t="s">
        <v>2690</v>
      </c>
      <c r="M775" s="23" t="s">
        <v>43</v>
      </c>
      <c r="N775" s="23" t="s">
        <v>44</v>
      </c>
      <c r="O775" s="23">
        <v>11</v>
      </c>
      <c r="P775" s="23">
        <v>107.04</v>
      </c>
      <c r="Q775" s="23">
        <v>70.81</v>
      </c>
      <c r="R775" s="23">
        <v>1177.3900000000001</v>
      </c>
      <c r="S775" s="23">
        <v>0.05</v>
      </c>
      <c r="T775" s="23">
        <v>58.87</v>
      </c>
      <c r="U775" s="23">
        <v>1118.52</v>
      </c>
      <c r="V775" s="23">
        <v>778.87</v>
      </c>
      <c r="W775" s="23">
        <v>339.66</v>
      </c>
      <c r="X775" s="23" t="s">
        <v>32</v>
      </c>
    </row>
    <row r="776" spans="1:24" x14ac:dyDescent="0.25">
      <c r="A776" s="20" t="s">
        <v>1269</v>
      </c>
      <c r="B776" s="19">
        <v>45584</v>
      </c>
      <c r="C776" s="20" t="s">
        <v>1270</v>
      </c>
      <c r="D776" s="20" t="s">
        <v>87</v>
      </c>
      <c r="E776" s="20" t="s">
        <v>187</v>
      </c>
      <c r="F776" s="20" t="s">
        <v>2594</v>
      </c>
      <c r="G776" s="20" t="s">
        <v>2577</v>
      </c>
      <c r="H776" s="20" t="s">
        <v>26</v>
      </c>
      <c r="I776" s="20" t="s">
        <v>58</v>
      </c>
      <c r="J776" s="20" t="s">
        <v>345</v>
      </c>
      <c r="K776" s="20" t="s">
        <v>152</v>
      </c>
      <c r="L776" s="20" t="s">
        <v>2688</v>
      </c>
      <c r="M776" s="20" t="s">
        <v>30</v>
      </c>
      <c r="N776" s="20" t="s">
        <v>2578</v>
      </c>
      <c r="O776" s="20">
        <v>4</v>
      </c>
      <c r="P776" s="20">
        <v>48.93</v>
      </c>
      <c r="Q776" s="20">
        <v>27.61</v>
      </c>
      <c r="R776" s="20">
        <v>195.71</v>
      </c>
      <c r="S776" s="20">
        <v>0.2</v>
      </c>
      <c r="T776" s="20">
        <v>39.14</v>
      </c>
      <c r="U776" s="20">
        <v>156.57</v>
      </c>
      <c r="V776" s="20">
        <v>110.46</v>
      </c>
      <c r="W776" s="20">
        <v>46.11</v>
      </c>
      <c r="X776" s="20" t="s">
        <v>45</v>
      </c>
    </row>
    <row r="777" spans="1:24" x14ac:dyDescent="0.25">
      <c r="A777" s="23" t="s">
        <v>1271</v>
      </c>
      <c r="B777" s="22">
        <v>45547</v>
      </c>
      <c r="C777" s="23" t="s">
        <v>297</v>
      </c>
      <c r="D777" s="23" t="s">
        <v>87</v>
      </c>
      <c r="E777" s="23" t="s">
        <v>141</v>
      </c>
      <c r="F777" s="23" t="s">
        <v>2590</v>
      </c>
      <c r="G777" s="23" t="s">
        <v>2577</v>
      </c>
      <c r="H777" s="23" t="s">
        <v>26</v>
      </c>
      <c r="I777" s="23" t="s">
        <v>53</v>
      </c>
      <c r="J777" s="23" t="s">
        <v>54</v>
      </c>
      <c r="K777" s="23" t="s">
        <v>83</v>
      </c>
      <c r="L777" s="23" t="s">
        <v>2683</v>
      </c>
      <c r="M777" s="23" t="s">
        <v>43</v>
      </c>
      <c r="N777" s="23" t="s">
        <v>75</v>
      </c>
      <c r="O777" s="23">
        <v>48</v>
      </c>
      <c r="P777" s="23">
        <v>90.21</v>
      </c>
      <c r="Q777" s="23">
        <v>58.39</v>
      </c>
      <c r="R777" s="23">
        <v>4330.2700000000004</v>
      </c>
      <c r="S777" s="23">
        <v>0.1</v>
      </c>
      <c r="T777" s="23">
        <v>433.03</v>
      </c>
      <c r="U777" s="23">
        <v>3897.25</v>
      </c>
      <c r="V777" s="23">
        <v>2802.66</v>
      </c>
      <c r="W777" s="23">
        <v>1094.58</v>
      </c>
      <c r="X777" s="23" t="s">
        <v>45</v>
      </c>
    </row>
    <row r="778" spans="1:24" x14ac:dyDescent="0.25">
      <c r="A778" s="20" t="s">
        <v>566</v>
      </c>
      <c r="B778" s="19">
        <v>45449</v>
      </c>
      <c r="C778" s="20" t="s">
        <v>567</v>
      </c>
      <c r="D778" s="20" t="s">
        <v>22</v>
      </c>
      <c r="E778" s="20" t="s">
        <v>126</v>
      </c>
      <c r="F778" s="20" t="s">
        <v>2589</v>
      </c>
      <c r="G778" s="20" t="s">
        <v>2586</v>
      </c>
      <c r="H778" s="20" t="s">
        <v>128</v>
      </c>
      <c r="I778" s="20" t="s">
        <v>58</v>
      </c>
      <c r="J778" s="20" t="s">
        <v>73</v>
      </c>
      <c r="K778" s="20" t="s">
        <v>248</v>
      </c>
      <c r="L778" s="20" t="s">
        <v>2693</v>
      </c>
      <c r="M778" s="20" t="s">
        <v>153</v>
      </c>
      <c r="N778" s="20" t="s">
        <v>75</v>
      </c>
      <c r="O778" s="20">
        <v>80</v>
      </c>
      <c r="P778" s="20">
        <v>94.26</v>
      </c>
      <c r="Q778" s="20">
        <v>50.25</v>
      </c>
      <c r="R778" s="20">
        <v>7540.91</v>
      </c>
      <c r="S778" s="20">
        <v>0</v>
      </c>
      <c r="T778" s="20">
        <v>0</v>
      </c>
      <c r="U778" s="20">
        <v>7540.91</v>
      </c>
      <c r="V778" s="20">
        <v>4019.6</v>
      </c>
      <c r="W778" s="20">
        <v>3521.3</v>
      </c>
      <c r="X778" s="20" t="s">
        <v>32</v>
      </c>
    </row>
    <row r="779" spans="1:24" x14ac:dyDescent="0.25">
      <c r="A779" s="23" t="s">
        <v>1272</v>
      </c>
      <c r="B779" s="22">
        <v>45620</v>
      </c>
      <c r="C779" s="23" t="s">
        <v>1013</v>
      </c>
      <c r="D779" s="23" t="s">
        <v>48</v>
      </c>
      <c r="E779" s="23" t="s">
        <v>222</v>
      </c>
      <c r="F779" s="23" t="s">
        <v>2597</v>
      </c>
      <c r="G779" s="23" t="s">
        <v>2587</v>
      </c>
      <c r="H779" s="23" t="s">
        <v>68</v>
      </c>
      <c r="I779" s="23" t="s">
        <v>88</v>
      </c>
      <c r="J779" s="23" t="s">
        <v>183</v>
      </c>
      <c r="K779" s="23" t="s">
        <v>74</v>
      </c>
      <c r="L779" s="23" t="s">
        <v>2682</v>
      </c>
      <c r="M779" s="23" t="s">
        <v>153</v>
      </c>
      <c r="N779" s="23" t="s">
        <v>75</v>
      </c>
      <c r="O779" s="23">
        <v>10</v>
      </c>
      <c r="P779" s="23">
        <v>128.44999999999999</v>
      </c>
      <c r="Q779" s="23">
        <v>78.94</v>
      </c>
      <c r="R779" s="23">
        <v>1284.52</v>
      </c>
      <c r="S779" s="23">
        <v>0.1</v>
      </c>
      <c r="T779" s="23">
        <v>128.44999999999999</v>
      </c>
      <c r="U779" s="23">
        <v>1156.07</v>
      </c>
      <c r="V779" s="23">
        <v>789.42</v>
      </c>
      <c r="W779" s="23">
        <v>366.65</v>
      </c>
      <c r="X779" s="23" t="s">
        <v>32</v>
      </c>
    </row>
    <row r="780" spans="1:24" x14ac:dyDescent="0.25">
      <c r="A780" s="20" t="s">
        <v>1273</v>
      </c>
      <c r="B780" s="19">
        <v>45336</v>
      </c>
      <c r="C780" s="20" t="s">
        <v>638</v>
      </c>
      <c r="D780" s="20" t="s">
        <v>87</v>
      </c>
      <c r="E780" s="20" t="s">
        <v>150</v>
      </c>
      <c r="F780" s="20" t="s">
        <v>2591</v>
      </c>
      <c r="G780" s="20" t="s">
        <v>2587</v>
      </c>
      <c r="H780" s="20" t="s">
        <v>134</v>
      </c>
      <c r="I780" s="20" t="s">
        <v>53</v>
      </c>
      <c r="J780" s="20" t="s">
        <v>232</v>
      </c>
      <c r="K780" s="20" t="s">
        <v>90</v>
      </c>
      <c r="L780" s="20" t="s">
        <v>2684</v>
      </c>
      <c r="M780" s="20" t="s">
        <v>61</v>
      </c>
      <c r="N780" s="20" t="s">
        <v>70</v>
      </c>
      <c r="O780" s="20">
        <v>75</v>
      </c>
      <c r="P780" s="20">
        <v>81.430000000000007</v>
      </c>
      <c r="Q780" s="20">
        <v>51.1</v>
      </c>
      <c r="R780" s="20">
        <v>6107.18</v>
      </c>
      <c r="S780" s="20">
        <v>0</v>
      </c>
      <c r="T780" s="20">
        <v>0</v>
      </c>
      <c r="U780" s="20">
        <v>6107.18</v>
      </c>
      <c r="V780" s="20">
        <v>3832.57</v>
      </c>
      <c r="W780" s="20">
        <v>2274.62</v>
      </c>
      <c r="X780" s="20" t="s">
        <v>45</v>
      </c>
    </row>
    <row r="781" spans="1:24" x14ac:dyDescent="0.25">
      <c r="A781" s="23" t="s">
        <v>1274</v>
      </c>
      <c r="B781" s="22">
        <v>45577</v>
      </c>
      <c r="C781" s="23" t="s">
        <v>1219</v>
      </c>
      <c r="D781" s="23" t="s">
        <v>359</v>
      </c>
      <c r="E781" s="23" t="s">
        <v>222</v>
      </c>
      <c r="F781" s="23" t="s">
        <v>2597</v>
      </c>
      <c r="G781" s="23" t="s">
        <v>2587</v>
      </c>
      <c r="H781" s="23" t="s">
        <v>68</v>
      </c>
      <c r="I781" s="23" t="s">
        <v>58</v>
      </c>
      <c r="J781" s="23" t="s">
        <v>345</v>
      </c>
      <c r="K781" s="23" t="s">
        <v>60</v>
      </c>
      <c r="L781" s="23" t="s">
        <v>2677</v>
      </c>
      <c r="M781" s="23" t="s">
        <v>153</v>
      </c>
      <c r="N781" s="23" t="s">
        <v>70</v>
      </c>
      <c r="O781" s="23">
        <v>51</v>
      </c>
      <c r="P781" s="23">
        <v>113.11</v>
      </c>
      <c r="Q781" s="23">
        <v>78.88</v>
      </c>
      <c r="R781" s="23">
        <v>5768.69</v>
      </c>
      <c r="S781" s="23">
        <v>0.2</v>
      </c>
      <c r="T781" s="23">
        <v>1153.74</v>
      </c>
      <c r="U781" s="23">
        <v>4614.95</v>
      </c>
      <c r="V781" s="23">
        <v>4023.11</v>
      </c>
      <c r="W781" s="23">
        <v>591.84</v>
      </c>
      <c r="X781" s="23" t="s">
        <v>32</v>
      </c>
    </row>
    <row r="782" spans="1:24" x14ac:dyDescent="0.25">
      <c r="A782" s="20" t="s">
        <v>1275</v>
      </c>
      <c r="B782" s="19">
        <v>45347</v>
      </c>
      <c r="C782" s="20" t="s">
        <v>948</v>
      </c>
      <c r="D782" s="20" t="s">
        <v>87</v>
      </c>
      <c r="E782" s="20" t="s">
        <v>222</v>
      </c>
      <c r="F782" s="20" t="s">
        <v>2597</v>
      </c>
      <c r="G782" s="20" t="s">
        <v>2587</v>
      </c>
      <c r="H782" s="20" t="s">
        <v>68</v>
      </c>
      <c r="I782" s="20" t="s">
        <v>27</v>
      </c>
      <c r="J782" s="20" t="s">
        <v>106</v>
      </c>
      <c r="K782" s="20" t="s">
        <v>195</v>
      </c>
      <c r="L782" s="20" t="s">
        <v>2691</v>
      </c>
      <c r="M782" s="20" t="s">
        <v>30</v>
      </c>
      <c r="N782" s="20" t="s">
        <v>44</v>
      </c>
      <c r="O782" s="20">
        <v>70</v>
      </c>
      <c r="P782" s="20">
        <v>111.15</v>
      </c>
      <c r="Q782" s="20">
        <v>80.08</v>
      </c>
      <c r="R782" s="20">
        <v>7780.39</v>
      </c>
      <c r="S782" s="20">
        <v>0.05</v>
      </c>
      <c r="T782" s="20">
        <v>389.02</v>
      </c>
      <c r="U782" s="20">
        <v>7391.37</v>
      </c>
      <c r="V782" s="20">
        <v>5605.76</v>
      </c>
      <c r="W782" s="20">
        <v>1785.61</v>
      </c>
      <c r="X782" s="20" t="s">
        <v>45</v>
      </c>
    </row>
    <row r="783" spans="1:24" x14ac:dyDescent="0.25">
      <c r="A783" s="23" t="s">
        <v>1276</v>
      </c>
      <c r="B783" s="22">
        <v>45617</v>
      </c>
      <c r="C783" s="23" t="s">
        <v>475</v>
      </c>
      <c r="D783" s="23" t="s">
        <v>57</v>
      </c>
      <c r="E783" s="23" t="s">
        <v>49</v>
      </c>
      <c r="F783" s="23" t="s">
        <v>2580</v>
      </c>
      <c r="G783" s="23" t="s">
        <v>2581</v>
      </c>
      <c r="H783" s="23" t="s">
        <v>52</v>
      </c>
      <c r="I783" s="23" t="s">
        <v>53</v>
      </c>
      <c r="J783" s="23" t="s">
        <v>143</v>
      </c>
      <c r="K783" s="23" t="s">
        <v>265</v>
      </c>
      <c r="L783" s="23" t="s">
        <v>2663</v>
      </c>
      <c r="M783" s="23" t="s">
        <v>30</v>
      </c>
      <c r="N783" s="23" t="s">
        <v>70</v>
      </c>
      <c r="O783" s="23">
        <v>22</v>
      </c>
      <c r="P783" s="23">
        <v>26.92</v>
      </c>
      <c r="Q783" s="23">
        <v>13.21</v>
      </c>
      <c r="R783" s="23">
        <v>592.24</v>
      </c>
      <c r="S783" s="23">
        <v>0</v>
      </c>
      <c r="T783" s="23">
        <v>0</v>
      </c>
      <c r="U783" s="23">
        <v>592.24</v>
      </c>
      <c r="V783" s="23">
        <v>290.66000000000003</v>
      </c>
      <c r="W783" s="23">
        <v>301.58</v>
      </c>
      <c r="X783" s="23" t="s">
        <v>45</v>
      </c>
    </row>
    <row r="784" spans="1:24" x14ac:dyDescent="0.25">
      <c r="A784" s="20" t="s">
        <v>1277</v>
      </c>
      <c r="B784" s="19">
        <v>45575</v>
      </c>
      <c r="C784" s="20" t="s">
        <v>1278</v>
      </c>
      <c r="D784" s="20" t="s">
        <v>156</v>
      </c>
      <c r="E784" s="20" t="s">
        <v>23</v>
      </c>
      <c r="F784" s="20" t="s">
        <v>2576</v>
      </c>
      <c r="G784" s="20" t="s">
        <v>2577</v>
      </c>
      <c r="H784" s="20" t="s">
        <v>26</v>
      </c>
      <c r="I784" s="20" t="s">
        <v>53</v>
      </c>
      <c r="J784" s="20" t="s">
        <v>122</v>
      </c>
      <c r="K784" s="20" t="s">
        <v>178</v>
      </c>
      <c r="L784" s="20" t="s">
        <v>2689</v>
      </c>
      <c r="M784" s="20" t="s">
        <v>61</v>
      </c>
      <c r="N784" s="20" t="s">
        <v>75</v>
      </c>
      <c r="O784" s="20">
        <v>11</v>
      </c>
      <c r="P784" s="20">
        <v>78.28</v>
      </c>
      <c r="Q784" s="20">
        <v>44.13</v>
      </c>
      <c r="R784" s="20">
        <v>861.05</v>
      </c>
      <c r="S784" s="20">
        <v>0.15</v>
      </c>
      <c r="T784" s="20">
        <v>129.16</v>
      </c>
      <c r="U784" s="20">
        <v>731.9</v>
      </c>
      <c r="V784" s="20">
        <v>485.39</v>
      </c>
      <c r="W784" s="20">
        <v>246.51</v>
      </c>
      <c r="X784" s="20" t="s">
        <v>129</v>
      </c>
    </row>
    <row r="785" spans="1:24" x14ac:dyDescent="0.25">
      <c r="A785" s="23" t="s">
        <v>1279</v>
      </c>
      <c r="B785" s="22">
        <v>45523</v>
      </c>
      <c r="C785" s="23" t="s">
        <v>175</v>
      </c>
      <c r="D785" s="23" t="s">
        <v>65</v>
      </c>
      <c r="E785" s="23" t="s">
        <v>36</v>
      </c>
      <c r="F785" s="23" t="s">
        <v>37</v>
      </c>
      <c r="G785" s="23" t="s">
        <v>2579</v>
      </c>
      <c r="H785" s="23" t="s">
        <v>39</v>
      </c>
      <c r="I785" s="23" t="s">
        <v>40</v>
      </c>
      <c r="J785" s="23" t="s">
        <v>289</v>
      </c>
      <c r="K785" s="23" t="s">
        <v>42</v>
      </c>
      <c r="L785" s="23" t="s">
        <v>2680</v>
      </c>
      <c r="M785" s="23" t="s">
        <v>61</v>
      </c>
      <c r="N785" s="23" t="s">
        <v>2578</v>
      </c>
      <c r="O785" s="23">
        <v>21</v>
      </c>
      <c r="P785" s="23">
        <v>173.04</v>
      </c>
      <c r="Q785" s="23">
        <v>103.32</v>
      </c>
      <c r="R785" s="23">
        <v>3633.81</v>
      </c>
      <c r="S785" s="23">
        <v>0.15</v>
      </c>
      <c r="T785" s="23">
        <v>545.07000000000005</v>
      </c>
      <c r="U785" s="23">
        <v>3088.74</v>
      </c>
      <c r="V785" s="23">
        <v>2169.75</v>
      </c>
      <c r="W785" s="23">
        <v>918.99</v>
      </c>
      <c r="X785" s="23" t="s">
        <v>45</v>
      </c>
    </row>
    <row r="786" spans="1:24" x14ac:dyDescent="0.25">
      <c r="A786" s="20" t="s">
        <v>1280</v>
      </c>
      <c r="B786" s="19">
        <v>45459</v>
      </c>
      <c r="C786" s="20" t="s">
        <v>1281</v>
      </c>
      <c r="D786" s="20" t="s">
        <v>35</v>
      </c>
      <c r="E786" s="20" t="s">
        <v>114</v>
      </c>
      <c r="F786" s="20" t="s">
        <v>2588</v>
      </c>
      <c r="G786" s="20" t="s">
        <v>2586</v>
      </c>
      <c r="H786" s="20" t="s">
        <v>116</v>
      </c>
      <c r="I786" s="20" t="s">
        <v>58</v>
      </c>
      <c r="J786" s="20" t="s">
        <v>323</v>
      </c>
      <c r="K786" s="20" t="s">
        <v>60</v>
      </c>
      <c r="L786" s="20" t="s">
        <v>2677</v>
      </c>
      <c r="M786" s="20" t="s">
        <v>43</v>
      </c>
      <c r="N786" s="20" t="s">
        <v>2578</v>
      </c>
      <c r="O786" s="20">
        <v>65</v>
      </c>
      <c r="P786" s="20">
        <v>36.5</v>
      </c>
      <c r="Q786" s="20">
        <v>20.67</v>
      </c>
      <c r="R786" s="20">
        <v>2372.2600000000002</v>
      </c>
      <c r="S786" s="20">
        <v>0.2</v>
      </c>
      <c r="T786" s="20">
        <v>474.45</v>
      </c>
      <c r="U786" s="20">
        <v>1897.81</v>
      </c>
      <c r="V786" s="20">
        <v>1343.58</v>
      </c>
      <c r="W786" s="20">
        <v>554.22</v>
      </c>
      <c r="X786" s="20" t="s">
        <v>129</v>
      </c>
    </row>
    <row r="787" spans="1:24" x14ac:dyDescent="0.25">
      <c r="A787" s="23" t="s">
        <v>1282</v>
      </c>
      <c r="B787" s="22">
        <v>45397</v>
      </c>
      <c r="C787" s="23" t="s">
        <v>691</v>
      </c>
      <c r="D787" s="23" t="s">
        <v>35</v>
      </c>
      <c r="E787" s="23" t="s">
        <v>216</v>
      </c>
      <c r="F787" s="23" t="s">
        <v>2596</v>
      </c>
      <c r="G787" s="23" t="s">
        <v>2579</v>
      </c>
      <c r="H787" s="23" t="s">
        <v>134</v>
      </c>
      <c r="I787" s="23" t="s">
        <v>27</v>
      </c>
      <c r="J787" s="23" t="s">
        <v>189</v>
      </c>
      <c r="K787" s="23" t="s">
        <v>265</v>
      </c>
      <c r="L787" s="23" t="s">
        <v>2663</v>
      </c>
      <c r="M787" s="23" t="s">
        <v>30</v>
      </c>
      <c r="N787" s="23" t="s">
        <v>70</v>
      </c>
      <c r="O787" s="23">
        <v>22</v>
      </c>
      <c r="P787" s="23">
        <v>110.13</v>
      </c>
      <c r="Q787" s="23">
        <v>64.239999999999995</v>
      </c>
      <c r="R787" s="23">
        <v>2422.9499999999998</v>
      </c>
      <c r="S787" s="23">
        <v>0.2</v>
      </c>
      <c r="T787" s="23">
        <v>484.59</v>
      </c>
      <c r="U787" s="23">
        <v>1938.36</v>
      </c>
      <c r="V787" s="23">
        <v>1413.25</v>
      </c>
      <c r="W787" s="23">
        <v>525.11</v>
      </c>
      <c r="X787" s="23" t="s">
        <v>45</v>
      </c>
    </row>
    <row r="788" spans="1:24" x14ac:dyDescent="0.25">
      <c r="A788" s="20" t="s">
        <v>1283</v>
      </c>
      <c r="B788" s="19">
        <v>45406</v>
      </c>
      <c r="C788" s="20" t="s">
        <v>456</v>
      </c>
      <c r="D788" s="20" t="s">
        <v>22</v>
      </c>
      <c r="E788" s="20" t="s">
        <v>114</v>
      </c>
      <c r="F788" s="20" t="s">
        <v>2588</v>
      </c>
      <c r="G788" s="20" t="s">
        <v>2586</v>
      </c>
      <c r="H788" s="20" t="s">
        <v>116</v>
      </c>
      <c r="I788" s="20" t="s">
        <v>53</v>
      </c>
      <c r="J788" s="20" t="s">
        <v>143</v>
      </c>
      <c r="K788" s="20" t="s">
        <v>265</v>
      </c>
      <c r="L788" s="20" t="s">
        <v>2663</v>
      </c>
      <c r="M788" s="20" t="s">
        <v>43</v>
      </c>
      <c r="N788" s="20" t="s">
        <v>2578</v>
      </c>
      <c r="O788" s="20">
        <v>5</v>
      </c>
      <c r="P788" s="20">
        <v>35.43</v>
      </c>
      <c r="Q788" s="20">
        <v>20.52</v>
      </c>
      <c r="R788" s="20">
        <v>177.16</v>
      </c>
      <c r="S788" s="20">
        <v>0.15</v>
      </c>
      <c r="T788" s="20">
        <v>26.57</v>
      </c>
      <c r="U788" s="20">
        <v>150.59</v>
      </c>
      <c r="V788" s="20">
        <v>102.6</v>
      </c>
      <c r="W788" s="20">
        <v>47.99</v>
      </c>
      <c r="X788" s="20" t="s">
        <v>32</v>
      </c>
    </row>
    <row r="789" spans="1:24" x14ac:dyDescent="0.25">
      <c r="A789" s="23" t="s">
        <v>1284</v>
      </c>
      <c r="B789" s="22">
        <v>45483</v>
      </c>
      <c r="C789" s="23" t="s">
        <v>660</v>
      </c>
      <c r="D789" s="23" t="s">
        <v>264</v>
      </c>
      <c r="E789" s="23" t="s">
        <v>36</v>
      </c>
      <c r="F789" s="23" t="s">
        <v>37</v>
      </c>
      <c r="G789" s="23" t="s">
        <v>2579</v>
      </c>
      <c r="H789" s="23" t="s">
        <v>39</v>
      </c>
      <c r="I789" s="23" t="s">
        <v>40</v>
      </c>
      <c r="J789" s="23" t="s">
        <v>289</v>
      </c>
      <c r="K789" s="23" t="s">
        <v>74</v>
      </c>
      <c r="L789" s="23" t="s">
        <v>2682</v>
      </c>
      <c r="M789" s="23" t="s">
        <v>30</v>
      </c>
      <c r="N789" s="23" t="s">
        <v>84</v>
      </c>
      <c r="O789" s="23">
        <v>11</v>
      </c>
      <c r="P789" s="23">
        <v>157.12</v>
      </c>
      <c r="Q789" s="23">
        <v>95.18</v>
      </c>
      <c r="R789" s="23">
        <v>1728.28</v>
      </c>
      <c r="S789" s="23">
        <v>0.2</v>
      </c>
      <c r="T789" s="23">
        <v>345.66</v>
      </c>
      <c r="U789" s="23">
        <v>1382.62</v>
      </c>
      <c r="V789" s="23">
        <v>1046.94</v>
      </c>
      <c r="W789" s="23">
        <v>335.68</v>
      </c>
      <c r="X789" s="23" t="s">
        <v>129</v>
      </c>
    </row>
    <row r="790" spans="1:24" x14ac:dyDescent="0.25">
      <c r="A790" s="20" t="s">
        <v>1285</v>
      </c>
      <c r="B790" s="19">
        <v>45325</v>
      </c>
      <c r="C790" s="20" t="s">
        <v>2619</v>
      </c>
      <c r="D790" s="20" t="s">
        <v>2619</v>
      </c>
      <c r="E790" s="20" t="s">
        <v>126</v>
      </c>
      <c r="F790" s="20" t="s">
        <v>2589</v>
      </c>
      <c r="G790" s="20" t="s">
        <v>2586</v>
      </c>
      <c r="H790" s="20" t="s">
        <v>128</v>
      </c>
      <c r="I790" s="20" t="s">
        <v>53</v>
      </c>
      <c r="J790" s="20" t="s">
        <v>122</v>
      </c>
      <c r="K790" s="20" t="s">
        <v>248</v>
      </c>
      <c r="L790" s="20" t="s">
        <v>2693</v>
      </c>
      <c r="M790" s="20" t="s">
        <v>43</v>
      </c>
      <c r="N790" s="20" t="s">
        <v>84</v>
      </c>
      <c r="O790" s="20">
        <v>22</v>
      </c>
      <c r="P790" s="20">
        <v>94.42</v>
      </c>
      <c r="Q790" s="20">
        <v>52.66</v>
      </c>
      <c r="R790" s="20">
        <v>2077.25</v>
      </c>
      <c r="S790" s="20">
        <v>0</v>
      </c>
      <c r="T790" s="20">
        <v>0</v>
      </c>
      <c r="U790" s="20">
        <v>2077.25</v>
      </c>
      <c r="V790" s="20">
        <v>1158.48</v>
      </c>
      <c r="W790" s="20">
        <v>918.77</v>
      </c>
      <c r="X790" s="20" t="s">
        <v>45</v>
      </c>
    </row>
    <row r="791" spans="1:24" x14ac:dyDescent="0.25">
      <c r="A791" s="23" t="s">
        <v>1286</v>
      </c>
      <c r="B791" s="22">
        <v>45524</v>
      </c>
      <c r="C791" s="23" t="s">
        <v>723</v>
      </c>
      <c r="D791" s="23" t="s">
        <v>156</v>
      </c>
      <c r="E791" s="23" t="s">
        <v>132</v>
      </c>
      <c r="F791" s="23" t="s">
        <v>133</v>
      </c>
      <c r="G791" s="23" t="s">
        <v>2581</v>
      </c>
      <c r="H791" s="23" t="s">
        <v>134</v>
      </c>
      <c r="I791" s="23" t="s">
        <v>53</v>
      </c>
      <c r="J791" s="23" t="s">
        <v>232</v>
      </c>
      <c r="K791" s="23" t="s">
        <v>248</v>
      </c>
      <c r="L791" s="23" t="s">
        <v>2693</v>
      </c>
      <c r="M791" s="23" t="s">
        <v>30</v>
      </c>
      <c r="N791" s="23" t="s">
        <v>84</v>
      </c>
      <c r="O791" s="23">
        <v>66</v>
      </c>
      <c r="P791" s="23">
        <v>55.41</v>
      </c>
      <c r="Q791" s="23">
        <v>33.04</v>
      </c>
      <c r="R791" s="23">
        <v>3657.22</v>
      </c>
      <c r="S791" s="23">
        <v>0.1</v>
      </c>
      <c r="T791" s="23">
        <v>365.72</v>
      </c>
      <c r="U791" s="23">
        <v>3291.5</v>
      </c>
      <c r="V791" s="23">
        <v>2180.67</v>
      </c>
      <c r="W791" s="23">
        <v>1110.83</v>
      </c>
      <c r="X791" s="23" t="s">
        <v>45</v>
      </c>
    </row>
    <row r="792" spans="1:24" x14ac:dyDescent="0.25">
      <c r="A792" s="20" t="s">
        <v>1287</v>
      </c>
      <c r="B792" s="19">
        <v>45520</v>
      </c>
      <c r="C792" s="20" t="s">
        <v>422</v>
      </c>
      <c r="D792" s="20" t="s">
        <v>48</v>
      </c>
      <c r="E792" s="20" t="s">
        <v>66</v>
      </c>
      <c r="F792" s="20" t="s">
        <v>2582</v>
      </c>
      <c r="G792" s="20" t="s">
        <v>2579</v>
      </c>
      <c r="H792" s="20" t="s">
        <v>68</v>
      </c>
      <c r="I792" s="20" t="s">
        <v>40</v>
      </c>
      <c r="J792" s="20" t="s">
        <v>117</v>
      </c>
      <c r="K792" s="20" t="s">
        <v>74</v>
      </c>
      <c r="L792" s="20" t="s">
        <v>2682</v>
      </c>
      <c r="M792" s="20" t="s">
        <v>30</v>
      </c>
      <c r="N792" s="20" t="s">
        <v>75</v>
      </c>
      <c r="O792" s="20">
        <v>18</v>
      </c>
      <c r="P792" s="20">
        <v>159.72999999999999</v>
      </c>
      <c r="Q792" s="20">
        <v>106.41</v>
      </c>
      <c r="R792" s="20">
        <v>2875.22</v>
      </c>
      <c r="S792" s="20">
        <v>0.2</v>
      </c>
      <c r="T792" s="20">
        <v>575.04</v>
      </c>
      <c r="U792" s="20">
        <v>2300.1799999999998</v>
      </c>
      <c r="V792" s="20">
        <v>1915.35</v>
      </c>
      <c r="W792" s="20">
        <v>384.82</v>
      </c>
      <c r="X792" s="20" t="s">
        <v>45</v>
      </c>
    </row>
    <row r="793" spans="1:24" x14ac:dyDescent="0.25">
      <c r="A793" s="23" t="s">
        <v>1288</v>
      </c>
      <c r="B793" s="22">
        <v>45390</v>
      </c>
      <c r="C793" s="23" t="s">
        <v>438</v>
      </c>
      <c r="D793" s="23" t="s">
        <v>221</v>
      </c>
      <c r="E793" s="23" t="s">
        <v>36</v>
      </c>
      <c r="F793" s="23" t="s">
        <v>37</v>
      </c>
      <c r="G793" s="23" t="s">
        <v>2579</v>
      </c>
      <c r="H793" s="23" t="s">
        <v>39</v>
      </c>
      <c r="I793" s="23" t="s">
        <v>88</v>
      </c>
      <c r="J793" s="23" t="s">
        <v>2112</v>
      </c>
      <c r="K793" s="23" t="s">
        <v>29</v>
      </c>
      <c r="L793" s="23" t="s">
        <v>2679</v>
      </c>
      <c r="M793" s="23" t="s">
        <v>153</v>
      </c>
      <c r="N793" s="23" t="s">
        <v>2578</v>
      </c>
      <c r="O793" s="23">
        <v>80</v>
      </c>
      <c r="P793" s="23">
        <v>153</v>
      </c>
      <c r="Q793" s="23">
        <v>95.53</v>
      </c>
      <c r="R793" s="23">
        <v>12239.98</v>
      </c>
      <c r="S793" s="23">
        <v>0.15</v>
      </c>
      <c r="T793" s="23">
        <v>1836</v>
      </c>
      <c r="U793" s="23">
        <v>10403.99</v>
      </c>
      <c r="V793" s="23">
        <v>7642.44</v>
      </c>
      <c r="W793" s="23">
        <v>2761.55</v>
      </c>
      <c r="X793" s="23" t="s">
        <v>45</v>
      </c>
    </row>
    <row r="794" spans="1:24" x14ac:dyDescent="0.25">
      <c r="A794" s="20" t="s">
        <v>1289</v>
      </c>
      <c r="B794" s="19">
        <v>45635</v>
      </c>
      <c r="C794" s="20" t="s">
        <v>608</v>
      </c>
      <c r="D794" s="20" t="s">
        <v>22</v>
      </c>
      <c r="E794" s="20" t="s">
        <v>165</v>
      </c>
      <c r="F794" s="20" t="s">
        <v>2592</v>
      </c>
      <c r="G794" s="20" t="s">
        <v>2586</v>
      </c>
      <c r="H794" s="20" t="s">
        <v>167</v>
      </c>
      <c r="I794" s="20" t="s">
        <v>27</v>
      </c>
      <c r="J794" s="20" t="s">
        <v>189</v>
      </c>
      <c r="K794" s="20" t="s">
        <v>60</v>
      </c>
      <c r="L794" s="20" t="s">
        <v>2677</v>
      </c>
      <c r="M794" s="20" t="s">
        <v>43</v>
      </c>
      <c r="N794" s="20" t="s">
        <v>70</v>
      </c>
      <c r="O794" s="20">
        <v>47</v>
      </c>
      <c r="P794" s="20">
        <v>38.64</v>
      </c>
      <c r="Q794" s="20">
        <v>26.48</v>
      </c>
      <c r="R794" s="20">
        <v>1816.29</v>
      </c>
      <c r="S794" s="20">
        <v>0.1</v>
      </c>
      <c r="T794" s="20">
        <v>181.63</v>
      </c>
      <c r="U794" s="20">
        <v>1634.66</v>
      </c>
      <c r="V794" s="20">
        <v>1244.69</v>
      </c>
      <c r="W794" s="20">
        <v>389.97</v>
      </c>
      <c r="X794" s="20" t="s">
        <v>45</v>
      </c>
    </row>
    <row r="795" spans="1:24" x14ac:dyDescent="0.25">
      <c r="A795" s="23" t="s">
        <v>1290</v>
      </c>
      <c r="B795" s="22">
        <v>45578</v>
      </c>
      <c r="C795" s="23" t="s">
        <v>1075</v>
      </c>
      <c r="D795" s="23" t="s">
        <v>65</v>
      </c>
      <c r="E795" s="23" t="s">
        <v>176</v>
      </c>
      <c r="F795" s="23" t="s">
        <v>2593</v>
      </c>
      <c r="G795" s="23" t="s">
        <v>2587</v>
      </c>
      <c r="H795" s="23" t="s">
        <v>39</v>
      </c>
      <c r="I795" s="23" t="s">
        <v>27</v>
      </c>
      <c r="J795" s="23" t="s">
        <v>28</v>
      </c>
      <c r="K795" s="23" t="s">
        <v>111</v>
      </c>
      <c r="L795" s="23" t="s">
        <v>2685</v>
      </c>
      <c r="M795" s="23" t="s">
        <v>43</v>
      </c>
      <c r="N795" s="23" t="s">
        <v>70</v>
      </c>
      <c r="O795" s="23">
        <v>48</v>
      </c>
      <c r="P795" s="23">
        <v>97.77</v>
      </c>
      <c r="Q795" s="23">
        <v>63.19</v>
      </c>
      <c r="R795" s="23">
        <v>4692.78</v>
      </c>
      <c r="S795" s="23">
        <v>0</v>
      </c>
      <c r="T795" s="23">
        <v>0</v>
      </c>
      <c r="U795" s="23">
        <v>4692.78</v>
      </c>
      <c r="V795" s="23">
        <v>3033.22</v>
      </c>
      <c r="W795" s="23">
        <v>1659.56</v>
      </c>
      <c r="X795" s="23" t="s">
        <v>45</v>
      </c>
    </row>
    <row r="796" spans="1:24" x14ac:dyDescent="0.25">
      <c r="A796" s="20" t="s">
        <v>1291</v>
      </c>
      <c r="B796" s="19">
        <v>45319</v>
      </c>
      <c r="C796" s="20" t="s">
        <v>531</v>
      </c>
      <c r="D796" s="20" t="s">
        <v>264</v>
      </c>
      <c r="E796" s="20" t="s">
        <v>49</v>
      </c>
      <c r="F796" s="20" t="s">
        <v>2580</v>
      </c>
      <c r="G796" s="20" t="s">
        <v>2581</v>
      </c>
      <c r="H796" s="20" t="s">
        <v>52</v>
      </c>
      <c r="I796" s="20" t="s">
        <v>53</v>
      </c>
      <c r="J796" s="20" t="s">
        <v>54</v>
      </c>
      <c r="K796" s="20" t="s">
        <v>83</v>
      </c>
      <c r="L796" s="20" t="s">
        <v>2683</v>
      </c>
      <c r="M796" s="20" t="s">
        <v>43</v>
      </c>
      <c r="N796" s="20" t="s">
        <v>84</v>
      </c>
      <c r="O796" s="20">
        <v>35</v>
      </c>
      <c r="P796" s="20">
        <v>23.62</v>
      </c>
      <c r="Q796" s="20">
        <v>12.01</v>
      </c>
      <c r="R796" s="20">
        <v>826.62</v>
      </c>
      <c r="S796" s="20">
        <v>0.1</v>
      </c>
      <c r="T796" s="20">
        <v>82.66</v>
      </c>
      <c r="U796" s="20">
        <v>743.96</v>
      </c>
      <c r="V796" s="20">
        <v>420.45</v>
      </c>
      <c r="W796" s="20">
        <v>323.51</v>
      </c>
      <c r="X796" s="20" t="s">
        <v>45</v>
      </c>
    </row>
    <row r="797" spans="1:24" x14ac:dyDescent="0.25">
      <c r="A797" s="23" t="s">
        <v>1292</v>
      </c>
      <c r="B797" s="22">
        <v>45512</v>
      </c>
      <c r="C797" s="23" t="s">
        <v>1293</v>
      </c>
      <c r="D797" s="23" t="s">
        <v>264</v>
      </c>
      <c r="E797" s="23" t="s">
        <v>209</v>
      </c>
      <c r="F797" s="23" t="s">
        <v>2595</v>
      </c>
      <c r="G797" s="23" t="s">
        <v>2581</v>
      </c>
      <c r="H797" s="23" t="s">
        <v>116</v>
      </c>
      <c r="I797" s="23" t="s">
        <v>58</v>
      </c>
      <c r="J797" s="23" t="s">
        <v>323</v>
      </c>
      <c r="K797" s="23" t="s">
        <v>218</v>
      </c>
      <c r="L797" s="23" t="s">
        <v>2692</v>
      </c>
      <c r="M797" s="23" t="s">
        <v>61</v>
      </c>
      <c r="N797" s="23" t="s">
        <v>2578</v>
      </c>
      <c r="O797" s="23">
        <v>54</v>
      </c>
      <c r="P797" s="23">
        <v>18.920000000000002</v>
      </c>
      <c r="Q797" s="23">
        <v>10.77</v>
      </c>
      <c r="R797" s="23">
        <v>1021.57</v>
      </c>
      <c r="S797" s="23">
        <v>0.15</v>
      </c>
      <c r="T797" s="23">
        <v>153.24</v>
      </c>
      <c r="U797" s="23">
        <v>868.33</v>
      </c>
      <c r="V797" s="23">
        <v>581.78</v>
      </c>
      <c r="W797" s="23">
        <v>286.55</v>
      </c>
      <c r="X797" s="23" t="s">
        <v>32</v>
      </c>
    </row>
    <row r="798" spans="1:24" x14ac:dyDescent="0.25">
      <c r="A798" s="20" t="s">
        <v>1294</v>
      </c>
      <c r="B798" s="19">
        <v>45480</v>
      </c>
      <c r="C798" s="20" t="s">
        <v>1131</v>
      </c>
      <c r="D798" s="20" t="s">
        <v>259</v>
      </c>
      <c r="E798" s="20" t="s">
        <v>132</v>
      </c>
      <c r="F798" s="20" t="s">
        <v>133</v>
      </c>
      <c r="G798" s="20" t="s">
        <v>2581</v>
      </c>
      <c r="H798" s="20" t="s">
        <v>134</v>
      </c>
      <c r="I798" s="20" t="s">
        <v>88</v>
      </c>
      <c r="J798" s="20" t="s">
        <v>135</v>
      </c>
      <c r="K798" s="20" t="s">
        <v>253</v>
      </c>
      <c r="L798" s="20" t="s">
        <v>2694</v>
      </c>
      <c r="M798" s="20" t="s">
        <v>61</v>
      </c>
      <c r="N798" s="20" t="s">
        <v>75</v>
      </c>
      <c r="O798" s="20">
        <v>76</v>
      </c>
      <c r="P798" s="20">
        <v>61.14</v>
      </c>
      <c r="Q798" s="20">
        <v>33.29</v>
      </c>
      <c r="R798" s="20">
        <v>4646.28</v>
      </c>
      <c r="S798" s="20">
        <v>0.1</v>
      </c>
      <c r="T798" s="20">
        <v>464.63</v>
      </c>
      <c r="U798" s="20">
        <v>4181.6499999999996</v>
      </c>
      <c r="V798" s="20">
        <v>2529.8000000000002</v>
      </c>
      <c r="W798" s="20">
        <v>1651.85</v>
      </c>
      <c r="X798" s="20" t="s">
        <v>45</v>
      </c>
    </row>
    <row r="799" spans="1:24" x14ac:dyDescent="0.25">
      <c r="A799" s="23" t="s">
        <v>1295</v>
      </c>
      <c r="B799" s="22">
        <v>45453</v>
      </c>
      <c r="C799" s="23" t="s">
        <v>1267</v>
      </c>
      <c r="D799" s="23" t="s">
        <v>149</v>
      </c>
      <c r="E799" s="23" t="s">
        <v>99</v>
      </c>
      <c r="F799" s="23" t="s">
        <v>100</v>
      </c>
      <c r="G799" s="23" t="s">
        <v>2587</v>
      </c>
      <c r="H799" s="23" t="s">
        <v>102</v>
      </c>
      <c r="I799" s="23" t="s">
        <v>40</v>
      </c>
      <c r="J799" s="23" t="s">
        <v>289</v>
      </c>
      <c r="K799" s="23" t="s">
        <v>83</v>
      </c>
      <c r="L799" s="23" t="s">
        <v>2683</v>
      </c>
      <c r="M799" s="23" t="s">
        <v>61</v>
      </c>
      <c r="N799" s="23" t="s">
        <v>75</v>
      </c>
      <c r="O799" s="23">
        <v>55</v>
      </c>
      <c r="P799" s="23">
        <v>68.58</v>
      </c>
      <c r="Q799" s="23">
        <v>39.5</v>
      </c>
      <c r="R799" s="23">
        <v>3771.96</v>
      </c>
      <c r="S799" s="23">
        <v>0.02</v>
      </c>
      <c r="T799" s="23">
        <v>75.44</v>
      </c>
      <c r="U799" s="23">
        <v>3696.52</v>
      </c>
      <c r="V799" s="23">
        <v>2172.2800000000002</v>
      </c>
      <c r="W799" s="23">
        <v>1524.23</v>
      </c>
      <c r="X799" s="23" t="s">
        <v>129</v>
      </c>
    </row>
    <row r="800" spans="1:24" x14ac:dyDescent="0.25">
      <c r="A800" s="20" t="s">
        <v>1296</v>
      </c>
      <c r="B800" s="19">
        <v>45327</v>
      </c>
      <c r="C800" s="20" t="s">
        <v>297</v>
      </c>
      <c r="D800" s="20" t="s">
        <v>87</v>
      </c>
      <c r="E800" s="20" t="s">
        <v>23</v>
      </c>
      <c r="F800" s="20" t="s">
        <v>2576</v>
      </c>
      <c r="G800" s="20" t="s">
        <v>2577</v>
      </c>
      <c r="H800" s="20" t="s">
        <v>26</v>
      </c>
      <c r="I800" s="20" t="s">
        <v>58</v>
      </c>
      <c r="J800" s="20" t="s">
        <v>345</v>
      </c>
      <c r="K800" s="20" t="s">
        <v>42</v>
      </c>
      <c r="L800" s="20" t="s">
        <v>2680</v>
      </c>
      <c r="M800" s="20" t="s">
        <v>43</v>
      </c>
      <c r="N800" s="20" t="s">
        <v>2578</v>
      </c>
      <c r="O800" s="20">
        <v>2</v>
      </c>
      <c r="P800" s="20">
        <v>70.760000000000005</v>
      </c>
      <c r="Q800" s="20">
        <v>46.34</v>
      </c>
      <c r="R800" s="20">
        <v>141.51</v>
      </c>
      <c r="S800" s="20">
        <v>0.2</v>
      </c>
      <c r="T800" s="20">
        <v>28.3</v>
      </c>
      <c r="U800" s="20">
        <v>113.21</v>
      </c>
      <c r="V800" s="20">
        <v>92.69</v>
      </c>
      <c r="W800" s="20">
        <v>20.52</v>
      </c>
      <c r="X800" s="20" t="s">
        <v>129</v>
      </c>
    </row>
    <row r="801" spans="1:24" x14ac:dyDescent="0.25">
      <c r="A801" s="23" t="s">
        <v>1297</v>
      </c>
      <c r="B801" s="22">
        <v>45548</v>
      </c>
      <c r="C801" s="23" t="s">
        <v>674</v>
      </c>
      <c r="D801" s="23" t="s">
        <v>264</v>
      </c>
      <c r="E801" s="23" t="s">
        <v>93</v>
      </c>
      <c r="F801" s="23" t="s">
        <v>2585</v>
      </c>
      <c r="G801" s="23" t="s">
        <v>2586</v>
      </c>
      <c r="H801" s="23" t="s">
        <v>96</v>
      </c>
      <c r="I801" s="23" t="s">
        <v>88</v>
      </c>
      <c r="J801" s="23" t="s">
        <v>183</v>
      </c>
      <c r="K801" s="23" t="s">
        <v>118</v>
      </c>
      <c r="L801" s="23" t="s">
        <v>2686</v>
      </c>
      <c r="M801" s="23" t="s">
        <v>153</v>
      </c>
      <c r="N801" s="23" t="s">
        <v>2578</v>
      </c>
      <c r="O801" s="23">
        <v>2</v>
      </c>
      <c r="P801" s="23">
        <v>54.47</v>
      </c>
      <c r="Q801" s="23">
        <v>30.19</v>
      </c>
      <c r="R801" s="23">
        <v>108.95</v>
      </c>
      <c r="S801" s="23">
        <v>1.1000000000000001</v>
      </c>
      <c r="T801" s="23">
        <v>21.79</v>
      </c>
      <c r="U801" s="23">
        <v>87.16</v>
      </c>
      <c r="V801" s="23">
        <v>60.39</v>
      </c>
      <c r="W801" s="23">
        <v>26.77</v>
      </c>
      <c r="X801" s="23" t="s">
        <v>32</v>
      </c>
    </row>
    <row r="802" spans="1:24" x14ac:dyDescent="0.25">
      <c r="A802" s="20" t="s">
        <v>1298</v>
      </c>
      <c r="B802" s="19">
        <v>45298</v>
      </c>
      <c r="C802" s="20" t="s">
        <v>1270</v>
      </c>
      <c r="D802" s="20" t="s">
        <v>87</v>
      </c>
      <c r="E802" s="20" t="s">
        <v>36</v>
      </c>
      <c r="F802" s="20" t="s">
        <v>37</v>
      </c>
      <c r="G802" s="20" t="s">
        <v>2579</v>
      </c>
      <c r="H802" s="20" t="s">
        <v>39</v>
      </c>
      <c r="I802" s="20" t="s">
        <v>27</v>
      </c>
      <c r="J802" s="20" t="s">
        <v>189</v>
      </c>
      <c r="K802" s="20" t="s">
        <v>29</v>
      </c>
      <c r="L802" s="20" t="s">
        <v>2679</v>
      </c>
      <c r="M802" s="20" t="s">
        <v>30</v>
      </c>
      <c r="N802" s="20" t="s">
        <v>75</v>
      </c>
      <c r="O802" s="20">
        <v>32</v>
      </c>
      <c r="P802" s="20">
        <v>153.41</v>
      </c>
      <c r="Q802" s="20">
        <v>95.47</v>
      </c>
      <c r="R802" s="20">
        <v>4909.2</v>
      </c>
      <c r="S802" s="20">
        <v>0</v>
      </c>
      <c r="T802" s="20">
        <v>0</v>
      </c>
      <c r="U802" s="20">
        <v>4909.2</v>
      </c>
      <c r="V802" s="20">
        <v>3054.9</v>
      </c>
      <c r="W802" s="20">
        <v>1854.29</v>
      </c>
      <c r="X802" s="20" t="s">
        <v>45</v>
      </c>
    </row>
    <row r="803" spans="1:24" x14ac:dyDescent="0.25">
      <c r="A803" s="23" t="s">
        <v>1299</v>
      </c>
      <c r="B803" s="22">
        <v>45313</v>
      </c>
      <c r="C803" s="23" t="s">
        <v>602</v>
      </c>
      <c r="D803" s="23" t="s">
        <v>159</v>
      </c>
      <c r="E803" s="23" t="s">
        <v>165</v>
      </c>
      <c r="F803" s="23" t="s">
        <v>2592</v>
      </c>
      <c r="G803" s="23" t="s">
        <v>2586</v>
      </c>
      <c r="H803" s="23" t="s">
        <v>167</v>
      </c>
      <c r="I803" s="23" t="s">
        <v>88</v>
      </c>
      <c r="J803" s="23" t="s">
        <v>173</v>
      </c>
      <c r="K803" s="23" t="s">
        <v>178</v>
      </c>
      <c r="L803" s="23" t="s">
        <v>2689</v>
      </c>
      <c r="M803" s="23" t="s">
        <v>43</v>
      </c>
      <c r="N803" s="23" t="s">
        <v>84</v>
      </c>
      <c r="O803" s="23">
        <v>1</v>
      </c>
      <c r="P803" s="23">
        <v>43.85</v>
      </c>
      <c r="Q803" s="23">
        <v>24.81</v>
      </c>
      <c r="R803" s="23">
        <v>43.85</v>
      </c>
      <c r="S803" s="23">
        <v>0.15</v>
      </c>
      <c r="T803" s="23">
        <v>6.58</v>
      </c>
      <c r="U803" s="23">
        <v>37.270000000000003</v>
      </c>
      <c r="V803" s="23">
        <v>24.81</v>
      </c>
      <c r="W803" s="23">
        <v>12.46</v>
      </c>
      <c r="X803" s="23" t="s">
        <v>45</v>
      </c>
    </row>
    <row r="804" spans="1:24" x14ac:dyDescent="0.25">
      <c r="A804" s="20" t="s">
        <v>1300</v>
      </c>
      <c r="B804" s="19">
        <v>45655</v>
      </c>
      <c r="C804" s="20" t="s">
        <v>175</v>
      </c>
      <c r="D804" s="20" t="s">
        <v>65</v>
      </c>
      <c r="E804" s="20" t="s">
        <v>36</v>
      </c>
      <c r="F804" s="20" t="s">
        <v>37</v>
      </c>
      <c r="G804" s="20" t="s">
        <v>2579</v>
      </c>
      <c r="H804" s="20" t="s">
        <v>39</v>
      </c>
      <c r="I804" s="20" t="s">
        <v>27</v>
      </c>
      <c r="J804" s="20" t="s">
        <v>211</v>
      </c>
      <c r="K804" s="20" t="s">
        <v>218</v>
      </c>
      <c r="L804" s="20" t="s">
        <v>2692</v>
      </c>
      <c r="M804" s="20" t="s">
        <v>30</v>
      </c>
      <c r="N804" s="20" t="s">
        <v>44</v>
      </c>
      <c r="O804" s="20">
        <v>69</v>
      </c>
      <c r="P804" s="20">
        <v>158.32</v>
      </c>
      <c r="Q804" s="20">
        <v>93.61</v>
      </c>
      <c r="R804" s="20">
        <v>10924.32</v>
      </c>
      <c r="S804" s="20">
        <v>0.2</v>
      </c>
      <c r="T804" s="20">
        <v>2184.86</v>
      </c>
      <c r="U804" s="20">
        <v>8739.4599999999991</v>
      </c>
      <c r="V804" s="20">
        <v>6458.9</v>
      </c>
      <c r="W804" s="20">
        <v>2280.56</v>
      </c>
      <c r="X804" s="20" t="s">
        <v>45</v>
      </c>
    </row>
    <row r="805" spans="1:24" x14ac:dyDescent="0.25">
      <c r="A805" s="23" t="s">
        <v>1301</v>
      </c>
      <c r="B805" s="22">
        <v>45648</v>
      </c>
      <c r="C805" s="23" t="s">
        <v>1302</v>
      </c>
      <c r="D805" s="23" t="s">
        <v>149</v>
      </c>
      <c r="E805" s="23" t="s">
        <v>36</v>
      </c>
      <c r="F805" s="23" t="s">
        <v>37</v>
      </c>
      <c r="G805" s="23" t="s">
        <v>2579</v>
      </c>
      <c r="H805" s="23" t="s">
        <v>39</v>
      </c>
      <c r="I805" s="23" t="s">
        <v>53</v>
      </c>
      <c r="J805" s="23" t="s">
        <v>232</v>
      </c>
      <c r="K805" s="23" t="s">
        <v>90</v>
      </c>
      <c r="L805" s="23" t="s">
        <v>2684</v>
      </c>
      <c r="M805" s="23" t="s">
        <v>43</v>
      </c>
      <c r="N805" s="23" t="s">
        <v>2578</v>
      </c>
      <c r="O805" s="23">
        <v>27</v>
      </c>
      <c r="P805" s="23">
        <v>153.94</v>
      </c>
      <c r="Q805" s="23">
        <v>94.57</v>
      </c>
      <c r="R805" s="23">
        <v>4156.37</v>
      </c>
      <c r="S805" s="23">
        <v>0.15</v>
      </c>
      <c r="T805" s="23">
        <v>623.46</v>
      </c>
      <c r="U805" s="23">
        <v>3532.91</v>
      </c>
      <c r="V805" s="23">
        <v>2553.33</v>
      </c>
      <c r="W805" s="23">
        <v>979.59</v>
      </c>
      <c r="X805" s="23" t="s">
        <v>129</v>
      </c>
    </row>
    <row r="806" spans="1:24" x14ac:dyDescent="0.25">
      <c r="A806" s="20" t="s">
        <v>1303</v>
      </c>
      <c r="B806" s="19">
        <v>45325</v>
      </c>
      <c r="C806" s="20" t="s">
        <v>182</v>
      </c>
      <c r="D806" s="20" t="s">
        <v>35</v>
      </c>
      <c r="E806" s="20" t="s">
        <v>23</v>
      </c>
      <c r="F806" s="20" t="s">
        <v>2576</v>
      </c>
      <c r="G806" s="20" t="s">
        <v>2577</v>
      </c>
      <c r="H806" s="20" t="s">
        <v>26</v>
      </c>
      <c r="I806" s="20" t="s">
        <v>88</v>
      </c>
      <c r="J806" s="20" t="s">
        <v>173</v>
      </c>
      <c r="K806" s="20" t="s">
        <v>218</v>
      </c>
      <c r="L806" s="20" t="s">
        <v>2692</v>
      </c>
      <c r="M806" s="20" t="s">
        <v>61</v>
      </c>
      <c r="N806" s="20" t="s">
        <v>44</v>
      </c>
      <c r="O806" s="20">
        <v>28</v>
      </c>
      <c r="P806" s="20">
        <v>79.319999999999993</v>
      </c>
      <c r="Q806" s="20">
        <v>45.57</v>
      </c>
      <c r="R806" s="20">
        <v>2221.0100000000002</v>
      </c>
      <c r="S806" s="20">
        <v>0.15</v>
      </c>
      <c r="T806" s="20">
        <v>333.15</v>
      </c>
      <c r="U806" s="20">
        <v>1887.86</v>
      </c>
      <c r="V806" s="20">
        <v>1275.92</v>
      </c>
      <c r="W806" s="20">
        <v>611.92999999999995</v>
      </c>
      <c r="X806" s="20" t="s">
        <v>45</v>
      </c>
    </row>
    <row r="807" spans="1:24" x14ac:dyDescent="0.25">
      <c r="A807" s="23" t="s">
        <v>1304</v>
      </c>
      <c r="B807" s="22">
        <v>45469</v>
      </c>
      <c r="C807" s="23" t="s">
        <v>506</v>
      </c>
      <c r="D807" s="23" t="s">
        <v>264</v>
      </c>
      <c r="E807" s="23" t="s">
        <v>150</v>
      </c>
      <c r="F807" s="23" t="s">
        <v>2591</v>
      </c>
      <c r="G807" s="23" t="s">
        <v>2587</v>
      </c>
      <c r="H807" s="23" t="s">
        <v>134</v>
      </c>
      <c r="I807" s="23" t="s">
        <v>58</v>
      </c>
      <c r="J807" s="23" t="s">
        <v>323</v>
      </c>
      <c r="K807" s="23" t="s">
        <v>261</v>
      </c>
      <c r="L807" s="23" t="s">
        <v>2695</v>
      </c>
      <c r="M807" s="23" t="s">
        <v>61</v>
      </c>
      <c r="N807" s="23" t="s">
        <v>44</v>
      </c>
      <c r="O807" s="23">
        <v>67</v>
      </c>
      <c r="P807" s="23">
        <v>84.43</v>
      </c>
      <c r="Q807" s="23">
        <v>51.37</v>
      </c>
      <c r="R807" s="23">
        <v>5656.96</v>
      </c>
      <c r="S807" s="23">
        <v>0.05</v>
      </c>
      <c r="T807" s="23">
        <v>282.85000000000002</v>
      </c>
      <c r="U807" s="23">
        <v>5374.11</v>
      </c>
      <c r="V807" s="23">
        <v>3441.94</v>
      </c>
      <c r="W807" s="23">
        <v>1932.17</v>
      </c>
      <c r="X807" s="23" t="s">
        <v>45</v>
      </c>
    </row>
    <row r="808" spans="1:24" x14ac:dyDescent="0.25">
      <c r="A808" s="20" t="s">
        <v>1188</v>
      </c>
      <c r="B808" s="19">
        <v>45371</v>
      </c>
      <c r="C808" s="20" t="s">
        <v>693</v>
      </c>
      <c r="D808" s="20" t="s">
        <v>57</v>
      </c>
      <c r="E808" s="20" t="s">
        <v>93</v>
      </c>
      <c r="F808" s="20" t="s">
        <v>2585</v>
      </c>
      <c r="G808" s="20" t="s">
        <v>2586</v>
      </c>
      <c r="H808" s="20" t="s">
        <v>96</v>
      </c>
      <c r="I808" s="20" t="s">
        <v>53</v>
      </c>
      <c r="J808" s="20" t="s">
        <v>232</v>
      </c>
      <c r="K808" s="20" t="s">
        <v>74</v>
      </c>
      <c r="L808" s="20" t="s">
        <v>2682</v>
      </c>
      <c r="M808" s="20" t="s">
        <v>153</v>
      </c>
      <c r="N808" s="20" t="s">
        <v>2578</v>
      </c>
      <c r="O808" s="20">
        <v>25</v>
      </c>
      <c r="P808" s="24">
        <f>Cleaned_Sales!$R808/Cleaned_Sales!$O808</f>
        <v>56.410800000000002</v>
      </c>
      <c r="Q808" s="20">
        <v>33.35</v>
      </c>
      <c r="R808" s="20">
        <v>1410.27</v>
      </c>
      <c r="S808" s="20">
        <v>0</v>
      </c>
      <c r="T808" s="20">
        <v>0</v>
      </c>
      <c r="U808" s="20">
        <v>1410.27</v>
      </c>
      <c r="V808" s="20">
        <v>833.84</v>
      </c>
      <c r="W808" s="20">
        <v>576.42999999999995</v>
      </c>
      <c r="X808" s="20" t="s">
        <v>45</v>
      </c>
    </row>
    <row r="809" spans="1:24" x14ac:dyDescent="0.25">
      <c r="A809" s="23" t="s">
        <v>1305</v>
      </c>
      <c r="B809" s="22">
        <v>45424</v>
      </c>
      <c r="C809" s="23" t="s">
        <v>617</v>
      </c>
      <c r="D809" s="23" t="s">
        <v>22</v>
      </c>
      <c r="E809" s="23" t="s">
        <v>109</v>
      </c>
      <c r="F809" s="23" t="s">
        <v>110</v>
      </c>
      <c r="G809" s="23" t="s">
        <v>2584</v>
      </c>
      <c r="H809" s="23" t="s">
        <v>81</v>
      </c>
      <c r="I809" s="23" t="s">
        <v>58</v>
      </c>
      <c r="J809" s="23" t="s">
        <v>345</v>
      </c>
      <c r="K809" s="23" t="s">
        <v>265</v>
      </c>
      <c r="L809" s="23" t="s">
        <v>2663</v>
      </c>
      <c r="M809" s="23" t="s">
        <v>30</v>
      </c>
      <c r="N809" s="23" t="s">
        <v>75</v>
      </c>
      <c r="O809" s="23">
        <v>34</v>
      </c>
      <c r="P809" s="23">
        <v>130.41999999999999</v>
      </c>
      <c r="Q809" s="23">
        <v>78.08</v>
      </c>
      <c r="R809" s="23">
        <v>4434.2299999999996</v>
      </c>
      <c r="S809" s="23">
        <v>0.02</v>
      </c>
      <c r="T809" s="23">
        <v>88.68</v>
      </c>
      <c r="U809" s="23">
        <v>4345.54</v>
      </c>
      <c r="V809" s="23">
        <v>2654.8</v>
      </c>
      <c r="W809" s="23">
        <v>1690.75</v>
      </c>
      <c r="X809" s="23" t="s">
        <v>32</v>
      </c>
    </row>
    <row r="810" spans="1:24" x14ac:dyDescent="0.25">
      <c r="A810" s="20" t="s">
        <v>1306</v>
      </c>
      <c r="B810" s="19">
        <v>45338</v>
      </c>
      <c r="C810" s="20" t="s">
        <v>21</v>
      </c>
      <c r="D810" s="20" t="s">
        <v>22</v>
      </c>
      <c r="E810" s="20" t="s">
        <v>78</v>
      </c>
      <c r="F810" s="20" t="s">
        <v>2583</v>
      </c>
      <c r="G810" s="20" t="s">
        <v>2584</v>
      </c>
      <c r="H810" s="20" t="s">
        <v>81</v>
      </c>
      <c r="I810" s="20" t="s">
        <v>27</v>
      </c>
      <c r="J810" s="20" t="s">
        <v>28</v>
      </c>
      <c r="K810" s="20" t="s">
        <v>253</v>
      </c>
      <c r="L810" s="20" t="s">
        <v>2694</v>
      </c>
      <c r="M810" s="20" t="s">
        <v>43</v>
      </c>
      <c r="N810" s="20" t="s">
        <v>84</v>
      </c>
      <c r="O810" s="20">
        <v>21</v>
      </c>
      <c r="P810" s="20">
        <v>133.26</v>
      </c>
      <c r="Q810" s="20">
        <v>86.95</v>
      </c>
      <c r="R810" s="20">
        <v>2798.54</v>
      </c>
      <c r="S810" s="20">
        <v>0</v>
      </c>
      <c r="T810" s="20">
        <v>0</v>
      </c>
      <c r="U810" s="20">
        <v>2798.54</v>
      </c>
      <c r="V810" s="20">
        <v>1826</v>
      </c>
      <c r="W810" s="20">
        <v>972.54</v>
      </c>
      <c r="X810" s="20" t="s">
        <v>45</v>
      </c>
    </row>
    <row r="811" spans="1:24" x14ac:dyDescent="0.25">
      <c r="A811" s="23" t="s">
        <v>1307</v>
      </c>
      <c r="B811" s="22">
        <v>45331</v>
      </c>
      <c r="C811" s="23" t="s">
        <v>2619</v>
      </c>
      <c r="D811" s="23" t="s">
        <v>2619</v>
      </c>
      <c r="E811" s="23" t="s">
        <v>187</v>
      </c>
      <c r="F811" s="23" t="s">
        <v>2594</v>
      </c>
      <c r="G811" s="23" t="s">
        <v>2577</v>
      </c>
      <c r="H811" s="23" t="s">
        <v>26</v>
      </c>
      <c r="I811" s="23" t="s">
        <v>40</v>
      </c>
      <c r="J811" s="23" t="s">
        <v>41</v>
      </c>
      <c r="K811" s="23" t="s">
        <v>69</v>
      </c>
      <c r="L811" s="23" t="s">
        <v>2681</v>
      </c>
      <c r="M811" s="23" t="s">
        <v>153</v>
      </c>
      <c r="N811" s="23" t="s">
        <v>75</v>
      </c>
      <c r="O811" s="23">
        <v>76</v>
      </c>
      <c r="P811" s="23">
        <v>47.54</v>
      </c>
      <c r="Q811" s="23">
        <v>28.08</v>
      </c>
      <c r="R811" s="23">
        <v>3613.24</v>
      </c>
      <c r="S811" s="23">
        <v>0.02</v>
      </c>
      <c r="T811" s="23">
        <v>72.260000000000005</v>
      </c>
      <c r="U811" s="23">
        <v>3540.97</v>
      </c>
      <c r="V811" s="23">
        <v>2134.29</v>
      </c>
      <c r="W811" s="23">
        <v>1406.68</v>
      </c>
      <c r="X811" s="23" t="s">
        <v>45</v>
      </c>
    </row>
    <row r="812" spans="1:24" x14ac:dyDescent="0.25">
      <c r="A812" s="20" t="s">
        <v>1308</v>
      </c>
      <c r="B812" s="19">
        <v>45644</v>
      </c>
      <c r="C812" s="20" t="s">
        <v>402</v>
      </c>
      <c r="D812" s="20" t="s">
        <v>35</v>
      </c>
      <c r="E812" s="20" t="s">
        <v>165</v>
      </c>
      <c r="F812" s="20" t="s">
        <v>2592</v>
      </c>
      <c r="G812" s="20" t="s">
        <v>2586</v>
      </c>
      <c r="H812" s="20" t="s">
        <v>167</v>
      </c>
      <c r="I812" s="20" t="s">
        <v>40</v>
      </c>
      <c r="J812" s="20" t="s">
        <v>117</v>
      </c>
      <c r="K812" s="20" t="s">
        <v>152</v>
      </c>
      <c r="L812" s="20" t="s">
        <v>2688</v>
      </c>
      <c r="M812" s="20" t="s">
        <v>61</v>
      </c>
      <c r="N812" s="20" t="s">
        <v>2578</v>
      </c>
      <c r="O812" s="20">
        <v>49</v>
      </c>
      <c r="P812" s="20">
        <v>41.58</v>
      </c>
      <c r="Q812" s="20">
        <v>25.92</v>
      </c>
      <c r="R812" s="20">
        <v>2037.21</v>
      </c>
      <c r="S812" s="20">
        <v>0.2</v>
      </c>
      <c r="T812" s="20">
        <v>407.44</v>
      </c>
      <c r="U812" s="20">
        <v>1629.76</v>
      </c>
      <c r="V812" s="20">
        <v>1269.98</v>
      </c>
      <c r="W812" s="20">
        <v>359.78</v>
      </c>
      <c r="X812" s="20" t="s">
        <v>45</v>
      </c>
    </row>
    <row r="813" spans="1:24" x14ac:dyDescent="0.25">
      <c r="A813" s="23" t="s">
        <v>1309</v>
      </c>
      <c r="B813" s="22">
        <v>45438</v>
      </c>
      <c r="C813" s="23" t="s">
        <v>1310</v>
      </c>
      <c r="D813" s="23" t="s">
        <v>264</v>
      </c>
      <c r="E813" s="23" t="s">
        <v>66</v>
      </c>
      <c r="F813" s="23" t="s">
        <v>2582</v>
      </c>
      <c r="G813" s="23" t="s">
        <v>2579</v>
      </c>
      <c r="H813" s="23" t="s">
        <v>68</v>
      </c>
      <c r="I813" s="23" t="s">
        <v>40</v>
      </c>
      <c r="J813" s="23" t="s">
        <v>41</v>
      </c>
      <c r="K813" s="23" t="s">
        <v>265</v>
      </c>
      <c r="L813" s="23" t="s">
        <v>2663</v>
      </c>
      <c r="M813" s="23" t="s">
        <v>61</v>
      </c>
      <c r="N813" s="23" t="s">
        <v>84</v>
      </c>
      <c r="O813" s="23">
        <v>19</v>
      </c>
      <c r="P813" s="23">
        <v>152.34</v>
      </c>
      <c r="Q813" s="23">
        <v>104.6</v>
      </c>
      <c r="R813" s="23">
        <v>2894.53</v>
      </c>
      <c r="S813" s="23">
        <v>0.02</v>
      </c>
      <c r="T813" s="23">
        <v>57.89</v>
      </c>
      <c r="U813" s="23">
        <v>2836.64</v>
      </c>
      <c r="V813" s="23">
        <v>1987.33</v>
      </c>
      <c r="W813" s="23">
        <v>849.32</v>
      </c>
      <c r="X813" s="23" t="s">
        <v>45</v>
      </c>
    </row>
    <row r="814" spans="1:24" x14ac:dyDescent="0.25">
      <c r="A814" s="20" t="s">
        <v>1311</v>
      </c>
      <c r="B814" s="19">
        <v>45537</v>
      </c>
      <c r="C814" s="20" t="s">
        <v>843</v>
      </c>
      <c r="D814" s="20" t="s">
        <v>22</v>
      </c>
      <c r="E814" s="20" t="s">
        <v>141</v>
      </c>
      <c r="F814" s="20" t="s">
        <v>2590</v>
      </c>
      <c r="G814" s="20" t="s">
        <v>2577</v>
      </c>
      <c r="H814" s="20" t="s">
        <v>26</v>
      </c>
      <c r="I814" s="20" t="s">
        <v>53</v>
      </c>
      <c r="J814" s="20" t="s">
        <v>54</v>
      </c>
      <c r="K814" s="20" t="s">
        <v>184</v>
      </c>
      <c r="L814" s="20" t="s">
        <v>2690</v>
      </c>
      <c r="M814" s="20" t="s">
        <v>43</v>
      </c>
      <c r="N814" s="20" t="s">
        <v>44</v>
      </c>
      <c r="O814" s="20">
        <v>48</v>
      </c>
      <c r="P814" s="20">
        <v>90.81</v>
      </c>
      <c r="Q814" s="20">
        <v>59.51</v>
      </c>
      <c r="R814" s="20">
        <v>4358.84</v>
      </c>
      <c r="S814" s="20">
        <v>0.1</v>
      </c>
      <c r="T814" s="20">
        <v>435.88</v>
      </c>
      <c r="U814" s="20">
        <v>3922.96</v>
      </c>
      <c r="V814" s="20">
        <v>2856.63</v>
      </c>
      <c r="W814" s="20">
        <v>1066.33</v>
      </c>
      <c r="X814" s="20" t="s">
        <v>129</v>
      </c>
    </row>
    <row r="815" spans="1:24" x14ac:dyDescent="0.25">
      <c r="A815" s="23" t="s">
        <v>1312</v>
      </c>
      <c r="B815" s="22">
        <v>45655</v>
      </c>
      <c r="C815" s="23" t="s">
        <v>287</v>
      </c>
      <c r="D815" s="23" t="s">
        <v>65</v>
      </c>
      <c r="E815" s="23" t="s">
        <v>222</v>
      </c>
      <c r="F815" s="23" t="s">
        <v>2597</v>
      </c>
      <c r="G815" s="23" t="s">
        <v>2587</v>
      </c>
      <c r="H815" s="23" t="s">
        <v>68</v>
      </c>
      <c r="I815" s="23" t="s">
        <v>40</v>
      </c>
      <c r="J815" s="23" t="s">
        <v>82</v>
      </c>
      <c r="K815" s="23" t="s">
        <v>60</v>
      </c>
      <c r="L815" s="23" t="s">
        <v>2677</v>
      </c>
      <c r="M815" s="23" t="s">
        <v>61</v>
      </c>
      <c r="N815" s="23" t="s">
        <v>44</v>
      </c>
      <c r="O815" s="23">
        <v>33</v>
      </c>
      <c r="P815" s="23">
        <v>126.16</v>
      </c>
      <c r="Q815" s="23">
        <v>78.83</v>
      </c>
      <c r="R815" s="23">
        <v>4163.37</v>
      </c>
      <c r="S815" s="23">
        <v>0.02</v>
      </c>
      <c r="T815" s="23">
        <v>83.27</v>
      </c>
      <c r="U815" s="23">
        <v>4080.11</v>
      </c>
      <c r="V815" s="23">
        <v>2601.4299999999998</v>
      </c>
      <c r="W815" s="23">
        <v>1478.68</v>
      </c>
      <c r="X815" s="23" t="s">
        <v>129</v>
      </c>
    </row>
    <row r="816" spans="1:24" x14ac:dyDescent="0.25">
      <c r="A816" s="20" t="s">
        <v>1313</v>
      </c>
      <c r="B816" s="19">
        <v>45408</v>
      </c>
      <c r="C816" s="20" t="s">
        <v>205</v>
      </c>
      <c r="D816" s="20" t="s">
        <v>22</v>
      </c>
      <c r="E816" s="20" t="s">
        <v>209</v>
      </c>
      <c r="F816" s="20" t="s">
        <v>2595</v>
      </c>
      <c r="G816" s="20" t="s">
        <v>2581</v>
      </c>
      <c r="H816" s="20" t="s">
        <v>116</v>
      </c>
      <c r="I816" s="20" t="s">
        <v>40</v>
      </c>
      <c r="J816" s="20" t="s">
        <v>289</v>
      </c>
      <c r="K816" s="20" t="s">
        <v>69</v>
      </c>
      <c r="L816" s="20" t="s">
        <v>2681</v>
      </c>
      <c r="M816" s="20" t="s">
        <v>30</v>
      </c>
      <c r="N816" s="20" t="s">
        <v>44</v>
      </c>
      <c r="O816" s="20">
        <v>74</v>
      </c>
      <c r="P816" s="20">
        <v>17.52</v>
      </c>
      <c r="Q816" s="20">
        <v>9.83</v>
      </c>
      <c r="R816" s="20">
        <v>1296.71</v>
      </c>
      <c r="S816" s="20">
        <v>0.2</v>
      </c>
      <c r="T816" s="20">
        <v>259.33999999999997</v>
      </c>
      <c r="U816" s="20">
        <v>1037.3699999999999</v>
      </c>
      <c r="V816" s="20">
        <v>727.52</v>
      </c>
      <c r="W816" s="20">
        <v>309.85000000000002</v>
      </c>
      <c r="X816" s="20" t="s">
        <v>129</v>
      </c>
    </row>
    <row r="817" spans="1:24" x14ac:dyDescent="0.25">
      <c r="A817" s="23" t="s">
        <v>1314</v>
      </c>
      <c r="B817" s="22">
        <v>45331</v>
      </c>
      <c r="C817" s="23" t="s">
        <v>983</v>
      </c>
      <c r="D817" s="23" t="s">
        <v>22</v>
      </c>
      <c r="E817" s="23" t="s">
        <v>176</v>
      </c>
      <c r="F817" s="23" t="s">
        <v>2593</v>
      </c>
      <c r="G817" s="23" t="s">
        <v>2587</v>
      </c>
      <c r="H817" s="23" t="s">
        <v>39</v>
      </c>
      <c r="I817" s="23" t="s">
        <v>27</v>
      </c>
      <c r="J817" s="23" t="s">
        <v>106</v>
      </c>
      <c r="K817" s="23" t="s">
        <v>248</v>
      </c>
      <c r="L817" s="23" t="s">
        <v>2693</v>
      </c>
      <c r="M817" s="23" t="s">
        <v>30</v>
      </c>
      <c r="N817" s="23" t="s">
        <v>2578</v>
      </c>
      <c r="O817" s="23">
        <v>7</v>
      </c>
      <c r="P817" s="23">
        <v>101.14</v>
      </c>
      <c r="Q817" s="23">
        <v>67.7</v>
      </c>
      <c r="R817" s="23">
        <v>707.98</v>
      </c>
      <c r="S817" s="23">
        <v>0.02</v>
      </c>
      <c r="T817" s="23">
        <v>14.16</v>
      </c>
      <c r="U817" s="23">
        <v>693.82</v>
      </c>
      <c r="V817" s="23">
        <v>473.91</v>
      </c>
      <c r="W817" s="23">
        <v>219.91</v>
      </c>
      <c r="X817" s="23" t="s">
        <v>45</v>
      </c>
    </row>
    <row r="818" spans="1:24" x14ac:dyDescent="0.25">
      <c r="A818" s="20" t="s">
        <v>1315</v>
      </c>
      <c r="B818" s="19">
        <v>45343</v>
      </c>
      <c r="C818" s="20" t="s">
        <v>785</v>
      </c>
      <c r="D818" s="20" t="s">
        <v>264</v>
      </c>
      <c r="E818" s="20" t="s">
        <v>126</v>
      </c>
      <c r="F818" s="20" t="s">
        <v>2589</v>
      </c>
      <c r="G818" s="20" t="s">
        <v>2586</v>
      </c>
      <c r="H818" s="20" t="s">
        <v>128</v>
      </c>
      <c r="I818" s="20" t="s">
        <v>88</v>
      </c>
      <c r="J818" s="20" t="s">
        <v>173</v>
      </c>
      <c r="K818" s="20" t="s">
        <v>178</v>
      </c>
      <c r="L818" s="20" t="s">
        <v>2689</v>
      </c>
      <c r="M818" s="20" t="s">
        <v>153</v>
      </c>
      <c r="N818" s="20" t="s">
        <v>2578</v>
      </c>
      <c r="O818" s="20">
        <v>18</v>
      </c>
      <c r="P818" s="20">
        <v>85.42</v>
      </c>
      <c r="Q818" s="20">
        <v>51.69</v>
      </c>
      <c r="R818" s="20">
        <v>1537.54</v>
      </c>
      <c r="S818" s="20">
        <v>0</v>
      </c>
      <c r="T818" s="20">
        <v>0</v>
      </c>
      <c r="U818" s="20">
        <v>1537.54</v>
      </c>
      <c r="V818" s="20">
        <v>930.44</v>
      </c>
      <c r="W818" s="20">
        <v>607.1</v>
      </c>
      <c r="X818" s="20" t="s">
        <v>45</v>
      </c>
    </row>
    <row r="819" spans="1:24" x14ac:dyDescent="0.25">
      <c r="A819" s="23" t="s">
        <v>1316</v>
      </c>
      <c r="B819" s="22">
        <v>45480</v>
      </c>
      <c r="C819" s="23" t="s">
        <v>1317</v>
      </c>
      <c r="D819" s="23" t="s">
        <v>35</v>
      </c>
      <c r="E819" s="23" t="s">
        <v>109</v>
      </c>
      <c r="F819" s="23" t="s">
        <v>110</v>
      </c>
      <c r="G819" s="23" t="s">
        <v>2584</v>
      </c>
      <c r="H819" s="23" t="s">
        <v>81</v>
      </c>
      <c r="I819" s="23" t="s">
        <v>58</v>
      </c>
      <c r="J819" s="23" t="s">
        <v>73</v>
      </c>
      <c r="K819" s="23" t="s">
        <v>265</v>
      </c>
      <c r="L819" s="23" t="s">
        <v>2663</v>
      </c>
      <c r="M819" s="23" t="s">
        <v>43</v>
      </c>
      <c r="N819" s="23" t="s">
        <v>2578</v>
      </c>
      <c r="O819" s="23">
        <v>2</v>
      </c>
      <c r="P819" s="23">
        <v>128.78</v>
      </c>
      <c r="Q819" s="23">
        <v>78.42</v>
      </c>
      <c r="R819" s="23">
        <v>257.56</v>
      </c>
      <c r="S819" s="23">
        <v>0</v>
      </c>
      <c r="T819" s="23">
        <v>0</v>
      </c>
      <c r="U819" s="23">
        <v>257.56</v>
      </c>
      <c r="V819" s="23">
        <v>156.84</v>
      </c>
      <c r="W819" s="23">
        <v>100.72</v>
      </c>
      <c r="X819" s="23" t="s">
        <v>129</v>
      </c>
    </row>
    <row r="820" spans="1:24" x14ac:dyDescent="0.25">
      <c r="A820" s="20" t="s">
        <v>1318</v>
      </c>
      <c r="B820" s="19">
        <v>45491</v>
      </c>
      <c r="C820" s="20" t="s">
        <v>267</v>
      </c>
      <c r="D820" s="20" t="s">
        <v>65</v>
      </c>
      <c r="E820" s="20" t="s">
        <v>132</v>
      </c>
      <c r="F820" s="20" t="s">
        <v>133</v>
      </c>
      <c r="G820" s="20" t="s">
        <v>2581</v>
      </c>
      <c r="H820" s="20" t="s">
        <v>134</v>
      </c>
      <c r="I820" s="20" t="s">
        <v>27</v>
      </c>
      <c r="J820" s="20" t="s">
        <v>28</v>
      </c>
      <c r="K820" s="20" t="s">
        <v>184</v>
      </c>
      <c r="L820" s="20" t="s">
        <v>2690</v>
      </c>
      <c r="M820" s="20" t="s">
        <v>30</v>
      </c>
      <c r="N820" s="20" t="s">
        <v>70</v>
      </c>
      <c r="O820" s="20">
        <v>1</v>
      </c>
      <c r="P820" s="20">
        <v>0</v>
      </c>
      <c r="Q820" s="20">
        <v>35.630000000000003</v>
      </c>
      <c r="R820" s="20">
        <v>63.79</v>
      </c>
      <c r="S820" s="20">
        <v>0</v>
      </c>
      <c r="T820" s="20">
        <v>0</v>
      </c>
      <c r="U820" s="20">
        <v>63.79</v>
      </c>
      <c r="V820" s="20">
        <v>35.630000000000003</v>
      </c>
      <c r="W820" s="20">
        <v>28.16</v>
      </c>
      <c r="X820" s="20" t="s">
        <v>45</v>
      </c>
    </row>
    <row r="821" spans="1:24" x14ac:dyDescent="0.25">
      <c r="A821" s="23" t="s">
        <v>1319</v>
      </c>
      <c r="B821" s="22">
        <v>45362</v>
      </c>
      <c r="C821" s="23" t="s">
        <v>1047</v>
      </c>
      <c r="D821" s="23" t="s">
        <v>156</v>
      </c>
      <c r="E821" s="23" t="s">
        <v>216</v>
      </c>
      <c r="F821" s="23" t="s">
        <v>2596</v>
      </c>
      <c r="G821" s="23" t="s">
        <v>2579</v>
      </c>
      <c r="H821" s="23" t="s">
        <v>134</v>
      </c>
      <c r="I821" s="23" t="s">
        <v>58</v>
      </c>
      <c r="J821" s="23" t="s">
        <v>345</v>
      </c>
      <c r="K821" s="23" t="s">
        <v>170</v>
      </c>
      <c r="L821" s="23" t="s">
        <v>2671</v>
      </c>
      <c r="M821" s="23" t="s">
        <v>30</v>
      </c>
      <c r="N821" s="23" t="s">
        <v>75</v>
      </c>
      <c r="O821" s="23">
        <v>57</v>
      </c>
      <c r="P821" s="23">
        <v>114.2</v>
      </c>
      <c r="Q821" s="23">
        <v>65.02</v>
      </c>
      <c r="R821" s="23">
        <v>6509.36</v>
      </c>
      <c r="S821" s="23">
        <v>0</v>
      </c>
      <c r="T821" s="23">
        <v>0</v>
      </c>
      <c r="U821" s="23">
        <v>6509.36</v>
      </c>
      <c r="V821" s="23">
        <v>3706.34</v>
      </c>
      <c r="W821" s="23">
        <v>2803.02</v>
      </c>
      <c r="X821" s="23" t="s">
        <v>45</v>
      </c>
    </row>
    <row r="822" spans="1:24" x14ac:dyDescent="0.25">
      <c r="A822" s="20" t="s">
        <v>1320</v>
      </c>
      <c r="B822" s="19">
        <v>45432</v>
      </c>
      <c r="C822" s="20" t="s">
        <v>917</v>
      </c>
      <c r="D822" s="20" t="s">
        <v>57</v>
      </c>
      <c r="E822" s="20" t="s">
        <v>36</v>
      </c>
      <c r="F822" s="20" t="s">
        <v>37</v>
      </c>
      <c r="G822" s="20" t="s">
        <v>2579</v>
      </c>
      <c r="H822" s="20" t="s">
        <v>39</v>
      </c>
      <c r="I822" s="20" t="s">
        <v>27</v>
      </c>
      <c r="J822" s="20" t="s">
        <v>106</v>
      </c>
      <c r="K822" s="20" t="s">
        <v>261</v>
      </c>
      <c r="L822" s="20" t="s">
        <v>2695</v>
      </c>
      <c r="M822" s="20" t="s">
        <v>30</v>
      </c>
      <c r="N822" s="20" t="s">
        <v>2578</v>
      </c>
      <c r="O822" s="20">
        <v>59</v>
      </c>
      <c r="P822" s="20">
        <v>164.62</v>
      </c>
      <c r="Q822" s="20">
        <v>91.52</v>
      </c>
      <c r="R822" s="20">
        <v>9712.5499999999993</v>
      </c>
      <c r="S822" s="20">
        <v>0.02</v>
      </c>
      <c r="T822" s="20">
        <v>194.25</v>
      </c>
      <c r="U822" s="20">
        <v>9518.2999999999993</v>
      </c>
      <c r="V822" s="20">
        <v>5399.45</v>
      </c>
      <c r="W822" s="20">
        <v>4118.8500000000004</v>
      </c>
      <c r="X822" s="20" t="s">
        <v>45</v>
      </c>
    </row>
    <row r="823" spans="1:24" x14ac:dyDescent="0.25">
      <c r="A823" s="23" t="s">
        <v>1321</v>
      </c>
      <c r="B823" s="22">
        <v>45358</v>
      </c>
      <c r="C823" s="23" t="s">
        <v>864</v>
      </c>
      <c r="D823" s="23" t="s">
        <v>22</v>
      </c>
      <c r="E823" s="23" t="s">
        <v>150</v>
      </c>
      <c r="F823" s="23" t="s">
        <v>2591</v>
      </c>
      <c r="G823" s="23" t="s">
        <v>2587</v>
      </c>
      <c r="H823" s="23" t="s">
        <v>134</v>
      </c>
      <c r="I823" s="23" t="s">
        <v>53</v>
      </c>
      <c r="J823" s="23" t="s">
        <v>143</v>
      </c>
      <c r="K823" s="23" t="s">
        <v>111</v>
      </c>
      <c r="L823" s="23" t="s">
        <v>2685</v>
      </c>
      <c r="M823" s="23" t="s">
        <v>30</v>
      </c>
      <c r="N823" s="23" t="s">
        <v>2578</v>
      </c>
      <c r="O823" s="23">
        <v>79</v>
      </c>
      <c r="P823" s="23">
        <v>80.09</v>
      </c>
      <c r="Q823" s="23">
        <v>53.4</v>
      </c>
      <c r="R823" s="23">
        <v>6327.43</v>
      </c>
      <c r="S823" s="23">
        <v>0.1</v>
      </c>
      <c r="T823" s="23">
        <v>632.74</v>
      </c>
      <c r="U823" s="23">
        <v>5694.69</v>
      </c>
      <c r="V823" s="23">
        <v>4218.54</v>
      </c>
      <c r="W823" s="23">
        <v>1476.15</v>
      </c>
      <c r="X823" s="23" t="s">
        <v>45</v>
      </c>
    </row>
    <row r="824" spans="1:24" x14ac:dyDescent="0.25">
      <c r="A824" s="20" t="s">
        <v>1322</v>
      </c>
      <c r="B824" s="19">
        <v>45342</v>
      </c>
      <c r="C824" s="20" t="s">
        <v>594</v>
      </c>
      <c r="D824" s="20" t="s">
        <v>105</v>
      </c>
      <c r="E824" s="20" t="s">
        <v>216</v>
      </c>
      <c r="F824" s="20" t="s">
        <v>2596</v>
      </c>
      <c r="G824" s="20" t="s">
        <v>2579</v>
      </c>
      <c r="H824" s="20" t="s">
        <v>134</v>
      </c>
      <c r="I824" s="20" t="s">
        <v>58</v>
      </c>
      <c r="J824" s="20" t="s">
        <v>73</v>
      </c>
      <c r="K824" s="20" t="s">
        <v>111</v>
      </c>
      <c r="L824" s="20" t="s">
        <v>2685</v>
      </c>
      <c r="M824" s="20" t="s">
        <v>43</v>
      </c>
      <c r="N824" s="20" t="s">
        <v>70</v>
      </c>
      <c r="O824" s="20">
        <v>19</v>
      </c>
      <c r="P824" s="20">
        <v>106.03</v>
      </c>
      <c r="Q824" s="20">
        <v>62.49</v>
      </c>
      <c r="R824" s="20">
        <v>2014.48</v>
      </c>
      <c r="S824" s="20">
        <v>0.2</v>
      </c>
      <c r="T824" s="20">
        <v>402.9</v>
      </c>
      <c r="U824" s="20">
        <v>1611.58</v>
      </c>
      <c r="V824" s="20">
        <v>1187.3399999999999</v>
      </c>
      <c r="W824" s="20">
        <v>424.25</v>
      </c>
      <c r="X824" s="20" t="s">
        <v>45</v>
      </c>
    </row>
    <row r="825" spans="1:24" x14ac:dyDescent="0.25">
      <c r="A825" s="23" t="s">
        <v>1323</v>
      </c>
      <c r="B825" s="22">
        <v>45602</v>
      </c>
      <c r="C825" s="23" t="s">
        <v>727</v>
      </c>
      <c r="D825" s="23" t="s">
        <v>65</v>
      </c>
      <c r="E825" s="23" t="s">
        <v>222</v>
      </c>
      <c r="F825" s="23" t="s">
        <v>2597</v>
      </c>
      <c r="G825" s="23" t="s">
        <v>2587</v>
      </c>
      <c r="H825" s="23" t="s">
        <v>68</v>
      </c>
      <c r="I825" s="23" t="s">
        <v>53</v>
      </c>
      <c r="J825" s="23" t="s">
        <v>54</v>
      </c>
      <c r="K825" s="23" t="s">
        <v>90</v>
      </c>
      <c r="L825" s="23" t="s">
        <v>2684</v>
      </c>
      <c r="M825" s="23" t="s">
        <v>30</v>
      </c>
      <c r="N825" s="23" t="s">
        <v>2578</v>
      </c>
      <c r="O825" s="23">
        <v>4</v>
      </c>
      <c r="P825" s="23">
        <v>122.06</v>
      </c>
      <c r="Q825" s="23">
        <v>79.64</v>
      </c>
      <c r="R825" s="23">
        <v>488.22</v>
      </c>
      <c r="S825" s="23">
        <v>0.02</v>
      </c>
      <c r="T825" s="23">
        <v>9.76</v>
      </c>
      <c r="U825" s="23">
        <v>478.46</v>
      </c>
      <c r="V825" s="23">
        <v>318.55</v>
      </c>
      <c r="W825" s="23">
        <v>159.91</v>
      </c>
      <c r="X825" s="23" t="s">
        <v>45</v>
      </c>
    </row>
    <row r="826" spans="1:24" x14ac:dyDescent="0.25">
      <c r="A826" s="20" t="s">
        <v>1324</v>
      </c>
      <c r="B826" s="19">
        <v>45450</v>
      </c>
      <c r="C826" s="20" t="s">
        <v>471</v>
      </c>
      <c r="D826" s="20" t="s">
        <v>125</v>
      </c>
      <c r="E826" s="20" t="s">
        <v>93</v>
      </c>
      <c r="F826" s="20" t="s">
        <v>2585</v>
      </c>
      <c r="G826" s="20" t="s">
        <v>2586</v>
      </c>
      <c r="H826" s="20" t="s">
        <v>96</v>
      </c>
      <c r="I826" s="20" t="s">
        <v>27</v>
      </c>
      <c r="J826" s="20" t="s">
        <v>189</v>
      </c>
      <c r="K826" s="20" t="s">
        <v>29</v>
      </c>
      <c r="L826" s="20" t="s">
        <v>2679</v>
      </c>
      <c r="M826" s="20" t="s">
        <v>61</v>
      </c>
      <c r="N826" s="20" t="s">
        <v>70</v>
      </c>
      <c r="O826" s="20">
        <v>57</v>
      </c>
      <c r="P826" s="20">
        <v>55.43</v>
      </c>
      <c r="Q826" s="20">
        <v>32.979999999999997</v>
      </c>
      <c r="R826" s="20">
        <v>3159.44</v>
      </c>
      <c r="S826" s="20">
        <v>0</v>
      </c>
      <c r="T826" s="20">
        <v>0</v>
      </c>
      <c r="U826" s="20">
        <v>3159.44</v>
      </c>
      <c r="V826" s="20">
        <v>1880</v>
      </c>
      <c r="W826" s="20">
        <v>1279.44</v>
      </c>
      <c r="X826" s="20" t="s">
        <v>45</v>
      </c>
    </row>
    <row r="827" spans="1:24" x14ac:dyDescent="0.25">
      <c r="A827" s="23" t="s">
        <v>1325</v>
      </c>
      <c r="B827" s="22">
        <v>45471</v>
      </c>
      <c r="C827" s="23" t="s">
        <v>739</v>
      </c>
      <c r="D827" s="23" t="s">
        <v>48</v>
      </c>
      <c r="E827" s="23" t="s">
        <v>176</v>
      </c>
      <c r="F827" s="23" t="s">
        <v>2593</v>
      </c>
      <c r="G827" s="23" t="s">
        <v>2587</v>
      </c>
      <c r="H827" s="23" t="s">
        <v>39</v>
      </c>
      <c r="I827" s="23" t="s">
        <v>88</v>
      </c>
      <c r="J827" s="23" t="s">
        <v>173</v>
      </c>
      <c r="K827" s="23" t="s">
        <v>261</v>
      </c>
      <c r="L827" s="23" t="s">
        <v>2695</v>
      </c>
      <c r="M827" s="23" t="s">
        <v>61</v>
      </c>
      <c r="N827" s="23" t="s">
        <v>2578</v>
      </c>
      <c r="O827" s="23">
        <v>72</v>
      </c>
      <c r="P827" s="23">
        <v>110.9</v>
      </c>
      <c r="Q827" s="23">
        <v>61.15</v>
      </c>
      <c r="R827" s="23">
        <v>7984.73</v>
      </c>
      <c r="S827" s="23">
        <f>ROUND(Cleaned_Sales!$T827/Cleaned_Sales!$R827,2)</f>
        <v>0.05</v>
      </c>
      <c r="T827" s="23">
        <v>399.24</v>
      </c>
      <c r="U827" s="23">
        <v>7585.5</v>
      </c>
      <c r="V827" s="23">
        <v>4403.13</v>
      </c>
      <c r="W827" s="23">
        <v>3182.37</v>
      </c>
      <c r="X827" s="23" t="s">
        <v>32</v>
      </c>
    </row>
    <row r="828" spans="1:24" x14ac:dyDescent="0.25">
      <c r="A828" s="20" t="s">
        <v>1326</v>
      </c>
      <c r="B828" s="19">
        <v>45309</v>
      </c>
      <c r="C828" s="20" t="s">
        <v>410</v>
      </c>
      <c r="D828" s="20" t="s">
        <v>149</v>
      </c>
      <c r="E828" s="20" t="s">
        <v>222</v>
      </c>
      <c r="F828" s="20" t="s">
        <v>2597</v>
      </c>
      <c r="G828" s="20" t="s">
        <v>2587</v>
      </c>
      <c r="H828" s="20" t="s">
        <v>68</v>
      </c>
      <c r="I828" s="20" t="s">
        <v>53</v>
      </c>
      <c r="J828" s="20" t="s">
        <v>232</v>
      </c>
      <c r="K828" s="20" t="s">
        <v>178</v>
      </c>
      <c r="L828" s="20" t="s">
        <v>2689</v>
      </c>
      <c r="M828" s="20" t="s">
        <v>153</v>
      </c>
      <c r="N828" s="20" t="s">
        <v>84</v>
      </c>
      <c r="O828" s="20">
        <v>26</v>
      </c>
      <c r="P828" s="20">
        <v>120.57</v>
      </c>
      <c r="Q828" s="20">
        <v>73.77</v>
      </c>
      <c r="R828" s="20">
        <v>3134.95</v>
      </c>
      <c r="S828" s="20">
        <v>25</v>
      </c>
      <c r="T828" s="20">
        <v>0</v>
      </c>
      <c r="U828" s="20">
        <v>3134.95</v>
      </c>
      <c r="V828" s="20">
        <v>1918.12</v>
      </c>
      <c r="W828" s="20">
        <v>1216.83</v>
      </c>
      <c r="X828" s="20" t="s">
        <v>129</v>
      </c>
    </row>
    <row r="829" spans="1:24" x14ac:dyDescent="0.25">
      <c r="A829" s="23" t="s">
        <v>1327</v>
      </c>
      <c r="B829" s="22">
        <v>45427</v>
      </c>
      <c r="C829" s="23" t="s">
        <v>794</v>
      </c>
      <c r="D829" s="23" t="s">
        <v>65</v>
      </c>
      <c r="E829" s="23" t="s">
        <v>66</v>
      </c>
      <c r="F829" s="23" t="s">
        <v>2582</v>
      </c>
      <c r="G829" s="23" t="s">
        <v>2579</v>
      </c>
      <c r="H829" s="23" t="s">
        <v>68</v>
      </c>
      <c r="I829" s="23" t="s">
        <v>58</v>
      </c>
      <c r="J829" s="23" t="s">
        <v>59</v>
      </c>
      <c r="K829" s="23" t="s">
        <v>170</v>
      </c>
      <c r="L829" s="23" t="s">
        <v>2671</v>
      </c>
      <c r="M829" s="23" t="s">
        <v>30</v>
      </c>
      <c r="N829" s="23" t="s">
        <v>70</v>
      </c>
      <c r="O829" s="23">
        <v>23</v>
      </c>
      <c r="P829" s="23">
        <v>170.43</v>
      </c>
      <c r="Q829" s="23">
        <v>107.56</v>
      </c>
      <c r="R829" s="23">
        <v>3920</v>
      </c>
      <c r="S829" s="23">
        <v>0.1</v>
      </c>
      <c r="T829" s="23">
        <v>392</v>
      </c>
      <c r="U829" s="23">
        <v>3528</v>
      </c>
      <c r="V829" s="23">
        <v>2473.91</v>
      </c>
      <c r="W829" s="23">
        <v>1054.0899999999999</v>
      </c>
      <c r="X829" s="23" t="s">
        <v>45</v>
      </c>
    </row>
    <row r="830" spans="1:24" x14ac:dyDescent="0.25">
      <c r="A830" s="20" t="s">
        <v>1328</v>
      </c>
      <c r="B830" s="19">
        <v>45326</v>
      </c>
      <c r="C830" s="20" t="s">
        <v>420</v>
      </c>
      <c r="D830" s="20" t="s">
        <v>156</v>
      </c>
      <c r="E830" s="20" t="s">
        <v>23</v>
      </c>
      <c r="F830" s="20" t="s">
        <v>2576</v>
      </c>
      <c r="G830" s="20" t="s">
        <v>2577</v>
      </c>
      <c r="H830" s="20" t="s">
        <v>26</v>
      </c>
      <c r="I830" s="20" t="s">
        <v>27</v>
      </c>
      <c r="J830" s="20" t="s">
        <v>28</v>
      </c>
      <c r="K830" s="20" t="s">
        <v>69</v>
      </c>
      <c r="L830" s="20" t="s">
        <v>2681</v>
      </c>
      <c r="M830" s="20" t="s">
        <v>61</v>
      </c>
      <c r="N830" s="20" t="s">
        <v>84</v>
      </c>
      <c r="O830" s="20">
        <v>41</v>
      </c>
      <c r="P830" s="20">
        <v>80.48</v>
      </c>
      <c r="Q830" s="20">
        <v>44</v>
      </c>
      <c r="R830" s="20">
        <v>3299.75</v>
      </c>
      <c r="S830" s="20">
        <v>0.05</v>
      </c>
      <c r="T830" s="20">
        <v>164.99</v>
      </c>
      <c r="U830" s="20">
        <v>3134.76</v>
      </c>
      <c r="V830" s="20">
        <v>1804.12</v>
      </c>
      <c r="W830" s="20">
        <v>1330.64</v>
      </c>
      <c r="X830" s="20" t="s">
        <v>45</v>
      </c>
    </row>
    <row r="831" spans="1:24" x14ac:dyDescent="0.25">
      <c r="A831" s="23" t="s">
        <v>1329</v>
      </c>
      <c r="B831" s="22">
        <v>45346</v>
      </c>
      <c r="C831" s="23" t="s">
        <v>131</v>
      </c>
      <c r="D831" s="23" t="s">
        <v>65</v>
      </c>
      <c r="E831" s="23" t="s">
        <v>93</v>
      </c>
      <c r="F831" s="23" t="s">
        <v>2585</v>
      </c>
      <c r="G831" s="23" t="s">
        <v>2586</v>
      </c>
      <c r="H831" s="23" t="s">
        <v>96</v>
      </c>
      <c r="I831" s="23" t="s">
        <v>40</v>
      </c>
      <c r="J831" s="23" t="s">
        <v>117</v>
      </c>
      <c r="K831" s="23" t="s">
        <v>253</v>
      </c>
      <c r="L831" s="23" t="s">
        <v>2694</v>
      </c>
      <c r="M831" s="23" t="s">
        <v>153</v>
      </c>
      <c r="N831" s="23" t="s">
        <v>2578</v>
      </c>
      <c r="O831" s="23">
        <v>73</v>
      </c>
      <c r="P831" s="23">
        <v>57.29</v>
      </c>
      <c r="Q831" s="23">
        <v>32.49</v>
      </c>
      <c r="R831" s="23">
        <v>4182.17</v>
      </c>
      <c r="S831" s="23">
        <v>0</v>
      </c>
      <c r="T831" s="23">
        <v>0</v>
      </c>
      <c r="U831" s="23">
        <v>4182.17</v>
      </c>
      <c r="V831" s="23">
        <v>2371.75</v>
      </c>
      <c r="W831" s="23">
        <v>1810.42</v>
      </c>
      <c r="X831" s="23" t="s">
        <v>45</v>
      </c>
    </row>
    <row r="832" spans="1:24" x14ac:dyDescent="0.25">
      <c r="A832" s="20" t="s">
        <v>1330</v>
      </c>
      <c r="B832" s="19">
        <v>45308</v>
      </c>
      <c r="C832" s="20" t="s">
        <v>361</v>
      </c>
      <c r="D832" s="20" t="s">
        <v>35</v>
      </c>
      <c r="E832" s="20" t="s">
        <v>126</v>
      </c>
      <c r="F832" s="20" t="s">
        <v>2589</v>
      </c>
      <c r="G832" s="20" t="s">
        <v>2586</v>
      </c>
      <c r="H832" s="20" t="s">
        <v>128</v>
      </c>
      <c r="I832" s="20" t="s">
        <v>88</v>
      </c>
      <c r="J832" s="20" t="s">
        <v>2112</v>
      </c>
      <c r="K832" s="20" t="s">
        <v>29</v>
      </c>
      <c r="L832" s="20" t="s">
        <v>2679</v>
      </c>
      <c r="M832" s="20" t="s">
        <v>153</v>
      </c>
      <c r="N832" s="20" t="s">
        <v>75</v>
      </c>
      <c r="O832" s="20">
        <v>16</v>
      </c>
      <c r="P832" s="20">
        <v>93.01</v>
      </c>
      <c r="Q832" s="20">
        <v>48.83</v>
      </c>
      <c r="R832" s="20">
        <v>1488.1</v>
      </c>
      <c r="S832" s="20">
        <v>0.2</v>
      </c>
      <c r="T832" s="20">
        <v>297.62</v>
      </c>
      <c r="U832" s="20">
        <v>1190.48</v>
      </c>
      <c r="V832" s="20">
        <v>781.29</v>
      </c>
      <c r="W832" s="20">
        <v>409.18</v>
      </c>
      <c r="X832" s="20" t="s">
        <v>45</v>
      </c>
    </row>
    <row r="833" spans="1:24" x14ac:dyDescent="0.25">
      <c r="A833" s="23" t="s">
        <v>1331</v>
      </c>
      <c r="B833" s="22">
        <v>45613</v>
      </c>
      <c r="C833" s="23" t="s">
        <v>442</v>
      </c>
      <c r="D833" s="23" t="s">
        <v>87</v>
      </c>
      <c r="E833" s="23" t="s">
        <v>99</v>
      </c>
      <c r="F833" s="23" t="s">
        <v>100</v>
      </c>
      <c r="G833" s="23" t="s">
        <v>2587</v>
      </c>
      <c r="H833" s="23" t="s">
        <v>102</v>
      </c>
      <c r="I833" s="23" t="s">
        <v>53</v>
      </c>
      <c r="J833" s="23" t="s">
        <v>54</v>
      </c>
      <c r="K833" s="23" t="s">
        <v>29</v>
      </c>
      <c r="L833" s="23" t="s">
        <v>2679</v>
      </c>
      <c r="M833" s="23" t="s">
        <v>43</v>
      </c>
      <c r="N833" s="23" t="s">
        <v>84</v>
      </c>
      <c r="O833" s="23">
        <v>61</v>
      </c>
      <c r="P833" s="23">
        <v>72.61</v>
      </c>
      <c r="Q833" s="23">
        <v>38.58</v>
      </c>
      <c r="R833" s="23">
        <v>4429.26</v>
      </c>
      <c r="S833" s="23">
        <v>0.2</v>
      </c>
      <c r="T833" s="23">
        <v>885.85</v>
      </c>
      <c r="U833" s="23">
        <v>3543.41</v>
      </c>
      <c r="V833" s="23">
        <v>2353.5700000000002</v>
      </c>
      <c r="W833" s="23">
        <v>1189.8399999999999</v>
      </c>
      <c r="X833" s="23" t="s">
        <v>45</v>
      </c>
    </row>
    <row r="834" spans="1:24" x14ac:dyDescent="0.25">
      <c r="A834" s="20" t="s">
        <v>1332</v>
      </c>
      <c r="B834" s="19">
        <v>45627</v>
      </c>
      <c r="C834" s="20" t="s">
        <v>658</v>
      </c>
      <c r="D834" s="20" t="s">
        <v>264</v>
      </c>
      <c r="E834" s="20" t="s">
        <v>23</v>
      </c>
      <c r="F834" s="20" t="s">
        <v>2576</v>
      </c>
      <c r="G834" s="20" t="s">
        <v>2577</v>
      </c>
      <c r="H834" s="20" t="s">
        <v>26</v>
      </c>
      <c r="I834" s="20" t="s">
        <v>58</v>
      </c>
      <c r="J834" s="20" t="s">
        <v>59</v>
      </c>
      <c r="K834" s="20" t="s">
        <v>178</v>
      </c>
      <c r="L834" s="20" t="s">
        <v>2689</v>
      </c>
      <c r="M834" s="20" t="s">
        <v>61</v>
      </c>
      <c r="N834" s="20" t="s">
        <v>84</v>
      </c>
      <c r="O834" s="20">
        <v>5</v>
      </c>
      <c r="P834" s="20">
        <v>76.94</v>
      </c>
      <c r="Q834" s="20">
        <v>44.72</v>
      </c>
      <c r="R834" s="20">
        <v>384.7</v>
      </c>
      <c r="S834" s="20">
        <v>0.1</v>
      </c>
      <c r="T834" s="20">
        <v>38.47</v>
      </c>
      <c r="U834" s="20">
        <v>346.23</v>
      </c>
      <c r="V834" s="20">
        <v>223.61</v>
      </c>
      <c r="W834" s="20">
        <v>122.63</v>
      </c>
      <c r="X834" s="20" t="s">
        <v>32</v>
      </c>
    </row>
    <row r="835" spans="1:24" x14ac:dyDescent="0.25">
      <c r="A835" s="23" t="s">
        <v>1333</v>
      </c>
      <c r="B835" s="22">
        <v>45616</v>
      </c>
      <c r="C835" s="23" t="s">
        <v>1334</v>
      </c>
      <c r="D835" s="23" t="s">
        <v>35</v>
      </c>
      <c r="E835" s="23" t="s">
        <v>66</v>
      </c>
      <c r="F835" s="23" t="s">
        <v>2582</v>
      </c>
      <c r="G835" s="23" t="s">
        <v>2579</v>
      </c>
      <c r="H835" s="23" t="s">
        <v>68</v>
      </c>
      <c r="I835" s="23" t="s">
        <v>88</v>
      </c>
      <c r="J835" s="23" t="s">
        <v>2112</v>
      </c>
      <c r="K835" s="23" t="s">
        <v>29</v>
      </c>
      <c r="L835" s="23" t="s">
        <v>2679</v>
      </c>
      <c r="M835" s="23" t="s">
        <v>30</v>
      </c>
      <c r="N835" s="23" t="s">
        <v>44</v>
      </c>
      <c r="O835" s="23">
        <v>64</v>
      </c>
      <c r="P835" s="23">
        <v>166.16</v>
      </c>
      <c r="Q835" s="23">
        <v>98.06</v>
      </c>
      <c r="R835" s="23">
        <v>10634</v>
      </c>
      <c r="S835" s="23">
        <v>0.1</v>
      </c>
      <c r="T835" s="23">
        <v>1063.4000000000001</v>
      </c>
      <c r="U835" s="23">
        <v>9570.6</v>
      </c>
      <c r="V835" s="23">
        <v>6275.65</v>
      </c>
      <c r="W835" s="23">
        <v>3294.95</v>
      </c>
      <c r="X835" s="23" t="s">
        <v>45</v>
      </c>
    </row>
    <row r="836" spans="1:24" x14ac:dyDescent="0.25">
      <c r="A836" s="20" t="s">
        <v>1335</v>
      </c>
      <c r="B836" s="19">
        <v>45513</v>
      </c>
      <c r="C836" s="20" t="s">
        <v>970</v>
      </c>
      <c r="D836" s="20" t="s">
        <v>159</v>
      </c>
      <c r="E836" s="20" t="s">
        <v>66</v>
      </c>
      <c r="F836" s="20" t="s">
        <v>2582</v>
      </c>
      <c r="G836" s="20" t="s">
        <v>2579</v>
      </c>
      <c r="H836" s="20" t="s">
        <v>68</v>
      </c>
      <c r="I836" s="20" t="s">
        <v>27</v>
      </c>
      <c r="J836" s="20" t="s">
        <v>211</v>
      </c>
      <c r="K836" s="20" t="s">
        <v>60</v>
      </c>
      <c r="L836" s="20" t="s">
        <v>2677</v>
      </c>
      <c r="M836" s="20" t="s">
        <v>153</v>
      </c>
      <c r="N836" s="20" t="s">
        <v>70</v>
      </c>
      <c r="O836" s="20">
        <v>64</v>
      </c>
      <c r="P836" s="20">
        <v>164.43</v>
      </c>
      <c r="Q836" s="20">
        <v>100.26</v>
      </c>
      <c r="R836" s="20">
        <v>10523.39</v>
      </c>
      <c r="S836" s="20">
        <v>0.05</v>
      </c>
      <c r="T836" s="20">
        <v>526.16999999999996</v>
      </c>
      <c r="U836" s="20">
        <v>9997.2199999999993</v>
      </c>
      <c r="V836" s="20">
        <v>6416.79</v>
      </c>
      <c r="W836" s="20">
        <v>3580.43</v>
      </c>
      <c r="X836" s="20" t="s">
        <v>45</v>
      </c>
    </row>
    <row r="837" spans="1:24" x14ac:dyDescent="0.25">
      <c r="A837" s="23" t="s">
        <v>1336</v>
      </c>
      <c r="B837" s="22">
        <v>45296</v>
      </c>
      <c r="C837" s="23" t="s">
        <v>1075</v>
      </c>
      <c r="D837" s="23" t="s">
        <v>65</v>
      </c>
      <c r="E837" s="23" t="s">
        <v>150</v>
      </c>
      <c r="F837" s="23" t="s">
        <v>2591</v>
      </c>
      <c r="G837" s="23" t="s">
        <v>2587</v>
      </c>
      <c r="H837" s="23" t="s">
        <v>134</v>
      </c>
      <c r="I837" s="23" t="s">
        <v>58</v>
      </c>
      <c r="J837" s="23" t="s">
        <v>345</v>
      </c>
      <c r="K837" s="23" t="s">
        <v>90</v>
      </c>
      <c r="L837" s="23" t="s">
        <v>2684</v>
      </c>
      <c r="M837" s="23" t="s">
        <v>153</v>
      </c>
      <c r="N837" s="23" t="s">
        <v>84</v>
      </c>
      <c r="O837" s="23">
        <v>39</v>
      </c>
      <c r="P837" s="23">
        <v>87.35</v>
      </c>
      <c r="Q837" s="23">
        <v>53.06</v>
      </c>
      <c r="R837" s="23">
        <v>3406.5</v>
      </c>
      <c r="S837" s="23">
        <v>0.15</v>
      </c>
      <c r="T837" s="23">
        <v>510.98</v>
      </c>
      <c r="U837" s="23">
        <v>2895.53</v>
      </c>
      <c r="V837" s="23">
        <v>2069.3200000000002</v>
      </c>
      <c r="W837" s="23">
        <v>826.21</v>
      </c>
      <c r="X837" s="23" t="s">
        <v>45</v>
      </c>
    </row>
    <row r="838" spans="1:24" x14ac:dyDescent="0.25">
      <c r="A838" s="20" t="s">
        <v>1337</v>
      </c>
      <c r="B838" s="19">
        <v>45470</v>
      </c>
      <c r="C838" s="20" t="s">
        <v>98</v>
      </c>
      <c r="D838" s="20" t="s">
        <v>48</v>
      </c>
      <c r="E838" s="20" t="s">
        <v>109</v>
      </c>
      <c r="F838" s="20" t="s">
        <v>110</v>
      </c>
      <c r="G838" s="20" t="s">
        <v>2584</v>
      </c>
      <c r="H838" s="20" t="s">
        <v>81</v>
      </c>
      <c r="I838" s="20" t="s">
        <v>40</v>
      </c>
      <c r="J838" s="20" t="s">
        <v>117</v>
      </c>
      <c r="K838" s="20" t="s">
        <v>90</v>
      </c>
      <c r="L838" s="20" t="s">
        <v>2684</v>
      </c>
      <c r="M838" s="20" t="s">
        <v>30</v>
      </c>
      <c r="N838" s="20" t="s">
        <v>84</v>
      </c>
      <c r="O838" s="20">
        <v>55</v>
      </c>
      <c r="P838" s="20">
        <v>133.86000000000001</v>
      </c>
      <c r="Q838" s="20">
        <v>70.930000000000007</v>
      </c>
      <c r="R838" s="20">
        <v>7362.38</v>
      </c>
      <c r="S838" s="20">
        <v>0.1</v>
      </c>
      <c r="T838" s="20">
        <v>736.24</v>
      </c>
      <c r="U838" s="20">
        <v>6626.15</v>
      </c>
      <c r="V838" s="20">
        <v>3901.14</v>
      </c>
      <c r="W838" s="20">
        <v>2725.01</v>
      </c>
      <c r="X838" s="20" t="s">
        <v>32</v>
      </c>
    </row>
    <row r="839" spans="1:24" x14ac:dyDescent="0.25">
      <c r="A839" s="23" t="s">
        <v>1338</v>
      </c>
      <c r="B839" s="22">
        <v>45640</v>
      </c>
      <c r="C839" s="23" t="s">
        <v>696</v>
      </c>
      <c r="D839" s="23" t="s">
        <v>105</v>
      </c>
      <c r="E839" s="23" t="s">
        <v>99</v>
      </c>
      <c r="F839" s="23" t="s">
        <v>100</v>
      </c>
      <c r="G839" s="23" t="s">
        <v>2587</v>
      </c>
      <c r="H839" s="23" t="s">
        <v>102</v>
      </c>
      <c r="I839" s="23" t="s">
        <v>40</v>
      </c>
      <c r="J839" s="23" t="s">
        <v>82</v>
      </c>
      <c r="K839" s="23" t="s">
        <v>152</v>
      </c>
      <c r="L839" s="23" t="s">
        <v>2688</v>
      </c>
      <c r="M839" s="23" t="s">
        <v>153</v>
      </c>
      <c r="N839" s="23" t="s">
        <v>84</v>
      </c>
      <c r="O839" s="23">
        <v>73</v>
      </c>
      <c r="P839" s="23">
        <v>74.37</v>
      </c>
      <c r="Q839" s="23">
        <v>39.94</v>
      </c>
      <c r="R839" s="23">
        <v>5428.87</v>
      </c>
      <c r="S839" s="23">
        <v>0.2</v>
      </c>
      <c r="T839" s="23">
        <v>1085.77</v>
      </c>
      <c r="U839" s="23">
        <v>4343.09</v>
      </c>
      <c r="V839" s="23">
        <v>2915.42</v>
      </c>
      <c r="W839" s="23">
        <v>1427.68</v>
      </c>
      <c r="X839" s="23" t="s">
        <v>45</v>
      </c>
    </row>
    <row r="840" spans="1:24" x14ac:dyDescent="0.25">
      <c r="A840" s="20" t="s">
        <v>1339</v>
      </c>
      <c r="B840" s="19">
        <v>45419</v>
      </c>
      <c r="C840" s="20" t="s">
        <v>182</v>
      </c>
      <c r="D840" s="20" t="s">
        <v>35</v>
      </c>
      <c r="E840" s="20" t="s">
        <v>216</v>
      </c>
      <c r="F840" s="20" t="s">
        <v>2596</v>
      </c>
      <c r="G840" s="20" t="s">
        <v>2579</v>
      </c>
      <c r="H840" s="20" t="s">
        <v>134</v>
      </c>
      <c r="I840" s="20" t="s">
        <v>40</v>
      </c>
      <c r="J840" s="20" t="s">
        <v>289</v>
      </c>
      <c r="K840" s="20" t="s">
        <v>218</v>
      </c>
      <c r="L840" s="20" t="s">
        <v>2692</v>
      </c>
      <c r="M840" s="20" t="s">
        <v>153</v>
      </c>
      <c r="N840" s="20" t="s">
        <v>75</v>
      </c>
      <c r="O840" s="20">
        <v>49</v>
      </c>
      <c r="P840" s="20">
        <v>110.24</v>
      </c>
      <c r="Q840" s="20">
        <v>67.099999999999994</v>
      </c>
      <c r="R840" s="20">
        <v>5401.95</v>
      </c>
      <c r="S840" s="20">
        <v>0.1</v>
      </c>
      <c r="T840" s="20">
        <v>540.19000000000005</v>
      </c>
      <c r="U840" s="20">
        <v>4861.75</v>
      </c>
      <c r="V840" s="20">
        <v>3287.67</v>
      </c>
      <c r="W840" s="20">
        <v>1574.08</v>
      </c>
      <c r="X840" s="20" t="s">
        <v>45</v>
      </c>
    </row>
    <row r="841" spans="1:24" x14ac:dyDescent="0.25">
      <c r="A841" s="23" t="s">
        <v>1340</v>
      </c>
      <c r="B841" s="22">
        <v>45453</v>
      </c>
      <c r="C841" s="23" t="s">
        <v>776</v>
      </c>
      <c r="D841" s="23" t="s">
        <v>57</v>
      </c>
      <c r="E841" s="23" t="s">
        <v>187</v>
      </c>
      <c r="F841" s="23" t="s">
        <v>2594</v>
      </c>
      <c r="G841" s="23" t="s">
        <v>2577</v>
      </c>
      <c r="H841" s="23" t="s">
        <v>26</v>
      </c>
      <c r="I841" s="23" t="s">
        <v>40</v>
      </c>
      <c r="J841" s="23" t="s">
        <v>117</v>
      </c>
      <c r="K841" s="23" t="s">
        <v>83</v>
      </c>
      <c r="L841" s="23" t="s">
        <v>2683</v>
      </c>
      <c r="M841" s="23" t="s">
        <v>61</v>
      </c>
      <c r="N841" s="23" t="s">
        <v>70</v>
      </c>
      <c r="O841" s="23">
        <v>32</v>
      </c>
      <c r="P841" s="23">
        <v>47.9</v>
      </c>
      <c r="Q841" s="23">
        <v>28.68</v>
      </c>
      <c r="R841" s="23">
        <v>1532.87</v>
      </c>
      <c r="S841" s="23">
        <v>0.2</v>
      </c>
      <c r="T841" s="23">
        <v>306.57</v>
      </c>
      <c r="U841" s="23">
        <v>1226.3</v>
      </c>
      <c r="V841" s="23">
        <v>917.6</v>
      </c>
      <c r="W841" s="23">
        <v>308.69</v>
      </c>
      <c r="X841" s="23" t="s">
        <v>45</v>
      </c>
    </row>
    <row r="842" spans="1:24" x14ac:dyDescent="0.25">
      <c r="A842" s="20" t="s">
        <v>1341</v>
      </c>
      <c r="B842" s="19">
        <v>45358</v>
      </c>
      <c r="C842" s="20" t="s">
        <v>282</v>
      </c>
      <c r="D842" s="20" t="s">
        <v>125</v>
      </c>
      <c r="E842" s="20" t="s">
        <v>126</v>
      </c>
      <c r="F842" s="20" t="s">
        <v>2589</v>
      </c>
      <c r="G842" s="20" t="s">
        <v>2586</v>
      </c>
      <c r="H842" s="20" t="s">
        <v>128</v>
      </c>
      <c r="I842" s="20" t="s">
        <v>88</v>
      </c>
      <c r="J842" s="20" t="s">
        <v>173</v>
      </c>
      <c r="K842" s="20" t="s">
        <v>248</v>
      </c>
      <c r="L842" s="20" t="s">
        <v>2693</v>
      </c>
      <c r="M842" s="20" t="s">
        <v>61</v>
      </c>
      <c r="N842" s="20" t="s">
        <v>2578</v>
      </c>
      <c r="O842" s="20">
        <v>29</v>
      </c>
      <c r="P842" s="20">
        <v>86.07</v>
      </c>
      <c r="Q842" s="20">
        <v>55.86</v>
      </c>
      <c r="R842" s="20">
        <v>2496.0700000000002</v>
      </c>
      <c r="S842" s="20">
        <v>0.05</v>
      </c>
      <c r="T842" s="20">
        <v>124.8</v>
      </c>
      <c r="U842" s="20">
        <v>2371.27</v>
      </c>
      <c r="V842" s="20">
        <v>1619.89</v>
      </c>
      <c r="W842" s="20">
        <v>751.38</v>
      </c>
      <c r="X842" s="20" t="s">
        <v>45</v>
      </c>
    </row>
    <row r="843" spans="1:24" x14ac:dyDescent="0.25">
      <c r="A843" s="23" t="s">
        <v>1342</v>
      </c>
      <c r="B843" s="22">
        <v>45538</v>
      </c>
      <c r="C843" s="23" t="s">
        <v>284</v>
      </c>
      <c r="D843" s="23" t="s">
        <v>57</v>
      </c>
      <c r="E843" s="23" t="s">
        <v>165</v>
      </c>
      <c r="F843" s="23" t="s">
        <v>2592</v>
      </c>
      <c r="G843" s="23" t="s">
        <v>2586</v>
      </c>
      <c r="H843" s="23" t="s">
        <v>167</v>
      </c>
      <c r="I843" s="23" t="s">
        <v>53</v>
      </c>
      <c r="J843" s="23" t="s">
        <v>143</v>
      </c>
      <c r="K843" s="23" t="s">
        <v>29</v>
      </c>
      <c r="L843" s="23" t="s">
        <v>2679</v>
      </c>
      <c r="M843" s="23" t="s">
        <v>43</v>
      </c>
      <c r="N843" s="23" t="s">
        <v>84</v>
      </c>
      <c r="O843" s="23">
        <v>79</v>
      </c>
      <c r="P843" s="23">
        <v>40.26</v>
      </c>
      <c r="Q843" s="23">
        <v>24.42</v>
      </c>
      <c r="R843" s="23">
        <v>3180.79</v>
      </c>
      <c r="S843" s="23">
        <v>0.05</v>
      </c>
      <c r="T843" s="23">
        <v>159.04</v>
      </c>
      <c r="U843" s="23">
        <v>3021.75</v>
      </c>
      <c r="V843" s="23">
        <v>1928.95</v>
      </c>
      <c r="W843" s="23">
        <v>1092.8</v>
      </c>
      <c r="X843" s="23" t="s">
        <v>45</v>
      </c>
    </row>
    <row r="844" spans="1:24" x14ac:dyDescent="0.25">
      <c r="A844" s="20" t="s">
        <v>1343</v>
      </c>
      <c r="B844" s="19">
        <v>45297</v>
      </c>
      <c r="C844" s="20" t="s">
        <v>1002</v>
      </c>
      <c r="D844" s="20" t="s">
        <v>159</v>
      </c>
      <c r="E844" s="20" t="s">
        <v>126</v>
      </c>
      <c r="F844" s="20" t="s">
        <v>2589</v>
      </c>
      <c r="G844" s="20" t="s">
        <v>2586</v>
      </c>
      <c r="H844" s="20" t="s">
        <v>128</v>
      </c>
      <c r="I844" s="20" t="s">
        <v>27</v>
      </c>
      <c r="J844" s="20" t="s">
        <v>211</v>
      </c>
      <c r="K844" s="20" t="s">
        <v>152</v>
      </c>
      <c r="L844" s="20" t="s">
        <v>2688</v>
      </c>
      <c r="M844" s="20" t="s">
        <v>30</v>
      </c>
      <c r="N844" s="20" t="s">
        <v>70</v>
      </c>
      <c r="O844" s="20">
        <v>75</v>
      </c>
      <c r="P844" s="20">
        <v>84.15</v>
      </c>
      <c r="Q844" s="20">
        <v>56.47</v>
      </c>
      <c r="R844" s="20">
        <v>6311.37</v>
      </c>
      <c r="S844" s="20">
        <v>0.05</v>
      </c>
      <c r="T844" s="20">
        <v>315.57</v>
      </c>
      <c r="U844" s="20">
        <v>5995.8</v>
      </c>
      <c r="V844" s="20">
        <v>4235.5200000000004</v>
      </c>
      <c r="W844" s="20">
        <v>1760.27</v>
      </c>
      <c r="X844" s="20" t="s">
        <v>45</v>
      </c>
    </row>
    <row r="845" spans="1:24" x14ac:dyDescent="0.25">
      <c r="A845" s="23" t="s">
        <v>1344</v>
      </c>
      <c r="B845" s="22">
        <v>45491</v>
      </c>
      <c r="C845" s="23" t="s">
        <v>1112</v>
      </c>
      <c r="D845" s="23" t="s">
        <v>159</v>
      </c>
      <c r="E845" s="23" t="s">
        <v>114</v>
      </c>
      <c r="F845" s="23" t="s">
        <v>2588</v>
      </c>
      <c r="G845" s="23" t="s">
        <v>2586</v>
      </c>
      <c r="H845" s="23" t="s">
        <v>116</v>
      </c>
      <c r="I845" s="23" t="s">
        <v>40</v>
      </c>
      <c r="J845" s="23" t="s">
        <v>117</v>
      </c>
      <c r="K845" s="23" t="s">
        <v>152</v>
      </c>
      <c r="L845" s="23" t="s">
        <v>2688</v>
      </c>
      <c r="M845" s="23" t="s">
        <v>43</v>
      </c>
      <c r="N845" s="23" t="s">
        <v>70</v>
      </c>
      <c r="O845" s="23">
        <v>40</v>
      </c>
      <c r="P845" s="23">
        <v>37.200000000000003</v>
      </c>
      <c r="Q845" s="23">
        <v>22.53</v>
      </c>
      <c r="R845" s="23">
        <v>1487.83</v>
      </c>
      <c r="S845" s="23">
        <v>0.1</v>
      </c>
      <c r="T845" s="23">
        <v>148.78</v>
      </c>
      <c r="U845" s="23">
        <v>1339.04</v>
      </c>
      <c r="V845" s="23">
        <v>901.2</v>
      </c>
      <c r="W845" s="23">
        <v>437.85</v>
      </c>
      <c r="X845" s="23" t="s">
        <v>45</v>
      </c>
    </row>
    <row r="846" spans="1:24" x14ac:dyDescent="0.25">
      <c r="A846" s="20" t="s">
        <v>1345</v>
      </c>
      <c r="B846" s="19">
        <v>45453</v>
      </c>
      <c r="C846" s="20" t="s">
        <v>531</v>
      </c>
      <c r="D846" s="20" t="s">
        <v>264</v>
      </c>
      <c r="E846" s="20" t="s">
        <v>209</v>
      </c>
      <c r="F846" s="20" t="s">
        <v>2595</v>
      </c>
      <c r="G846" s="20" t="s">
        <v>2581</v>
      </c>
      <c r="H846" s="20" t="s">
        <v>116</v>
      </c>
      <c r="I846" s="20" t="s">
        <v>40</v>
      </c>
      <c r="J846" s="20" t="s">
        <v>82</v>
      </c>
      <c r="K846" s="20" t="s">
        <v>184</v>
      </c>
      <c r="L846" s="20" t="s">
        <v>2690</v>
      </c>
      <c r="M846" s="20" t="s">
        <v>30</v>
      </c>
      <c r="N846" s="20" t="s">
        <v>75</v>
      </c>
      <c r="O846" s="20">
        <v>19</v>
      </c>
      <c r="P846" s="20">
        <v>18.8</v>
      </c>
      <c r="Q846" s="20">
        <v>10.25</v>
      </c>
      <c r="R846" s="20">
        <v>357.13</v>
      </c>
      <c r="S846" s="20">
        <v>0.05</v>
      </c>
      <c r="T846" s="20">
        <v>17.86</v>
      </c>
      <c r="U846" s="20">
        <v>339.27</v>
      </c>
      <c r="V846" s="20">
        <v>194.75</v>
      </c>
      <c r="W846" s="20">
        <v>144.52000000000001</v>
      </c>
      <c r="X846" s="20" t="s">
        <v>32</v>
      </c>
    </row>
    <row r="847" spans="1:24" x14ac:dyDescent="0.25">
      <c r="A847" s="23" t="s">
        <v>796</v>
      </c>
      <c r="B847" s="22">
        <v>45357</v>
      </c>
      <c r="C847" s="23" t="s">
        <v>596</v>
      </c>
      <c r="D847" s="23" t="s">
        <v>597</v>
      </c>
      <c r="E847" s="23" t="s">
        <v>114</v>
      </c>
      <c r="F847" s="23" t="s">
        <v>2588</v>
      </c>
      <c r="G847" s="23" t="s">
        <v>2586</v>
      </c>
      <c r="H847" s="23" t="s">
        <v>116</v>
      </c>
      <c r="I847" s="23" t="s">
        <v>27</v>
      </c>
      <c r="J847" s="23" t="s">
        <v>189</v>
      </c>
      <c r="K847" s="23" t="s">
        <v>170</v>
      </c>
      <c r="L847" s="23" t="s">
        <v>2671</v>
      </c>
      <c r="M847" s="23" t="s">
        <v>153</v>
      </c>
      <c r="N847" s="23" t="s">
        <v>2619</v>
      </c>
      <c r="O847" s="23">
        <v>47</v>
      </c>
      <c r="P847" s="23">
        <v>32.43</v>
      </c>
      <c r="Q847" s="23">
        <v>19.82</v>
      </c>
      <c r="R847" s="23">
        <v>1524.34</v>
      </c>
      <c r="S847" s="23">
        <v>0.05</v>
      </c>
      <c r="T847" s="23">
        <v>76.22</v>
      </c>
      <c r="U847" s="23">
        <v>1448.12</v>
      </c>
      <c r="V847" s="23">
        <v>931.47</v>
      </c>
      <c r="W847" s="23">
        <v>516.66</v>
      </c>
      <c r="X847" s="23" t="s">
        <v>45</v>
      </c>
    </row>
    <row r="848" spans="1:24" x14ac:dyDescent="0.25">
      <c r="A848" s="20" t="s">
        <v>1346</v>
      </c>
      <c r="B848" s="19">
        <v>45361</v>
      </c>
      <c r="C848" s="20" t="s">
        <v>785</v>
      </c>
      <c r="D848" s="20" t="s">
        <v>264</v>
      </c>
      <c r="E848" s="20" t="s">
        <v>209</v>
      </c>
      <c r="F848" s="20" t="s">
        <v>2595</v>
      </c>
      <c r="G848" s="20" t="s">
        <v>2581</v>
      </c>
      <c r="H848" s="20" t="s">
        <v>116</v>
      </c>
      <c r="I848" s="20" t="s">
        <v>53</v>
      </c>
      <c r="J848" s="20" t="s">
        <v>54</v>
      </c>
      <c r="K848" s="20" t="s">
        <v>90</v>
      </c>
      <c r="L848" s="20" t="s">
        <v>2684</v>
      </c>
      <c r="M848" s="20" t="s">
        <v>153</v>
      </c>
      <c r="N848" s="20" t="s">
        <v>75</v>
      </c>
      <c r="O848" s="20">
        <v>31</v>
      </c>
      <c r="P848" s="20">
        <v>17.34</v>
      </c>
      <c r="Q848" s="20">
        <v>10.65</v>
      </c>
      <c r="R848" s="20">
        <v>537.6</v>
      </c>
      <c r="S848" s="20">
        <v>0.05</v>
      </c>
      <c r="T848" s="20">
        <v>26.88</v>
      </c>
      <c r="U848" s="20">
        <v>510.72</v>
      </c>
      <c r="V848" s="20">
        <v>330.05</v>
      </c>
      <c r="W848" s="20">
        <v>180.67</v>
      </c>
      <c r="X848" s="20" t="s">
        <v>45</v>
      </c>
    </row>
    <row r="849" spans="1:24" x14ac:dyDescent="0.25">
      <c r="A849" s="23" t="s">
        <v>1347</v>
      </c>
      <c r="B849" s="22">
        <v>45302</v>
      </c>
      <c r="C849" s="23" t="s">
        <v>284</v>
      </c>
      <c r="D849" s="23" t="s">
        <v>57</v>
      </c>
      <c r="E849" s="23" t="s">
        <v>49</v>
      </c>
      <c r="F849" s="23" t="s">
        <v>2580</v>
      </c>
      <c r="G849" s="23" t="s">
        <v>2581</v>
      </c>
      <c r="H849" s="23" t="s">
        <v>52</v>
      </c>
      <c r="I849" s="23" t="s">
        <v>88</v>
      </c>
      <c r="J849" s="23" t="s">
        <v>135</v>
      </c>
      <c r="K849" s="23" t="s">
        <v>218</v>
      </c>
      <c r="L849" s="23" t="s">
        <v>2692</v>
      </c>
      <c r="M849" s="23" t="s">
        <v>61</v>
      </c>
      <c r="N849" s="23" t="s">
        <v>44</v>
      </c>
      <c r="O849" s="23">
        <v>49</v>
      </c>
      <c r="P849" s="23">
        <v>25.65</v>
      </c>
      <c r="Q849" s="23">
        <v>12.35</v>
      </c>
      <c r="R849" s="23">
        <v>1256.6300000000001</v>
      </c>
      <c r="S849" s="23">
        <v>0.1</v>
      </c>
      <c r="T849" s="23">
        <v>125.66</v>
      </c>
      <c r="U849" s="23">
        <v>1130.97</v>
      </c>
      <c r="V849" s="23">
        <v>604.91999999999996</v>
      </c>
      <c r="W849" s="23">
        <v>526.04999999999995</v>
      </c>
      <c r="X849" s="23" t="s">
        <v>129</v>
      </c>
    </row>
    <row r="850" spans="1:24" x14ac:dyDescent="0.25">
      <c r="A850" s="20" t="s">
        <v>1348</v>
      </c>
      <c r="B850" s="19">
        <v>45323</v>
      </c>
      <c r="C850" s="20" t="s">
        <v>513</v>
      </c>
      <c r="D850" s="20" t="s">
        <v>48</v>
      </c>
      <c r="E850" s="20" t="s">
        <v>109</v>
      </c>
      <c r="F850" s="20" t="s">
        <v>110</v>
      </c>
      <c r="G850" s="20" t="s">
        <v>2584</v>
      </c>
      <c r="H850" s="20" t="s">
        <v>81</v>
      </c>
      <c r="I850" s="20" t="s">
        <v>27</v>
      </c>
      <c r="J850" s="20" t="s">
        <v>106</v>
      </c>
      <c r="K850" s="20" t="s">
        <v>83</v>
      </c>
      <c r="L850" s="20" t="s">
        <v>2683</v>
      </c>
      <c r="M850" s="20" t="s">
        <v>61</v>
      </c>
      <c r="N850" s="20" t="s">
        <v>70</v>
      </c>
      <c r="O850" s="20">
        <v>31</v>
      </c>
      <c r="P850" s="20">
        <v>117.37</v>
      </c>
      <c r="Q850" s="20">
        <v>79.69</v>
      </c>
      <c r="R850" s="20">
        <v>3638.6</v>
      </c>
      <c r="S850" s="20">
        <v>0.15</v>
      </c>
      <c r="T850" s="20">
        <v>545.79</v>
      </c>
      <c r="U850" s="20">
        <v>3092.81</v>
      </c>
      <c r="V850" s="20">
        <v>2470.39</v>
      </c>
      <c r="W850" s="20">
        <v>622.41999999999996</v>
      </c>
      <c r="X850" s="20" t="s">
        <v>32</v>
      </c>
    </row>
    <row r="851" spans="1:24" x14ac:dyDescent="0.25">
      <c r="A851" s="23" t="s">
        <v>1349</v>
      </c>
      <c r="B851" s="22">
        <v>45345</v>
      </c>
      <c r="C851" s="23" t="s">
        <v>611</v>
      </c>
      <c r="D851" s="23" t="s">
        <v>264</v>
      </c>
      <c r="E851" s="23" t="s">
        <v>209</v>
      </c>
      <c r="F851" s="23" t="s">
        <v>2595</v>
      </c>
      <c r="G851" s="23" t="s">
        <v>2581</v>
      </c>
      <c r="H851" s="23" t="s">
        <v>116</v>
      </c>
      <c r="I851" s="23" t="s">
        <v>40</v>
      </c>
      <c r="J851" s="23" t="s">
        <v>82</v>
      </c>
      <c r="K851" s="23" t="s">
        <v>253</v>
      </c>
      <c r="L851" s="23" t="s">
        <v>2694</v>
      </c>
      <c r="M851" s="23" t="s">
        <v>43</v>
      </c>
      <c r="N851" s="23" t="s">
        <v>2578</v>
      </c>
      <c r="O851" s="23">
        <v>64</v>
      </c>
      <c r="P851" s="23">
        <v>19.2</v>
      </c>
      <c r="Q851" s="23">
        <v>10.050000000000001</v>
      </c>
      <c r="R851" s="23">
        <v>1228.51</v>
      </c>
      <c r="S851" s="23">
        <v>0.2</v>
      </c>
      <c r="T851" s="23">
        <v>245.7</v>
      </c>
      <c r="U851" s="23">
        <v>982.81</v>
      </c>
      <c r="V851" s="23">
        <v>643.38</v>
      </c>
      <c r="W851" s="23">
        <v>339.43</v>
      </c>
      <c r="X851" s="23" t="s">
        <v>32</v>
      </c>
    </row>
    <row r="852" spans="1:24" x14ac:dyDescent="0.25">
      <c r="A852" s="20" t="s">
        <v>1350</v>
      </c>
      <c r="B852" s="19">
        <v>45404</v>
      </c>
      <c r="C852" s="20" t="s">
        <v>814</v>
      </c>
      <c r="D852" s="20" t="s">
        <v>22</v>
      </c>
      <c r="E852" s="20" t="s">
        <v>99</v>
      </c>
      <c r="F852" s="20" t="s">
        <v>100</v>
      </c>
      <c r="G852" s="20" t="s">
        <v>2587</v>
      </c>
      <c r="H852" s="20" t="s">
        <v>102</v>
      </c>
      <c r="I852" s="20" t="s">
        <v>53</v>
      </c>
      <c r="J852" s="20" t="s">
        <v>54</v>
      </c>
      <c r="K852" s="20" t="s">
        <v>265</v>
      </c>
      <c r="L852" s="20" t="s">
        <v>2663</v>
      </c>
      <c r="M852" s="20" t="s">
        <v>43</v>
      </c>
      <c r="N852" s="20" t="s">
        <v>70</v>
      </c>
      <c r="O852" s="20">
        <v>18</v>
      </c>
      <c r="P852" s="20">
        <v>71.25</v>
      </c>
      <c r="Q852" s="20">
        <v>38.64</v>
      </c>
      <c r="R852" s="20">
        <v>1282.55</v>
      </c>
      <c r="S852" s="20">
        <v>0.15</v>
      </c>
      <c r="T852" s="20">
        <v>192.38</v>
      </c>
      <c r="U852" s="20">
        <v>1090.17</v>
      </c>
      <c r="V852" s="20">
        <v>695.43</v>
      </c>
      <c r="W852" s="20">
        <v>394.74</v>
      </c>
      <c r="X852" s="20" t="s">
        <v>32</v>
      </c>
    </row>
    <row r="853" spans="1:24" x14ac:dyDescent="0.25">
      <c r="A853" s="23" t="s">
        <v>1351</v>
      </c>
      <c r="B853" s="22">
        <v>45478</v>
      </c>
      <c r="C853" s="23" t="s">
        <v>1098</v>
      </c>
      <c r="D853" s="23" t="s">
        <v>121</v>
      </c>
      <c r="E853" s="23" t="s">
        <v>36</v>
      </c>
      <c r="F853" s="23" t="s">
        <v>37</v>
      </c>
      <c r="G853" s="23" t="s">
        <v>2579</v>
      </c>
      <c r="H853" s="23" t="s">
        <v>39</v>
      </c>
      <c r="I853" s="23" t="s">
        <v>88</v>
      </c>
      <c r="J853" s="23" t="s">
        <v>173</v>
      </c>
      <c r="K853" s="23" t="s">
        <v>60</v>
      </c>
      <c r="L853" s="23" t="s">
        <v>2677</v>
      </c>
      <c r="M853" s="23" t="s">
        <v>43</v>
      </c>
      <c r="N853" s="23" t="s">
        <v>75</v>
      </c>
      <c r="O853" s="23">
        <v>1</v>
      </c>
      <c r="P853" s="23">
        <v>173.93</v>
      </c>
      <c r="Q853" s="23">
        <v>103.8</v>
      </c>
      <c r="R853" s="23">
        <v>173.93</v>
      </c>
      <c r="S853" s="23">
        <v>0.1</v>
      </c>
      <c r="T853" s="23">
        <v>17.39</v>
      </c>
      <c r="U853" s="23">
        <v>156.53</v>
      </c>
      <c r="V853" s="23">
        <v>103.8</v>
      </c>
      <c r="W853" s="23">
        <v>52.74</v>
      </c>
      <c r="X853" s="23" t="s">
        <v>129</v>
      </c>
    </row>
    <row r="854" spans="1:24" x14ac:dyDescent="0.25">
      <c r="A854" s="20" t="s">
        <v>1352</v>
      </c>
      <c r="B854" s="19">
        <v>45496</v>
      </c>
      <c r="C854" s="20" t="s">
        <v>653</v>
      </c>
      <c r="D854" s="20" t="s">
        <v>87</v>
      </c>
      <c r="E854" s="20" t="s">
        <v>250</v>
      </c>
      <c r="F854" s="20" t="s">
        <v>2598</v>
      </c>
      <c r="G854" s="20" t="s">
        <v>2581</v>
      </c>
      <c r="H854" s="20" t="s">
        <v>252</v>
      </c>
      <c r="I854" s="20" t="s">
        <v>27</v>
      </c>
      <c r="J854" s="20" t="s">
        <v>211</v>
      </c>
      <c r="K854" s="20" t="s">
        <v>144</v>
      </c>
      <c r="L854" s="20" t="s">
        <v>2687</v>
      </c>
      <c r="M854" s="20" t="s">
        <v>43</v>
      </c>
      <c r="N854" s="20" t="s">
        <v>44</v>
      </c>
      <c r="O854" s="20">
        <v>36</v>
      </c>
      <c r="P854" s="20">
        <v>62.4</v>
      </c>
      <c r="Q854" s="20">
        <v>36.56</v>
      </c>
      <c r="R854" s="20">
        <v>2246.2800000000002</v>
      </c>
      <c r="S854" s="20">
        <v>0</v>
      </c>
      <c r="T854" s="20">
        <v>0</v>
      </c>
      <c r="U854" s="20">
        <v>2246.2800000000002</v>
      </c>
      <c r="V854" s="20">
        <v>1316.18</v>
      </c>
      <c r="W854" s="20">
        <v>930.1</v>
      </c>
      <c r="X854" s="20" t="s">
        <v>45</v>
      </c>
    </row>
    <row r="855" spans="1:24" x14ac:dyDescent="0.25">
      <c r="A855" s="23" t="s">
        <v>1353</v>
      </c>
      <c r="B855" s="22">
        <v>45522</v>
      </c>
      <c r="C855" s="23" t="s">
        <v>970</v>
      </c>
      <c r="D855" s="23" t="s">
        <v>159</v>
      </c>
      <c r="E855" s="23" t="s">
        <v>250</v>
      </c>
      <c r="F855" s="23" t="s">
        <v>2598</v>
      </c>
      <c r="G855" s="23" t="s">
        <v>2581</v>
      </c>
      <c r="H855" s="23" t="s">
        <v>252</v>
      </c>
      <c r="I855" s="23" t="s">
        <v>58</v>
      </c>
      <c r="J855" s="23" t="s">
        <v>345</v>
      </c>
      <c r="K855" s="23" t="s">
        <v>248</v>
      </c>
      <c r="L855" s="23" t="s">
        <v>2693</v>
      </c>
      <c r="M855" s="23" t="s">
        <v>43</v>
      </c>
      <c r="N855" s="23" t="s">
        <v>75</v>
      </c>
      <c r="O855" s="23">
        <v>34</v>
      </c>
      <c r="P855" s="23">
        <v>63.45</v>
      </c>
      <c r="Q855" s="23">
        <v>38.549999999999997</v>
      </c>
      <c r="R855" s="23">
        <v>2157.17</v>
      </c>
      <c r="S855" s="23">
        <v>0.05</v>
      </c>
      <c r="T855" s="23">
        <v>107.86</v>
      </c>
      <c r="U855" s="23">
        <v>2049.31</v>
      </c>
      <c r="V855" s="23">
        <v>1310.5899999999999</v>
      </c>
      <c r="W855" s="23">
        <v>738.72</v>
      </c>
      <c r="X855" s="23" t="s">
        <v>45</v>
      </c>
    </row>
    <row r="856" spans="1:24" x14ac:dyDescent="0.25">
      <c r="A856" s="20" t="s">
        <v>1354</v>
      </c>
      <c r="B856" s="19">
        <v>45353</v>
      </c>
      <c r="C856" s="20" t="s">
        <v>529</v>
      </c>
      <c r="D856" s="20" t="s">
        <v>256</v>
      </c>
      <c r="E856" s="20" t="s">
        <v>216</v>
      </c>
      <c r="F856" s="20" t="s">
        <v>2596</v>
      </c>
      <c r="G856" s="20" t="s">
        <v>2579</v>
      </c>
      <c r="H856" s="20" t="s">
        <v>134</v>
      </c>
      <c r="I856" s="20" t="s">
        <v>53</v>
      </c>
      <c r="J856" s="20" t="s">
        <v>143</v>
      </c>
      <c r="K856" s="20" t="s">
        <v>261</v>
      </c>
      <c r="L856" s="20" t="s">
        <v>2695</v>
      </c>
      <c r="M856" s="20" t="s">
        <v>61</v>
      </c>
      <c r="N856" s="20" t="s">
        <v>75</v>
      </c>
      <c r="O856" s="20">
        <v>69</v>
      </c>
      <c r="P856" s="20">
        <v>109.39</v>
      </c>
      <c r="Q856" s="20">
        <v>62.28</v>
      </c>
      <c r="R856" s="20">
        <v>7547.75</v>
      </c>
      <c r="S856" s="20">
        <v>0.02</v>
      </c>
      <c r="T856" s="20">
        <v>150.94999999999999</v>
      </c>
      <c r="U856" s="20">
        <v>7396.79</v>
      </c>
      <c r="V856" s="20">
        <v>4297.6499999999996</v>
      </c>
      <c r="W856" s="20">
        <v>3099.14</v>
      </c>
      <c r="X856" s="20" t="s">
        <v>129</v>
      </c>
    </row>
    <row r="857" spans="1:24" x14ac:dyDescent="0.25">
      <c r="A857" s="23" t="s">
        <v>1355</v>
      </c>
      <c r="B857" s="22">
        <v>45396</v>
      </c>
      <c r="C857" s="23" t="s">
        <v>477</v>
      </c>
      <c r="D857" s="23" t="s">
        <v>221</v>
      </c>
      <c r="E857" s="23" t="s">
        <v>36</v>
      </c>
      <c r="F857" s="23" t="s">
        <v>37</v>
      </c>
      <c r="G857" s="23" t="s">
        <v>2579</v>
      </c>
      <c r="H857" s="23" t="s">
        <v>39</v>
      </c>
      <c r="I857" s="23" t="s">
        <v>27</v>
      </c>
      <c r="J857" s="23" t="s">
        <v>28</v>
      </c>
      <c r="K857" s="23" t="s">
        <v>74</v>
      </c>
      <c r="L857" s="23" t="s">
        <v>2682</v>
      </c>
      <c r="M857" s="23" t="s">
        <v>30</v>
      </c>
      <c r="N857" s="23" t="s">
        <v>2578</v>
      </c>
      <c r="O857" s="23">
        <v>14</v>
      </c>
      <c r="P857" s="23">
        <v>172.78</v>
      </c>
      <c r="Q857" s="23">
        <v>91.63</v>
      </c>
      <c r="R857" s="23">
        <v>2418.88</v>
      </c>
      <c r="S857" s="23">
        <v>0.1</v>
      </c>
      <c r="T857" s="23">
        <v>241.89</v>
      </c>
      <c r="U857" s="23">
        <v>2176.9899999999998</v>
      </c>
      <c r="V857" s="23">
        <v>1282.81</v>
      </c>
      <c r="W857" s="23">
        <v>894.18</v>
      </c>
      <c r="X857" s="23" t="s">
        <v>45</v>
      </c>
    </row>
    <row r="858" spans="1:24" x14ac:dyDescent="0.25">
      <c r="A858" s="20" t="s">
        <v>1356</v>
      </c>
      <c r="B858" s="19">
        <v>45482</v>
      </c>
      <c r="C858" s="20" t="s">
        <v>389</v>
      </c>
      <c r="D858" s="20" t="s">
        <v>264</v>
      </c>
      <c r="E858" s="20" t="s">
        <v>78</v>
      </c>
      <c r="F858" s="20" t="s">
        <v>2583</v>
      </c>
      <c r="G858" s="20" t="s">
        <v>2584</v>
      </c>
      <c r="H858" s="20" t="s">
        <v>81</v>
      </c>
      <c r="I858" s="20" t="s">
        <v>58</v>
      </c>
      <c r="J858" s="20" t="s">
        <v>345</v>
      </c>
      <c r="K858" s="20" t="s">
        <v>218</v>
      </c>
      <c r="L858" s="20" t="s">
        <v>2692</v>
      </c>
      <c r="M858" s="20" t="s">
        <v>61</v>
      </c>
      <c r="N858" s="20" t="s">
        <v>2578</v>
      </c>
      <c r="O858" s="20">
        <v>22</v>
      </c>
      <c r="P858" s="20">
        <v>139.83000000000001</v>
      </c>
      <c r="Q858" s="20">
        <v>79.75</v>
      </c>
      <c r="R858" s="20">
        <v>3076.36</v>
      </c>
      <c r="S858" s="20">
        <v>0</v>
      </c>
      <c r="T858" s="20">
        <v>0</v>
      </c>
      <c r="U858" s="20">
        <v>3076.36</v>
      </c>
      <c r="V858" s="20">
        <v>1754.57</v>
      </c>
      <c r="W858" s="20">
        <v>1321.79</v>
      </c>
      <c r="X858" s="20" t="s">
        <v>129</v>
      </c>
    </row>
    <row r="859" spans="1:24" x14ac:dyDescent="0.25">
      <c r="A859" s="23" t="s">
        <v>1357</v>
      </c>
      <c r="B859" s="22">
        <v>45505</v>
      </c>
      <c r="C859" s="23" t="s">
        <v>563</v>
      </c>
      <c r="D859" s="23" t="s">
        <v>156</v>
      </c>
      <c r="E859" s="23" t="s">
        <v>36</v>
      </c>
      <c r="F859" s="23" t="s">
        <v>37</v>
      </c>
      <c r="G859" s="23" t="s">
        <v>2579</v>
      </c>
      <c r="H859" s="23" t="s">
        <v>39</v>
      </c>
      <c r="I859" s="23" t="s">
        <v>40</v>
      </c>
      <c r="J859" s="23" t="s">
        <v>41</v>
      </c>
      <c r="K859" s="23" t="s">
        <v>90</v>
      </c>
      <c r="L859" s="23" t="s">
        <v>2684</v>
      </c>
      <c r="M859" s="23" t="s">
        <v>153</v>
      </c>
      <c r="N859" s="23" t="s">
        <v>70</v>
      </c>
      <c r="O859" s="23">
        <v>10</v>
      </c>
      <c r="P859" s="23">
        <v>167.85</v>
      </c>
      <c r="Q859" s="23">
        <v>103.2</v>
      </c>
      <c r="R859" s="23">
        <v>1678.49</v>
      </c>
      <c r="S859" s="23">
        <v>0.02</v>
      </c>
      <c r="T859" s="23">
        <v>33.57</v>
      </c>
      <c r="U859" s="23">
        <v>1644.92</v>
      </c>
      <c r="V859" s="23">
        <v>1031.96</v>
      </c>
      <c r="W859" s="23">
        <v>612.96</v>
      </c>
      <c r="X859" s="23" t="s">
        <v>45</v>
      </c>
    </row>
    <row r="860" spans="1:24" x14ac:dyDescent="0.25">
      <c r="A860" s="20" t="s">
        <v>1358</v>
      </c>
      <c r="B860" s="19">
        <v>45462</v>
      </c>
      <c r="C860" s="20" t="s">
        <v>237</v>
      </c>
      <c r="D860" s="20" t="s">
        <v>105</v>
      </c>
      <c r="E860" s="20" t="s">
        <v>99</v>
      </c>
      <c r="F860" s="20" t="s">
        <v>100</v>
      </c>
      <c r="G860" s="20" t="s">
        <v>2587</v>
      </c>
      <c r="H860" s="20" t="s">
        <v>102</v>
      </c>
      <c r="I860" s="20" t="s">
        <v>40</v>
      </c>
      <c r="J860" s="20" t="s">
        <v>289</v>
      </c>
      <c r="K860" s="20" t="s">
        <v>265</v>
      </c>
      <c r="L860" s="20" t="s">
        <v>2663</v>
      </c>
      <c r="M860" s="20" t="s">
        <v>153</v>
      </c>
      <c r="N860" s="20" t="s">
        <v>44</v>
      </c>
      <c r="O860" s="20">
        <v>39</v>
      </c>
      <c r="P860" s="20">
        <v>65.709999999999994</v>
      </c>
      <c r="Q860" s="20">
        <v>38.54</v>
      </c>
      <c r="R860" s="20">
        <v>2562.84</v>
      </c>
      <c r="S860" s="20">
        <v>0.1</v>
      </c>
      <c r="T860" s="20">
        <v>256.27999999999997</v>
      </c>
      <c r="U860" s="20">
        <v>2306.56</v>
      </c>
      <c r="V860" s="20">
        <v>1503.11</v>
      </c>
      <c r="W860" s="20">
        <v>803.45</v>
      </c>
      <c r="X860" s="20" t="s">
        <v>45</v>
      </c>
    </row>
    <row r="861" spans="1:24" x14ac:dyDescent="0.25">
      <c r="A861" s="23" t="s">
        <v>1359</v>
      </c>
      <c r="B861" s="22">
        <v>45342</v>
      </c>
      <c r="C861" s="23" t="s">
        <v>1068</v>
      </c>
      <c r="D861" s="23" t="s">
        <v>105</v>
      </c>
      <c r="E861" s="23" t="s">
        <v>216</v>
      </c>
      <c r="F861" s="23" t="s">
        <v>2596</v>
      </c>
      <c r="G861" s="23" t="s">
        <v>2579</v>
      </c>
      <c r="H861" s="23" t="s">
        <v>134</v>
      </c>
      <c r="I861" s="23" t="s">
        <v>88</v>
      </c>
      <c r="J861" s="23" t="s">
        <v>135</v>
      </c>
      <c r="K861" s="23" t="s">
        <v>83</v>
      </c>
      <c r="L861" s="23" t="s">
        <v>2683</v>
      </c>
      <c r="M861" s="23" t="s">
        <v>153</v>
      </c>
      <c r="N861" s="23" t="s">
        <v>2578</v>
      </c>
      <c r="O861" s="23">
        <v>10</v>
      </c>
      <c r="P861" s="23">
        <v>107.09</v>
      </c>
      <c r="Q861" s="23">
        <v>61.92</v>
      </c>
      <c r="R861" s="23">
        <v>1070.8699999999999</v>
      </c>
      <c r="S861" s="23">
        <v>0.15</v>
      </c>
      <c r="T861" s="23">
        <v>160.63</v>
      </c>
      <c r="U861" s="23">
        <v>910.24</v>
      </c>
      <c r="V861" s="23">
        <v>619.21</v>
      </c>
      <c r="W861" s="23">
        <v>291.02999999999997</v>
      </c>
      <c r="X861" s="23" t="s">
        <v>45</v>
      </c>
    </row>
    <row r="862" spans="1:24" x14ac:dyDescent="0.25">
      <c r="A862" s="20" t="s">
        <v>1360</v>
      </c>
      <c r="B862" s="19">
        <v>45412</v>
      </c>
      <c r="C862" s="20" t="s">
        <v>468</v>
      </c>
      <c r="D862" s="20" t="s">
        <v>65</v>
      </c>
      <c r="E862" s="20" t="s">
        <v>222</v>
      </c>
      <c r="F862" s="20" t="s">
        <v>2597</v>
      </c>
      <c r="G862" s="20" t="s">
        <v>2587</v>
      </c>
      <c r="H862" s="20" t="s">
        <v>68</v>
      </c>
      <c r="I862" s="20" t="s">
        <v>88</v>
      </c>
      <c r="J862" s="20" t="s">
        <v>2112</v>
      </c>
      <c r="K862" s="20" t="s">
        <v>248</v>
      </c>
      <c r="L862" s="20" t="s">
        <v>2693</v>
      </c>
      <c r="M862" s="20" t="s">
        <v>30</v>
      </c>
      <c r="N862" s="20" t="s">
        <v>75</v>
      </c>
      <c r="O862" s="20">
        <v>65</v>
      </c>
      <c r="P862" s="20">
        <v>128.76</v>
      </c>
      <c r="Q862" s="20">
        <v>80.959999999999994</v>
      </c>
      <c r="R862" s="20">
        <v>8369.7099999999991</v>
      </c>
      <c r="S862" s="20">
        <v>0</v>
      </c>
      <c r="T862" s="20">
        <v>0</v>
      </c>
      <c r="U862" s="20">
        <v>8369.7099999999991</v>
      </c>
      <c r="V862" s="20">
        <v>5262.67</v>
      </c>
      <c r="W862" s="20">
        <v>3107.05</v>
      </c>
      <c r="X862" s="20" t="s">
        <v>129</v>
      </c>
    </row>
    <row r="863" spans="1:24" x14ac:dyDescent="0.25">
      <c r="A863" s="23" t="s">
        <v>1361</v>
      </c>
      <c r="B863" s="22">
        <v>45466</v>
      </c>
      <c r="C863" s="23" t="s">
        <v>1362</v>
      </c>
      <c r="D863" s="23" t="s">
        <v>57</v>
      </c>
      <c r="E863" s="23" t="s">
        <v>109</v>
      </c>
      <c r="F863" s="23" t="s">
        <v>110</v>
      </c>
      <c r="G863" s="23" t="s">
        <v>2584</v>
      </c>
      <c r="H863" s="23" t="s">
        <v>81</v>
      </c>
      <c r="I863" s="23" t="s">
        <v>53</v>
      </c>
      <c r="J863" s="23" t="s">
        <v>122</v>
      </c>
      <c r="K863" s="23" t="s">
        <v>83</v>
      </c>
      <c r="L863" s="23" t="s">
        <v>2683</v>
      </c>
      <c r="M863" s="23" t="s">
        <v>547</v>
      </c>
      <c r="N863" s="23" t="s">
        <v>70</v>
      </c>
      <c r="O863" s="23">
        <v>21</v>
      </c>
      <c r="P863" s="23">
        <v>126.4</v>
      </c>
      <c r="Q863" s="23">
        <v>69.23</v>
      </c>
      <c r="R863" s="23">
        <v>2654.43</v>
      </c>
      <c r="S863" s="23">
        <v>0.05</v>
      </c>
      <c r="T863" s="23">
        <v>132.72</v>
      </c>
      <c r="U863" s="23">
        <v>2521.6999999999998</v>
      </c>
      <c r="V863" s="23">
        <v>1453.84</v>
      </c>
      <c r="W863" s="23">
        <v>1067.8599999999999</v>
      </c>
      <c r="X863" s="23" t="s">
        <v>45</v>
      </c>
    </row>
    <row r="864" spans="1:24" x14ac:dyDescent="0.25">
      <c r="A864" s="20" t="s">
        <v>1363</v>
      </c>
      <c r="B864" s="19">
        <v>45579</v>
      </c>
      <c r="C864" s="20" t="s">
        <v>1159</v>
      </c>
      <c r="D864" s="20" t="s">
        <v>159</v>
      </c>
      <c r="E864" s="20" t="s">
        <v>99</v>
      </c>
      <c r="F864" s="20" t="s">
        <v>100</v>
      </c>
      <c r="G864" s="20" t="s">
        <v>2587</v>
      </c>
      <c r="H864" s="20" t="s">
        <v>102</v>
      </c>
      <c r="I864" s="20" t="s">
        <v>58</v>
      </c>
      <c r="J864" s="20" t="s">
        <v>323</v>
      </c>
      <c r="K864" s="20" t="s">
        <v>83</v>
      </c>
      <c r="L864" s="20" t="s">
        <v>2683</v>
      </c>
      <c r="M864" s="20" t="s">
        <v>153</v>
      </c>
      <c r="N864" s="20" t="s">
        <v>44</v>
      </c>
      <c r="O864" s="20">
        <v>12</v>
      </c>
      <c r="P864" s="20">
        <v>64.94</v>
      </c>
      <c r="Q864" s="20">
        <v>40.08</v>
      </c>
      <c r="R864" s="20">
        <v>779.28</v>
      </c>
      <c r="S864" s="20">
        <v>0.1</v>
      </c>
      <c r="T864" s="20">
        <v>77.930000000000007</v>
      </c>
      <c r="U864" s="20">
        <v>701.35</v>
      </c>
      <c r="V864" s="20">
        <v>480.98</v>
      </c>
      <c r="W864" s="20">
        <v>220.37</v>
      </c>
      <c r="X864" s="20" t="s">
        <v>32</v>
      </c>
    </row>
    <row r="865" spans="1:24" x14ac:dyDescent="0.25">
      <c r="A865" s="23" t="s">
        <v>1364</v>
      </c>
      <c r="B865" s="22">
        <v>45451</v>
      </c>
      <c r="C865" s="23" t="s">
        <v>267</v>
      </c>
      <c r="D865" s="23" t="s">
        <v>65</v>
      </c>
      <c r="E865" s="23" t="s">
        <v>49</v>
      </c>
      <c r="F865" s="23" t="s">
        <v>2580</v>
      </c>
      <c r="G865" s="23" t="s">
        <v>2581</v>
      </c>
      <c r="H865" s="23" t="s">
        <v>52</v>
      </c>
      <c r="I865" s="23" t="s">
        <v>40</v>
      </c>
      <c r="J865" s="23" t="s">
        <v>289</v>
      </c>
      <c r="K865" s="23" t="s">
        <v>60</v>
      </c>
      <c r="L865" s="23" t="s">
        <v>2677</v>
      </c>
      <c r="M865" s="23" t="s">
        <v>30</v>
      </c>
      <c r="N865" s="23" t="s">
        <v>84</v>
      </c>
      <c r="O865" s="23">
        <v>75</v>
      </c>
      <c r="P865" s="23">
        <v>26.69</v>
      </c>
      <c r="Q865" s="23">
        <v>12.97</v>
      </c>
      <c r="R865" s="23">
        <v>2001.83</v>
      </c>
      <c r="S865" s="23">
        <v>0.15</v>
      </c>
      <c r="T865" s="23">
        <v>300.27</v>
      </c>
      <c r="U865" s="23">
        <v>1701.55</v>
      </c>
      <c r="V865" s="23">
        <v>972.98</v>
      </c>
      <c r="W865" s="23">
        <v>728.57</v>
      </c>
      <c r="X865" s="23" t="s">
        <v>32</v>
      </c>
    </row>
    <row r="866" spans="1:24" x14ac:dyDescent="0.25">
      <c r="A866" s="20" t="s">
        <v>1365</v>
      </c>
      <c r="B866" s="19">
        <v>45339</v>
      </c>
      <c r="C866" s="20" t="s">
        <v>535</v>
      </c>
      <c r="D866" s="20" t="s">
        <v>221</v>
      </c>
      <c r="E866" s="20" t="s">
        <v>216</v>
      </c>
      <c r="F866" s="20" t="s">
        <v>2596</v>
      </c>
      <c r="G866" s="20" t="s">
        <v>2579</v>
      </c>
      <c r="H866" s="20" t="s">
        <v>134</v>
      </c>
      <c r="I866" s="20" t="s">
        <v>53</v>
      </c>
      <c r="J866" s="20" t="s">
        <v>232</v>
      </c>
      <c r="K866" s="20" t="s">
        <v>248</v>
      </c>
      <c r="L866" s="20" t="s">
        <v>2693</v>
      </c>
      <c r="M866" s="20" t="s">
        <v>43</v>
      </c>
      <c r="N866" s="20" t="s">
        <v>84</v>
      </c>
      <c r="O866" s="20">
        <v>43</v>
      </c>
      <c r="P866" s="20">
        <v>111.65</v>
      </c>
      <c r="Q866" s="20">
        <v>68.92</v>
      </c>
      <c r="R866" s="20">
        <v>4800.83</v>
      </c>
      <c r="S866" s="20">
        <v>0</v>
      </c>
      <c r="T866" s="20">
        <v>0</v>
      </c>
      <c r="U866" s="20">
        <v>4800.83</v>
      </c>
      <c r="V866" s="20">
        <v>2963.56</v>
      </c>
      <c r="W866" s="20">
        <v>1837.27</v>
      </c>
      <c r="X866" s="20" t="s">
        <v>32</v>
      </c>
    </row>
    <row r="867" spans="1:24" x14ac:dyDescent="0.25">
      <c r="A867" s="23" t="s">
        <v>1366</v>
      </c>
      <c r="B867" s="22">
        <v>45556</v>
      </c>
      <c r="C867" s="23" t="s">
        <v>651</v>
      </c>
      <c r="D867" s="23" t="s">
        <v>105</v>
      </c>
      <c r="E867" s="23" t="s">
        <v>36</v>
      </c>
      <c r="F867" s="23" t="s">
        <v>37</v>
      </c>
      <c r="G867" s="23" t="s">
        <v>2579</v>
      </c>
      <c r="H867" s="23" t="s">
        <v>39</v>
      </c>
      <c r="I867" s="23" t="s">
        <v>27</v>
      </c>
      <c r="J867" s="23" t="s">
        <v>28</v>
      </c>
      <c r="K867" s="23" t="s">
        <v>60</v>
      </c>
      <c r="L867" s="23" t="s">
        <v>2677</v>
      </c>
      <c r="M867" s="23" t="s">
        <v>61</v>
      </c>
      <c r="N867" s="23" t="s">
        <v>75</v>
      </c>
      <c r="O867" s="23">
        <v>19</v>
      </c>
      <c r="P867" s="23">
        <v>175.36</v>
      </c>
      <c r="Q867" s="23">
        <v>94.02</v>
      </c>
      <c r="R867" s="23">
        <v>3331.78</v>
      </c>
      <c r="S867" s="23">
        <v>0.15</v>
      </c>
      <c r="T867" s="23">
        <v>499.77</v>
      </c>
      <c r="U867" s="23">
        <v>2832.01</v>
      </c>
      <c r="V867" s="23">
        <v>1786.3</v>
      </c>
      <c r="W867" s="23">
        <v>1045.72</v>
      </c>
      <c r="X867" s="23" t="s">
        <v>45</v>
      </c>
    </row>
    <row r="868" spans="1:24" x14ac:dyDescent="0.25">
      <c r="A868" s="20" t="s">
        <v>1367</v>
      </c>
      <c r="B868" s="19">
        <v>45539</v>
      </c>
      <c r="C868" s="20" t="s">
        <v>1368</v>
      </c>
      <c r="D868" s="20" t="s">
        <v>22</v>
      </c>
      <c r="E868" s="20" t="s">
        <v>176</v>
      </c>
      <c r="F868" s="20" t="s">
        <v>2593</v>
      </c>
      <c r="G868" s="20" t="s">
        <v>2587</v>
      </c>
      <c r="H868" s="20" t="s">
        <v>39</v>
      </c>
      <c r="I868" s="20" t="s">
        <v>58</v>
      </c>
      <c r="J868" s="20" t="s">
        <v>59</v>
      </c>
      <c r="K868" s="20" t="s">
        <v>218</v>
      </c>
      <c r="L868" s="20" t="s">
        <v>2692</v>
      </c>
      <c r="M868" s="20" t="s">
        <v>43</v>
      </c>
      <c r="N868" s="20" t="s">
        <v>84</v>
      </c>
      <c r="O868" s="20">
        <v>29</v>
      </c>
      <c r="P868" s="20">
        <v>107.96</v>
      </c>
      <c r="Q868" s="20">
        <v>61.24</v>
      </c>
      <c r="R868" s="20">
        <v>3130.83</v>
      </c>
      <c r="S868" s="20">
        <v>0</v>
      </c>
      <c r="T868" s="20">
        <v>0</v>
      </c>
      <c r="U868" s="20">
        <v>3130.83</v>
      </c>
      <c r="V868" s="20">
        <v>1775.87</v>
      </c>
      <c r="W868" s="20">
        <v>1354.96</v>
      </c>
      <c r="X868" s="20" t="s">
        <v>32</v>
      </c>
    </row>
    <row r="869" spans="1:24" x14ac:dyDescent="0.25">
      <c r="A869" s="23" t="s">
        <v>1369</v>
      </c>
      <c r="B869" s="22">
        <v>45335</v>
      </c>
      <c r="C869" s="23" t="s">
        <v>314</v>
      </c>
      <c r="D869" s="23" t="s">
        <v>163</v>
      </c>
      <c r="E869" s="23" t="s">
        <v>141</v>
      </c>
      <c r="F869" s="23" t="s">
        <v>2590</v>
      </c>
      <c r="G869" s="23" t="s">
        <v>2577</v>
      </c>
      <c r="H869" s="23" t="s">
        <v>26</v>
      </c>
      <c r="I869" s="23" t="s">
        <v>27</v>
      </c>
      <c r="J869" s="23" t="s">
        <v>106</v>
      </c>
      <c r="K869" s="23" t="s">
        <v>144</v>
      </c>
      <c r="L869" s="23" t="s">
        <v>2687</v>
      </c>
      <c r="M869" s="23" t="s">
        <v>30</v>
      </c>
      <c r="N869" s="23" t="s">
        <v>44</v>
      </c>
      <c r="O869" s="23">
        <v>6</v>
      </c>
      <c r="P869" s="23">
        <v>87.91</v>
      </c>
      <c r="Q869" s="23">
        <v>53.94</v>
      </c>
      <c r="R869" s="23">
        <v>527.47</v>
      </c>
      <c r="S869" s="23">
        <v>0.15</v>
      </c>
      <c r="T869" s="23">
        <v>79.12</v>
      </c>
      <c r="U869" s="23">
        <v>448.35</v>
      </c>
      <c r="V869" s="23">
        <v>323.64999999999998</v>
      </c>
      <c r="W869" s="23">
        <v>124.7</v>
      </c>
      <c r="X869" s="23" t="s">
        <v>45</v>
      </c>
    </row>
    <row r="870" spans="1:24" x14ac:dyDescent="0.25">
      <c r="A870" s="20" t="s">
        <v>1370</v>
      </c>
      <c r="B870" s="19">
        <v>45324</v>
      </c>
      <c r="C870" s="20" t="s">
        <v>422</v>
      </c>
      <c r="D870" s="20" t="s">
        <v>48</v>
      </c>
      <c r="E870" s="20" t="s">
        <v>99</v>
      </c>
      <c r="F870" s="20" t="s">
        <v>100</v>
      </c>
      <c r="G870" s="20" t="s">
        <v>2587</v>
      </c>
      <c r="H870" s="20" t="s">
        <v>102</v>
      </c>
      <c r="I870" s="20" t="s">
        <v>27</v>
      </c>
      <c r="J870" s="20" t="s">
        <v>189</v>
      </c>
      <c r="K870" s="20" t="s">
        <v>111</v>
      </c>
      <c r="L870" s="20" t="s">
        <v>2685</v>
      </c>
      <c r="M870" s="20" t="s">
        <v>153</v>
      </c>
      <c r="N870" s="20" t="s">
        <v>70</v>
      </c>
      <c r="O870" s="20">
        <v>52</v>
      </c>
      <c r="P870" s="20">
        <v>69.63</v>
      </c>
      <c r="Q870" s="20">
        <v>40.880000000000003</v>
      </c>
      <c r="R870" s="20">
        <v>3620.6</v>
      </c>
      <c r="S870" s="20">
        <v>0.02</v>
      </c>
      <c r="T870" s="20">
        <v>72.41</v>
      </c>
      <c r="U870" s="20">
        <v>3548.19</v>
      </c>
      <c r="V870" s="20">
        <v>2125.9</v>
      </c>
      <c r="W870" s="20">
        <v>1422.29</v>
      </c>
      <c r="X870" s="20" t="s">
        <v>45</v>
      </c>
    </row>
    <row r="871" spans="1:24" x14ac:dyDescent="0.25">
      <c r="A871" s="23" t="s">
        <v>1371</v>
      </c>
      <c r="B871" s="22">
        <v>45529</v>
      </c>
      <c r="C871" s="23" t="s">
        <v>992</v>
      </c>
      <c r="D871" s="23" t="s">
        <v>105</v>
      </c>
      <c r="E871" s="23" t="s">
        <v>150</v>
      </c>
      <c r="F871" s="23" t="s">
        <v>2591</v>
      </c>
      <c r="G871" s="23" t="s">
        <v>2587</v>
      </c>
      <c r="H871" s="23" t="s">
        <v>134</v>
      </c>
      <c r="I871" s="23" t="s">
        <v>58</v>
      </c>
      <c r="J871" s="23" t="s">
        <v>73</v>
      </c>
      <c r="K871" s="23" t="s">
        <v>178</v>
      </c>
      <c r="L871" s="23" t="s">
        <v>2689</v>
      </c>
      <c r="M871" s="23" t="s">
        <v>30</v>
      </c>
      <c r="N871" s="23" t="s">
        <v>70</v>
      </c>
      <c r="O871" s="23">
        <v>40</v>
      </c>
      <c r="P871" s="23">
        <v>80.569999999999993</v>
      </c>
      <c r="Q871" s="23">
        <v>47.72</v>
      </c>
      <c r="R871" s="23">
        <v>3222.72</v>
      </c>
      <c r="S871" s="23">
        <v>0.1</v>
      </c>
      <c r="T871" s="23">
        <v>322.27</v>
      </c>
      <c r="U871" s="23">
        <v>2900.44</v>
      </c>
      <c r="V871" s="23">
        <v>1908.92</v>
      </c>
      <c r="W871" s="23">
        <v>991.53</v>
      </c>
      <c r="X871" s="23" t="s">
        <v>45</v>
      </c>
    </row>
    <row r="872" spans="1:24" x14ac:dyDescent="0.25">
      <c r="A872" s="20" t="s">
        <v>1372</v>
      </c>
      <c r="B872" s="19">
        <v>45625</v>
      </c>
      <c r="C872" s="20" t="s">
        <v>495</v>
      </c>
      <c r="D872" s="20" t="s">
        <v>125</v>
      </c>
      <c r="E872" s="20" t="s">
        <v>23</v>
      </c>
      <c r="F872" s="20" t="s">
        <v>2576</v>
      </c>
      <c r="G872" s="20" t="s">
        <v>2577</v>
      </c>
      <c r="H872" s="20" t="s">
        <v>26</v>
      </c>
      <c r="I872" s="20" t="s">
        <v>27</v>
      </c>
      <c r="J872" s="20" t="s">
        <v>883</v>
      </c>
      <c r="K872" s="20" t="s">
        <v>248</v>
      </c>
      <c r="L872" s="20" t="s">
        <v>2693</v>
      </c>
      <c r="M872" s="20" t="s">
        <v>61</v>
      </c>
      <c r="N872" s="20" t="s">
        <v>2578</v>
      </c>
      <c r="O872" s="20">
        <v>54</v>
      </c>
      <c r="P872" s="20">
        <v>73.430000000000007</v>
      </c>
      <c r="Q872" s="20">
        <v>47.05</v>
      </c>
      <c r="R872" s="20">
        <v>3965.29</v>
      </c>
      <c r="S872" s="20">
        <v>0</v>
      </c>
      <c r="T872" s="20">
        <v>0</v>
      </c>
      <c r="U872" s="20">
        <v>3965.29</v>
      </c>
      <c r="V872" s="20">
        <v>2540.58</v>
      </c>
      <c r="W872" s="20">
        <v>1424.71</v>
      </c>
      <c r="X872" s="20" t="s">
        <v>129</v>
      </c>
    </row>
    <row r="873" spans="1:24" x14ac:dyDescent="0.25">
      <c r="A873" s="23" t="s">
        <v>1373</v>
      </c>
      <c r="B873" s="22">
        <v>45567</v>
      </c>
      <c r="C873" s="23" t="s">
        <v>34</v>
      </c>
      <c r="D873" s="23" t="s">
        <v>35</v>
      </c>
      <c r="E873" s="23" t="s">
        <v>216</v>
      </c>
      <c r="F873" s="23" t="s">
        <v>2596</v>
      </c>
      <c r="G873" s="23" t="s">
        <v>2579</v>
      </c>
      <c r="H873" s="23" t="s">
        <v>134</v>
      </c>
      <c r="I873" s="23" t="s">
        <v>58</v>
      </c>
      <c r="J873" s="23" t="s">
        <v>323</v>
      </c>
      <c r="K873" s="23" t="s">
        <v>69</v>
      </c>
      <c r="L873" s="23" t="s">
        <v>2681</v>
      </c>
      <c r="M873" s="23" t="s">
        <v>30</v>
      </c>
      <c r="N873" s="23" t="s">
        <v>84</v>
      </c>
      <c r="O873" s="23">
        <v>1</v>
      </c>
      <c r="P873" s="23">
        <v>105.35</v>
      </c>
      <c r="Q873" s="23">
        <v>62.43</v>
      </c>
      <c r="R873" s="23">
        <v>105.35</v>
      </c>
      <c r="S873" s="23">
        <v>0.2</v>
      </c>
      <c r="T873" s="23">
        <v>21.07</v>
      </c>
      <c r="U873" s="23">
        <v>84.28</v>
      </c>
      <c r="V873" s="23">
        <v>62.43</v>
      </c>
      <c r="W873" s="23">
        <v>21.86</v>
      </c>
      <c r="X873" s="23" t="s">
        <v>129</v>
      </c>
    </row>
    <row r="874" spans="1:24" x14ac:dyDescent="0.25">
      <c r="A874" s="20" t="s">
        <v>1374</v>
      </c>
      <c r="B874" s="19">
        <v>45645</v>
      </c>
      <c r="C874" s="20" t="s">
        <v>1155</v>
      </c>
      <c r="D874" s="20" t="s">
        <v>87</v>
      </c>
      <c r="E874" s="20" t="s">
        <v>150</v>
      </c>
      <c r="F874" s="20" t="s">
        <v>2591</v>
      </c>
      <c r="G874" s="20" t="s">
        <v>2587</v>
      </c>
      <c r="H874" s="20" t="s">
        <v>134</v>
      </c>
      <c r="I874" s="20" t="s">
        <v>53</v>
      </c>
      <c r="J874" s="20" t="s">
        <v>54</v>
      </c>
      <c r="K874" s="20" t="s">
        <v>29</v>
      </c>
      <c r="L874" s="20" t="s">
        <v>2679</v>
      </c>
      <c r="M874" s="20" t="s">
        <v>61</v>
      </c>
      <c r="N874" s="20" t="s">
        <v>75</v>
      </c>
      <c r="O874" s="20">
        <v>16</v>
      </c>
      <c r="P874" s="20">
        <v>80.14</v>
      </c>
      <c r="Q874" s="20">
        <v>53.13</v>
      </c>
      <c r="R874" s="20">
        <v>1282.31</v>
      </c>
      <c r="S874" s="20">
        <v>0.2</v>
      </c>
      <c r="T874" s="20">
        <v>256.45999999999998</v>
      </c>
      <c r="U874" s="20">
        <v>1025.8499999999999</v>
      </c>
      <c r="V874" s="20">
        <v>850.14</v>
      </c>
      <c r="W874" s="20">
        <v>175.71</v>
      </c>
      <c r="X874" s="20" t="s">
        <v>45</v>
      </c>
    </row>
    <row r="875" spans="1:24" x14ac:dyDescent="0.25">
      <c r="A875" s="23" t="s">
        <v>1375</v>
      </c>
      <c r="B875" s="22">
        <v>45482</v>
      </c>
      <c r="C875" s="23" t="s">
        <v>430</v>
      </c>
      <c r="D875" s="23" t="s">
        <v>156</v>
      </c>
      <c r="E875" s="23" t="s">
        <v>93</v>
      </c>
      <c r="F875" s="23" t="s">
        <v>2585</v>
      </c>
      <c r="G875" s="23" t="s">
        <v>2586</v>
      </c>
      <c r="H875" s="23" t="s">
        <v>96</v>
      </c>
      <c r="I875" s="23" t="s">
        <v>27</v>
      </c>
      <c r="J875" s="23" t="s">
        <v>28</v>
      </c>
      <c r="K875" s="23" t="s">
        <v>74</v>
      </c>
      <c r="L875" s="23" t="s">
        <v>2682</v>
      </c>
      <c r="M875" s="23" t="s">
        <v>43</v>
      </c>
      <c r="N875" s="23" t="s">
        <v>2578</v>
      </c>
      <c r="O875" s="23">
        <v>25</v>
      </c>
      <c r="P875" s="23">
        <v>58.86</v>
      </c>
      <c r="Q875" s="23">
        <v>30.37</v>
      </c>
      <c r="R875" s="23">
        <v>1471.48</v>
      </c>
      <c r="S875" s="23">
        <v>0</v>
      </c>
      <c r="T875" s="23">
        <v>0</v>
      </c>
      <c r="U875" s="23">
        <v>1471.48</v>
      </c>
      <c r="V875" s="23">
        <v>759.19</v>
      </c>
      <c r="W875" s="23">
        <v>712.29</v>
      </c>
      <c r="X875" s="23" t="s">
        <v>45</v>
      </c>
    </row>
    <row r="876" spans="1:24" x14ac:dyDescent="0.25">
      <c r="A876" s="20" t="s">
        <v>1376</v>
      </c>
      <c r="B876" s="19">
        <v>45649</v>
      </c>
      <c r="C876" s="20" t="s">
        <v>312</v>
      </c>
      <c r="D876" s="20" t="s">
        <v>57</v>
      </c>
      <c r="E876" s="20" t="s">
        <v>187</v>
      </c>
      <c r="F876" s="20" t="s">
        <v>2594</v>
      </c>
      <c r="G876" s="20" t="s">
        <v>2577</v>
      </c>
      <c r="H876" s="20" t="s">
        <v>26</v>
      </c>
      <c r="I876" s="20" t="s">
        <v>53</v>
      </c>
      <c r="J876" s="20" t="s">
        <v>122</v>
      </c>
      <c r="K876" s="20" t="s">
        <v>111</v>
      </c>
      <c r="L876" s="20" t="s">
        <v>2685</v>
      </c>
      <c r="M876" s="20" t="s">
        <v>61</v>
      </c>
      <c r="N876" s="20" t="s">
        <v>70</v>
      </c>
      <c r="O876" s="20">
        <v>14</v>
      </c>
      <c r="P876" s="20">
        <v>48.76</v>
      </c>
      <c r="Q876" s="20">
        <v>27.21</v>
      </c>
      <c r="R876" s="20">
        <v>682.64</v>
      </c>
      <c r="S876" s="20">
        <v>0.1</v>
      </c>
      <c r="T876" s="20">
        <v>68.260000000000005</v>
      </c>
      <c r="U876" s="20">
        <v>582.01</v>
      </c>
      <c r="V876" s="20">
        <v>380.99</v>
      </c>
      <c r="W876" s="20">
        <v>233.39</v>
      </c>
      <c r="X876" s="20" t="s">
        <v>45</v>
      </c>
    </row>
    <row r="877" spans="1:24" x14ac:dyDescent="0.25">
      <c r="A877" s="23" t="s">
        <v>1377</v>
      </c>
      <c r="B877" s="22">
        <v>45511</v>
      </c>
      <c r="C877" s="23" t="s">
        <v>267</v>
      </c>
      <c r="D877" s="23" t="s">
        <v>65</v>
      </c>
      <c r="E877" s="23" t="s">
        <v>109</v>
      </c>
      <c r="F877" s="23" t="s">
        <v>110</v>
      </c>
      <c r="G877" s="23" t="s">
        <v>2584</v>
      </c>
      <c r="H877" s="23" t="s">
        <v>81</v>
      </c>
      <c r="I877" s="23" t="s">
        <v>40</v>
      </c>
      <c r="J877" s="23" t="s">
        <v>82</v>
      </c>
      <c r="K877" s="23" t="s">
        <v>261</v>
      </c>
      <c r="L877" s="23" t="s">
        <v>2695</v>
      </c>
      <c r="M877" s="23" t="s">
        <v>43</v>
      </c>
      <c r="N877" s="23" t="s">
        <v>75</v>
      </c>
      <c r="O877" s="23">
        <v>16</v>
      </c>
      <c r="P877" s="23">
        <v>126.72</v>
      </c>
      <c r="Q877" s="23">
        <v>75.48</v>
      </c>
      <c r="R877" s="23">
        <v>2027.48</v>
      </c>
      <c r="S877" s="23">
        <v>0</v>
      </c>
      <c r="T877" s="23">
        <v>0</v>
      </c>
      <c r="U877" s="23">
        <v>2027.48</v>
      </c>
      <c r="V877" s="23">
        <v>1207.6400000000001</v>
      </c>
      <c r="W877" s="23">
        <v>819.84</v>
      </c>
      <c r="X877" s="23" t="s">
        <v>45</v>
      </c>
    </row>
    <row r="878" spans="1:24" x14ac:dyDescent="0.25">
      <c r="A878" s="20" t="s">
        <v>1378</v>
      </c>
      <c r="B878" s="19">
        <v>45301</v>
      </c>
      <c r="C878" s="20" t="s">
        <v>924</v>
      </c>
      <c r="D878" s="20" t="s">
        <v>48</v>
      </c>
      <c r="E878" s="20" t="s">
        <v>132</v>
      </c>
      <c r="F878" s="20" t="s">
        <v>133</v>
      </c>
      <c r="G878" s="20" t="s">
        <v>2581</v>
      </c>
      <c r="H878" s="20" t="s">
        <v>134</v>
      </c>
      <c r="I878" s="20" t="s">
        <v>27</v>
      </c>
      <c r="J878" s="20" t="s">
        <v>189</v>
      </c>
      <c r="K878" s="20" t="s">
        <v>253</v>
      </c>
      <c r="L878" s="20" t="s">
        <v>2694</v>
      </c>
      <c r="M878" s="20" t="s">
        <v>30</v>
      </c>
      <c r="N878" s="20" t="s">
        <v>70</v>
      </c>
      <c r="O878" s="20">
        <v>33</v>
      </c>
      <c r="P878" s="20">
        <v>59.13</v>
      </c>
      <c r="Q878" s="20">
        <v>32.22</v>
      </c>
      <c r="R878" s="20">
        <v>1951.16</v>
      </c>
      <c r="S878" s="20">
        <v>0.02</v>
      </c>
      <c r="T878" s="20">
        <v>39.020000000000003</v>
      </c>
      <c r="U878" s="20">
        <v>1912.13</v>
      </c>
      <c r="V878" s="20">
        <v>1063.3499999999999</v>
      </c>
      <c r="W878" s="20">
        <v>848.78</v>
      </c>
      <c r="X878" s="20" t="s">
        <v>45</v>
      </c>
    </row>
    <row r="879" spans="1:24" x14ac:dyDescent="0.25">
      <c r="A879" s="23" t="s">
        <v>1379</v>
      </c>
      <c r="B879" s="22">
        <v>45359</v>
      </c>
      <c r="C879" s="23" t="s">
        <v>1380</v>
      </c>
      <c r="D879" s="23" t="s">
        <v>121</v>
      </c>
      <c r="E879" s="23" t="s">
        <v>187</v>
      </c>
      <c r="F879" s="23" t="s">
        <v>2594</v>
      </c>
      <c r="G879" s="23" t="s">
        <v>2577</v>
      </c>
      <c r="H879" s="23" t="s">
        <v>26</v>
      </c>
      <c r="I879" s="23" t="s">
        <v>58</v>
      </c>
      <c r="J879" s="23" t="s">
        <v>59</v>
      </c>
      <c r="K879" s="23" t="s">
        <v>218</v>
      </c>
      <c r="L879" s="23" t="s">
        <v>2692</v>
      </c>
      <c r="M879" s="23" t="s">
        <v>153</v>
      </c>
      <c r="N879" s="23" t="s">
        <v>2578</v>
      </c>
      <c r="O879" s="23">
        <v>14</v>
      </c>
      <c r="P879" s="23">
        <v>50.35</v>
      </c>
      <c r="Q879" s="23">
        <v>28.2</v>
      </c>
      <c r="R879" s="23">
        <v>704.87</v>
      </c>
      <c r="S879" s="23">
        <v>0.15</v>
      </c>
      <c r="T879" s="23">
        <v>105.73</v>
      </c>
      <c r="U879" s="23">
        <v>599.14</v>
      </c>
      <c r="V879" s="23">
        <v>394.84</v>
      </c>
      <c r="W879" s="23">
        <v>204.3</v>
      </c>
      <c r="X879" s="23" t="s">
        <v>45</v>
      </c>
    </row>
    <row r="880" spans="1:24" x14ac:dyDescent="0.25">
      <c r="A880" s="20" t="s">
        <v>1381</v>
      </c>
      <c r="B880" s="19">
        <v>45456</v>
      </c>
      <c r="C880" s="20" t="s">
        <v>389</v>
      </c>
      <c r="D880" s="20" t="s">
        <v>264</v>
      </c>
      <c r="E880" s="20" t="s">
        <v>222</v>
      </c>
      <c r="F880" s="20" t="s">
        <v>2597</v>
      </c>
      <c r="G880" s="20" t="s">
        <v>2587</v>
      </c>
      <c r="H880" s="20" t="s">
        <v>68</v>
      </c>
      <c r="I880" s="20" t="s">
        <v>88</v>
      </c>
      <c r="J880" s="20" t="s">
        <v>2112</v>
      </c>
      <c r="K880" s="20" t="s">
        <v>42</v>
      </c>
      <c r="L880" s="20" t="s">
        <v>2680</v>
      </c>
      <c r="M880" s="20" t="s">
        <v>153</v>
      </c>
      <c r="N880" s="20" t="s">
        <v>44</v>
      </c>
      <c r="O880" s="20">
        <v>30</v>
      </c>
      <c r="P880" s="20">
        <v>129.08000000000001</v>
      </c>
      <c r="Q880" s="20">
        <v>74.58</v>
      </c>
      <c r="R880" s="20">
        <v>3872.49</v>
      </c>
      <c r="S880" s="20">
        <v>0.02</v>
      </c>
      <c r="T880" s="20">
        <v>77.45</v>
      </c>
      <c r="U880" s="20">
        <v>3795.04</v>
      </c>
      <c r="V880" s="20">
        <v>2237.46</v>
      </c>
      <c r="W880" s="20">
        <v>1557.58</v>
      </c>
      <c r="X880" s="20" t="s">
        <v>45</v>
      </c>
    </row>
    <row r="881" spans="1:24" x14ac:dyDescent="0.25">
      <c r="A881" s="23" t="s">
        <v>1382</v>
      </c>
      <c r="B881" s="22">
        <v>45598</v>
      </c>
      <c r="C881" s="23" t="s">
        <v>180</v>
      </c>
      <c r="D881" s="23" t="s">
        <v>163</v>
      </c>
      <c r="E881" s="23" t="s">
        <v>23</v>
      </c>
      <c r="F881" s="23" t="s">
        <v>2576</v>
      </c>
      <c r="G881" s="23" t="s">
        <v>2577</v>
      </c>
      <c r="H881" s="23" t="s">
        <v>26</v>
      </c>
      <c r="I881" s="23" t="s">
        <v>88</v>
      </c>
      <c r="J881" s="23" t="s">
        <v>173</v>
      </c>
      <c r="K881" s="23" t="s">
        <v>90</v>
      </c>
      <c r="L881" s="23" t="s">
        <v>2684</v>
      </c>
      <c r="M881" s="23" t="s">
        <v>153</v>
      </c>
      <c r="N881" s="23" t="s">
        <v>44</v>
      </c>
      <c r="O881" s="23">
        <v>41</v>
      </c>
      <c r="P881" s="23">
        <v>71.13</v>
      </c>
      <c r="Q881" s="23">
        <v>44.32</v>
      </c>
      <c r="R881" s="23">
        <v>2916.29</v>
      </c>
      <c r="S881" s="23">
        <v>0.05</v>
      </c>
      <c r="T881" s="23">
        <v>145.81</v>
      </c>
      <c r="U881" s="23">
        <v>2770.48</v>
      </c>
      <c r="V881" s="23">
        <v>1817</v>
      </c>
      <c r="W881" s="23">
        <v>953.48</v>
      </c>
      <c r="X881" s="23" t="s">
        <v>45</v>
      </c>
    </row>
    <row r="882" spans="1:24" x14ac:dyDescent="0.25">
      <c r="A882" s="20" t="s">
        <v>1383</v>
      </c>
      <c r="B882" s="19">
        <v>45595</v>
      </c>
      <c r="C882" s="20" t="s">
        <v>1071</v>
      </c>
      <c r="D882" s="20" t="s">
        <v>105</v>
      </c>
      <c r="E882" s="20" t="s">
        <v>209</v>
      </c>
      <c r="F882" s="20" t="s">
        <v>2595</v>
      </c>
      <c r="G882" s="20" t="s">
        <v>2581</v>
      </c>
      <c r="H882" s="20" t="s">
        <v>116</v>
      </c>
      <c r="I882" s="20" t="s">
        <v>40</v>
      </c>
      <c r="J882" s="20" t="s">
        <v>117</v>
      </c>
      <c r="K882" s="20" t="s">
        <v>74</v>
      </c>
      <c r="L882" s="20" t="s">
        <v>2682</v>
      </c>
      <c r="M882" s="20" t="s">
        <v>153</v>
      </c>
      <c r="N882" s="20" t="s">
        <v>84</v>
      </c>
      <c r="O882" s="20">
        <v>25</v>
      </c>
      <c r="P882" s="20">
        <v>18.41</v>
      </c>
      <c r="Q882" s="20">
        <v>10.52</v>
      </c>
      <c r="R882" s="20">
        <v>460.15</v>
      </c>
      <c r="S882" s="20">
        <v>0.15</v>
      </c>
      <c r="T882" s="20">
        <v>69.02</v>
      </c>
      <c r="U882" s="20">
        <v>391.13</v>
      </c>
      <c r="V882" s="20">
        <v>262.89999999999998</v>
      </c>
      <c r="W882" s="20">
        <v>128.22999999999999</v>
      </c>
      <c r="X882" s="20" t="s">
        <v>45</v>
      </c>
    </row>
    <row r="883" spans="1:24" x14ac:dyDescent="0.25">
      <c r="A883" s="23" t="s">
        <v>1384</v>
      </c>
      <c r="B883" s="22">
        <v>45458</v>
      </c>
      <c r="C883" s="23" t="s">
        <v>493</v>
      </c>
      <c r="D883" s="23" t="s">
        <v>121</v>
      </c>
      <c r="E883" s="23" t="s">
        <v>49</v>
      </c>
      <c r="F883" s="23" t="s">
        <v>2580</v>
      </c>
      <c r="G883" s="23" t="s">
        <v>2581</v>
      </c>
      <c r="H883" s="23" t="s">
        <v>52</v>
      </c>
      <c r="I883" s="23" t="s">
        <v>58</v>
      </c>
      <c r="J883" s="23" t="s">
        <v>73</v>
      </c>
      <c r="K883" s="23" t="s">
        <v>253</v>
      </c>
      <c r="L883" s="23" t="s">
        <v>2694</v>
      </c>
      <c r="M883" s="23" t="s">
        <v>61</v>
      </c>
      <c r="N883" s="23" t="s">
        <v>84</v>
      </c>
      <c r="O883" s="23">
        <v>16</v>
      </c>
      <c r="P883" s="23">
        <v>25.4</v>
      </c>
      <c r="Q883" s="23">
        <v>12.57</v>
      </c>
      <c r="R883" s="23">
        <v>406.4</v>
      </c>
      <c r="S883" s="23">
        <v>0.2</v>
      </c>
      <c r="T883" s="23">
        <v>81.28</v>
      </c>
      <c r="U883" s="23">
        <v>325.12</v>
      </c>
      <c r="V883" s="23">
        <v>201.07</v>
      </c>
      <c r="W883" s="23">
        <v>124.05</v>
      </c>
      <c r="X883" s="23" t="s">
        <v>45</v>
      </c>
    </row>
    <row r="884" spans="1:24" x14ac:dyDescent="0.25">
      <c r="A884" s="20" t="s">
        <v>1385</v>
      </c>
      <c r="B884" s="19">
        <v>45654</v>
      </c>
      <c r="C884" s="20" t="s">
        <v>584</v>
      </c>
      <c r="D884" s="20" t="s">
        <v>105</v>
      </c>
      <c r="E884" s="20" t="s">
        <v>165</v>
      </c>
      <c r="F884" s="20" t="s">
        <v>2592</v>
      </c>
      <c r="G884" s="20" t="s">
        <v>2586</v>
      </c>
      <c r="H884" s="20" t="s">
        <v>167</v>
      </c>
      <c r="I884" s="20" t="s">
        <v>53</v>
      </c>
      <c r="J884" s="20" t="s">
        <v>54</v>
      </c>
      <c r="K884" s="20" t="s">
        <v>74</v>
      </c>
      <c r="L884" s="20" t="s">
        <v>2682</v>
      </c>
      <c r="M884" s="20" t="s">
        <v>43</v>
      </c>
      <c r="N884" s="20" t="s">
        <v>70</v>
      </c>
      <c r="O884" s="20">
        <v>8</v>
      </c>
      <c r="P884" s="20">
        <v>40.19</v>
      </c>
      <c r="Q884" s="20">
        <v>23.48</v>
      </c>
      <c r="R884" s="20">
        <v>321.49</v>
      </c>
      <c r="S884" s="20">
        <v>0.15</v>
      </c>
      <c r="T884" s="20">
        <v>48.22</v>
      </c>
      <c r="U884" s="20">
        <v>273.26</v>
      </c>
      <c r="V884" s="20">
        <v>187.86</v>
      </c>
      <c r="W884" s="20">
        <v>85.4</v>
      </c>
      <c r="X884" s="20" t="s">
        <v>45</v>
      </c>
    </row>
    <row r="885" spans="1:24" x14ac:dyDescent="0.25">
      <c r="A885" s="23" t="s">
        <v>1386</v>
      </c>
      <c r="B885" s="22">
        <v>45505</v>
      </c>
      <c r="C885" s="23" t="s">
        <v>1078</v>
      </c>
      <c r="D885" s="23" t="s">
        <v>48</v>
      </c>
      <c r="E885" s="23" t="s">
        <v>36</v>
      </c>
      <c r="F885" s="23" t="s">
        <v>37</v>
      </c>
      <c r="G885" s="23" t="s">
        <v>2579</v>
      </c>
      <c r="H885" s="23" t="s">
        <v>39</v>
      </c>
      <c r="I885" s="23" t="s">
        <v>53</v>
      </c>
      <c r="J885" s="23" t="s">
        <v>232</v>
      </c>
      <c r="K885" s="23" t="s">
        <v>144</v>
      </c>
      <c r="L885" s="23" t="s">
        <v>2687</v>
      </c>
      <c r="M885" s="23" t="s">
        <v>153</v>
      </c>
      <c r="N885" s="23" t="s">
        <v>84</v>
      </c>
      <c r="O885" s="23">
        <v>63</v>
      </c>
      <c r="P885" s="23">
        <v>171.71</v>
      </c>
      <c r="Q885" s="23">
        <v>97.31</v>
      </c>
      <c r="R885" s="23">
        <v>10817.87</v>
      </c>
      <c r="S885" s="23">
        <v>0</v>
      </c>
      <c r="T885" s="23">
        <v>0</v>
      </c>
      <c r="U885" s="23">
        <v>10817.87</v>
      </c>
      <c r="V885" s="23">
        <v>6130.42</v>
      </c>
      <c r="W885" s="23">
        <v>4687.45</v>
      </c>
      <c r="X885" s="23" t="s">
        <v>129</v>
      </c>
    </row>
    <row r="886" spans="1:24" x14ac:dyDescent="0.25">
      <c r="A886" s="20" t="s">
        <v>1387</v>
      </c>
      <c r="B886" s="19">
        <v>45410</v>
      </c>
      <c r="C886" s="20" t="s">
        <v>1112</v>
      </c>
      <c r="D886" s="20" t="s">
        <v>159</v>
      </c>
      <c r="E886" s="20" t="s">
        <v>23</v>
      </c>
      <c r="F886" s="20" t="s">
        <v>2576</v>
      </c>
      <c r="G886" s="20" t="s">
        <v>2577</v>
      </c>
      <c r="H886" s="20" t="s">
        <v>26</v>
      </c>
      <c r="I886" s="20" t="s">
        <v>88</v>
      </c>
      <c r="J886" s="20" t="s">
        <v>173</v>
      </c>
      <c r="K886" s="20" t="s">
        <v>42</v>
      </c>
      <c r="L886" s="20" t="s">
        <v>2680</v>
      </c>
      <c r="M886" s="20" t="s">
        <v>61</v>
      </c>
      <c r="N886" s="20" t="s">
        <v>84</v>
      </c>
      <c r="O886" s="20">
        <v>12</v>
      </c>
      <c r="P886" s="20">
        <v>71.98</v>
      </c>
      <c r="Q886" s="20">
        <v>41.99</v>
      </c>
      <c r="R886" s="20">
        <v>863.77</v>
      </c>
      <c r="S886" s="20">
        <v>0.15</v>
      </c>
      <c r="T886" s="20">
        <v>129.56</v>
      </c>
      <c r="U886" s="20">
        <v>734.2</v>
      </c>
      <c r="V886" s="20">
        <v>503.87</v>
      </c>
      <c r="W886" s="20">
        <v>230.33</v>
      </c>
      <c r="X886" s="20" t="s">
        <v>32</v>
      </c>
    </row>
    <row r="887" spans="1:24" x14ac:dyDescent="0.25">
      <c r="A887" s="23" t="s">
        <v>1388</v>
      </c>
      <c r="B887" s="22">
        <v>45348</v>
      </c>
      <c r="C887" s="23" t="s">
        <v>276</v>
      </c>
      <c r="D887" s="23" t="s">
        <v>221</v>
      </c>
      <c r="E887" s="23" t="s">
        <v>114</v>
      </c>
      <c r="F887" s="23" t="s">
        <v>2588</v>
      </c>
      <c r="G887" s="23" t="s">
        <v>2586</v>
      </c>
      <c r="H887" s="23" t="s">
        <v>116</v>
      </c>
      <c r="I887" s="23" t="s">
        <v>27</v>
      </c>
      <c r="J887" s="23" t="s">
        <v>106</v>
      </c>
      <c r="K887" s="23" t="s">
        <v>111</v>
      </c>
      <c r="L887" s="23" t="s">
        <v>2685</v>
      </c>
      <c r="M887" s="23" t="s">
        <v>30</v>
      </c>
      <c r="N887" s="23" t="s">
        <v>84</v>
      </c>
      <c r="O887" s="23">
        <v>37</v>
      </c>
      <c r="P887" s="23">
        <v>32.46</v>
      </c>
      <c r="Q887" s="23">
        <v>22.25</v>
      </c>
      <c r="R887" s="23">
        <v>1200.8800000000001</v>
      </c>
      <c r="S887" s="23">
        <v>0</v>
      </c>
      <c r="T887" s="23">
        <v>0</v>
      </c>
      <c r="U887" s="23">
        <v>1200.8800000000001</v>
      </c>
      <c r="V887" s="23">
        <v>823.19</v>
      </c>
      <c r="W887" s="23">
        <v>377.69</v>
      </c>
      <c r="X887" s="23" t="s">
        <v>129</v>
      </c>
    </row>
    <row r="888" spans="1:24" x14ac:dyDescent="0.25">
      <c r="A888" s="20" t="s">
        <v>1389</v>
      </c>
      <c r="B888" s="19">
        <v>45459</v>
      </c>
      <c r="C888" s="20" t="s">
        <v>64</v>
      </c>
      <c r="D888" s="20" t="s">
        <v>65</v>
      </c>
      <c r="E888" s="20" t="s">
        <v>126</v>
      </c>
      <c r="F888" s="20" t="s">
        <v>2589</v>
      </c>
      <c r="G888" s="20" t="s">
        <v>2586</v>
      </c>
      <c r="H888" s="20" t="s">
        <v>128</v>
      </c>
      <c r="I888" s="20" t="s">
        <v>88</v>
      </c>
      <c r="J888" s="20" t="s">
        <v>2112</v>
      </c>
      <c r="K888" s="20" t="s">
        <v>178</v>
      </c>
      <c r="L888" s="20" t="s">
        <v>2689</v>
      </c>
      <c r="M888" s="20" t="s">
        <v>153</v>
      </c>
      <c r="N888" s="20" t="s">
        <v>44</v>
      </c>
      <c r="O888" s="20">
        <v>79</v>
      </c>
      <c r="P888" s="20">
        <v>97.06</v>
      </c>
      <c r="Q888" s="20">
        <v>52.26</v>
      </c>
      <c r="R888" s="20">
        <v>7668</v>
      </c>
      <c r="S888" s="20">
        <v>0.05</v>
      </c>
      <c r="T888" s="20">
        <v>383.4</v>
      </c>
      <c r="U888" s="20">
        <v>7284.6</v>
      </c>
      <c r="V888" s="20">
        <v>4128.46</v>
      </c>
      <c r="W888" s="20">
        <v>3156.14</v>
      </c>
      <c r="X888" s="20" t="s">
        <v>45</v>
      </c>
    </row>
    <row r="889" spans="1:24" x14ac:dyDescent="0.25">
      <c r="A889" s="23" t="s">
        <v>1390</v>
      </c>
      <c r="B889" s="22">
        <v>45303</v>
      </c>
      <c r="C889" s="23" t="s">
        <v>399</v>
      </c>
      <c r="D889" s="23" t="s">
        <v>48</v>
      </c>
      <c r="E889" s="23" t="s">
        <v>150</v>
      </c>
      <c r="F889" s="23" t="s">
        <v>2591</v>
      </c>
      <c r="G889" s="23" t="s">
        <v>2587</v>
      </c>
      <c r="H889" s="23" t="s">
        <v>134</v>
      </c>
      <c r="I889" s="23" t="s">
        <v>58</v>
      </c>
      <c r="J889" s="23" t="s">
        <v>323</v>
      </c>
      <c r="K889" s="23" t="s">
        <v>218</v>
      </c>
      <c r="L889" s="23" t="s">
        <v>2692</v>
      </c>
      <c r="M889" s="23" t="s">
        <v>30</v>
      </c>
      <c r="N889" s="23" t="s">
        <v>84</v>
      </c>
      <c r="O889" s="23">
        <v>11</v>
      </c>
      <c r="P889" s="23">
        <v>82.61</v>
      </c>
      <c r="Q889" s="23">
        <v>49.12</v>
      </c>
      <c r="R889" s="23">
        <v>908.75</v>
      </c>
      <c r="S889" s="23">
        <v>0.1</v>
      </c>
      <c r="T889" s="23">
        <v>90.87</v>
      </c>
      <c r="U889" s="23">
        <v>817.87</v>
      </c>
      <c r="V889" s="23">
        <v>540.30999999999995</v>
      </c>
      <c r="W889" s="23">
        <v>277.56</v>
      </c>
      <c r="X889" s="23" t="s">
        <v>45</v>
      </c>
    </row>
    <row r="890" spans="1:24" x14ac:dyDescent="0.25">
      <c r="A890" s="20" t="s">
        <v>1391</v>
      </c>
      <c r="B890" s="19">
        <v>45416</v>
      </c>
      <c r="C890" s="20" t="s">
        <v>293</v>
      </c>
      <c r="D890" s="20" t="s">
        <v>65</v>
      </c>
      <c r="E890" s="20" t="s">
        <v>49</v>
      </c>
      <c r="F890" s="20" t="s">
        <v>2580</v>
      </c>
      <c r="G890" s="20" t="s">
        <v>2581</v>
      </c>
      <c r="H890" s="20" t="s">
        <v>52</v>
      </c>
      <c r="I890" s="20" t="s">
        <v>53</v>
      </c>
      <c r="J890" s="20" t="s">
        <v>122</v>
      </c>
      <c r="K890" s="20" t="s">
        <v>152</v>
      </c>
      <c r="L890" s="20" t="s">
        <v>2688</v>
      </c>
      <c r="M890" s="20" t="s">
        <v>153</v>
      </c>
      <c r="N890" s="20" t="s">
        <v>2578</v>
      </c>
      <c r="O890" s="20">
        <v>33</v>
      </c>
      <c r="P890" s="20">
        <v>26.92</v>
      </c>
      <c r="Q890" s="20">
        <v>12.81</v>
      </c>
      <c r="R890" s="20">
        <v>888.46</v>
      </c>
      <c r="S890" s="20">
        <v>0.2</v>
      </c>
      <c r="T890" s="20">
        <v>177.69</v>
      </c>
      <c r="U890" s="20">
        <v>710.77</v>
      </c>
      <c r="V890" s="20">
        <v>422.66</v>
      </c>
      <c r="W890" s="20">
        <v>288.11</v>
      </c>
      <c r="X890" s="20" t="s">
        <v>129</v>
      </c>
    </row>
    <row r="891" spans="1:24" x14ac:dyDescent="0.25">
      <c r="A891" s="23" t="s">
        <v>1392</v>
      </c>
      <c r="B891" s="22">
        <v>45579</v>
      </c>
      <c r="C891" s="23" t="s">
        <v>1265</v>
      </c>
      <c r="D891" s="23" t="s">
        <v>48</v>
      </c>
      <c r="E891" s="23" t="s">
        <v>141</v>
      </c>
      <c r="F891" s="23" t="s">
        <v>2590</v>
      </c>
      <c r="G891" s="23" t="s">
        <v>2577</v>
      </c>
      <c r="H891" s="23" t="s">
        <v>26</v>
      </c>
      <c r="I891" s="23" t="s">
        <v>27</v>
      </c>
      <c r="J891" s="23" t="s">
        <v>106</v>
      </c>
      <c r="K891" s="23" t="s">
        <v>111</v>
      </c>
      <c r="L891" s="23" t="s">
        <v>2685</v>
      </c>
      <c r="M891" s="23" t="s">
        <v>153</v>
      </c>
      <c r="N891" s="23" t="s">
        <v>2578</v>
      </c>
      <c r="O891" s="23">
        <v>62</v>
      </c>
      <c r="P891" s="23">
        <v>99.6</v>
      </c>
      <c r="Q891" s="23">
        <v>53.4</v>
      </c>
      <c r="R891" s="23">
        <v>6175.41</v>
      </c>
      <c r="S891" s="23">
        <v>0.15</v>
      </c>
      <c r="T891" s="23">
        <v>926.31</v>
      </c>
      <c r="U891" s="23">
        <v>5249.1</v>
      </c>
      <c r="V891" s="23">
        <v>3310.99</v>
      </c>
      <c r="W891" s="23">
        <v>1938.11</v>
      </c>
      <c r="X891" s="23" t="s">
        <v>45</v>
      </c>
    </row>
    <row r="892" spans="1:24" x14ac:dyDescent="0.25">
      <c r="A892" s="20" t="s">
        <v>1393</v>
      </c>
      <c r="B892" s="19">
        <v>45624</v>
      </c>
      <c r="C892" s="20" t="s">
        <v>1394</v>
      </c>
      <c r="D892" s="20" t="s">
        <v>156</v>
      </c>
      <c r="E892" s="20" t="s">
        <v>141</v>
      </c>
      <c r="F892" s="20" t="s">
        <v>2590</v>
      </c>
      <c r="G892" s="20" t="s">
        <v>2577</v>
      </c>
      <c r="H892" s="20" t="s">
        <v>26</v>
      </c>
      <c r="I892" s="20" t="s">
        <v>40</v>
      </c>
      <c r="J892" s="20" t="s">
        <v>82</v>
      </c>
      <c r="K892" s="20" t="s">
        <v>253</v>
      </c>
      <c r="L892" s="20" t="s">
        <v>2694</v>
      </c>
      <c r="M892" s="20" t="s">
        <v>30</v>
      </c>
      <c r="N892" s="20" t="s">
        <v>84</v>
      </c>
      <c r="O892" s="20">
        <v>11</v>
      </c>
      <c r="P892" s="20">
        <v>101.09</v>
      </c>
      <c r="Q892" s="20">
        <v>59.24</v>
      </c>
      <c r="R892" s="20">
        <v>1111.95</v>
      </c>
      <c r="S892" s="20">
        <v>0.05</v>
      </c>
      <c r="T892" s="20">
        <v>55.6</v>
      </c>
      <c r="U892" s="20">
        <v>1056.3499999999999</v>
      </c>
      <c r="V892" s="20">
        <v>651.59</v>
      </c>
      <c r="W892" s="20">
        <v>404.77</v>
      </c>
      <c r="X892" s="20" t="s">
        <v>129</v>
      </c>
    </row>
    <row r="893" spans="1:24" x14ac:dyDescent="0.25">
      <c r="A893" s="23" t="s">
        <v>1395</v>
      </c>
      <c r="B893" s="22">
        <v>45495</v>
      </c>
      <c r="C893" s="23" t="s">
        <v>182</v>
      </c>
      <c r="D893" s="23" t="s">
        <v>35</v>
      </c>
      <c r="E893" s="23" t="s">
        <v>36</v>
      </c>
      <c r="F893" s="23" t="s">
        <v>37</v>
      </c>
      <c r="G893" s="23" t="s">
        <v>2579</v>
      </c>
      <c r="H893" s="23" t="s">
        <v>39</v>
      </c>
      <c r="I893" s="23" t="s">
        <v>40</v>
      </c>
      <c r="J893" s="23" t="s">
        <v>117</v>
      </c>
      <c r="K893" s="23" t="s">
        <v>195</v>
      </c>
      <c r="L893" s="23" t="s">
        <v>2691</v>
      </c>
      <c r="M893" s="23" t="s">
        <v>61</v>
      </c>
      <c r="N893" s="23" t="s">
        <v>44</v>
      </c>
      <c r="O893" s="23">
        <v>47</v>
      </c>
      <c r="P893" s="23">
        <v>157.9</v>
      </c>
      <c r="Q893" s="23">
        <v>101.72</v>
      </c>
      <c r="R893" s="23">
        <v>7421.32</v>
      </c>
      <c r="S893" s="23">
        <v>0.15</v>
      </c>
      <c r="T893" s="23">
        <v>1113.2</v>
      </c>
      <c r="U893" s="23">
        <v>6308.12</v>
      </c>
      <c r="V893" s="23">
        <v>4780.97</v>
      </c>
      <c r="W893" s="23">
        <v>1527.15</v>
      </c>
      <c r="X893" s="23" t="s">
        <v>45</v>
      </c>
    </row>
    <row r="894" spans="1:24" x14ac:dyDescent="0.25">
      <c r="A894" s="20" t="s">
        <v>1396</v>
      </c>
      <c r="B894" s="19">
        <v>45581</v>
      </c>
      <c r="C894" s="20" t="s">
        <v>811</v>
      </c>
      <c r="D894" s="20" t="s">
        <v>359</v>
      </c>
      <c r="E894" s="20" t="s">
        <v>93</v>
      </c>
      <c r="F894" s="20" t="s">
        <v>2585</v>
      </c>
      <c r="G894" s="20" t="s">
        <v>2586</v>
      </c>
      <c r="H894" s="20" t="s">
        <v>96</v>
      </c>
      <c r="I894" s="20" t="s">
        <v>58</v>
      </c>
      <c r="J894" s="20" t="s">
        <v>345</v>
      </c>
      <c r="K894" s="20" t="s">
        <v>178</v>
      </c>
      <c r="L894" s="20" t="s">
        <v>2689</v>
      </c>
      <c r="M894" s="20" t="s">
        <v>30</v>
      </c>
      <c r="N894" s="20" t="s">
        <v>44</v>
      </c>
      <c r="O894" s="20">
        <v>8</v>
      </c>
      <c r="P894" s="20">
        <v>53.23</v>
      </c>
      <c r="Q894" s="20">
        <v>34.26</v>
      </c>
      <c r="R894" s="20">
        <v>425.83</v>
      </c>
      <c r="S894" s="20">
        <v>0.2</v>
      </c>
      <c r="T894" s="20">
        <v>85.17</v>
      </c>
      <c r="U894" s="20">
        <v>340.66</v>
      </c>
      <c r="V894" s="20">
        <v>274.05</v>
      </c>
      <c r="W894" s="20">
        <v>66.61</v>
      </c>
      <c r="X894" s="20" t="s">
        <v>32</v>
      </c>
    </row>
    <row r="895" spans="1:24" x14ac:dyDescent="0.25">
      <c r="A895" s="23" t="s">
        <v>1397</v>
      </c>
      <c r="B895" s="22">
        <v>45549</v>
      </c>
      <c r="C895" s="23" t="s">
        <v>282</v>
      </c>
      <c r="D895" s="23" t="s">
        <v>125</v>
      </c>
      <c r="E895" s="23" t="s">
        <v>49</v>
      </c>
      <c r="F895" s="23" t="s">
        <v>2580</v>
      </c>
      <c r="G895" s="23" t="s">
        <v>2581</v>
      </c>
      <c r="H895" s="23" t="s">
        <v>52</v>
      </c>
      <c r="I895" s="23" t="s">
        <v>27</v>
      </c>
      <c r="J895" s="23" t="s">
        <v>211</v>
      </c>
      <c r="K895" s="23" t="s">
        <v>265</v>
      </c>
      <c r="L895" s="23" t="s">
        <v>2663</v>
      </c>
      <c r="M895" s="23" t="s">
        <v>153</v>
      </c>
      <c r="N895" s="23" t="s">
        <v>75</v>
      </c>
      <c r="O895" s="23">
        <v>48</v>
      </c>
      <c r="P895" s="23">
        <v>23.1</v>
      </c>
      <c r="Q895" s="23">
        <v>13.96</v>
      </c>
      <c r="R895" s="23">
        <v>1108.8699999999999</v>
      </c>
      <c r="S895" s="23">
        <v>0.02</v>
      </c>
      <c r="T895" s="23">
        <v>22.18</v>
      </c>
      <c r="U895" s="23">
        <v>1086.69</v>
      </c>
      <c r="V895" s="23">
        <v>670.19</v>
      </c>
      <c r="W895" s="23">
        <v>416.5</v>
      </c>
      <c r="X895" s="23" t="s">
        <v>45</v>
      </c>
    </row>
    <row r="896" spans="1:24" x14ac:dyDescent="0.25">
      <c r="A896" s="20" t="s">
        <v>1398</v>
      </c>
      <c r="B896" s="19">
        <v>45339</v>
      </c>
      <c r="C896" s="20" t="s">
        <v>301</v>
      </c>
      <c r="D896" s="20" t="s">
        <v>259</v>
      </c>
      <c r="E896" s="20" t="s">
        <v>49</v>
      </c>
      <c r="F896" s="20" t="s">
        <v>2580</v>
      </c>
      <c r="G896" s="20" t="s">
        <v>2581</v>
      </c>
      <c r="H896" s="20" t="s">
        <v>52</v>
      </c>
      <c r="I896" s="20" t="s">
        <v>40</v>
      </c>
      <c r="J896" s="20" t="s">
        <v>82</v>
      </c>
      <c r="K896" s="20" t="s">
        <v>83</v>
      </c>
      <c r="L896" s="20" t="s">
        <v>2683</v>
      </c>
      <c r="M896" s="20" t="s">
        <v>153</v>
      </c>
      <c r="N896" s="20" t="s">
        <v>84</v>
      </c>
      <c r="O896" s="20">
        <v>45</v>
      </c>
      <c r="P896" s="20">
        <v>25.32</v>
      </c>
      <c r="Q896" s="20">
        <v>13.28</v>
      </c>
      <c r="R896" s="20">
        <v>1139.51</v>
      </c>
      <c r="S896" s="20">
        <v>0.02</v>
      </c>
      <c r="T896" s="20">
        <v>22.79</v>
      </c>
      <c r="U896" s="20">
        <v>1116.72</v>
      </c>
      <c r="V896" s="20">
        <v>597.38</v>
      </c>
      <c r="W896" s="20">
        <v>519.34</v>
      </c>
      <c r="X896" s="20" t="s">
        <v>45</v>
      </c>
    </row>
    <row r="897" spans="1:24" x14ac:dyDescent="0.25">
      <c r="A897" s="23" t="s">
        <v>1399</v>
      </c>
      <c r="B897" s="22">
        <v>45511</v>
      </c>
      <c r="C897" s="23" t="s">
        <v>297</v>
      </c>
      <c r="D897" s="23" t="s">
        <v>87</v>
      </c>
      <c r="E897" s="23" t="s">
        <v>187</v>
      </c>
      <c r="F897" s="23" t="s">
        <v>2594</v>
      </c>
      <c r="G897" s="23" t="s">
        <v>2577</v>
      </c>
      <c r="H897" s="23" t="s">
        <v>26</v>
      </c>
      <c r="I897" s="23" t="s">
        <v>27</v>
      </c>
      <c r="J897" s="23" t="s">
        <v>189</v>
      </c>
      <c r="K897" s="23" t="s">
        <v>69</v>
      </c>
      <c r="L897" s="23" t="s">
        <v>2681</v>
      </c>
      <c r="M897" s="23" t="s">
        <v>153</v>
      </c>
      <c r="N897" s="23" t="s">
        <v>84</v>
      </c>
      <c r="O897" s="23">
        <v>41</v>
      </c>
      <c r="P897" s="23">
        <v>48.86</v>
      </c>
      <c r="Q897" s="23">
        <v>29.83</v>
      </c>
      <c r="R897" s="23">
        <v>2003.1</v>
      </c>
      <c r="S897" s="23">
        <v>0.2</v>
      </c>
      <c r="T897" s="23">
        <v>400.62</v>
      </c>
      <c r="U897" s="23">
        <v>1602.48</v>
      </c>
      <c r="V897" s="23">
        <v>1222.96</v>
      </c>
      <c r="W897" s="23">
        <v>379.52</v>
      </c>
      <c r="X897" s="23" t="s">
        <v>45</v>
      </c>
    </row>
    <row r="898" spans="1:24" x14ac:dyDescent="0.25">
      <c r="A898" s="20" t="s">
        <v>1400</v>
      </c>
      <c r="B898" s="19">
        <v>45387</v>
      </c>
      <c r="C898" s="20" t="s">
        <v>674</v>
      </c>
      <c r="D898" s="20" t="s">
        <v>264</v>
      </c>
      <c r="E898" s="20" t="s">
        <v>141</v>
      </c>
      <c r="F898" s="20" t="s">
        <v>2590</v>
      </c>
      <c r="G898" s="20" t="s">
        <v>2577</v>
      </c>
      <c r="H898" s="20" t="s">
        <v>26</v>
      </c>
      <c r="I898" s="20" t="s">
        <v>58</v>
      </c>
      <c r="J898" s="20" t="s">
        <v>59</v>
      </c>
      <c r="K898" s="20" t="s">
        <v>261</v>
      </c>
      <c r="L898" s="20" t="s">
        <v>2695</v>
      </c>
      <c r="M898" s="20" t="s">
        <v>30</v>
      </c>
      <c r="N898" s="20" t="s">
        <v>44</v>
      </c>
      <c r="O898" s="20">
        <v>71</v>
      </c>
      <c r="P898" s="20">
        <v>93.77</v>
      </c>
      <c r="Q898" s="20">
        <v>56.92</v>
      </c>
      <c r="R898" s="20">
        <v>6657.34</v>
      </c>
      <c r="S898" s="20">
        <v>0.05</v>
      </c>
      <c r="T898" s="20">
        <v>332.87</v>
      </c>
      <c r="U898" s="20">
        <v>6324.47</v>
      </c>
      <c r="V898" s="20">
        <v>4041</v>
      </c>
      <c r="W898" s="20">
        <v>2283.4699999999998</v>
      </c>
      <c r="X898" s="20" t="s">
        <v>45</v>
      </c>
    </row>
    <row r="899" spans="1:24" x14ac:dyDescent="0.25">
      <c r="A899" s="23" t="s">
        <v>1401</v>
      </c>
      <c r="B899" s="22">
        <v>45384</v>
      </c>
      <c r="C899" s="23" t="s">
        <v>339</v>
      </c>
      <c r="D899" s="23" t="s">
        <v>221</v>
      </c>
      <c r="E899" s="23" t="s">
        <v>78</v>
      </c>
      <c r="F899" s="23" t="s">
        <v>2583</v>
      </c>
      <c r="G899" s="23" t="s">
        <v>2584</v>
      </c>
      <c r="H899" s="23" t="s">
        <v>81</v>
      </c>
      <c r="I899" s="23" t="s">
        <v>40</v>
      </c>
      <c r="J899" s="23" t="s">
        <v>82</v>
      </c>
      <c r="K899" s="23" t="s">
        <v>42</v>
      </c>
      <c r="L899" s="23" t="s">
        <v>2680</v>
      </c>
      <c r="M899" s="23" t="s">
        <v>30</v>
      </c>
      <c r="N899" s="23" t="s">
        <v>2578</v>
      </c>
      <c r="O899" s="23">
        <v>47</v>
      </c>
      <c r="P899" s="23">
        <v>129.93</v>
      </c>
      <c r="Q899" s="23">
        <v>76.13</v>
      </c>
      <c r="R899" s="23">
        <v>6106.61</v>
      </c>
      <c r="S899" s="23">
        <v>0.1</v>
      </c>
      <c r="T899" s="23">
        <v>610.66</v>
      </c>
      <c r="U899" s="23">
        <v>5495.95</v>
      </c>
      <c r="V899" s="23">
        <v>3578.22</v>
      </c>
      <c r="W899" s="23">
        <v>1917.73</v>
      </c>
      <c r="X899" s="23" t="s">
        <v>45</v>
      </c>
    </row>
    <row r="900" spans="1:24" x14ac:dyDescent="0.25">
      <c r="A900" s="20" t="s">
        <v>1402</v>
      </c>
      <c r="B900" s="19">
        <v>45481</v>
      </c>
      <c r="C900" s="20" t="s">
        <v>524</v>
      </c>
      <c r="D900" s="20" t="s">
        <v>125</v>
      </c>
      <c r="E900" s="20" t="s">
        <v>93</v>
      </c>
      <c r="F900" s="20" t="s">
        <v>2585</v>
      </c>
      <c r="G900" s="20" t="s">
        <v>2586</v>
      </c>
      <c r="H900" s="20" t="s">
        <v>96</v>
      </c>
      <c r="I900" s="20" t="s">
        <v>53</v>
      </c>
      <c r="J900" s="20" t="s">
        <v>54</v>
      </c>
      <c r="K900" s="20" t="s">
        <v>118</v>
      </c>
      <c r="L900" s="20" t="s">
        <v>2686</v>
      </c>
      <c r="M900" s="20" t="s">
        <v>153</v>
      </c>
      <c r="N900" s="20" t="s">
        <v>84</v>
      </c>
      <c r="O900" s="20">
        <v>24</v>
      </c>
      <c r="P900" s="20">
        <v>52.36</v>
      </c>
      <c r="Q900" s="20">
        <v>32.92</v>
      </c>
      <c r="R900" s="20">
        <v>1256.54</v>
      </c>
      <c r="S900" s="20">
        <v>0.02</v>
      </c>
      <c r="T900" s="20">
        <v>25.13</v>
      </c>
      <c r="U900" s="20">
        <v>1231.4100000000001</v>
      </c>
      <c r="V900" s="20">
        <v>790.15</v>
      </c>
      <c r="W900" s="20">
        <v>441.27</v>
      </c>
      <c r="X900" s="20" t="s">
        <v>45</v>
      </c>
    </row>
    <row r="901" spans="1:24" x14ac:dyDescent="0.25">
      <c r="A901" s="23" t="s">
        <v>1403</v>
      </c>
      <c r="B901" s="22">
        <v>45634</v>
      </c>
      <c r="C901" s="23" t="s">
        <v>414</v>
      </c>
      <c r="D901" s="23" t="s">
        <v>22</v>
      </c>
      <c r="E901" s="23" t="s">
        <v>216</v>
      </c>
      <c r="F901" s="23" t="s">
        <v>2596</v>
      </c>
      <c r="G901" s="23" t="s">
        <v>2579</v>
      </c>
      <c r="H901" s="23" t="s">
        <v>134</v>
      </c>
      <c r="I901" s="23" t="s">
        <v>27</v>
      </c>
      <c r="J901" s="23" t="s">
        <v>189</v>
      </c>
      <c r="K901" s="23" t="s">
        <v>170</v>
      </c>
      <c r="L901" s="23" t="s">
        <v>2671</v>
      </c>
      <c r="M901" s="23" t="s">
        <v>43</v>
      </c>
      <c r="N901" s="23" t="s">
        <v>70</v>
      </c>
      <c r="O901" s="23">
        <v>25</v>
      </c>
      <c r="P901" s="23">
        <v>117.54</v>
      </c>
      <c r="Q901" s="23">
        <v>71.599999999999994</v>
      </c>
      <c r="R901" s="23">
        <v>2938.4</v>
      </c>
      <c r="S901" s="23">
        <v>0.15</v>
      </c>
      <c r="T901" s="23">
        <v>440.76</v>
      </c>
      <c r="U901" s="23">
        <v>2497.64</v>
      </c>
      <c r="V901" s="23">
        <v>1790.01</v>
      </c>
      <c r="W901" s="23">
        <v>707.63</v>
      </c>
      <c r="X901" s="23" t="s">
        <v>45</v>
      </c>
    </row>
    <row r="902" spans="1:24" x14ac:dyDescent="0.25">
      <c r="A902" s="20" t="s">
        <v>1404</v>
      </c>
      <c r="B902" s="19">
        <v>45503</v>
      </c>
      <c r="C902" s="20" t="s">
        <v>354</v>
      </c>
      <c r="D902" s="20" t="s">
        <v>163</v>
      </c>
      <c r="E902" s="20" t="s">
        <v>93</v>
      </c>
      <c r="F902" s="20" t="s">
        <v>2585</v>
      </c>
      <c r="G902" s="20" t="s">
        <v>2586</v>
      </c>
      <c r="H902" s="20" t="s">
        <v>96</v>
      </c>
      <c r="I902" s="20" t="s">
        <v>40</v>
      </c>
      <c r="J902" s="20" t="s">
        <v>82</v>
      </c>
      <c r="K902" s="20" t="s">
        <v>69</v>
      </c>
      <c r="L902" s="20" t="s">
        <v>2681</v>
      </c>
      <c r="M902" s="20" t="s">
        <v>30</v>
      </c>
      <c r="N902" s="20" t="s">
        <v>84</v>
      </c>
      <c r="O902" s="20">
        <v>76</v>
      </c>
      <c r="P902" s="20">
        <v>54.79</v>
      </c>
      <c r="Q902" s="20">
        <v>31.53</v>
      </c>
      <c r="R902" s="20">
        <v>4163.68</v>
      </c>
      <c r="S902" s="20">
        <v>0.15</v>
      </c>
      <c r="T902" s="20">
        <v>624.54999999999995</v>
      </c>
      <c r="U902" s="20">
        <v>3539.13</v>
      </c>
      <c r="V902" s="20">
        <v>2396.1</v>
      </c>
      <c r="W902" s="20">
        <v>1143.02</v>
      </c>
      <c r="X902" s="20" t="s">
        <v>45</v>
      </c>
    </row>
    <row r="903" spans="1:24" x14ac:dyDescent="0.25">
      <c r="A903" s="23" t="s">
        <v>1405</v>
      </c>
      <c r="B903" s="22">
        <v>45626</v>
      </c>
      <c r="C903" s="23" t="s">
        <v>975</v>
      </c>
      <c r="D903" s="23" t="s">
        <v>105</v>
      </c>
      <c r="E903" s="23" t="s">
        <v>141</v>
      </c>
      <c r="F903" s="23" t="s">
        <v>2590</v>
      </c>
      <c r="G903" s="23" t="s">
        <v>2577</v>
      </c>
      <c r="H903" s="23" t="s">
        <v>26</v>
      </c>
      <c r="I903" s="23" t="s">
        <v>40</v>
      </c>
      <c r="J903" s="23" t="s">
        <v>82</v>
      </c>
      <c r="K903" s="23" t="s">
        <v>42</v>
      </c>
      <c r="L903" s="23" t="s">
        <v>2680</v>
      </c>
      <c r="M903" s="23" t="s">
        <v>61</v>
      </c>
      <c r="N903" s="23" t="s">
        <v>75</v>
      </c>
      <c r="O903" s="23">
        <v>26</v>
      </c>
      <c r="P903" s="23">
        <v>90.68</v>
      </c>
      <c r="Q903" s="23">
        <v>59.65</v>
      </c>
      <c r="R903" s="23">
        <v>2357.66</v>
      </c>
      <c r="S903" s="23">
        <v>0.15</v>
      </c>
      <c r="T903" s="23">
        <v>353.65</v>
      </c>
      <c r="U903" s="23">
        <v>2004.01</v>
      </c>
      <c r="V903" s="23">
        <v>1550.9</v>
      </c>
      <c r="W903" s="23">
        <v>453.11</v>
      </c>
      <c r="X903" s="23" t="s">
        <v>45</v>
      </c>
    </row>
    <row r="904" spans="1:24" x14ac:dyDescent="0.25">
      <c r="A904" s="20" t="s">
        <v>1406</v>
      </c>
      <c r="B904" s="19">
        <v>45637</v>
      </c>
      <c r="C904" s="20" t="s">
        <v>1122</v>
      </c>
      <c r="D904" s="20" t="s">
        <v>159</v>
      </c>
      <c r="E904" s="20" t="s">
        <v>141</v>
      </c>
      <c r="F904" s="20" t="s">
        <v>2590</v>
      </c>
      <c r="G904" s="20" t="s">
        <v>2577</v>
      </c>
      <c r="H904" s="20" t="s">
        <v>26</v>
      </c>
      <c r="I904" s="20" t="s">
        <v>27</v>
      </c>
      <c r="J904" s="20" t="s">
        <v>211</v>
      </c>
      <c r="K904" s="20" t="s">
        <v>42</v>
      </c>
      <c r="L904" s="20" t="s">
        <v>2680</v>
      </c>
      <c r="M904" s="20" t="s">
        <v>61</v>
      </c>
      <c r="N904" s="20" t="s">
        <v>2578</v>
      </c>
      <c r="O904" s="20">
        <v>62</v>
      </c>
      <c r="P904" s="20">
        <v>97.55</v>
      </c>
      <c r="Q904" s="20">
        <v>55.26</v>
      </c>
      <c r="R904" s="20">
        <v>6048.4</v>
      </c>
      <c r="S904" s="20">
        <v>0.1</v>
      </c>
      <c r="T904" s="20">
        <v>604.84</v>
      </c>
      <c r="U904" s="20">
        <v>5443.56</v>
      </c>
      <c r="V904" s="20">
        <v>3426.26</v>
      </c>
      <c r="W904" s="20">
        <v>2017.3</v>
      </c>
      <c r="X904" s="20" t="s">
        <v>45</v>
      </c>
    </row>
    <row r="905" spans="1:24" x14ac:dyDescent="0.25">
      <c r="A905" s="23" t="s">
        <v>1407</v>
      </c>
      <c r="B905" s="22">
        <v>45556</v>
      </c>
      <c r="C905" s="23" t="s">
        <v>691</v>
      </c>
      <c r="D905" s="23" t="s">
        <v>1408</v>
      </c>
      <c r="E905" s="23" t="s">
        <v>109</v>
      </c>
      <c r="F905" s="23" t="s">
        <v>110</v>
      </c>
      <c r="G905" s="23" t="s">
        <v>2584</v>
      </c>
      <c r="H905" s="23" t="s">
        <v>81</v>
      </c>
      <c r="I905" s="23" t="s">
        <v>27</v>
      </c>
      <c r="J905" s="23" t="s">
        <v>211</v>
      </c>
      <c r="K905" s="23" t="s">
        <v>248</v>
      </c>
      <c r="L905" s="23" t="s">
        <v>2693</v>
      </c>
      <c r="M905" s="23" t="s">
        <v>30</v>
      </c>
      <c r="N905" s="23" t="s">
        <v>84</v>
      </c>
      <c r="O905" s="23">
        <v>7</v>
      </c>
      <c r="P905" s="23">
        <v>122.92</v>
      </c>
      <c r="Q905" s="23">
        <v>77.06</v>
      </c>
      <c r="R905" s="23">
        <v>860.47</v>
      </c>
      <c r="S905" s="23">
        <v>0.02</v>
      </c>
      <c r="T905" s="23">
        <v>17.21</v>
      </c>
      <c r="U905" s="23">
        <v>843.26</v>
      </c>
      <c r="V905" s="23">
        <v>539.4</v>
      </c>
      <c r="W905" s="23">
        <v>303.86</v>
      </c>
      <c r="X905" s="23" t="s">
        <v>45</v>
      </c>
    </row>
    <row r="906" spans="1:24" x14ac:dyDescent="0.25">
      <c r="A906" s="20" t="s">
        <v>1409</v>
      </c>
      <c r="B906" s="19">
        <v>45325</v>
      </c>
      <c r="C906" s="20" t="s">
        <v>247</v>
      </c>
      <c r="D906" s="20" t="s">
        <v>65</v>
      </c>
      <c r="E906" s="20" t="s">
        <v>93</v>
      </c>
      <c r="F906" s="20" t="s">
        <v>2585</v>
      </c>
      <c r="G906" s="20" t="s">
        <v>2586</v>
      </c>
      <c r="H906" s="20" t="s">
        <v>96</v>
      </c>
      <c r="I906" s="20" t="s">
        <v>40</v>
      </c>
      <c r="J906" s="20" t="s">
        <v>117</v>
      </c>
      <c r="K906" s="20" t="s">
        <v>74</v>
      </c>
      <c r="L906" s="20" t="s">
        <v>2682</v>
      </c>
      <c r="M906" s="20" t="s">
        <v>30</v>
      </c>
      <c r="N906" s="20" t="s">
        <v>2578</v>
      </c>
      <c r="O906" s="20">
        <v>40</v>
      </c>
      <c r="P906" s="20">
        <v>50.83</v>
      </c>
      <c r="Q906" s="20">
        <v>32.44</v>
      </c>
      <c r="R906" s="20">
        <v>2033.33</v>
      </c>
      <c r="S906" s="20">
        <v>0.1</v>
      </c>
      <c r="T906" s="20">
        <v>203.33</v>
      </c>
      <c r="U906" s="20">
        <v>1830</v>
      </c>
      <c r="V906" s="20">
        <v>1297.57</v>
      </c>
      <c r="W906" s="20">
        <v>532.42999999999995</v>
      </c>
      <c r="X906" s="20" t="s">
        <v>32</v>
      </c>
    </row>
    <row r="907" spans="1:24" x14ac:dyDescent="0.25">
      <c r="A907" s="23" t="s">
        <v>1410</v>
      </c>
      <c r="B907" s="22">
        <v>45476</v>
      </c>
      <c r="C907" s="23" t="s">
        <v>1317</v>
      </c>
      <c r="D907" s="23" t="s">
        <v>35</v>
      </c>
      <c r="E907" s="23" t="s">
        <v>150</v>
      </c>
      <c r="F907" s="23" t="s">
        <v>2591</v>
      </c>
      <c r="G907" s="23" t="s">
        <v>2587</v>
      </c>
      <c r="H907" s="23" t="s">
        <v>134</v>
      </c>
      <c r="I907" s="23" t="s">
        <v>27</v>
      </c>
      <c r="J907" s="23" t="s">
        <v>106</v>
      </c>
      <c r="K907" s="23" t="s">
        <v>90</v>
      </c>
      <c r="L907" s="23" t="s">
        <v>2684</v>
      </c>
      <c r="M907" s="23" t="s">
        <v>43</v>
      </c>
      <c r="N907" s="23" t="s">
        <v>70</v>
      </c>
      <c r="O907" s="23">
        <v>41</v>
      </c>
      <c r="P907" s="23">
        <v>87.64</v>
      </c>
      <c r="Q907" s="23">
        <v>51.35</v>
      </c>
      <c r="R907" s="23">
        <v>3593.15</v>
      </c>
      <c r="S907" s="23">
        <v>0.1</v>
      </c>
      <c r="T907" s="23">
        <v>359.31</v>
      </c>
      <c r="U907" s="23">
        <v>3233.83</v>
      </c>
      <c r="V907" s="23">
        <v>2105.29</v>
      </c>
      <c r="W907" s="23">
        <v>1128.54</v>
      </c>
      <c r="X907" s="23" t="s">
        <v>45</v>
      </c>
    </row>
    <row r="908" spans="1:24" x14ac:dyDescent="0.25">
      <c r="A908" s="20" t="s">
        <v>1411</v>
      </c>
      <c r="B908" s="19">
        <v>45365</v>
      </c>
      <c r="C908" s="20" t="s">
        <v>1412</v>
      </c>
      <c r="D908" s="20" t="s">
        <v>48</v>
      </c>
      <c r="E908" s="20" t="s">
        <v>36</v>
      </c>
      <c r="F908" s="20" t="s">
        <v>37</v>
      </c>
      <c r="G908" s="20" t="s">
        <v>2579</v>
      </c>
      <c r="H908" s="20" t="s">
        <v>39</v>
      </c>
      <c r="I908" s="20" t="s">
        <v>58</v>
      </c>
      <c r="J908" s="20" t="s">
        <v>59</v>
      </c>
      <c r="K908" s="20" t="s">
        <v>60</v>
      </c>
      <c r="L908" s="20" t="s">
        <v>2677</v>
      </c>
      <c r="M908" s="20" t="s">
        <v>61</v>
      </c>
      <c r="N908" s="20" t="s">
        <v>70</v>
      </c>
      <c r="O908" s="20">
        <v>13</v>
      </c>
      <c r="P908" s="20">
        <v>155.99</v>
      </c>
      <c r="Q908" s="20">
        <v>105.03</v>
      </c>
      <c r="R908" s="20">
        <v>2027.83</v>
      </c>
      <c r="S908" s="20">
        <v>0.15</v>
      </c>
      <c r="T908" s="20">
        <v>304.17</v>
      </c>
      <c r="U908" s="20">
        <v>1723.66</v>
      </c>
      <c r="V908" s="20">
        <v>1365.43</v>
      </c>
      <c r="W908" s="20">
        <v>358.23</v>
      </c>
      <c r="X908" s="20" t="s">
        <v>45</v>
      </c>
    </row>
    <row r="909" spans="1:24" x14ac:dyDescent="0.25">
      <c r="A909" s="23" t="s">
        <v>1413</v>
      </c>
      <c r="B909" s="22">
        <v>45327</v>
      </c>
      <c r="C909" s="23" t="s">
        <v>497</v>
      </c>
      <c r="D909" s="23" t="s">
        <v>35</v>
      </c>
      <c r="E909" s="23" t="s">
        <v>150</v>
      </c>
      <c r="F909" s="23" t="s">
        <v>2591</v>
      </c>
      <c r="G909" s="23" t="s">
        <v>2587</v>
      </c>
      <c r="H909" s="23" t="s">
        <v>134</v>
      </c>
      <c r="I909" s="23" t="s">
        <v>27</v>
      </c>
      <c r="J909" s="23" t="s">
        <v>28</v>
      </c>
      <c r="K909" s="23" t="s">
        <v>218</v>
      </c>
      <c r="L909" s="23" t="s">
        <v>2692</v>
      </c>
      <c r="M909" s="23" t="s">
        <v>30</v>
      </c>
      <c r="N909" s="23" t="s">
        <v>2578</v>
      </c>
      <c r="O909" s="23">
        <v>36</v>
      </c>
      <c r="P909" s="23">
        <v>78.569999999999993</v>
      </c>
      <c r="Q909" s="23">
        <v>47.45</v>
      </c>
      <c r="R909" s="23">
        <v>2828.5</v>
      </c>
      <c r="S909" s="23">
        <v>0.1</v>
      </c>
      <c r="T909" s="23">
        <v>282.85000000000002</v>
      </c>
      <c r="U909" s="23">
        <v>2545.65</v>
      </c>
      <c r="V909" s="23">
        <v>1708.27</v>
      </c>
      <c r="W909" s="23">
        <v>837.38</v>
      </c>
      <c r="X909" s="23" t="s">
        <v>32</v>
      </c>
    </row>
    <row r="910" spans="1:24" x14ac:dyDescent="0.25">
      <c r="A910" s="20" t="s">
        <v>1414</v>
      </c>
      <c r="B910" s="19">
        <v>45583</v>
      </c>
      <c r="C910" s="20" t="s">
        <v>1210</v>
      </c>
      <c r="D910" s="20" t="s">
        <v>65</v>
      </c>
      <c r="E910" s="20" t="s">
        <v>132</v>
      </c>
      <c r="F910" s="20" t="s">
        <v>133</v>
      </c>
      <c r="G910" s="20" t="s">
        <v>2581</v>
      </c>
      <c r="H910" s="20" t="s">
        <v>134</v>
      </c>
      <c r="I910" s="20" t="s">
        <v>58</v>
      </c>
      <c r="J910" s="20" t="s">
        <v>73</v>
      </c>
      <c r="K910" s="20" t="s">
        <v>90</v>
      </c>
      <c r="L910" s="20" t="s">
        <v>2684</v>
      </c>
      <c r="M910" s="20" t="s">
        <v>61</v>
      </c>
      <c r="N910" s="20" t="s">
        <v>84</v>
      </c>
      <c r="O910" s="20">
        <v>5</v>
      </c>
      <c r="P910" s="20">
        <v>57.09</v>
      </c>
      <c r="Q910" s="20">
        <v>35.29</v>
      </c>
      <c r="R910" s="20">
        <v>285.44</v>
      </c>
      <c r="S910" s="20">
        <v>0</v>
      </c>
      <c r="T910" s="20">
        <v>0</v>
      </c>
      <c r="U910" s="20">
        <v>285.44</v>
      </c>
      <c r="V910" s="20">
        <v>176.46</v>
      </c>
      <c r="W910" s="20">
        <v>108.98</v>
      </c>
      <c r="X910" s="20" t="s">
        <v>32</v>
      </c>
    </row>
    <row r="911" spans="1:24" x14ac:dyDescent="0.25">
      <c r="A911" s="23" t="s">
        <v>1415</v>
      </c>
      <c r="B911" s="22">
        <v>45402</v>
      </c>
      <c r="C911" s="23" t="s">
        <v>617</v>
      </c>
      <c r="D911" s="23" t="s">
        <v>22</v>
      </c>
      <c r="E911" s="23" t="s">
        <v>141</v>
      </c>
      <c r="F911" s="23" t="s">
        <v>2590</v>
      </c>
      <c r="G911" s="23" t="s">
        <v>2577</v>
      </c>
      <c r="H911" s="23" t="s">
        <v>26</v>
      </c>
      <c r="I911" s="23" t="s">
        <v>40</v>
      </c>
      <c r="J911" s="23" t="s">
        <v>41</v>
      </c>
      <c r="K911" s="23" t="s">
        <v>261</v>
      </c>
      <c r="L911" s="23" t="s">
        <v>2695</v>
      </c>
      <c r="M911" s="23" t="s">
        <v>43</v>
      </c>
      <c r="N911" s="23" t="s">
        <v>70</v>
      </c>
      <c r="O911" s="23">
        <v>80</v>
      </c>
      <c r="P911" s="23">
        <v>102.08</v>
      </c>
      <c r="Q911" s="23">
        <v>60.42</v>
      </c>
      <c r="R911" s="23">
        <v>8166.71</v>
      </c>
      <c r="S911" s="23">
        <v>0.15</v>
      </c>
      <c r="T911" s="23">
        <v>1225.01</v>
      </c>
      <c r="U911" s="23">
        <v>6941.71</v>
      </c>
      <c r="V911" s="23">
        <v>4833.79</v>
      </c>
      <c r="W911" s="23">
        <v>2107.91</v>
      </c>
      <c r="X911" s="23" t="s">
        <v>45</v>
      </c>
    </row>
    <row r="912" spans="1:24" x14ac:dyDescent="0.25">
      <c r="A912" s="20" t="s">
        <v>1416</v>
      </c>
      <c r="B912" s="19">
        <v>45407</v>
      </c>
      <c r="C912" s="20" t="s">
        <v>333</v>
      </c>
      <c r="D912" s="20" t="s">
        <v>57</v>
      </c>
      <c r="E912" s="20" t="s">
        <v>36</v>
      </c>
      <c r="F912" s="20" t="s">
        <v>37</v>
      </c>
      <c r="G912" s="20" t="s">
        <v>2579</v>
      </c>
      <c r="H912" s="20" t="s">
        <v>39</v>
      </c>
      <c r="I912" s="20" t="s">
        <v>40</v>
      </c>
      <c r="J912" s="20" t="s">
        <v>117</v>
      </c>
      <c r="K912" s="20" t="s">
        <v>253</v>
      </c>
      <c r="L912" s="20" t="s">
        <v>2694</v>
      </c>
      <c r="M912" s="20" t="s">
        <v>61</v>
      </c>
      <c r="N912" s="20" t="s">
        <v>84</v>
      </c>
      <c r="O912" s="20">
        <v>14</v>
      </c>
      <c r="P912" s="20">
        <v>156.84</v>
      </c>
      <c r="Q912" s="20">
        <v>102.08</v>
      </c>
      <c r="R912" s="20">
        <v>2195.77</v>
      </c>
      <c r="S912" s="20">
        <v>0.05</v>
      </c>
      <c r="T912" s="20">
        <v>109.79</v>
      </c>
      <c r="U912" s="20">
        <v>2085.98</v>
      </c>
      <c r="V912" s="20">
        <v>1429.16</v>
      </c>
      <c r="W912" s="20">
        <v>656.81</v>
      </c>
      <c r="X912" s="20" t="s">
        <v>45</v>
      </c>
    </row>
    <row r="913" spans="1:24" x14ac:dyDescent="0.25">
      <c r="A913" s="23" t="s">
        <v>1417</v>
      </c>
      <c r="B913" s="22">
        <v>45639</v>
      </c>
      <c r="C913" s="23" t="s">
        <v>715</v>
      </c>
      <c r="D913" s="23" t="s">
        <v>264</v>
      </c>
      <c r="E913" s="23" t="s">
        <v>93</v>
      </c>
      <c r="F913" s="23" t="s">
        <v>2585</v>
      </c>
      <c r="G913" s="23" t="s">
        <v>2586</v>
      </c>
      <c r="H913" s="23" t="s">
        <v>96</v>
      </c>
      <c r="I913" s="23" t="s">
        <v>53</v>
      </c>
      <c r="J913" s="23" t="s">
        <v>122</v>
      </c>
      <c r="K913" s="23" t="s">
        <v>29</v>
      </c>
      <c r="L913" s="23" t="s">
        <v>2679</v>
      </c>
      <c r="M913" s="23" t="s">
        <v>30</v>
      </c>
      <c r="N913" s="23" t="s">
        <v>75</v>
      </c>
      <c r="O913" s="23">
        <v>22</v>
      </c>
      <c r="P913" s="23">
        <v>57.05</v>
      </c>
      <c r="Q913" s="23">
        <v>32.22</v>
      </c>
      <c r="R913" s="23">
        <v>1255.07</v>
      </c>
      <c r="S913" s="23">
        <v>0</v>
      </c>
      <c r="T913" s="23">
        <v>0</v>
      </c>
      <c r="U913" s="23">
        <v>1255.07</v>
      </c>
      <c r="V913" s="23">
        <v>708.76</v>
      </c>
      <c r="W913" s="23">
        <v>546.30999999999995</v>
      </c>
      <c r="X913" s="23" t="s">
        <v>45</v>
      </c>
    </row>
    <row r="914" spans="1:24" x14ac:dyDescent="0.25">
      <c r="A914" s="20" t="s">
        <v>1418</v>
      </c>
      <c r="B914" s="19">
        <v>45598</v>
      </c>
      <c r="C914" s="20" t="s">
        <v>1137</v>
      </c>
      <c r="D914" s="20" t="s">
        <v>163</v>
      </c>
      <c r="E914" s="20" t="s">
        <v>114</v>
      </c>
      <c r="F914" s="20" t="s">
        <v>2588</v>
      </c>
      <c r="G914" s="20" t="s">
        <v>2586</v>
      </c>
      <c r="H914" s="20" t="s">
        <v>116</v>
      </c>
      <c r="I914" s="20" t="s">
        <v>53</v>
      </c>
      <c r="J914" s="20" t="s">
        <v>54</v>
      </c>
      <c r="K914" s="20" t="s">
        <v>29</v>
      </c>
      <c r="L914" s="20" t="s">
        <v>2679</v>
      </c>
      <c r="M914" s="20" t="s">
        <v>61</v>
      </c>
      <c r="N914" s="20" t="s">
        <v>44</v>
      </c>
      <c r="O914" s="20">
        <v>33</v>
      </c>
      <c r="P914" s="20">
        <v>35.22</v>
      </c>
      <c r="Q914" s="20">
        <v>22.15</v>
      </c>
      <c r="R914" s="20">
        <v>1162.3800000000001</v>
      </c>
      <c r="S914" s="20">
        <v>0.2</v>
      </c>
      <c r="T914" s="20">
        <v>232.48</v>
      </c>
      <c r="U914" s="20">
        <v>929.91</v>
      </c>
      <c r="V914" s="20">
        <v>730.92</v>
      </c>
      <c r="W914" s="20">
        <v>198.98</v>
      </c>
      <c r="X914" s="20" t="s">
        <v>32</v>
      </c>
    </row>
    <row r="915" spans="1:24" x14ac:dyDescent="0.25">
      <c r="A915" s="23" t="s">
        <v>1419</v>
      </c>
      <c r="B915" s="22">
        <v>45396</v>
      </c>
      <c r="C915" s="23" t="s">
        <v>735</v>
      </c>
      <c r="D915" s="23" t="s">
        <v>22</v>
      </c>
      <c r="E915" s="23" t="s">
        <v>66</v>
      </c>
      <c r="F915" s="23" t="s">
        <v>2582</v>
      </c>
      <c r="G915" s="23" t="s">
        <v>2579</v>
      </c>
      <c r="H915" s="23" t="s">
        <v>68</v>
      </c>
      <c r="I915" s="23" t="s">
        <v>88</v>
      </c>
      <c r="J915" s="23" t="s">
        <v>173</v>
      </c>
      <c r="K915" s="23" t="s">
        <v>184</v>
      </c>
      <c r="L915" s="23" t="s">
        <v>2690</v>
      </c>
      <c r="M915" s="23" t="s">
        <v>153</v>
      </c>
      <c r="N915" s="23" t="s">
        <v>75</v>
      </c>
      <c r="O915" s="23">
        <v>68</v>
      </c>
      <c r="P915" s="23">
        <v>147.38</v>
      </c>
      <c r="Q915" s="23">
        <v>99.22</v>
      </c>
      <c r="R915" s="23">
        <v>10021.57</v>
      </c>
      <c r="S915" s="23">
        <v>0.05</v>
      </c>
      <c r="T915" s="23">
        <v>501.08</v>
      </c>
      <c r="U915" s="23">
        <v>9520.49</v>
      </c>
      <c r="V915" s="23">
        <v>6746.63</v>
      </c>
      <c r="W915" s="23">
        <v>2773.87</v>
      </c>
      <c r="X915" s="23" t="s">
        <v>45</v>
      </c>
    </row>
    <row r="916" spans="1:24" x14ac:dyDescent="0.25">
      <c r="A916" s="20" t="s">
        <v>1420</v>
      </c>
      <c r="B916" s="19">
        <v>45374</v>
      </c>
      <c r="C916" s="20" t="s">
        <v>904</v>
      </c>
      <c r="D916" s="20" t="s">
        <v>35</v>
      </c>
      <c r="E916" s="20" t="s">
        <v>250</v>
      </c>
      <c r="F916" s="20" t="s">
        <v>2598</v>
      </c>
      <c r="G916" s="20" t="s">
        <v>2581</v>
      </c>
      <c r="H916" s="20" t="s">
        <v>252</v>
      </c>
      <c r="I916" s="20" t="s">
        <v>88</v>
      </c>
      <c r="J916" s="20" t="s">
        <v>2619</v>
      </c>
      <c r="K916" s="20" t="s">
        <v>74</v>
      </c>
      <c r="L916" s="20" t="s">
        <v>2682</v>
      </c>
      <c r="M916" s="20" t="s">
        <v>153</v>
      </c>
      <c r="N916" s="20" t="s">
        <v>2578</v>
      </c>
      <c r="O916" s="20">
        <v>65</v>
      </c>
      <c r="P916" s="20">
        <v>68.64</v>
      </c>
      <c r="Q916" s="20">
        <v>39.03</v>
      </c>
      <c r="R916" s="20">
        <v>4461.58</v>
      </c>
      <c r="S916" s="20">
        <v>0.15</v>
      </c>
      <c r="T916" s="20">
        <v>669.24</v>
      </c>
      <c r="U916" s="20">
        <v>3792.35</v>
      </c>
      <c r="V916" s="20">
        <v>2536.8000000000002</v>
      </c>
      <c r="W916" s="20">
        <v>1255.55</v>
      </c>
      <c r="X916" s="20" t="s">
        <v>32</v>
      </c>
    </row>
    <row r="917" spans="1:24" x14ac:dyDescent="0.25">
      <c r="A917" s="23" t="s">
        <v>1421</v>
      </c>
      <c r="B917" s="22">
        <v>45315</v>
      </c>
      <c r="C917" s="23" t="s">
        <v>442</v>
      </c>
      <c r="D917" s="23" t="s">
        <v>87</v>
      </c>
      <c r="E917" s="23" t="s">
        <v>114</v>
      </c>
      <c r="F917" s="23" t="s">
        <v>2588</v>
      </c>
      <c r="G917" s="23" t="s">
        <v>2586</v>
      </c>
      <c r="H917" s="23" t="s">
        <v>116</v>
      </c>
      <c r="I917" s="23" t="s">
        <v>53</v>
      </c>
      <c r="J917" s="23" t="s">
        <v>122</v>
      </c>
      <c r="K917" s="23" t="s">
        <v>90</v>
      </c>
      <c r="L917" s="23" t="s">
        <v>2684</v>
      </c>
      <c r="M917" s="23" t="s">
        <v>30</v>
      </c>
      <c r="N917" s="23" t="s">
        <v>75</v>
      </c>
      <c r="O917" s="23">
        <v>36</v>
      </c>
      <c r="P917" s="23">
        <v>34.08</v>
      </c>
      <c r="Q917" s="23">
        <v>19.899999999999999</v>
      </c>
      <c r="R917" s="23">
        <v>1226.78</v>
      </c>
      <c r="S917" s="23">
        <v>0.1</v>
      </c>
      <c r="T917" s="23">
        <v>122.68</v>
      </c>
      <c r="U917" s="23">
        <v>1104.0999999999999</v>
      </c>
      <c r="V917" s="23">
        <v>716.54</v>
      </c>
      <c r="W917" s="23">
        <v>387.56</v>
      </c>
      <c r="X917" s="23" t="s">
        <v>32</v>
      </c>
    </row>
    <row r="918" spans="1:24" x14ac:dyDescent="0.25">
      <c r="A918" s="20" t="s">
        <v>1422</v>
      </c>
      <c r="B918" s="19">
        <v>45502</v>
      </c>
      <c r="C918" s="20" t="s">
        <v>897</v>
      </c>
      <c r="D918" s="20" t="s">
        <v>65</v>
      </c>
      <c r="E918" s="20" t="s">
        <v>209</v>
      </c>
      <c r="F918" s="20" t="s">
        <v>2595</v>
      </c>
      <c r="G918" s="20" t="s">
        <v>2581</v>
      </c>
      <c r="H918" s="20" t="s">
        <v>116</v>
      </c>
      <c r="I918" s="20" t="s">
        <v>88</v>
      </c>
      <c r="J918" s="20" t="s">
        <v>183</v>
      </c>
      <c r="K918" s="20" t="s">
        <v>83</v>
      </c>
      <c r="L918" s="20" t="s">
        <v>2683</v>
      </c>
      <c r="M918" s="20" t="s">
        <v>30</v>
      </c>
      <c r="N918" s="20" t="s">
        <v>2619</v>
      </c>
      <c r="O918" s="20">
        <v>75</v>
      </c>
      <c r="P918" s="20">
        <v>18.46</v>
      </c>
      <c r="Q918" s="20">
        <v>10</v>
      </c>
      <c r="R918" s="20">
        <v>1384.28</v>
      </c>
      <c r="S918" s="20">
        <v>0.05</v>
      </c>
      <c r="T918" s="20">
        <v>69.209999999999994</v>
      </c>
      <c r="U918" s="20">
        <v>1399.07</v>
      </c>
      <c r="V918" s="20">
        <v>749.78</v>
      </c>
      <c r="W918" s="20">
        <v>565.28</v>
      </c>
      <c r="X918" s="20" t="s">
        <v>129</v>
      </c>
    </row>
    <row r="919" spans="1:24" x14ac:dyDescent="0.25">
      <c r="A919" s="23" t="s">
        <v>1423</v>
      </c>
      <c r="B919" s="22">
        <v>45311</v>
      </c>
      <c r="C919" s="23" t="s">
        <v>131</v>
      </c>
      <c r="D919" s="23" t="s">
        <v>65</v>
      </c>
      <c r="E919" s="23" t="s">
        <v>23</v>
      </c>
      <c r="F919" s="23" t="s">
        <v>2576</v>
      </c>
      <c r="G919" s="23" t="s">
        <v>2577</v>
      </c>
      <c r="H919" s="23" t="s">
        <v>26</v>
      </c>
      <c r="I919" s="23" t="s">
        <v>53</v>
      </c>
      <c r="J919" s="23" t="s">
        <v>122</v>
      </c>
      <c r="K919" s="23" t="s">
        <v>265</v>
      </c>
      <c r="L919" s="23" t="s">
        <v>2663</v>
      </c>
      <c r="M919" s="23" t="s">
        <v>43</v>
      </c>
      <c r="N919" s="23" t="s">
        <v>44</v>
      </c>
      <c r="O919" s="23">
        <v>8</v>
      </c>
      <c r="P919" s="23">
        <v>75.94</v>
      </c>
      <c r="Q919" s="23">
        <v>40.729999999999997</v>
      </c>
      <c r="R919" s="23">
        <v>607.51</v>
      </c>
      <c r="S919" s="23">
        <v>0.05</v>
      </c>
      <c r="T919" s="23">
        <v>30.38</v>
      </c>
      <c r="U919" s="23">
        <v>577.14</v>
      </c>
      <c r="V919" s="23">
        <v>325.86</v>
      </c>
      <c r="W919" s="23">
        <v>251.27</v>
      </c>
      <c r="X919" s="23" t="s">
        <v>32</v>
      </c>
    </row>
    <row r="920" spans="1:24" x14ac:dyDescent="0.25">
      <c r="A920" s="20" t="s">
        <v>1424</v>
      </c>
      <c r="B920" s="19">
        <v>45520</v>
      </c>
      <c r="C920" s="20" t="s">
        <v>961</v>
      </c>
      <c r="D920" s="20" t="s">
        <v>87</v>
      </c>
      <c r="E920" s="20" t="s">
        <v>209</v>
      </c>
      <c r="F920" s="20" t="s">
        <v>2595</v>
      </c>
      <c r="G920" s="20" t="s">
        <v>2581</v>
      </c>
      <c r="H920" s="20" t="s">
        <v>116</v>
      </c>
      <c r="I920" s="20" t="s">
        <v>53</v>
      </c>
      <c r="J920" s="20" t="s">
        <v>122</v>
      </c>
      <c r="K920" s="20" t="s">
        <v>261</v>
      </c>
      <c r="L920" s="20" t="s">
        <v>2695</v>
      </c>
      <c r="M920" s="20" t="s">
        <v>153</v>
      </c>
      <c r="N920" s="20" t="s">
        <v>75</v>
      </c>
      <c r="O920" s="20">
        <v>55</v>
      </c>
      <c r="P920" s="20">
        <v>18.399999999999999</v>
      </c>
      <c r="Q920" s="20">
        <v>9.59</v>
      </c>
      <c r="R920" s="20">
        <v>1011.81</v>
      </c>
      <c r="S920" s="20">
        <v>0</v>
      </c>
      <c r="T920" s="20">
        <v>0</v>
      </c>
      <c r="U920" s="20">
        <v>1011.81</v>
      </c>
      <c r="V920" s="20">
        <v>527.29999999999995</v>
      </c>
      <c r="W920" s="20">
        <v>484.51</v>
      </c>
      <c r="X920" s="20" t="s">
        <v>45</v>
      </c>
    </row>
    <row r="921" spans="1:24" x14ac:dyDescent="0.25">
      <c r="A921" s="23" t="s">
        <v>1425</v>
      </c>
      <c r="B921" s="22">
        <v>45598</v>
      </c>
      <c r="C921" s="23" t="s">
        <v>1426</v>
      </c>
      <c r="D921" s="23" t="s">
        <v>22</v>
      </c>
      <c r="E921" s="23" t="s">
        <v>132</v>
      </c>
      <c r="F921" s="23" t="s">
        <v>133</v>
      </c>
      <c r="G921" s="23" t="s">
        <v>2581</v>
      </c>
      <c r="H921" s="23" t="s">
        <v>134</v>
      </c>
      <c r="I921" s="23" t="s">
        <v>53</v>
      </c>
      <c r="J921" s="23" t="s">
        <v>143</v>
      </c>
      <c r="K921" s="23" t="s">
        <v>83</v>
      </c>
      <c r="L921" s="23" t="s">
        <v>2683</v>
      </c>
      <c r="M921" s="23" t="s">
        <v>153</v>
      </c>
      <c r="N921" s="23" t="s">
        <v>75</v>
      </c>
      <c r="O921" s="23">
        <v>17</v>
      </c>
      <c r="P921" s="23">
        <v>60.87</v>
      </c>
      <c r="Q921" s="23">
        <v>34.880000000000003</v>
      </c>
      <c r="R921" s="23">
        <v>1034.79</v>
      </c>
      <c r="S921" s="23">
        <v>0.15</v>
      </c>
      <c r="T921" s="23">
        <v>155.22</v>
      </c>
      <c r="U921" s="23">
        <v>879.57</v>
      </c>
      <c r="V921" s="23">
        <v>592.89</v>
      </c>
      <c r="W921" s="23">
        <v>286.68</v>
      </c>
      <c r="X921" s="23" t="s">
        <v>45</v>
      </c>
    </row>
    <row r="922" spans="1:24" x14ac:dyDescent="0.25">
      <c r="A922" s="20" t="s">
        <v>1427</v>
      </c>
      <c r="B922" s="19">
        <v>45653</v>
      </c>
      <c r="C922" s="20" t="s">
        <v>664</v>
      </c>
      <c r="D922" s="20" t="s">
        <v>125</v>
      </c>
      <c r="E922" s="20" t="s">
        <v>23</v>
      </c>
      <c r="F922" s="20" t="s">
        <v>2576</v>
      </c>
      <c r="G922" s="20" t="s">
        <v>2577</v>
      </c>
      <c r="H922" s="20" t="s">
        <v>26</v>
      </c>
      <c r="I922" s="20" t="s">
        <v>58</v>
      </c>
      <c r="J922" s="20" t="s">
        <v>323</v>
      </c>
      <c r="K922" s="20" t="s">
        <v>261</v>
      </c>
      <c r="L922" s="20" t="s">
        <v>2695</v>
      </c>
      <c r="M922" s="20" t="s">
        <v>43</v>
      </c>
      <c r="N922" s="20" t="s">
        <v>84</v>
      </c>
      <c r="O922" s="20">
        <v>78</v>
      </c>
      <c r="P922" s="20">
        <v>78.77</v>
      </c>
      <c r="Q922" s="20">
        <v>44.81</v>
      </c>
      <c r="R922" s="20">
        <v>6143.88</v>
      </c>
      <c r="S922" s="20">
        <v>0.02</v>
      </c>
      <c r="T922" s="20">
        <v>122.88</v>
      </c>
      <c r="U922" s="20">
        <v>6021</v>
      </c>
      <c r="V922" s="20">
        <v>3495.27</v>
      </c>
      <c r="W922" s="20">
        <v>2525.73</v>
      </c>
      <c r="X922" s="20" t="s">
        <v>45</v>
      </c>
    </row>
    <row r="923" spans="1:24" x14ac:dyDescent="0.25">
      <c r="A923" s="23" t="s">
        <v>1428</v>
      </c>
      <c r="B923" s="22">
        <v>45312</v>
      </c>
      <c r="C923" s="23" t="s">
        <v>739</v>
      </c>
      <c r="D923" s="23" t="s">
        <v>48</v>
      </c>
      <c r="E923" s="23" t="s">
        <v>132</v>
      </c>
      <c r="F923" s="23" t="s">
        <v>133</v>
      </c>
      <c r="G923" s="23" t="s">
        <v>2581</v>
      </c>
      <c r="H923" s="23" t="s">
        <v>134</v>
      </c>
      <c r="I923" s="23" t="s">
        <v>40</v>
      </c>
      <c r="J923" s="23" t="s">
        <v>41</v>
      </c>
      <c r="K923" s="23" t="s">
        <v>178</v>
      </c>
      <c r="L923" s="23" t="s">
        <v>2689</v>
      </c>
      <c r="M923" s="23" t="s">
        <v>153</v>
      </c>
      <c r="N923" s="23" t="s">
        <v>44</v>
      </c>
      <c r="O923" s="23">
        <v>42</v>
      </c>
      <c r="P923" s="23">
        <v>56.91</v>
      </c>
      <c r="Q923" s="23">
        <v>36.51</v>
      </c>
      <c r="R923" s="23">
        <v>2390.1799999999998</v>
      </c>
      <c r="S923" s="23">
        <v>0.1</v>
      </c>
      <c r="T923" s="23">
        <v>239.02</v>
      </c>
      <c r="U923" s="23">
        <v>2151.17</v>
      </c>
      <c r="V923" s="23">
        <v>1533.35</v>
      </c>
      <c r="W923" s="23">
        <v>617.82000000000005</v>
      </c>
      <c r="X923" s="23" t="s">
        <v>129</v>
      </c>
    </row>
    <row r="924" spans="1:24" x14ac:dyDescent="0.25">
      <c r="A924" s="20" t="s">
        <v>1429</v>
      </c>
      <c r="B924" s="19">
        <v>45516</v>
      </c>
      <c r="C924" s="20" t="s">
        <v>148</v>
      </c>
      <c r="D924" s="20" t="s">
        <v>149</v>
      </c>
      <c r="E924" s="20" t="s">
        <v>78</v>
      </c>
      <c r="F924" s="20" t="s">
        <v>2583</v>
      </c>
      <c r="G924" s="20" t="s">
        <v>2584</v>
      </c>
      <c r="H924" s="20" t="s">
        <v>81</v>
      </c>
      <c r="I924" s="20" t="s">
        <v>40</v>
      </c>
      <c r="J924" s="20" t="s">
        <v>41</v>
      </c>
      <c r="K924" s="20" t="s">
        <v>60</v>
      </c>
      <c r="L924" s="20" t="s">
        <v>2677</v>
      </c>
      <c r="M924" s="20" t="s">
        <v>547</v>
      </c>
      <c r="N924" s="20" t="s">
        <v>44</v>
      </c>
      <c r="O924" s="20">
        <v>32</v>
      </c>
      <c r="P924" s="20">
        <v>146.27000000000001</v>
      </c>
      <c r="Q924" s="20">
        <v>75.959999999999994</v>
      </c>
      <c r="R924" s="20">
        <v>4680.6000000000004</v>
      </c>
      <c r="S924" s="20">
        <v>0.15</v>
      </c>
      <c r="T924" s="20">
        <v>702.09</v>
      </c>
      <c r="U924" s="20">
        <v>3978.51</v>
      </c>
      <c r="V924" s="20">
        <v>2430.71</v>
      </c>
      <c r="W924" s="20">
        <v>1547.79</v>
      </c>
      <c r="X924" s="20" t="s">
        <v>45</v>
      </c>
    </row>
    <row r="925" spans="1:24" x14ac:dyDescent="0.25">
      <c r="A925" s="23" t="s">
        <v>1430</v>
      </c>
      <c r="B925" s="22">
        <v>45650</v>
      </c>
      <c r="C925" s="23" t="s">
        <v>1431</v>
      </c>
      <c r="D925" s="23" t="s">
        <v>264</v>
      </c>
      <c r="E925" s="23" t="s">
        <v>150</v>
      </c>
      <c r="F925" s="23" t="s">
        <v>2591</v>
      </c>
      <c r="G925" s="23" t="s">
        <v>2587</v>
      </c>
      <c r="H925" s="23" t="s">
        <v>134</v>
      </c>
      <c r="I925" s="23" t="s">
        <v>27</v>
      </c>
      <c r="J925" s="23" t="s">
        <v>28</v>
      </c>
      <c r="K925" s="23" t="s">
        <v>111</v>
      </c>
      <c r="L925" s="23" t="s">
        <v>2685</v>
      </c>
      <c r="M925" s="23" t="s">
        <v>153</v>
      </c>
      <c r="N925" s="23" t="s">
        <v>70</v>
      </c>
      <c r="O925" s="23">
        <v>40</v>
      </c>
      <c r="P925" s="23">
        <v>79.14</v>
      </c>
      <c r="Q925" s="23">
        <v>54.6</v>
      </c>
      <c r="R925" s="23">
        <v>3165.54</v>
      </c>
      <c r="S925" s="23">
        <v>0.05</v>
      </c>
      <c r="T925" s="23">
        <v>158.28</v>
      </c>
      <c r="U925" s="23">
        <v>3007.26</v>
      </c>
      <c r="V925" s="23">
        <v>2183.87</v>
      </c>
      <c r="W925" s="23">
        <v>823.39</v>
      </c>
      <c r="X925" s="23" t="s">
        <v>45</v>
      </c>
    </row>
    <row r="926" spans="1:24" x14ac:dyDescent="0.25">
      <c r="A926" s="20" t="s">
        <v>1432</v>
      </c>
      <c r="B926" s="19">
        <v>45401</v>
      </c>
      <c r="C926" s="20" t="s">
        <v>567</v>
      </c>
      <c r="D926" s="20" t="s">
        <v>22</v>
      </c>
      <c r="E926" s="20" t="s">
        <v>49</v>
      </c>
      <c r="F926" s="20" t="s">
        <v>2580</v>
      </c>
      <c r="G926" s="20" t="s">
        <v>2581</v>
      </c>
      <c r="H926" s="20" t="s">
        <v>52</v>
      </c>
      <c r="I926" s="20" t="s">
        <v>88</v>
      </c>
      <c r="J926" s="20" t="s">
        <v>135</v>
      </c>
      <c r="K926" s="20" t="s">
        <v>74</v>
      </c>
      <c r="L926" s="20" t="s">
        <v>2682</v>
      </c>
      <c r="M926" s="20" t="s">
        <v>30</v>
      </c>
      <c r="N926" s="20" t="s">
        <v>44</v>
      </c>
      <c r="O926" s="20">
        <v>58</v>
      </c>
      <c r="P926" s="20">
        <v>23.34</v>
      </c>
      <c r="Q926" s="20">
        <v>13.82</v>
      </c>
      <c r="R926" s="20">
        <v>1353.87</v>
      </c>
      <c r="S926" s="20">
        <v>0</v>
      </c>
      <c r="T926" s="20">
        <v>0</v>
      </c>
      <c r="U926" s="20">
        <v>1353.87</v>
      </c>
      <c r="V926" s="20">
        <v>801.56</v>
      </c>
      <c r="W926" s="20">
        <v>552.32000000000005</v>
      </c>
      <c r="X926" s="20" t="s">
        <v>32</v>
      </c>
    </row>
    <row r="927" spans="1:24" x14ac:dyDescent="0.25">
      <c r="A927" s="23" t="s">
        <v>1433</v>
      </c>
      <c r="B927" s="22">
        <v>45407</v>
      </c>
      <c r="C927" s="23" t="s">
        <v>433</v>
      </c>
      <c r="D927" s="23" t="s">
        <v>22</v>
      </c>
      <c r="E927" s="23" t="s">
        <v>165</v>
      </c>
      <c r="F927" s="23" t="s">
        <v>2592</v>
      </c>
      <c r="G927" s="23" t="s">
        <v>2586</v>
      </c>
      <c r="H927" s="23" t="s">
        <v>167</v>
      </c>
      <c r="I927" s="23" t="s">
        <v>27</v>
      </c>
      <c r="J927" s="23" t="s">
        <v>106</v>
      </c>
      <c r="K927" s="23" t="s">
        <v>178</v>
      </c>
      <c r="L927" s="23" t="s">
        <v>2689</v>
      </c>
      <c r="M927" s="23" t="s">
        <v>30</v>
      </c>
      <c r="N927" s="23" t="s">
        <v>70</v>
      </c>
      <c r="O927" s="23">
        <v>80</v>
      </c>
      <c r="P927" s="23">
        <v>43.94</v>
      </c>
      <c r="Q927" s="23">
        <v>25.66</v>
      </c>
      <c r="R927" s="23">
        <v>3515.07</v>
      </c>
      <c r="S927" s="23">
        <v>0.2</v>
      </c>
      <c r="T927" s="23">
        <v>703.01</v>
      </c>
      <c r="U927" s="23">
        <v>2812.06</v>
      </c>
      <c r="V927" s="23">
        <v>2052.8000000000002</v>
      </c>
      <c r="W927" s="23">
        <v>759.26</v>
      </c>
      <c r="X927" s="23" t="s">
        <v>45</v>
      </c>
    </row>
    <row r="928" spans="1:24" x14ac:dyDescent="0.25">
      <c r="A928" s="20" t="s">
        <v>1434</v>
      </c>
      <c r="B928" s="19">
        <v>45428</v>
      </c>
      <c r="C928" s="20" t="s">
        <v>897</v>
      </c>
      <c r="D928" s="20" t="s">
        <v>65</v>
      </c>
      <c r="E928" s="20" t="s">
        <v>187</v>
      </c>
      <c r="F928" s="20" t="s">
        <v>2594</v>
      </c>
      <c r="G928" s="20" t="s">
        <v>2577</v>
      </c>
      <c r="H928" s="20" t="s">
        <v>26</v>
      </c>
      <c r="I928" s="20" t="s">
        <v>58</v>
      </c>
      <c r="J928" s="20" t="s">
        <v>59</v>
      </c>
      <c r="K928" s="20" t="s">
        <v>42</v>
      </c>
      <c r="L928" s="20" t="s">
        <v>2680</v>
      </c>
      <c r="M928" s="20" t="s">
        <v>30</v>
      </c>
      <c r="N928" s="20" t="s">
        <v>2578</v>
      </c>
      <c r="O928" s="20">
        <v>13</v>
      </c>
      <c r="P928" s="20">
        <v>51.03</v>
      </c>
      <c r="Q928" s="20">
        <v>27.75</v>
      </c>
      <c r="R928" s="20">
        <v>663.35</v>
      </c>
      <c r="S928" s="20">
        <v>0.05</v>
      </c>
      <c r="T928" s="20">
        <v>33.17</v>
      </c>
      <c r="U928" s="20">
        <v>630.17999999999995</v>
      </c>
      <c r="V928" s="20">
        <v>360.71</v>
      </c>
      <c r="W928" s="20">
        <v>269.47000000000003</v>
      </c>
      <c r="X928" s="20" t="s">
        <v>129</v>
      </c>
    </row>
    <row r="929" spans="1:24" x14ac:dyDescent="0.25">
      <c r="A929" s="23" t="s">
        <v>1435</v>
      </c>
      <c r="B929" s="22">
        <v>45344</v>
      </c>
      <c r="C929" s="23" t="s">
        <v>843</v>
      </c>
      <c r="D929" s="23" t="s">
        <v>22</v>
      </c>
      <c r="E929" s="23" t="s">
        <v>109</v>
      </c>
      <c r="F929" s="23" t="s">
        <v>110</v>
      </c>
      <c r="G929" s="23" t="s">
        <v>2584</v>
      </c>
      <c r="H929" s="23" t="s">
        <v>81</v>
      </c>
      <c r="I929" s="23" t="s">
        <v>27</v>
      </c>
      <c r="J929" s="23" t="s">
        <v>189</v>
      </c>
      <c r="K929" s="23" t="s">
        <v>60</v>
      </c>
      <c r="L929" s="23" t="s">
        <v>2677</v>
      </c>
      <c r="M929" s="23" t="s">
        <v>30</v>
      </c>
      <c r="N929" s="23" t="s">
        <v>75</v>
      </c>
      <c r="O929" s="23">
        <v>41</v>
      </c>
      <c r="P929" s="23">
        <v>117.56</v>
      </c>
      <c r="Q929" s="23">
        <v>69.88</v>
      </c>
      <c r="R929" s="23">
        <v>4820</v>
      </c>
      <c r="S929" s="23">
        <v>0.05</v>
      </c>
      <c r="T929" s="23">
        <v>241</v>
      </c>
      <c r="U929" s="23">
        <v>4579</v>
      </c>
      <c r="V929" s="23">
        <v>2865.02</v>
      </c>
      <c r="W929" s="23">
        <v>1713.98</v>
      </c>
      <c r="X929" s="23" t="s">
        <v>129</v>
      </c>
    </row>
    <row r="930" spans="1:24" x14ac:dyDescent="0.25">
      <c r="A930" s="20" t="s">
        <v>1436</v>
      </c>
      <c r="B930" s="19">
        <v>45602</v>
      </c>
      <c r="C930" s="20" t="s">
        <v>1394</v>
      </c>
      <c r="D930" s="20" t="s">
        <v>156</v>
      </c>
      <c r="E930" s="20" t="s">
        <v>78</v>
      </c>
      <c r="F930" s="20" t="s">
        <v>2583</v>
      </c>
      <c r="G930" s="20" t="s">
        <v>2584</v>
      </c>
      <c r="H930" s="20" t="s">
        <v>81</v>
      </c>
      <c r="I930" s="20" t="s">
        <v>88</v>
      </c>
      <c r="J930" s="20" t="s">
        <v>173</v>
      </c>
      <c r="K930" s="20" t="s">
        <v>74</v>
      </c>
      <c r="L930" s="20" t="s">
        <v>2682</v>
      </c>
      <c r="M930" s="20" t="s">
        <v>61</v>
      </c>
      <c r="N930" s="20" t="s">
        <v>75</v>
      </c>
      <c r="O930" s="20">
        <v>58</v>
      </c>
      <c r="P930" s="20">
        <v>146.59</v>
      </c>
      <c r="Q930" s="20">
        <v>76.66</v>
      </c>
      <c r="R930" s="20">
        <v>8502.2199999999993</v>
      </c>
      <c r="S930" s="20">
        <v>0.02</v>
      </c>
      <c r="T930" s="20">
        <v>170.04</v>
      </c>
      <c r="U930" s="20">
        <v>8332.18</v>
      </c>
      <c r="V930" s="20">
        <v>4446.28</v>
      </c>
      <c r="W930" s="20">
        <v>3885.89</v>
      </c>
      <c r="X930" s="20" t="s">
        <v>45</v>
      </c>
    </row>
    <row r="931" spans="1:24" x14ac:dyDescent="0.25">
      <c r="A931" s="23" t="s">
        <v>1437</v>
      </c>
      <c r="B931" s="22">
        <v>45628</v>
      </c>
      <c r="C931" s="23" t="s">
        <v>491</v>
      </c>
      <c r="D931" s="23" t="s">
        <v>57</v>
      </c>
      <c r="E931" s="23" t="s">
        <v>176</v>
      </c>
      <c r="F931" s="23" t="s">
        <v>2593</v>
      </c>
      <c r="G931" s="23" t="s">
        <v>2587</v>
      </c>
      <c r="H931" s="23" t="s">
        <v>39</v>
      </c>
      <c r="I931" s="23" t="s">
        <v>27</v>
      </c>
      <c r="J931" s="23" t="s">
        <v>28</v>
      </c>
      <c r="K931" s="23" t="s">
        <v>178</v>
      </c>
      <c r="L931" s="23" t="s">
        <v>2689</v>
      </c>
      <c r="M931" s="23" t="s">
        <v>153</v>
      </c>
      <c r="N931" s="23" t="s">
        <v>84</v>
      </c>
      <c r="O931" s="23">
        <v>33</v>
      </c>
      <c r="P931" s="23">
        <v>101.13</v>
      </c>
      <c r="Q931" s="23">
        <v>66.28</v>
      </c>
      <c r="R931" s="23">
        <v>3337.39</v>
      </c>
      <c r="S931" s="23">
        <v>0.02</v>
      </c>
      <c r="T931" s="23">
        <v>66.75</v>
      </c>
      <c r="U931" s="23">
        <v>3270.64</v>
      </c>
      <c r="V931" s="23">
        <v>2187.12</v>
      </c>
      <c r="W931" s="23">
        <v>1083.52</v>
      </c>
      <c r="X931" s="23" t="s">
        <v>45</v>
      </c>
    </row>
    <row r="932" spans="1:24" x14ac:dyDescent="0.25">
      <c r="A932" s="20" t="s">
        <v>1438</v>
      </c>
      <c r="B932" s="19">
        <v>45451</v>
      </c>
      <c r="C932" s="20" t="s">
        <v>967</v>
      </c>
      <c r="D932" s="20" t="s">
        <v>35</v>
      </c>
      <c r="E932" s="20" t="s">
        <v>99</v>
      </c>
      <c r="F932" s="20" t="s">
        <v>100</v>
      </c>
      <c r="G932" s="20" t="s">
        <v>2587</v>
      </c>
      <c r="H932" s="20" t="s">
        <v>102</v>
      </c>
      <c r="I932" s="20" t="s">
        <v>40</v>
      </c>
      <c r="J932" s="20" t="s">
        <v>82</v>
      </c>
      <c r="K932" s="20" t="s">
        <v>195</v>
      </c>
      <c r="L932" s="20" t="s">
        <v>2691</v>
      </c>
      <c r="M932" s="20" t="s">
        <v>61</v>
      </c>
      <c r="N932" s="20" t="s">
        <v>2578</v>
      </c>
      <c r="O932" s="20">
        <v>22</v>
      </c>
      <c r="P932" s="20">
        <v>73.86</v>
      </c>
      <c r="Q932" s="20">
        <v>40.9</v>
      </c>
      <c r="R932" s="20">
        <v>1624.81</v>
      </c>
      <c r="S932" s="20">
        <v>0.1</v>
      </c>
      <c r="T932" s="20">
        <v>162.47999999999999</v>
      </c>
      <c r="U932" s="20">
        <v>1462.33</v>
      </c>
      <c r="V932" s="20">
        <v>899.69</v>
      </c>
      <c r="W932" s="20">
        <v>562.64</v>
      </c>
      <c r="X932" s="20" t="s">
        <v>129</v>
      </c>
    </row>
    <row r="933" spans="1:24" x14ac:dyDescent="0.25">
      <c r="A933" s="23" t="s">
        <v>1439</v>
      </c>
      <c r="B933" s="22">
        <v>45516</v>
      </c>
      <c r="C933" s="23" t="s">
        <v>759</v>
      </c>
      <c r="D933" s="23" t="s">
        <v>35</v>
      </c>
      <c r="E933" s="23" t="s">
        <v>165</v>
      </c>
      <c r="F933" s="23" t="s">
        <v>2592</v>
      </c>
      <c r="G933" s="23" t="s">
        <v>2586</v>
      </c>
      <c r="H933" s="23" t="s">
        <v>167</v>
      </c>
      <c r="I933" s="23" t="s">
        <v>88</v>
      </c>
      <c r="J933" s="23" t="s">
        <v>183</v>
      </c>
      <c r="K933" s="23" t="s">
        <v>152</v>
      </c>
      <c r="L933" s="23" t="s">
        <v>2688</v>
      </c>
      <c r="M933" s="23" t="s">
        <v>61</v>
      </c>
      <c r="N933" s="23" t="s">
        <v>44</v>
      </c>
      <c r="O933" s="23">
        <v>63</v>
      </c>
      <c r="P933" s="23">
        <v>43.28</v>
      </c>
      <c r="Q933" s="23">
        <v>24.55</v>
      </c>
      <c r="R933" s="23">
        <v>2726.84</v>
      </c>
      <c r="S933" s="23">
        <v>0</v>
      </c>
      <c r="T933" s="23">
        <v>0</v>
      </c>
      <c r="U933" s="23">
        <v>2726.84</v>
      </c>
      <c r="V933" s="23">
        <v>1546.46</v>
      </c>
      <c r="W933" s="23">
        <v>1180.3800000000001</v>
      </c>
      <c r="X933" s="23" t="s">
        <v>45</v>
      </c>
    </row>
    <row r="934" spans="1:24" x14ac:dyDescent="0.25">
      <c r="A934" s="20" t="s">
        <v>1440</v>
      </c>
      <c r="B934" s="19">
        <v>45587</v>
      </c>
      <c r="C934" s="20" t="s">
        <v>800</v>
      </c>
      <c r="D934" s="20" t="s">
        <v>264</v>
      </c>
      <c r="E934" s="20" t="s">
        <v>36</v>
      </c>
      <c r="F934" s="20" t="s">
        <v>37</v>
      </c>
      <c r="G934" s="20" t="s">
        <v>2579</v>
      </c>
      <c r="H934" s="20" t="s">
        <v>39</v>
      </c>
      <c r="I934" s="20" t="s">
        <v>27</v>
      </c>
      <c r="J934" s="20" t="s">
        <v>211</v>
      </c>
      <c r="K934" s="20" t="s">
        <v>111</v>
      </c>
      <c r="L934" s="20" t="s">
        <v>2685</v>
      </c>
      <c r="M934" s="20" t="s">
        <v>43</v>
      </c>
      <c r="N934" s="20" t="s">
        <v>44</v>
      </c>
      <c r="O934" s="20">
        <v>25</v>
      </c>
      <c r="P934" s="20">
        <v>160.54</v>
      </c>
      <c r="Q934" s="20">
        <v>92.09</v>
      </c>
      <c r="R934" s="20">
        <v>4013.39</v>
      </c>
      <c r="S934" s="20">
        <v>0.05</v>
      </c>
      <c r="T934" s="20">
        <v>200.67</v>
      </c>
      <c r="U934" s="20">
        <v>3812.72</v>
      </c>
      <c r="V934" s="20">
        <v>2302.17</v>
      </c>
      <c r="W934" s="20">
        <v>1510.55</v>
      </c>
      <c r="X934" s="20" t="s">
        <v>32</v>
      </c>
    </row>
    <row r="935" spans="1:24" x14ac:dyDescent="0.25">
      <c r="A935" s="23" t="s">
        <v>1441</v>
      </c>
      <c r="B935" s="22">
        <v>45462</v>
      </c>
      <c r="C935" s="23" t="s">
        <v>515</v>
      </c>
      <c r="D935" s="23" t="s">
        <v>48</v>
      </c>
      <c r="E935" s="23" t="s">
        <v>36</v>
      </c>
      <c r="F935" s="23" t="s">
        <v>37</v>
      </c>
      <c r="G935" s="23" t="s">
        <v>2579</v>
      </c>
      <c r="H935" s="23" t="s">
        <v>39</v>
      </c>
      <c r="I935" s="23" t="s">
        <v>27</v>
      </c>
      <c r="J935" s="23" t="s">
        <v>211</v>
      </c>
      <c r="K935" s="23" t="s">
        <v>261</v>
      </c>
      <c r="L935" s="23" t="s">
        <v>2695</v>
      </c>
      <c r="M935" s="23" t="s">
        <v>153</v>
      </c>
      <c r="N935" s="23" t="s">
        <v>2578</v>
      </c>
      <c r="O935" s="23">
        <v>3</v>
      </c>
      <c r="P935" s="23">
        <v>176.44</v>
      </c>
      <c r="Q935" s="23">
        <v>95.29</v>
      </c>
      <c r="R935" s="23">
        <v>529.30999999999995</v>
      </c>
      <c r="S935" s="23">
        <v>0.02</v>
      </c>
      <c r="T935" s="23">
        <v>10.59</v>
      </c>
      <c r="U935" s="23">
        <v>518.72</v>
      </c>
      <c r="V935" s="23">
        <v>285.86</v>
      </c>
      <c r="W935" s="23">
        <v>232.87</v>
      </c>
      <c r="X935" s="23" t="s">
        <v>45</v>
      </c>
    </row>
    <row r="936" spans="1:24" x14ac:dyDescent="0.25">
      <c r="A936" s="20" t="s">
        <v>1442</v>
      </c>
      <c r="B936" s="19">
        <v>45608</v>
      </c>
      <c r="C936" s="20" t="s">
        <v>970</v>
      </c>
      <c r="D936" s="20" t="s">
        <v>159</v>
      </c>
      <c r="E936" s="20" t="s">
        <v>209</v>
      </c>
      <c r="F936" s="20" t="s">
        <v>2595</v>
      </c>
      <c r="G936" s="20" t="s">
        <v>2581</v>
      </c>
      <c r="H936" s="20" t="s">
        <v>116</v>
      </c>
      <c r="I936" s="20" t="s">
        <v>40</v>
      </c>
      <c r="J936" s="20" t="s">
        <v>289</v>
      </c>
      <c r="K936" s="20" t="s">
        <v>83</v>
      </c>
      <c r="L936" s="20" t="s">
        <v>2683</v>
      </c>
      <c r="M936" s="20" t="s">
        <v>61</v>
      </c>
      <c r="N936" s="20" t="s">
        <v>2578</v>
      </c>
      <c r="O936" s="20">
        <v>40</v>
      </c>
      <c r="P936" s="20">
        <v>19.36</v>
      </c>
      <c r="Q936" s="20">
        <v>10.07</v>
      </c>
      <c r="R936" s="20">
        <v>774.58</v>
      </c>
      <c r="S936" s="20">
        <v>0.15</v>
      </c>
      <c r="T936" s="20">
        <v>116.19</v>
      </c>
      <c r="U936" s="20">
        <v>658.39</v>
      </c>
      <c r="V936" s="20">
        <v>402.83</v>
      </c>
      <c r="W936" s="20">
        <v>255.57</v>
      </c>
      <c r="X936" s="20" t="s">
        <v>32</v>
      </c>
    </row>
    <row r="937" spans="1:24" x14ac:dyDescent="0.25">
      <c r="A937" s="23" t="s">
        <v>1443</v>
      </c>
      <c r="B937" s="22">
        <v>45554</v>
      </c>
      <c r="C937" s="23" t="s">
        <v>658</v>
      </c>
      <c r="D937" s="23" t="s">
        <v>264</v>
      </c>
      <c r="E937" s="23" t="s">
        <v>49</v>
      </c>
      <c r="F937" s="23" t="s">
        <v>2580</v>
      </c>
      <c r="G937" s="23" t="s">
        <v>2581</v>
      </c>
      <c r="H937" s="23" t="s">
        <v>52</v>
      </c>
      <c r="I937" s="23" t="s">
        <v>58</v>
      </c>
      <c r="J937" s="23" t="s">
        <v>323</v>
      </c>
      <c r="K937" s="23" t="s">
        <v>90</v>
      </c>
      <c r="L937" s="23" t="s">
        <v>2684</v>
      </c>
      <c r="M937" s="23" t="s">
        <v>153</v>
      </c>
      <c r="N937" s="23" t="s">
        <v>44</v>
      </c>
      <c r="O937" s="23">
        <v>15</v>
      </c>
      <c r="P937" s="23">
        <v>23.56</v>
      </c>
      <c r="Q937" s="23">
        <v>13.04</v>
      </c>
      <c r="R937" s="23">
        <v>353.41</v>
      </c>
      <c r="S937" s="23">
        <v>0.05</v>
      </c>
      <c r="T937" s="23">
        <v>17.670000000000002</v>
      </c>
      <c r="U937" s="23">
        <v>335.73</v>
      </c>
      <c r="V937" s="23">
        <v>195.57</v>
      </c>
      <c r="W937" s="23">
        <v>140.16</v>
      </c>
      <c r="X937" s="23" t="s">
        <v>45</v>
      </c>
    </row>
    <row r="938" spans="1:24" x14ac:dyDescent="0.25">
      <c r="A938" s="20" t="s">
        <v>1444</v>
      </c>
      <c r="B938" s="19">
        <v>45435</v>
      </c>
      <c r="C938" s="20" t="s">
        <v>721</v>
      </c>
      <c r="D938" s="20" t="s">
        <v>359</v>
      </c>
      <c r="E938" s="20" t="s">
        <v>250</v>
      </c>
      <c r="F938" s="20" t="s">
        <v>2598</v>
      </c>
      <c r="G938" s="20" t="s">
        <v>2581</v>
      </c>
      <c r="H938" s="20" t="s">
        <v>252</v>
      </c>
      <c r="I938" s="20" t="s">
        <v>58</v>
      </c>
      <c r="J938" s="20" t="s">
        <v>73</v>
      </c>
      <c r="K938" s="20" t="s">
        <v>83</v>
      </c>
      <c r="L938" s="20" t="s">
        <v>2683</v>
      </c>
      <c r="M938" s="20" t="s">
        <v>61</v>
      </c>
      <c r="N938" s="20" t="s">
        <v>75</v>
      </c>
      <c r="O938" s="20">
        <v>72</v>
      </c>
      <c r="P938" s="20">
        <v>67.180000000000007</v>
      </c>
      <c r="Q938" s="20">
        <v>35.979999999999997</v>
      </c>
      <c r="R938" s="20">
        <v>4836.74</v>
      </c>
      <c r="S938" s="20">
        <v>0.05</v>
      </c>
      <c r="T938" s="20">
        <v>241.84</v>
      </c>
      <c r="U938" s="20">
        <v>4594.8999999999996</v>
      </c>
      <c r="V938" s="20">
        <v>2590.37</v>
      </c>
      <c r="W938" s="20">
        <v>2004.54</v>
      </c>
      <c r="X938" s="20" t="s">
        <v>45</v>
      </c>
    </row>
    <row r="939" spans="1:24" x14ac:dyDescent="0.25">
      <c r="A939" s="23" t="s">
        <v>1445</v>
      </c>
      <c r="B939" s="22">
        <v>45611</v>
      </c>
      <c r="C939" s="23" t="s">
        <v>347</v>
      </c>
      <c r="D939" s="23" t="s">
        <v>163</v>
      </c>
      <c r="E939" s="23" t="s">
        <v>216</v>
      </c>
      <c r="F939" s="23" t="s">
        <v>2596</v>
      </c>
      <c r="G939" s="23" t="s">
        <v>2579</v>
      </c>
      <c r="H939" s="23" t="s">
        <v>134</v>
      </c>
      <c r="I939" s="23" t="s">
        <v>88</v>
      </c>
      <c r="J939" s="23" t="s">
        <v>2112</v>
      </c>
      <c r="K939" s="23" t="s">
        <v>60</v>
      </c>
      <c r="L939" s="23" t="s">
        <v>2677</v>
      </c>
      <c r="M939" s="23" t="s">
        <v>61</v>
      </c>
      <c r="N939" s="23" t="s">
        <v>44</v>
      </c>
      <c r="O939" s="23">
        <v>38</v>
      </c>
      <c r="P939" s="23">
        <v>102.16</v>
      </c>
      <c r="Q939" s="23">
        <v>65.23</v>
      </c>
      <c r="R939" s="23">
        <v>3882.22</v>
      </c>
      <c r="S939" s="23">
        <v>0.2</v>
      </c>
      <c r="T939" s="23">
        <v>776.44</v>
      </c>
      <c r="U939" s="23">
        <v>3105.78</v>
      </c>
      <c r="V939" s="23">
        <v>2478.87</v>
      </c>
      <c r="W939" s="23">
        <v>626.91</v>
      </c>
      <c r="X939" s="23" t="s">
        <v>32</v>
      </c>
    </row>
    <row r="940" spans="1:24" x14ac:dyDescent="0.25">
      <c r="A940" s="20" t="s">
        <v>1446</v>
      </c>
      <c r="B940" s="19">
        <v>45404</v>
      </c>
      <c r="C940" s="20" t="s">
        <v>464</v>
      </c>
      <c r="D940" s="20" t="s">
        <v>105</v>
      </c>
      <c r="E940" s="20" t="s">
        <v>99</v>
      </c>
      <c r="F940" s="20" t="s">
        <v>100</v>
      </c>
      <c r="G940" s="20" t="s">
        <v>2587</v>
      </c>
      <c r="H940" s="20" t="s">
        <v>102</v>
      </c>
      <c r="I940" s="20" t="s">
        <v>88</v>
      </c>
      <c r="J940" s="20" t="s">
        <v>2112</v>
      </c>
      <c r="K940" s="20" t="s">
        <v>195</v>
      </c>
      <c r="L940" s="20" t="s">
        <v>2691</v>
      </c>
      <c r="M940" s="20" t="s">
        <v>43</v>
      </c>
      <c r="N940" s="20" t="s">
        <v>70</v>
      </c>
      <c r="O940" s="20">
        <v>66</v>
      </c>
      <c r="P940" s="20">
        <v>75.19</v>
      </c>
      <c r="Q940" s="20">
        <v>41.12</v>
      </c>
      <c r="R940" s="20">
        <v>4962.62</v>
      </c>
      <c r="S940" s="20">
        <v>0.02</v>
      </c>
      <c r="T940" s="20">
        <v>99.25</v>
      </c>
      <c r="U940" s="20">
        <v>4863.37</v>
      </c>
      <c r="V940" s="20">
        <v>2714.24</v>
      </c>
      <c r="W940" s="20">
        <v>2149.13</v>
      </c>
      <c r="X940" s="20" t="s">
        <v>45</v>
      </c>
    </row>
    <row r="941" spans="1:24" x14ac:dyDescent="0.25">
      <c r="A941" s="23" t="s">
        <v>1447</v>
      </c>
      <c r="B941" s="22">
        <v>45533</v>
      </c>
      <c r="C941" s="23" t="s">
        <v>194</v>
      </c>
      <c r="D941" s="23" t="s">
        <v>163</v>
      </c>
      <c r="E941" s="23" t="s">
        <v>165</v>
      </c>
      <c r="F941" s="23" t="s">
        <v>2592</v>
      </c>
      <c r="G941" s="23" t="s">
        <v>2586</v>
      </c>
      <c r="H941" s="23" t="s">
        <v>167</v>
      </c>
      <c r="I941" s="23" t="s">
        <v>40</v>
      </c>
      <c r="J941" s="23" t="s">
        <v>117</v>
      </c>
      <c r="K941" s="23" t="s">
        <v>184</v>
      </c>
      <c r="L941" s="23" t="s">
        <v>2690</v>
      </c>
      <c r="M941" s="23" t="s">
        <v>43</v>
      </c>
      <c r="N941" s="23" t="s">
        <v>84</v>
      </c>
      <c r="O941" s="23">
        <v>68</v>
      </c>
      <c r="P941" s="23">
        <v>41.54</v>
      </c>
      <c r="Q941" s="23">
        <v>24.39</v>
      </c>
      <c r="R941" s="23">
        <v>2824.58</v>
      </c>
      <c r="S941" s="23">
        <v>0.2</v>
      </c>
      <c r="T941" s="23">
        <v>564.91999999999996</v>
      </c>
      <c r="U941" s="23">
        <v>2259.66</v>
      </c>
      <c r="V941" s="23">
        <v>1658.53</v>
      </c>
      <c r="W941" s="23">
        <v>601.14</v>
      </c>
      <c r="X941" s="23" t="s">
        <v>45</v>
      </c>
    </row>
    <row r="942" spans="1:24" x14ac:dyDescent="0.25">
      <c r="A942" s="20" t="s">
        <v>1448</v>
      </c>
      <c r="B942" s="19">
        <v>45516</v>
      </c>
      <c r="C942" s="20" t="s">
        <v>162</v>
      </c>
      <c r="D942" s="20" t="s">
        <v>163</v>
      </c>
      <c r="E942" s="20" t="s">
        <v>176</v>
      </c>
      <c r="F942" s="20" t="s">
        <v>2593</v>
      </c>
      <c r="G942" s="20" t="s">
        <v>2587</v>
      </c>
      <c r="H942" s="20" t="s">
        <v>39</v>
      </c>
      <c r="I942" s="20" t="s">
        <v>58</v>
      </c>
      <c r="J942" s="20" t="s">
        <v>59</v>
      </c>
      <c r="K942" s="20" t="s">
        <v>83</v>
      </c>
      <c r="L942" s="20" t="s">
        <v>2683</v>
      </c>
      <c r="M942" s="20" t="s">
        <v>43</v>
      </c>
      <c r="N942" s="20" t="s">
        <v>70</v>
      </c>
      <c r="O942" s="20">
        <v>47</v>
      </c>
      <c r="P942" s="20">
        <v>100.97</v>
      </c>
      <c r="Q942" s="20">
        <v>61.44</v>
      </c>
      <c r="R942" s="20">
        <v>4745.42</v>
      </c>
      <c r="S942" s="20">
        <v>0.02</v>
      </c>
      <c r="T942" s="20">
        <v>94.91</v>
      </c>
      <c r="U942" s="20">
        <v>4650.51</v>
      </c>
      <c r="V942" s="20">
        <v>2887.66</v>
      </c>
      <c r="W942" s="20">
        <v>1762.85</v>
      </c>
      <c r="X942" s="20" t="s">
        <v>45</v>
      </c>
    </row>
    <row r="943" spans="1:24" x14ac:dyDescent="0.25">
      <c r="A943" s="23" t="s">
        <v>1449</v>
      </c>
      <c r="B943" s="22">
        <v>45434</v>
      </c>
      <c r="C943" s="23" t="s">
        <v>594</v>
      </c>
      <c r="D943" s="23" t="s">
        <v>105</v>
      </c>
      <c r="E943" s="23" t="s">
        <v>141</v>
      </c>
      <c r="F943" s="23" t="s">
        <v>2590</v>
      </c>
      <c r="G943" s="23" t="s">
        <v>2577</v>
      </c>
      <c r="H943" s="23" t="s">
        <v>26</v>
      </c>
      <c r="I943" s="23" t="s">
        <v>40</v>
      </c>
      <c r="J943" s="23" t="s">
        <v>82</v>
      </c>
      <c r="K943" s="23" t="s">
        <v>69</v>
      </c>
      <c r="L943" s="23" t="s">
        <v>2681</v>
      </c>
      <c r="M943" s="23" t="s">
        <v>61</v>
      </c>
      <c r="N943" s="23" t="s">
        <v>84</v>
      </c>
      <c r="O943" s="23">
        <v>34</v>
      </c>
      <c r="P943" s="23">
        <v>96.48</v>
      </c>
      <c r="Q943" s="23">
        <v>61.4</v>
      </c>
      <c r="R943" s="23">
        <v>3280.47</v>
      </c>
      <c r="S943" s="23">
        <v>0.15</v>
      </c>
      <c r="T943" s="23">
        <v>492.07</v>
      </c>
      <c r="U943" s="23">
        <v>2788.4</v>
      </c>
      <c r="V943" s="23">
        <v>2087.5100000000002</v>
      </c>
      <c r="W943" s="23">
        <v>700.89</v>
      </c>
      <c r="X943" s="23" t="s">
        <v>45</v>
      </c>
    </row>
    <row r="944" spans="1:24" x14ac:dyDescent="0.25">
      <c r="A944" s="20" t="s">
        <v>1450</v>
      </c>
      <c r="B944" s="19">
        <v>45621</v>
      </c>
      <c r="C944" s="20" t="s">
        <v>580</v>
      </c>
      <c r="D944" s="20" t="s">
        <v>156</v>
      </c>
      <c r="E944" s="20" t="s">
        <v>78</v>
      </c>
      <c r="F944" s="20" t="s">
        <v>2583</v>
      </c>
      <c r="G944" s="20" t="s">
        <v>2584</v>
      </c>
      <c r="H944" s="20" t="s">
        <v>81</v>
      </c>
      <c r="I944" s="20" t="s">
        <v>40</v>
      </c>
      <c r="J944" s="20" t="s">
        <v>289</v>
      </c>
      <c r="K944" s="20" t="s">
        <v>184</v>
      </c>
      <c r="L944" s="20" t="s">
        <v>2690</v>
      </c>
      <c r="M944" s="20" t="s">
        <v>61</v>
      </c>
      <c r="N944" s="20" t="s">
        <v>75</v>
      </c>
      <c r="O944" s="20">
        <v>23</v>
      </c>
      <c r="P944" s="20">
        <v>138.19999999999999</v>
      </c>
      <c r="Q944" s="20">
        <v>78.69</v>
      </c>
      <c r="R944" s="20">
        <v>3178.58</v>
      </c>
      <c r="S944" s="20">
        <v>0.2</v>
      </c>
      <c r="T944" s="20">
        <v>635.72</v>
      </c>
      <c r="U944" s="20">
        <v>2542.86</v>
      </c>
      <c r="V944" s="20">
        <v>1809.88</v>
      </c>
      <c r="W944" s="20">
        <v>732.99</v>
      </c>
      <c r="X944" s="20" t="s">
        <v>45</v>
      </c>
    </row>
    <row r="945" spans="1:24" x14ac:dyDescent="0.25">
      <c r="A945" s="23" t="s">
        <v>1451</v>
      </c>
      <c r="B945" s="22">
        <v>45417</v>
      </c>
      <c r="C945" s="23" t="s">
        <v>626</v>
      </c>
      <c r="D945" s="23" t="s">
        <v>163</v>
      </c>
      <c r="E945" s="23" t="s">
        <v>93</v>
      </c>
      <c r="F945" s="23" t="s">
        <v>2585</v>
      </c>
      <c r="G945" s="23" t="s">
        <v>2586</v>
      </c>
      <c r="H945" s="23" t="s">
        <v>96</v>
      </c>
      <c r="I945" s="23" t="s">
        <v>88</v>
      </c>
      <c r="J945" s="23" t="s">
        <v>173</v>
      </c>
      <c r="K945" s="23" t="s">
        <v>253</v>
      </c>
      <c r="L945" s="23" t="s">
        <v>2694</v>
      </c>
      <c r="M945" s="23" t="s">
        <v>30</v>
      </c>
      <c r="N945" s="23" t="s">
        <v>2578</v>
      </c>
      <c r="O945" s="23">
        <v>40</v>
      </c>
      <c r="P945" s="23">
        <v>58.91</v>
      </c>
      <c r="Q945" s="23">
        <v>32.94</v>
      </c>
      <c r="R945" s="23">
        <v>2356.5</v>
      </c>
      <c r="S945" s="23">
        <v>0.1</v>
      </c>
      <c r="T945" s="23">
        <v>235.65</v>
      </c>
      <c r="U945" s="23">
        <v>2120.85</v>
      </c>
      <c r="V945" s="23">
        <v>1317.53</v>
      </c>
      <c r="W945" s="23">
        <v>803.32</v>
      </c>
      <c r="X945" s="23" t="s">
        <v>129</v>
      </c>
    </row>
    <row r="946" spans="1:24" x14ac:dyDescent="0.25">
      <c r="A946" s="20" t="s">
        <v>1452</v>
      </c>
      <c r="B946" s="19">
        <v>45511</v>
      </c>
      <c r="C946" s="20" t="s">
        <v>911</v>
      </c>
      <c r="D946" s="20" t="s">
        <v>48</v>
      </c>
      <c r="E946" s="20" t="s">
        <v>126</v>
      </c>
      <c r="F946" s="20" t="s">
        <v>2589</v>
      </c>
      <c r="G946" s="20" t="s">
        <v>2586</v>
      </c>
      <c r="H946" s="20" t="s">
        <v>128</v>
      </c>
      <c r="I946" s="20" t="s">
        <v>53</v>
      </c>
      <c r="J946" s="20" t="s">
        <v>143</v>
      </c>
      <c r="K946" s="20" t="s">
        <v>218</v>
      </c>
      <c r="L946" s="20" t="s">
        <v>2692</v>
      </c>
      <c r="M946" s="20" t="s">
        <v>61</v>
      </c>
      <c r="N946" s="20" t="s">
        <v>84</v>
      </c>
      <c r="O946" s="20">
        <v>26</v>
      </c>
      <c r="P946" s="20">
        <v>89.41</v>
      </c>
      <c r="Q946" s="20">
        <v>57.07</v>
      </c>
      <c r="R946" s="20">
        <v>2324.6999999999998</v>
      </c>
      <c r="S946" s="20">
        <v>0.2</v>
      </c>
      <c r="T946" s="20">
        <v>464.94</v>
      </c>
      <c r="U946" s="20">
        <v>1859.76</v>
      </c>
      <c r="V946" s="20">
        <v>1483.84</v>
      </c>
      <c r="W946" s="20">
        <v>375.92</v>
      </c>
      <c r="X946" s="20" t="s">
        <v>45</v>
      </c>
    </row>
    <row r="947" spans="1:24" x14ac:dyDescent="0.25">
      <c r="A947" s="23" t="s">
        <v>1453</v>
      </c>
      <c r="B947" s="22">
        <v>45421</v>
      </c>
      <c r="C947" s="23" t="s">
        <v>945</v>
      </c>
      <c r="D947" s="23" t="s">
        <v>159</v>
      </c>
      <c r="E947" s="23" t="s">
        <v>49</v>
      </c>
      <c r="F947" s="23" t="s">
        <v>2580</v>
      </c>
      <c r="G947" s="23" t="s">
        <v>2581</v>
      </c>
      <c r="H947" s="23" t="s">
        <v>52</v>
      </c>
      <c r="I947" s="23" t="s">
        <v>88</v>
      </c>
      <c r="J947" s="23" t="s">
        <v>183</v>
      </c>
      <c r="K947" s="23" t="s">
        <v>74</v>
      </c>
      <c r="L947" s="23" t="s">
        <v>2682</v>
      </c>
      <c r="M947" s="23" t="s">
        <v>43</v>
      </c>
      <c r="N947" s="23" t="s">
        <v>2578</v>
      </c>
      <c r="O947" s="23">
        <v>25</v>
      </c>
      <c r="P947" s="23">
        <v>23.83</v>
      </c>
      <c r="Q947" s="23">
        <v>12.11</v>
      </c>
      <c r="R947" s="23">
        <v>595.71</v>
      </c>
      <c r="S947" s="23">
        <v>0.15</v>
      </c>
      <c r="T947" s="23">
        <v>89.36</v>
      </c>
      <c r="U947" s="23">
        <v>506.35</v>
      </c>
      <c r="V947" s="23">
        <v>302.7</v>
      </c>
      <c r="W947" s="23">
        <v>203.65</v>
      </c>
      <c r="X947" s="23" t="s">
        <v>45</v>
      </c>
    </row>
    <row r="948" spans="1:24" x14ac:dyDescent="0.25">
      <c r="A948" s="20" t="s">
        <v>1454</v>
      </c>
      <c r="B948" s="19">
        <v>45463</v>
      </c>
      <c r="C948" s="20" t="s">
        <v>1380</v>
      </c>
      <c r="D948" s="20" t="s">
        <v>121</v>
      </c>
      <c r="E948" s="20" t="s">
        <v>209</v>
      </c>
      <c r="F948" s="20" t="s">
        <v>2595</v>
      </c>
      <c r="G948" s="20" t="s">
        <v>2581</v>
      </c>
      <c r="H948" s="20" t="s">
        <v>116</v>
      </c>
      <c r="I948" s="20" t="s">
        <v>53</v>
      </c>
      <c r="J948" s="20" t="s">
        <v>122</v>
      </c>
      <c r="K948" s="20" t="s">
        <v>152</v>
      </c>
      <c r="L948" s="20" t="s">
        <v>2688</v>
      </c>
      <c r="M948" s="20" t="s">
        <v>153</v>
      </c>
      <c r="N948" s="20" t="s">
        <v>84</v>
      </c>
      <c r="O948" s="20">
        <v>79</v>
      </c>
      <c r="P948" s="20">
        <v>18.829999999999998</v>
      </c>
      <c r="Q948" s="20">
        <v>9.93</v>
      </c>
      <c r="R948" s="20">
        <v>1487.39</v>
      </c>
      <c r="S948" s="20">
        <v>0.1</v>
      </c>
      <c r="T948" s="20">
        <v>148.74</v>
      </c>
      <c r="U948" s="20">
        <v>1338.65</v>
      </c>
      <c r="V948" s="20">
        <v>784.23</v>
      </c>
      <c r="W948" s="20">
        <v>554.41999999999996</v>
      </c>
      <c r="X948" s="20" t="s">
        <v>45</v>
      </c>
    </row>
    <row r="949" spans="1:24" x14ac:dyDescent="0.25">
      <c r="A949" s="23" t="s">
        <v>1455</v>
      </c>
      <c r="B949" s="22">
        <v>45486</v>
      </c>
      <c r="C949" s="23" t="s">
        <v>430</v>
      </c>
      <c r="D949" s="23" t="s">
        <v>156</v>
      </c>
      <c r="E949" s="23" t="s">
        <v>222</v>
      </c>
      <c r="F949" s="23" t="s">
        <v>2597</v>
      </c>
      <c r="G949" s="23" t="s">
        <v>2587</v>
      </c>
      <c r="H949" s="23" t="s">
        <v>68</v>
      </c>
      <c r="I949" s="23" t="s">
        <v>53</v>
      </c>
      <c r="J949" s="23" t="s">
        <v>232</v>
      </c>
      <c r="K949" s="23" t="s">
        <v>178</v>
      </c>
      <c r="L949" s="23" t="s">
        <v>2689</v>
      </c>
      <c r="M949" s="23" t="s">
        <v>61</v>
      </c>
      <c r="N949" s="23" t="s">
        <v>84</v>
      </c>
      <c r="O949" s="23">
        <v>41</v>
      </c>
      <c r="P949" s="23">
        <v>123.41</v>
      </c>
      <c r="Q949" s="23">
        <v>77.11</v>
      </c>
      <c r="R949" s="23">
        <v>5059.68</v>
      </c>
      <c r="S949" s="23">
        <v>0.05</v>
      </c>
      <c r="T949" s="23">
        <v>252.98</v>
      </c>
      <c r="U949" s="23">
        <v>4806.7</v>
      </c>
      <c r="V949" s="23">
        <v>3161.39</v>
      </c>
      <c r="W949" s="23">
        <v>1645.3</v>
      </c>
      <c r="X949" s="23" t="s">
        <v>45</v>
      </c>
    </row>
    <row r="950" spans="1:24" x14ac:dyDescent="0.25">
      <c r="A950" s="20" t="s">
        <v>1456</v>
      </c>
      <c r="B950" s="19">
        <v>45624</v>
      </c>
      <c r="C950" s="20" t="s">
        <v>578</v>
      </c>
      <c r="D950" s="20" t="s">
        <v>221</v>
      </c>
      <c r="E950" s="20" t="s">
        <v>36</v>
      </c>
      <c r="F950" s="20" t="s">
        <v>37</v>
      </c>
      <c r="G950" s="20" t="s">
        <v>2579</v>
      </c>
      <c r="H950" s="20" t="s">
        <v>39</v>
      </c>
      <c r="I950" s="20" t="s">
        <v>27</v>
      </c>
      <c r="J950" s="20" t="s">
        <v>211</v>
      </c>
      <c r="K950" s="20" t="s">
        <v>29</v>
      </c>
      <c r="L950" s="20" t="s">
        <v>2679</v>
      </c>
      <c r="M950" s="20" t="s">
        <v>153</v>
      </c>
      <c r="N950" s="20" t="s">
        <v>44</v>
      </c>
      <c r="O950" s="20">
        <v>59</v>
      </c>
      <c r="P950" s="20">
        <v>159.38</v>
      </c>
      <c r="Q950" s="20">
        <v>103.64</v>
      </c>
      <c r="R950" s="20">
        <v>9403.4500000000007</v>
      </c>
      <c r="S950" s="20">
        <v>0.1</v>
      </c>
      <c r="T950" s="20">
        <v>940.34</v>
      </c>
      <c r="U950" s="20">
        <v>8463.1</v>
      </c>
      <c r="V950" s="20">
        <v>6114.69</v>
      </c>
      <c r="W950" s="20">
        <v>2348.41</v>
      </c>
      <c r="X950" s="20" t="s">
        <v>45</v>
      </c>
    </row>
    <row r="951" spans="1:24" x14ac:dyDescent="0.25">
      <c r="A951" s="23" t="s">
        <v>1457</v>
      </c>
      <c r="B951" s="22">
        <v>45602</v>
      </c>
      <c r="C951" s="23" t="s">
        <v>220</v>
      </c>
      <c r="D951" s="23" t="s">
        <v>221</v>
      </c>
      <c r="E951" s="23" t="s">
        <v>36</v>
      </c>
      <c r="F951" s="23" t="s">
        <v>37</v>
      </c>
      <c r="G951" s="23" t="s">
        <v>2579</v>
      </c>
      <c r="H951" s="23" t="s">
        <v>39</v>
      </c>
      <c r="I951" s="23" t="s">
        <v>58</v>
      </c>
      <c r="J951" s="23" t="s">
        <v>345</v>
      </c>
      <c r="K951" s="23" t="s">
        <v>29</v>
      </c>
      <c r="L951" s="23" t="s">
        <v>2679</v>
      </c>
      <c r="M951" s="23" t="s">
        <v>43</v>
      </c>
      <c r="N951" s="23" t="s">
        <v>75</v>
      </c>
      <c r="O951" s="23">
        <f>ROUND(Cleaned_Sales!$R951/Cleaned_Sales!$P951,0)</f>
        <v>8</v>
      </c>
      <c r="P951" s="23">
        <v>176.92</v>
      </c>
      <c r="Q951" s="23">
        <v>106.84</v>
      </c>
      <c r="R951" s="23">
        <v>1415.34</v>
      </c>
      <c r="S951" s="23">
        <v>0.15</v>
      </c>
      <c r="T951" s="23">
        <v>212.3</v>
      </c>
      <c r="U951" s="23">
        <v>1203.04</v>
      </c>
      <c r="V951" s="23">
        <v>854.7</v>
      </c>
      <c r="W951" s="23">
        <v>348.34</v>
      </c>
      <c r="X951" s="23" t="s">
        <v>45</v>
      </c>
    </row>
    <row r="952" spans="1:24" x14ac:dyDescent="0.25">
      <c r="A952" s="20" t="s">
        <v>1458</v>
      </c>
      <c r="B952" s="19">
        <v>45359</v>
      </c>
      <c r="C952" s="20" t="s">
        <v>258</v>
      </c>
      <c r="D952" s="20" t="s">
        <v>259</v>
      </c>
      <c r="E952" s="20" t="s">
        <v>141</v>
      </c>
      <c r="F952" s="20" t="s">
        <v>2590</v>
      </c>
      <c r="G952" s="20" t="s">
        <v>2577</v>
      </c>
      <c r="H952" s="20" t="s">
        <v>26</v>
      </c>
      <c r="I952" s="20" t="s">
        <v>40</v>
      </c>
      <c r="J952" s="20" t="s">
        <v>82</v>
      </c>
      <c r="K952" s="20" t="s">
        <v>111</v>
      </c>
      <c r="L952" s="20" t="s">
        <v>2685</v>
      </c>
      <c r="M952" s="20" t="s">
        <v>153</v>
      </c>
      <c r="N952" s="20" t="s">
        <v>2578</v>
      </c>
      <c r="O952" s="20">
        <v>38</v>
      </c>
      <c r="P952" s="20">
        <v>96.69</v>
      </c>
      <c r="Q952" s="20">
        <v>57.17</v>
      </c>
      <c r="R952" s="20">
        <v>3674.1</v>
      </c>
      <c r="S952" s="20">
        <v>0.2</v>
      </c>
      <c r="T952" s="20">
        <v>734.82</v>
      </c>
      <c r="U952" s="20">
        <v>2939.28</v>
      </c>
      <c r="V952" s="20">
        <v>2172.63</v>
      </c>
      <c r="W952" s="20">
        <v>766.66</v>
      </c>
      <c r="X952" s="20" t="s">
        <v>45</v>
      </c>
    </row>
    <row r="953" spans="1:24" x14ac:dyDescent="0.25">
      <c r="A953" s="23" t="s">
        <v>1459</v>
      </c>
      <c r="B953" s="22">
        <v>45411</v>
      </c>
      <c r="C953" s="23" t="s">
        <v>611</v>
      </c>
      <c r="D953" s="23" t="s">
        <v>264</v>
      </c>
      <c r="E953" s="23" t="s">
        <v>109</v>
      </c>
      <c r="F953" s="23" t="s">
        <v>110</v>
      </c>
      <c r="G953" s="23" t="s">
        <v>2584</v>
      </c>
      <c r="H953" s="23" t="s">
        <v>81</v>
      </c>
      <c r="I953" s="23" t="s">
        <v>27</v>
      </c>
      <c r="J953" s="23" t="s">
        <v>211</v>
      </c>
      <c r="K953" s="23" t="s">
        <v>170</v>
      </c>
      <c r="L953" s="23" t="s">
        <v>2671</v>
      </c>
      <c r="M953" s="23" t="s">
        <v>30</v>
      </c>
      <c r="N953" s="23" t="s">
        <v>2578</v>
      </c>
      <c r="O953" s="23">
        <v>77</v>
      </c>
      <c r="P953" s="23">
        <v>118.47</v>
      </c>
      <c r="Q953" s="23">
        <v>76.31</v>
      </c>
      <c r="R953" s="23">
        <v>9122.23</v>
      </c>
      <c r="S953" s="23">
        <v>0.2</v>
      </c>
      <c r="T953" s="23">
        <v>1824.45</v>
      </c>
      <c r="U953" s="23">
        <v>7297.78</v>
      </c>
      <c r="V953" s="23">
        <v>5875.73</v>
      </c>
      <c r="W953" s="23">
        <v>1422.05</v>
      </c>
      <c r="X953" s="23" t="s">
        <v>45</v>
      </c>
    </row>
    <row r="954" spans="1:24" x14ac:dyDescent="0.25">
      <c r="A954" s="20" t="s">
        <v>1460</v>
      </c>
      <c r="B954" s="19">
        <v>45520</v>
      </c>
      <c r="C954" s="20" t="s">
        <v>617</v>
      </c>
      <c r="D954" s="20" t="s">
        <v>22</v>
      </c>
      <c r="E954" s="20" t="s">
        <v>109</v>
      </c>
      <c r="F954" s="20" t="s">
        <v>110</v>
      </c>
      <c r="G954" s="20" t="s">
        <v>2584</v>
      </c>
      <c r="H954" s="20" t="s">
        <v>81</v>
      </c>
      <c r="I954" s="20" t="s">
        <v>58</v>
      </c>
      <c r="J954" s="20" t="s">
        <v>323</v>
      </c>
      <c r="K954" s="20" t="s">
        <v>248</v>
      </c>
      <c r="L954" s="20" t="s">
        <v>2693</v>
      </c>
      <c r="M954" s="20" t="s">
        <v>153</v>
      </c>
      <c r="N954" s="20" t="s">
        <v>75</v>
      </c>
      <c r="O954" s="20">
        <v>6</v>
      </c>
      <c r="P954" s="20">
        <v>120.77</v>
      </c>
      <c r="Q954" s="20">
        <v>74.959999999999994</v>
      </c>
      <c r="R954" s="20">
        <v>724.64</v>
      </c>
      <c r="S954" s="20">
        <v>0.05</v>
      </c>
      <c r="T954" s="20">
        <v>36.229999999999997</v>
      </c>
      <c r="U954" s="20">
        <v>688.4</v>
      </c>
      <c r="V954" s="20">
        <v>449.77</v>
      </c>
      <c r="W954" s="20">
        <v>238.63</v>
      </c>
      <c r="X954" s="20" t="s">
        <v>45</v>
      </c>
    </row>
    <row r="955" spans="1:24" x14ac:dyDescent="0.25">
      <c r="A955" s="23" t="s">
        <v>1461</v>
      </c>
      <c r="B955" s="22">
        <v>45480</v>
      </c>
      <c r="C955" s="23" t="s">
        <v>893</v>
      </c>
      <c r="D955" s="23" t="s">
        <v>48</v>
      </c>
      <c r="E955" s="23" t="s">
        <v>165</v>
      </c>
      <c r="F955" s="23" t="s">
        <v>2592</v>
      </c>
      <c r="G955" s="23" t="s">
        <v>2586</v>
      </c>
      <c r="H955" s="23" t="s">
        <v>167</v>
      </c>
      <c r="I955" s="23" t="s">
        <v>27</v>
      </c>
      <c r="J955" s="23" t="s">
        <v>189</v>
      </c>
      <c r="K955" s="23" t="s">
        <v>118</v>
      </c>
      <c r="L955" s="23" t="s">
        <v>2686</v>
      </c>
      <c r="M955" s="23" t="s">
        <v>43</v>
      </c>
      <c r="N955" s="23" t="s">
        <v>70</v>
      </c>
      <c r="O955" s="23">
        <v>42</v>
      </c>
      <c r="P955" s="23">
        <v>43.7</v>
      </c>
      <c r="Q955" s="23">
        <v>23.21</v>
      </c>
      <c r="R955" s="23">
        <v>1835.26</v>
      </c>
      <c r="S955" s="23">
        <v>0.2</v>
      </c>
      <c r="T955" s="23">
        <v>367.05</v>
      </c>
      <c r="U955" s="23">
        <v>1468.21</v>
      </c>
      <c r="V955" s="23">
        <v>974.62</v>
      </c>
      <c r="W955" s="23">
        <v>493.59</v>
      </c>
      <c r="X955" s="23" t="s">
        <v>45</v>
      </c>
    </row>
    <row r="956" spans="1:24" x14ac:dyDescent="0.25">
      <c r="A956" s="20" t="s">
        <v>1462</v>
      </c>
      <c r="B956" s="19">
        <v>45643</v>
      </c>
      <c r="C956" s="20" t="s">
        <v>389</v>
      </c>
      <c r="D956" s="20" t="s">
        <v>264</v>
      </c>
      <c r="E956" s="20" t="s">
        <v>141</v>
      </c>
      <c r="F956" s="20" t="s">
        <v>2590</v>
      </c>
      <c r="G956" s="20" t="s">
        <v>2577</v>
      </c>
      <c r="H956" s="20" t="s">
        <v>26</v>
      </c>
      <c r="I956" s="20" t="s">
        <v>27</v>
      </c>
      <c r="J956" s="20" t="s">
        <v>189</v>
      </c>
      <c r="K956" s="20" t="s">
        <v>42</v>
      </c>
      <c r="L956" s="20" t="s">
        <v>2680</v>
      </c>
      <c r="M956" s="20" t="s">
        <v>43</v>
      </c>
      <c r="N956" s="20" t="s">
        <v>75</v>
      </c>
      <c r="O956" s="20">
        <v>43</v>
      </c>
      <c r="P956" s="20">
        <v>97.71</v>
      </c>
      <c r="Q956" s="20">
        <v>58.61</v>
      </c>
      <c r="R956" s="20">
        <v>4201.3500000000004</v>
      </c>
      <c r="S956" s="20">
        <v>0.05</v>
      </c>
      <c r="T956" s="20">
        <v>210.07</v>
      </c>
      <c r="U956" s="20">
        <v>3991.28</v>
      </c>
      <c r="V956" s="20">
        <v>2520.23</v>
      </c>
      <c r="W956" s="20">
        <v>1471.05</v>
      </c>
      <c r="X956" s="20" t="s">
        <v>32</v>
      </c>
    </row>
    <row r="957" spans="1:24" x14ac:dyDescent="0.25">
      <c r="A957" s="23" t="s">
        <v>1463</v>
      </c>
      <c r="B957" s="22">
        <v>45341</v>
      </c>
      <c r="C957" s="23" t="s">
        <v>859</v>
      </c>
      <c r="D957" s="23" t="s">
        <v>221</v>
      </c>
      <c r="E957" s="23" t="s">
        <v>209</v>
      </c>
      <c r="F957" s="23" t="s">
        <v>2595</v>
      </c>
      <c r="G957" s="23" t="s">
        <v>2581</v>
      </c>
      <c r="H957" s="23" t="s">
        <v>116</v>
      </c>
      <c r="I957" s="23" t="s">
        <v>40</v>
      </c>
      <c r="J957" s="23" t="s">
        <v>117</v>
      </c>
      <c r="K957" s="23" t="s">
        <v>178</v>
      </c>
      <c r="L957" s="23" t="s">
        <v>2689</v>
      </c>
      <c r="M957" s="23" t="s">
        <v>153</v>
      </c>
      <c r="N957" s="23" t="s">
        <v>2578</v>
      </c>
      <c r="O957" s="23">
        <v>28</v>
      </c>
      <c r="P957" s="23">
        <v>18.899999999999999</v>
      </c>
      <c r="Q957" s="23">
        <v>10.25</v>
      </c>
      <c r="R957" s="23">
        <v>529.14</v>
      </c>
      <c r="S957" s="23">
        <v>0.15</v>
      </c>
      <c r="T957" s="23">
        <v>79.37</v>
      </c>
      <c r="U957" s="23">
        <v>449.77</v>
      </c>
      <c r="V957" s="23">
        <v>287.01</v>
      </c>
      <c r="W957" s="23">
        <v>162.76</v>
      </c>
      <c r="X957" s="23" t="s">
        <v>45</v>
      </c>
    </row>
    <row r="958" spans="1:24" x14ac:dyDescent="0.25">
      <c r="A958" s="20" t="s">
        <v>1464</v>
      </c>
      <c r="B958" s="19">
        <v>45551</v>
      </c>
      <c r="C958" s="20" t="s">
        <v>983</v>
      </c>
      <c r="D958" s="20" t="s">
        <v>22</v>
      </c>
      <c r="E958" s="20" t="s">
        <v>78</v>
      </c>
      <c r="F958" s="20" t="s">
        <v>2583</v>
      </c>
      <c r="G958" s="20" t="s">
        <v>2584</v>
      </c>
      <c r="H958" s="20" t="s">
        <v>81</v>
      </c>
      <c r="I958" s="20" t="s">
        <v>27</v>
      </c>
      <c r="J958" s="20" t="s">
        <v>189</v>
      </c>
      <c r="K958" s="20" t="s">
        <v>265</v>
      </c>
      <c r="L958" s="20" t="s">
        <v>2663</v>
      </c>
      <c r="M958" s="20" t="s">
        <v>61</v>
      </c>
      <c r="N958" s="20" t="s">
        <v>75</v>
      </c>
      <c r="O958" s="20">
        <v>57</v>
      </c>
      <c r="P958" s="20">
        <v>134.57</v>
      </c>
      <c r="Q958" s="20">
        <v>76.22</v>
      </c>
      <c r="R958" s="20">
        <v>7670.51</v>
      </c>
      <c r="S958" s="20">
        <v>0</v>
      </c>
      <c r="T958" s="20">
        <v>0</v>
      </c>
      <c r="U958" s="20">
        <v>7670.51</v>
      </c>
      <c r="V958" s="20">
        <v>4344.59</v>
      </c>
      <c r="W958" s="20">
        <v>3325.92</v>
      </c>
      <c r="X958" s="20" t="s">
        <v>45</v>
      </c>
    </row>
    <row r="959" spans="1:24" x14ac:dyDescent="0.25">
      <c r="A959" s="23" t="s">
        <v>1465</v>
      </c>
      <c r="B959" s="22">
        <v>45343</v>
      </c>
      <c r="C959" s="23" t="s">
        <v>811</v>
      </c>
      <c r="D959" s="23" t="s">
        <v>359</v>
      </c>
      <c r="E959" s="23" t="s">
        <v>23</v>
      </c>
      <c r="F959" s="23" t="s">
        <v>2576</v>
      </c>
      <c r="G959" s="23" t="s">
        <v>2577</v>
      </c>
      <c r="H959" s="23" t="s">
        <v>26</v>
      </c>
      <c r="I959" s="23" t="s">
        <v>27</v>
      </c>
      <c r="J959" s="23" t="s">
        <v>211</v>
      </c>
      <c r="K959" s="23" t="s">
        <v>60</v>
      </c>
      <c r="L959" s="23" t="s">
        <v>2677</v>
      </c>
      <c r="M959" s="23" t="s">
        <v>30</v>
      </c>
      <c r="N959" s="23" t="s">
        <v>44</v>
      </c>
      <c r="O959" s="23">
        <v>57</v>
      </c>
      <c r="P959" s="23">
        <v>70.88</v>
      </c>
      <c r="Q959" s="23">
        <v>46.3</v>
      </c>
      <c r="R959" s="23">
        <v>4040.26</v>
      </c>
      <c r="S959" s="23">
        <v>0.2</v>
      </c>
      <c r="T959" s="23">
        <v>808.05</v>
      </c>
      <c r="U959" s="23">
        <v>3232.21</v>
      </c>
      <c r="V959" s="23">
        <v>2639.34</v>
      </c>
      <c r="W959" s="23">
        <v>592.87</v>
      </c>
      <c r="X959" s="23" t="s">
        <v>32</v>
      </c>
    </row>
    <row r="960" spans="1:24" x14ac:dyDescent="0.25">
      <c r="A960" s="20" t="s">
        <v>1466</v>
      </c>
      <c r="B960" s="19">
        <v>45573</v>
      </c>
      <c r="C960" s="20" t="s">
        <v>483</v>
      </c>
      <c r="D960" s="20" t="s">
        <v>159</v>
      </c>
      <c r="E960" s="20" t="s">
        <v>99</v>
      </c>
      <c r="F960" s="20" t="s">
        <v>100</v>
      </c>
      <c r="G960" s="20" t="s">
        <v>2587</v>
      </c>
      <c r="H960" s="20" t="s">
        <v>102</v>
      </c>
      <c r="I960" s="20" t="s">
        <v>27</v>
      </c>
      <c r="J960" s="20" t="s">
        <v>106</v>
      </c>
      <c r="K960" s="20" t="s">
        <v>83</v>
      </c>
      <c r="L960" s="20" t="s">
        <v>2683</v>
      </c>
      <c r="M960" s="20" t="s">
        <v>30</v>
      </c>
      <c r="N960" s="20" t="s">
        <v>70</v>
      </c>
      <c r="O960" s="20">
        <v>22</v>
      </c>
      <c r="P960" s="20">
        <v>67.84</v>
      </c>
      <c r="Q960" s="20">
        <v>40.04</v>
      </c>
      <c r="R960" s="20">
        <v>1492.39</v>
      </c>
      <c r="S960" s="20">
        <v>0.2</v>
      </c>
      <c r="T960" s="20">
        <v>298.48</v>
      </c>
      <c r="U960" s="20">
        <v>1193.9100000000001</v>
      </c>
      <c r="V960" s="20">
        <v>880.78</v>
      </c>
      <c r="W960" s="20">
        <v>313.13</v>
      </c>
      <c r="X960" s="20" t="s">
        <v>45</v>
      </c>
    </row>
    <row r="961" spans="1:24" x14ac:dyDescent="0.25">
      <c r="A961" s="23" t="s">
        <v>1467</v>
      </c>
      <c r="B961" s="22">
        <v>45322</v>
      </c>
      <c r="C961" s="23" t="s">
        <v>499</v>
      </c>
      <c r="D961" s="23" t="s">
        <v>87</v>
      </c>
      <c r="E961" s="23" t="s">
        <v>216</v>
      </c>
      <c r="F961" s="23" t="s">
        <v>2596</v>
      </c>
      <c r="G961" s="23" t="s">
        <v>2579</v>
      </c>
      <c r="H961" s="23" t="s">
        <v>134</v>
      </c>
      <c r="I961" s="23" t="s">
        <v>53</v>
      </c>
      <c r="J961" s="23" t="s">
        <v>232</v>
      </c>
      <c r="K961" s="23" t="s">
        <v>178</v>
      </c>
      <c r="L961" s="23" t="s">
        <v>2689</v>
      </c>
      <c r="M961" s="23" t="s">
        <v>61</v>
      </c>
      <c r="N961" s="23" t="s">
        <v>44</v>
      </c>
      <c r="O961" s="23">
        <v>56</v>
      </c>
      <c r="P961" s="23">
        <v>104.8</v>
      </c>
      <c r="Q961" s="23">
        <v>67.08</v>
      </c>
      <c r="R961" s="23">
        <v>5868.57</v>
      </c>
      <c r="S961" s="23">
        <v>0.02</v>
      </c>
      <c r="T961" s="23">
        <v>117.37</v>
      </c>
      <c r="U961" s="23">
        <v>5751.2</v>
      </c>
      <c r="V961" s="23">
        <v>3756.69</v>
      </c>
      <c r="W961" s="23">
        <v>1994.52</v>
      </c>
      <c r="X961" s="23" t="s">
        <v>45</v>
      </c>
    </row>
    <row r="962" spans="1:24" x14ac:dyDescent="0.25">
      <c r="A962" s="20" t="s">
        <v>1468</v>
      </c>
      <c r="B962" s="19">
        <v>45525</v>
      </c>
      <c r="C962" s="20" t="s">
        <v>1469</v>
      </c>
      <c r="D962" s="20" t="s">
        <v>121</v>
      </c>
      <c r="E962" s="20" t="s">
        <v>93</v>
      </c>
      <c r="F962" s="20" t="s">
        <v>2585</v>
      </c>
      <c r="G962" s="20" t="s">
        <v>2586</v>
      </c>
      <c r="H962" s="20" t="s">
        <v>96</v>
      </c>
      <c r="I962" s="20" t="s">
        <v>58</v>
      </c>
      <c r="J962" s="20" t="s">
        <v>73</v>
      </c>
      <c r="K962" s="20" t="s">
        <v>42</v>
      </c>
      <c r="L962" s="20" t="s">
        <v>2680</v>
      </c>
      <c r="M962" s="20" t="s">
        <v>153</v>
      </c>
      <c r="N962" s="20" t="s">
        <v>75</v>
      </c>
      <c r="O962" s="20">
        <v>77</v>
      </c>
      <c r="P962" s="20">
        <v>51.95</v>
      </c>
      <c r="Q962" s="20">
        <v>32.369999999999997</v>
      </c>
      <c r="R962" s="20">
        <v>4000.34</v>
      </c>
      <c r="S962" s="20">
        <v>0</v>
      </c>
      <c r="T962" s="20">
        <v>0</v>
      </c>
      <c r="U962" s="20">
        <v>4000.34</v>
      </c>
      <c r="V962" s="20">
        <v>2492.62</v>
      </c>
      <c r="W962" s="20">
        <v>1507.72</v>
      </c>
      <c r="X962" s="20" t="s">
        <v>45</v>
      </c>
    </row>
    <row r="963" spans="1:24" x14ac:dyDescent="0.25">
      <c r="A963" s="23" t="s">
        <v>1470</v>
      </c>
      <c r="B963" s="22">
        <v>45528</v>
      </c>
      <c r="C963" s="23" t="s">
        <v>739</v>
      </c>
      <c r="D963" s="23" t="s">
        <v>48</v>
      </c>
      <c r="E963" s="23" t="s">
        <v>209</v>
      </c>
      <c r="F963" s="23" t="s">
        <v>2595</v>
      </c>
      <c r="G963" s="23" t="s">
        <v>2581</v>
      </c>
      <c r="H963" s="23" t="s">
        <v>116</v>
      </c>
      <c r="I963" s="23" t="s">
        <v>27</v>
      </c>
      <c r="J963" s="23" t="s">
        <v>211</v>
      </c>
      <c r="K963" s="23" t="s">
        <v>118</v>
      </c>
      <c r="L963" s="23" t="s">
        <v>2686</v>
      </c>
      <c r="M963" s="23" t="s">
        <v>43</v>
      </c>
      <c r="N963" s="23" t="s">
        <v>44</v>
      </c>
      <c r="O963" s="23">
        <v>56</v>
      </c>
      <c r="P963" s="23">
        <v>18.87</v>
      </c>
      <c r="Q963" s="23">
        <v>9.3699999999999992</v>
      </c>
      <c r="R963" s="23">
        <v>1056.54</v>
      </c>
      <c r="S963" s="23">
        <v>0.1</v>
      </c>
      <c r="T963" s="23">
        <v>105.65</v>
      </c>
      <c r="U963" s="23">
        <v>950.89</v>
      </c>
      <c r="V963" s="23">
        <v>524.55999999999995</v>
      </c>
      <c r="W963" s="23">
        <v>426.33</v>
      </c>
      <c r="X963" s="23" t="s">
        <v>129</v>
      </c>
    </row>
    <row r="964" spans="1:24" x14ac:dyDescent="0.25">
      <c r="A964" s="20" t="s">
        <v>1471</v>
      </c>
      <c r="B964" s="19">
        <v>45608</v>
      </c>
      <c r="C964" s="20" t="s">
        <v>511</v>
      </c>
      <c r="D964" s="20" t="s">
        <v>163</v>
      </c>
      <c r="E964" s="20" t="s">
        <v>209</v>
      </c>
      <c r="F964" s="20" t="s">
        <v>2595</v>
      </c>
      <c r="G964" s="20" t="s">
        <v>2581</v>
      </c>
      <c r="H964" s="20" t="s">
        <v>116</v>
      </c>
      <c r="I964" s="20" t="s">
        <v>58</v>
      </c>
      <c r="J964" s="20" t="s">
        <v>323</v>
      </c>
      <c r="K964" s="20" t="s">
        <v>265</v>
      </c>
      <c r="L964" s="20" t="s">
        <v>2663</v>
      </c>
      <c r="M964" s="20" t="s">
        <v>30</v>
      </c>
      <c r="N964" s="20" t="s">
        <v>70</v>
      </c>
      <c r="O964" s="20">
        <v>59</v>
      </c>
      <c r="P964" s="20">
        <v>19.059999999999999</v>
      </c>
      <c r="Q964" s="20">
        <v>10.66</v>
      </c>
      <c r="R964" s="20">
        <v>1124.3699999999999</v>
      </c>
      <c r="S964" s="20">
        <v>0.2</v>
      </c>
      <c r="T964" s="20">
        <v>224.87</v>
      </c>
      <c r="U964" s="20">
        <v>899.5</v>
      </c>
      <c r="V964" s="20">
        <v>629.01</v>
      </c>
      <c r="W964" s="20">
        <v>270.49</v>
      </c>
      <c r="X964" s="20" t="s">
        <v>45</v>
      </c>
    </row>
    <row r="965" spans="1:24" x14ac:dyDescent="0.25">
      <c r="A965" s="23" t="s">
        <v>1472</v>
      </c>
      <c r="B965" s="22">
        <v>45605</v>
      </c>
      <c r="C965" s="23" t="s">
        <v>1171</v>
      </c>
      <c r="D965" s="23" t="s">
        <v>35</v>
      </c>
      <c r="E965" s="23" t="s">
        <v>49</v>
      </c>
      <c r="F965" s="23" t="s">
        <v>2580</v>
      </c>
      <c r="G965" s="23" t="s">
        <v>2581</v>
      </c>
      <c r="H965" s="23" t="s">
        <v>52</v>
      </c>
      <c r="I965" s="23" t="s">
        <v>40</v>
      </c>
      <c r="J965" s="23" t="s">
        <v>289</v>
      </c>
      <c r="K965" s="23" t="s">
        <v>69</v>
      </c>
      <c r="L965" s="23" t="s">
        <v>2681</v>
      </c>
      <c r="M965" s="23" t="s">
        <v>30</v>
      </c>
      <c r="N965" s="23" t="s">
        <v>44</v>
      </c>
      <c r="O965" s="23">
        <v>36</v>
      </c>
      <c r="P965" s="23">
        <v>24.18</v>
      </c>
      <c r="Q965" s="23">
        <v>13.93</v>
      </c>
      <c r="R965" s="23">
        <v>870.4</v>
      </c>
      <c r="S965" s="23">
        <v>0.2</v>
      </c>
      <c r="T965" s="23">
        <v>174.08</v>
      </c>
      <c r="U965" s="23">
        <v>696.32</v>
      </c>
      <c r="V965" s="23">
        <v>501.58</v>
      </c>
      <c r="W965" s="23">
        <v>194.74</v>
      </c>
      <c r="X965" s="23" t="s">
        <v>32</v>
      </c>
    </row>
    <row r="966" spans="1:24" x14ac:dyDescent="0.25">
      <c r="A966" s="20" t="s">
        <v>1473</v>
      </c>
      <c r="B966" s="19">
        <v>45467</v>
      </c>
      <c r="C966" s="20" t="s">
        <v>900</v>
      </c>
      <c r="D966" s="20" t="s">
        <v>22</v>
      </c>
      <c r="E966" s="20" t="s">
        <v>93</v>
      </c>
      <c r="F966" s="20" t="s">
        <v>2585</v>
      </c>
      <c r="G966" s="20" t="s">
        <v>2586</v>
      </c>
      <c r="H966" s="20" t="s">
        <v>96</v>
      </c>
      <c r="I966" s="20" t="s">
        <v>88</v>
      </c>
      <c r="J966" s="20" t="s">
        <v>2112</v>
      </c>
      <c r="K966" s="20" t="s">
        <v>60</v>
      </c>
      <c r="L966" s="20" t="s">
        <v>2677</v>
      </c>
      <c r="M966" s="20" t="s">
        <v>153</v>
      </c>
      <c r="N966" s="20" t="s">
        <v>75</v>
      </c>
      <c r="O966" s="20">
        <v>53</v>
      </c>
      <c r="P966" s="20">
        <v>51.63</v>
      </c>
      <c r="Q966" s="20">
        <v>34.25</v>
      </c>
      <c r="R966" s="20">
        <v>2736.32</v>
      </c>
      <c r="S966" s="20">
        <v>0.15</v>
      </c>
      <c r="T966" s="20">
        <v>410.45</v>
      </c>
      <c r="U966" s="20">
        <v>2325.87</v>
      </c>
      <c r="V966" s="20">
        <v>1815.35</v>
      </c>
      <c r="W966" s="20">
        <v>510.52</v>
      </c>
      <c r="X966" s="20" t="s">
        <v>45</v>
      </c>
    </row>
    <row r="967" spans="1:24" x14ac:dyDescent="0.25">
      <c r="A967" s="23" t="s">
        <v>1474</v>
      </c>
      <c r="B967" s="22">
        <v>45462</v>
      </c>
      <c r="C967" s="23" t="s">
        <v>1215</v>
      </c>
      <c r="D967" s="23" t="s">
        <v>163</v>
      </c>
      <c r="E967" s="23" t="s">
        <v>150</v>
      </c>
      <c r="F967" s="23" t="s">
        <v>2591</v>
      </c>
      <c r="G967" s="23" t="s">
        <v>2587</v>
      </c>
      <c r="H967" s="23" t="s">
        <v>134</v>
      </c>
      <c r="I967" s="23" t="s">
        <v>53</v>
      </c>
      <c r="J967" s="23" t="s">
        <v>143</v>
      </c>
      <c r="K967" s="23" t="s">
        <v>195</v>
      </c>
      <c r="L967" s="23" t="s">
        <v>2691</v>
      </c>
      <c r="M967" s="23" t="s">
        <v>153</v>
      </c>
      <c r="N967" s="23" t="s">
        <v>84</v>
      </c>
      <c r="O967" s="23">
        <v>46</v>
      </c>
      <c r="P967" s="23">
        <v>89.23</v>
      </c>
      <c r="Q967" s="23">
        <v>52.11</v>
      </c>
      <c r="R967" s="23">
        <v>4104.6400000000003</v>
      </c>
      <c r="S967" s="23">
        <v>0.15</v>
      </c>
      <c r="T967" s="23">
        <v>615.70000000000005</v>
      </c>
      <c r="U967" s="23">
        <v>3488.94</v>
      </c>
      <c r="V967" s="23">
        <v>2397.0300000000002</v>
      </c>
      <c r="W967" s="23">
        <v>1091.9100000000001</v>
      </c>
      <c r="X967" s="23" t="s">
        <v>45</v>
      </c>
    </row>
    <row r="968" spans="1:24" x14ac:dyDescent="0.25">
      <c r="A968" s="20" t="s">
        <v>1475</v>
      </c>
      <c r="B968" s="19">
        <v>45382</v>
      </c>
      <c r="C968" s="20" t="s">
        <v>1476</v>
      </c>
      <c r="D968" s="20" t="s">
        <v>149</v>
      </c>
      <c r="E968" s="20" t="s">
        <v>216</v>
      </c>
      <c r="F968" s="20" t="s">
        <v>2596</v>
      </c>
      <c r="G968" s="20" t="s">
        <v>2579</v>
      </c>
      <c r="H968" s="20" t="s">
        <v>134</v>
      </c>
      <c r="I968" s="20" t="s">
        <v>88</v>
      </c>
      <c r="J968" s="20" t="s">
        <v>183</v>
      </c>
      <c r="K968" s="20" t="s">
        <v>60</v>
      </c>
      <c r="L968" s="20" t="s">
        <v>2677</v>
      </c>
      <c r="M968" s="20" t="s">
        <v>61</v>
      </c>
      <c r="N968" s="20" t="s">
        <v>70</v>
      </c>
      <c r="O968" s="20">
        <v>42</v>
      </c>
      <c r="P968" s="20">
        <v>105.53</v>
      </c>
      <c r="Q968" s="20">
        <v>63.36</v>
      </c>
      <c r="R968" s="20">
        <v>4432.21</v>
      </c>
      <c r="S968" s="20">
        <v>0</v>
      </c>
      <c r="T968" s="20">
        <v>0</v>
      </c>
      <c r="U968" s="20">
        <v>4432.21</v>
      </c>
      <c r="V968" s="20">
        <v>2661.23</v>
      </c>
      <c r="W968" s="20">
        <v>1770.99</v>
      </c>
      <c r="X968" s="20" t="s">
        <v>32</v>
      </c>
    </row>
    <row r="969" spans="1:24" x14ac:dyDescent="0.25">
      <c r="A969" s="23" t="s">
        <v>1477</v>
      </c>
      <c r="B969" s="22">
        <v>45496</v>
      </c>
      <c r="C969" s="23" t="s">
        <v>515</v>
      </c>
      <c r="D969" s="23" t="s">
        <v>48</v>
      </c>
      <c r="E969" s="23" t="s">
        <v>209</v>
      </c>
      <c r="F969" s="23" t="s">
        <v>2595</v>
      </c>
      <c r="G969" s="23" t="s">
        <v>2581</v>
      </c>
      <c r="H969" s="23" t="s">
        <v>116</v>
      </c>
      <c r="I969" s="23" t="s">
        <v>53</v>
      </c>
      <c r="J969" s="23" t="s">
        <v>122</v>
      </c>
      <c r="K969" s="23" t="s">
        <v>218</v>
      </c>
      <c r="L969" s="23" t="s">
        <v>2692</v>
      </c>
      <c r="M969" s="23" t="s">
        <v>43</v>
      </c>
      <c r="N969" s="23" t="s">
        <v>2578</v>
      </c>
      <c r="O969" s="23">
        <v>13</v>
      </c>
      <c r="P969" s="23">
        <v>17.62</v>
      </c>
      <c r="Q969" s="23">
        <v>9.2899999999999991</v>
      </c>
      <c r="R969" s="23">
        <v>229.05</v>
      </c>
      <c r="S969" s="23">
        <v>0.05</v>
      </c>
      <c r="T969" s="23">
        <v>11.45</v>
      </c>
      <c r="U969" s="23">
        <v>217.6</v>
      </c>
      <c r="V969" s="23">
        <v>120.81</v>
      </c>
      <c r="W969" s="23">
        <v>96.79</v>
      </c>
      <c r="X969" s="23" t="s">
        <v>129</v>
      </c>
    </row>
    <row r="970" spans="1:24" x14ac:dyDescent="0.25">
      <c r="A970" s="20" t="s">
        <v>1478</v>
      </c>
      <c r="B970" s="19">
        <v>45513</v>
      </c>
      <c r="C970" s="20" t="s">
        <v>757</v>
      </c>
      <c r="D970" s="20" t="s">
        <v>163</v>
      </c>
      <c r="E970" s="20" t="s">
        <v>222</v>
      </c>
      <c r="F970" s="20" t="s">
        <v>2597</v>
      </c>
      <c r="G970" s="20" t="s">
        <v>2587</v>
      </c>
      <c r="H970" s="20" t="s">
        <v>68</v>
      </c>
      <c r="I970" s="20" t="s">
        <v>58</v>
      </c>
      <c r="J970" s="20" t="s">
        <v>345</v>
      </c>
      <c r="K970" s="20" t="s">
        <v>83</v>
      </c>
      <c r="L970" s="20" t="s">
        <v>2683</v>
      </c>
      <c r="M970" s="20" t="s">
        <v>61</v>
      </c>
      <c r="N970" s="20" t="s">
        <v>44</v>
      </c>
      <c r="O970" s="20">
        <v>13</v>
      </c>
      <c r="P970" s="20">
        <v>118.97</v>
      </c>
      <c r="Q970" s="20">
        <v>81.72</v>
      </c>
      <c r="R970" s="20">
        <v>1546.63</v>
      </c>
      <c r="S970" s="20">
        <v>0.2</v>
      </c>
      <c r="T970" s="20">
        <v>309.33</v>
      </c>
      <c r="U970" s="20">
        <v>1237.3</v>
      </c>
      <c r="V970" s="20">
        <v>1062.4100000000001</v>
      </c>
      <c r="W970" s="20">
        <v>174.89</v>
      </c>
      <c r="X970" s="20" t="s">
        <v>129</v>
      </c>
    </row>
    <row r="971" spans="1:24" x14ac:dyDescent="0.25">
      <c r="A971" s="23" t="s">
        <v>1479</v>
      </c>
      <c r="B971" s="22">
        <v>45468</v>
      </c>
      <c r="C971" s="23" t="s">
        <v>600</v>
      </c>
      <c r="D971" s="23" t="s">
        <v>87</v>
      </c>
      <c r="E971" s="23" t="s">
        <v>216</v>
      </c>
      <c r="F971" s="23" t="s">
        <v>2596</v>
      </c>
      <c r="G971" s="23" t="s">
        <v>2579</v>
      </c>
      <c r="H971" s="23" t="s">
        <v>134</v>
      </c>
      <c r="I971" s="23" t="s">
        <v>88</v>
      </c>
      <c r="J971" s="23" t="s">
        <v>135</v>
      </c>
      <c r="K971" s="23" t="s">
        <v>152</v>
      </c>
      <c r="L971" s="23" t="s">
        <v>2688</v>
      </c>
      <c r="M971" s="23" t="s">
        <v>30</v>
      </c>
      <c r="N971" s="23" t="s">
        <v>75</v>
      </c>
      <c r="O971" s="23">
        <v>2</v>
      </c>
      <c r="P971" s="23">
        <v>104.07</v>
      </c>
      <c r="Q971" s="23">
        <v>64.150000000000006</v>
      </c>
      <c r="R971" s="23">
        <v>208.14</v>
      </c>
      <c r="S971" s="23">
        <v>0.05</v>
      </c>
      <c r="T971" s="23">
        <v>10.41</v>
      </c>
      <c r="U971" s="23">
        <v>197.73</v>
      </c>
      <c r="V971" s="23">
        <v>128.29</v>
      </c>
      <c r="W971" s="23">
        <v>69.44</v>
      </c>
      <c r="X971" s="23" t="s">
        <v>45</v>
      </c>
    </row>
    <row r="972" spans="1:24" x14ac:dyDescent="0.25">
      <c r="A972" s="20" t="s">
        <v>1480</v>
      </c>
      <c r="B972" s="19">
        <v>45477</v>
      </c>
      <c r="C972" s="20" t="s">
        <v>247</v>
      </c>
      <c r="D972" s="20" t="s">
        <v>65</v>
      </c>
      <c r="E972" s="20" t="s">
        <v>114</v>
      </c>
      <c r="F972" s="20" t="s">
        <v>2588</v>
      </c>
      <c r="G972" s="20" t="s">
        <v>2586</v>
      </c>
      <c r="H972" s="20" t="s">
        <v>116</v>
      </c>
      <c r="I972" s="20" t="s">
        <v>53</v>
      </c>
      <c r="J972" s="20" t="s">
        <v>143</v>
      </c>
      <c r="K972" s="20" t="s">
        <v>195</v>
      </c>
      <c r="L972" s="20" t="s">
        <v>2691</v>
      </c>
      <c r="M972" s="20" t="s">
        <v>30</v>
      </c>
      <c r="N972" s="20" t="s">
        <v>84</v>
      </c>
      <c r="O972" s="20">
        <v>79</v>
      </c>
      <c r="P972" s="20">
        <v>35.4</v>
      </c>
      <c r="Q972" s="20">
        <v>19.8</v>
      </c>
      <c r="R972" s="20">
        <v>2796.53</v>
      </c>
      <c r="S972" s="20">
        <v>0.02</v>
      </c>
      <c r="T972" s="20">
        <v>55.93</v>
      </c>
      <c r="U972" s="20">
        <v>2740.6</v>
      </c>
      <c r="V972" s="20">
        <v>1564.24</v>
      </c>
      <c r="W972" s="20">
        <v>1176.3599999999999</v>
      </c>
      <c r="X972" s="20" t="s">
        <v>45</v>
      </c>
    </row>
    <row r="973" spans="1:24" x14ac:dyDescent="0.25">
      <c r="A973" s="23" t="s">
        <v>1481</v>
      </c>
      <c r="B973" s="22">
        <v>45402</v>
      </c>
      <c r="C973" s="23" t="s">
        <v>146</v>
      </c>
      <c r="D973" s="23" t="s">
        <v>105</v>
      </c>
      <c r="E973" s="23" t="s">
        <v>66</v>
      </c>
      <c r="F973" s="23" t="s">
        <v>2582</v>
      </c>
      <c r="G973" s="23" t="s">
        <v>2579</v>
      </c>
      <c r="H973" s="23" t="s">
        <v>68</v>
      </c>
      <c r="I973" s="23" t="s">
        <v>27</v>
      </c>
      <c r="J973" s="23" t="s">
        <v>106</v>
      </c>
      <c r="K973" s="23" t="s">
        <v>265</v>
      </c>
      <c r="L973" s="23" t="s">
        <v>2663</v>
      </c>
      <c r="M973" s="23" t="s">
        <v>153</v>
      </c>
      <c r="N973" s="23" t="s">
        <v>2578</v>
      </c>
      <c r="O973" s="23">
        <v>25</v>
      </c>
      <c r="P973" s="23">
        <v>165.59</v>
      </c>
      <c r="Q973" s="23">
        <v>110.03</v>
      </c>
      <c r="R973" s="23">
        <v>4139.8100000000004</v>
      </c>
      <c r="S973" s="23">
        <v>0.1</v>
      </c>
      <c r="T973" s="23">
        <v>413.98</v>
      </c>
      <c r="U973" s="23">
        <v>3725.83</v>
      </c>
      <c r="V973" s="23">
        <v>2750.86</v>
      </c>
      <c r="W973" s="23">
        <v>974.97</v>
      </c>
      <c r="X973" s="23" t="s">
        <v>129</v>
      </c>
    </row>
    <row r="974" spans="1:24" x14ac:dyDescent="0.25">
      <c r="A974" s="20" t="s">
        <v>1482</v>
      </c>
      <c r="B974" s="19">
        <v>45350</v>
      </c>
      <c r="C974" s="20" t="s">
        <v>485</v>
      </c>
      <c r="D974" s="20" t="s">
        <v>22</v>
      </c>
      <c r="E974" s="20" t="s">
        <v>250</v>
      </c>
      <c r="F974" s="20" t="s">
        <v>2598</v>
      </c>
      <c r="G974" s="20" t="s">
        <v>2581</v>
      </c>
      <c r="H974" s="20" t="s">
        <v>252</v>
      </c>
      <c r="I974" s="20" t="s">
        <v>53</v>
      </c>
      <c r="J974" s="20" t="s">
        <v>122</v>
      </c>
      <c r="K974" s="20" t="s">
        <v>248</v>
      </c>
      <c r="L974" s="20" t="s">
        <v>2693</v>
      </c>
      <c r="M974" s="20" t="s">
        <v>30</v>
      </c>
      <c r="N974" s="20" t="s">
        <v>70</v>
      </c>
      <c r="O974" s="20">
        <v>35</v>
      </c>
      <c r="P974" s="20">
        <v>66.72</v>
      </c>
      <c r="Q974" s="20">
        <v>39.799999999999997</v>
      </c>
      <c r="R974" s="20">
        <v>2335.0300000000002</v>
      </c>
      <c r="S974" s="20">
        <v>0</v>
      </c>
      <c r="T974" s="20">
        <v>0</v>
      </c>
      <c r="U974" s="20">
        <v>2335.0300000000002</v>
      </c>
      <c r="V974" s="20">
        <v>1392.87</v>
      </c>
      <c r="W974" s="20">
        <v>942.16</v>
      </c>
      <c r="X974" s="20" t="s">
        <v>45</v>
      </c>
    </row>
    <row r="975" spans="1:24" x14ac:dyDescent="0.25">
      <c r="A975" s="23" t="s">
        <v>1483</v>
      </c>
      <c r="B975" s="22">
        <v>45305</v>
      </c>
      <c r="C975" s="23" t="s">
        <v>2619</v>
      </c>
      <c r="D975" s="23" t="s">
        <v>2619</v>
      </c>
      <c r="E975" s="23" t="s">
        <v>250</v>
      </c>
      <c r="F975" s="23" t="s">
        <v>2598</v>
      </c>
      <c r="G975" s="23" t="s">
        <v>2581</v>
      </c>
      <c r="H975" s="23" t="s">
        <v>252</v>
      </c>
      <c r="I975" s="23" t="s">
        <v>27</v>
      </c>
      <c r="J975" s="23" t="s">
        <v>189</v>
      </c>
      <c r="K975" s="23" t="s">
        <v>178</v>
      </c>
      <c r="L975" s="23" t="s">
        <v>2689</v>
      </c>
      <c r="M975" s="23" t="s">
        <v>43</v>
      </c>
      <c r="N975" s="23" t="s">
        <v>44</v>
      </c>
      <c r="O975" s="23">
        <v>26</v>
      </c>
      <c r="P975" s="23">
        <v>64.81</v>
      </c>
      <c r="Q975" s="23">
        <v>36.15</v>
      </c>
      <c r="R975" s="23">
        <v>1685.14</v>
      </c>
      <c r="S975" s="23">
        <v>0.15</v>
      </c>
      <c r="T975" s="23">
        <v>252.77</v>
      </c>
      <c r="U975" s="23">
        <v>1432.37</v>
      </c>
      <c r="V975" s="23">
        <v>939.96</v>
      </c>
      <c r="W975" s="23">
        <v>492.41</v>
      </c>
      <c r="X975" s="23" t="s">
        <v>45</v>
      </c>
    </row>
    <row r="976" spans="1:24" x14ac:dyDescent="0.25">
      <c r="A976" s="20" t="s">
        <v>1484</v>
      </c>
      <c r="B976" s="19">
        <v>45605</v>
      </c>
      <c r="C976" s="20" t="s">
        <v>623</v>
      </c>
      <c r="D976" s="20" t="s">
        <v>156</v>
      </c>
      <c r="E976" s="20" t="s">
        <v>222</v>
      </c>
      <c r="F976" s="20" t="s">
        <v>2597</v>
      </c>
      <c r="G976" s="20" t="s">
        <v>2587</v>
      </c>
      <c r="H976" s="20" t="s">
        <v>68</v>
      </c>
      <c r="I976" s="20" t="s">
        <v>40</v>
      </c>
      <c r="J976" s="20" t="s">
        <v>289</v>
      </c>
      <c r="K976" s="20" t="s">
        <v>170</v>
      </c>
      <c r="L976" s="20" t="s">
        <v>2671</v>
      </c>
      <c r="M976" s="20" t="s">
        <v>30</v>
      </c>
      <c r="N976" s="20" t="s">
        <v>2578</v>
      </c>
      <c r="O976" s="20">
        <v>7</v>
      </c>
      <c r="P976" s="20">
        <v>118.58</v>
      </c>
      <c r="Q976" s="20">
        <v>77.39</v>
      </c>
      <c r="R976" s="20">
        <v>830.08</v>
      </c>
      <c r="S976" s="20">
        <v>0.05</v>
      </c>
      <c r="T976" s="20">
        <v>41.5</v>
      </c>
      <c r="U976" s="20">
        <v>788.57</v>
      </c>
      <c r="V976" s="20">
        <v>541.75</v>
      </c>
      <c r="W976" s="20">
        <v>246.82</v>
      </c>
      <c r="X976" s="20" t="s">
        <v>32</v>
      </c>
    </row>
    <row r="977" spans="1:24" x14ac:dyDescent="0.25">
      <c r="A977" s="23" t="s">
        <v>1485</v>
      </c>
      <c r="B977" s="22">
        <v>45303</v>
      </c>
      <c r="C977" s="23" t="s">
        <v>658</v>
      </c>
      <c r="D977" s="23" t="s">
        <v>264</v>
      </c>
      <c r="E977" s="23" t="s">
        <v>132</v>
      </c>
      <c r="F977" s="23" t="s">
        <v>133</v>
      </c>
      <c r="G977" s="23" t="s">
        <v>2581</v>
      </c>
      <c r="H977" s="23" t="s">
        <v>134</v>
      </c>
      <c r="I977" s="23" t="s">
        <v>88</v>
      </c>
      <c r="J977" s="23" t="s">
        <v>2112</v>
      </c>
      <c r="K977" s="23" t="s">
        <v>29</v>
      </c>
      <c r="L977" s="23" t="s">
        <v>2679</v>
      </c>
      <c r="M977" s="23" t="s">
        <v>30</v>
      </c>
      <c r="N977" s="23" t="s">
        <v>44</v>
      </c>
      <c r="O977" s="23">
        <v>12</v>
      </c>
      <c r="P977" s="23">
        <v>61.84</v>
      </c>
      <c r="Q977" s="23">
        <v>33.770000000000003</v>
      </c>
      <c r="R977" s="23">
        <v>742.12</v>
      </c>
      <c r="S977" s="23">
        <v>0.02</v>
      </c>
      <c r="T977" s="23">
        <v>14.84</v>
      </c>
      <c r="U977" s="23">
        <v>727.28</v>
      </c>
      <c r="V977" s="23">
        <v>405.25</v>
      </c>
      <c r="W977" s="23">
        <v>322.02</v>
      </c>
      <c r="X977" s="23" t="s">
        <v>32</v>
      </c>
    </row>
    <row r="978" spans="1:24" x14ac:dyDescent="0.25">
      <c r="A978" s="20" t="s">
        <v>1486</v>
      </c>
      <c r="B978" s="19">
        <v>45584</v>
      </c>
      <c r="C978" s="20" t="s">
        <v>483</v>
      </c>
      <c r="D978" s="20" t="s">
        <v>159</v>
      </c>
      <c r="E978" s="20" t="s">
        <v>126</v>
      </c>
      <c r="F978" s="20" t="s">
        <v>2589</v>
      </c>
      <c r="G978" s="20" t="s">
        <v>2586</v>
      </c>
      <c r="H978" s="20" t="s">
        <v>128</v>
      </c>
      <c r="I978" s="20" t="s">
        <v>40</v>
      </c>
      <c r="J978" s="20" t="s">
        <v>289</v>
      </c>
      <c r="K978" s="20" t="s">
        <v>111</v>
      </c>
      <c r="L978" s="20" t="s">
        <v>2685</v>
      </c>
      <c r="M978" s="20" t="s">
        <v>61</v>
      </c>
      <c r="N978" s="20" t="s">
        <v>84</v>
      </c>
      <c r="O978" s="20">
        <v>65</v>
      </c>
      <c r="P978" s="20">
        <v>84.44</v>
      </c>
      <c r="Q978" s="20">
        <v>50.04</v>
      </c>
      <c r="R978" s="20">
        <v>5488.79</v>
      </c>
      <c r="S978" s="20">
        <v>0.05</v>
      </c>
      <c r="T978" s="20">
        <v>274.44</v>
      </c>
      <c r="U978" s="20">
        <v>5214.3500000000004</v>
      </c>
      <c r="V978" s="20">
        <v>3252.77</v>
      </c>
      <c r="W978" s="20">
        <v>1961.59</v>
      </c>
      <c r="X978" s="20" t="s">
        <v>45</v>
      </c>
    </row>
    <row r="979" spans="1:24" x14ac:dyDescent="0.25">
      <c r="A979" s="23" t="s">
        <v>1487</v>
      </c>
      <c r="B979" s="22">
        <v>45628</v>
      </c>
      <c r="C979" s="23" t="s">
        <v>1488</v>
      </c>
      <c r="D979" s="23" t="s">
        <v>149</v>
      </c>
      <c r="E979" s="23" t="s">
        <v>187</v>
      </c>
      <c r="F979" s="23" t="s">
        <v>2594</v>
      </c>
      <c r="G979" s="23" t="s">
        <v>2577</v>
      </c>
      <c r="H979" s="23" t="s">
        <v>26</v>
      </c>
      <c r="I979" s="23" t="s">
        <v>40</v>
      </c>
      <c r="J979" s="23" t="s">
        <v>41</v>
      </c>
      <c r="K979" s="23" t="s">
        <v>111</v>
      </c>
      <c r="L979" s="23" t="s">
        <v>2685</v>
      </c>
      <c r="M979" s="23" t="s">
        <v>153</v>
      </c>
      <c r="N979" s="23" t="s">
        <v>70</v>
      </c>
      <c r="O979" s="23">
        <v>1</v>
      </c>
      <c r="P979" s="23">
        <v>45.85</v>
      </c>
      <c r="Q979" s="23">
        <v>28.31</v>
      </c>
      <c r="R979" s="23">
        <v>45.85</v>
      </c>
      <c r="S979" s="23">
        <v>0.1</v>
      </c>
      <c r="T979" s="23">
        <v>4.59</v>
      </c>
      <c r="U979" s="23">
        <v>41.27</v>
      </c>
      <c r="V979" s="23">
        <v>28.31</v>
      </c>
      <c r="W979" s="23">
        <v>12.96</v>
      </c>
      <c r="X979" s="23" t="s">
        <v>45</v>
      </c>
    </row>
    <row r="980" spans="1:24" x14ac:dyDescent="0.25">
      <c r="A980" s="20" t="s">
        <v>1489</v>
      </c>
      <c r="B980" s="19">
        <v>45557</v>
      </c>
      <c r="C980" s="20" t="s">
        <v>1236</v>
      </c>
      <c r="D980" s="20" t="s">
        <v>156</v>
      </c>
      <c r="E980" s="20" t="s">
        <v>109</v>
      </c>
      <c r="F980" s="20" t="s">
        <v>110</v>
      </c>
      <c r="G980" s="20" t="s">
        <v>2584</v>
      </c>
      <c r="H980" s="20" t="s">
        <v>81</v>
      </c>
      <c r="I980" s="20" t="s">
        <v>53</v>
      </c>
      <c r="J980" s="20" t="s">
        <v>143</v>
      </c>
      <c r="K980" s="20" t="s">
        <v>111</v>
      </c>
      <c r="L980" s="20" t="s">
        <v>2685</v>
      </c>
      <c r="M980" s="20" t="s">
        <v>153</v>
      </c>
      <c r="N980" s="20" t="s">
        <v>84</v>
      </c>
      <c r="O980" s="20">
        <v>25</v>
      </c>
      <c r="P980" s="20">
        <v>119.11</v>
      </c>
      <c r="Q980" s="20">
        <v>69.52</v>
      </c>
      <c r="R980" s="20">
        <v>2977.84</v>
      </c>
      <c r="S980" s="20">
        <v>0.1</v>
      </c>
      <c r="T980" s="20">
        <v>297.77999999999997</v>
      </c>
      <c r="U980" s="20">
        <v>2680.06</v>
      </c>
      <c r="V980" s="20">
        <v>1737.93</v>
      </c>
      <c r="W980" s="20">
        <v>942.13</v>
      </c>
      <c r="X980" s="20" t="s">
        <v>32</v>
      </c>
    </row>
    <row r="981" spans="1:24" x14ac:dyDescent="0.25">
      <c r="A981" s="23" t="s">
        <v>1490</v>
      </c>
      <c r="B981" s="22">
        <v>45447</v>
      </c>
      <c r="C981" s="23" t="s">
        <v>936</v>
      </c>
      <c r="D981" s="23" t="s">
        <v>57</v>
      </c>
      <c r="E981" s="23" t="s">
        <v>222</v>
      </c>
      <c r="F981" s="23" t="s">
        <v>2597</v>
      </c>
      <c r="G981" s="23" t="s">
        <v>2587</v>
      </c>
      <c r="H981" s="23" t="s">
        <v>68</v>
      </c>
      <c r="I981" s="23" t="s">
        <v>88</v>
      </c>
      <c r="J981" s="23" t="s">
        <v>183</v>
      </c>
      <c r="K981" s="23" t="s">
        <v>248</v>
      </c>
      <c r="L981" s="23" t="s">
        <v>2693</v>
      </c>
      <c r="M981" s="23" t="s">
        <v>43</v>
      </c>
      <c r="N981" s="23" t="s">
        <v>75</v>
      </c>
      <c r="O981" s="23">
        <v>38</v>
      </c>
      <c r="P981" s="23">
        <v>120.43</v>
      </c>
      <c r="Q981" s="23">
        <v>75.5</v>
      </c>
      <c r="R981" s="23">
        <v>4576.47</v>
      </c>
      <c r="S981" s="23">
        <v>0.05</v>
      </c>
      <c r="T981" s="23">
        <v>228.82</v>
      </c>
      <c r="U981" s="23">
        <v>4347.6499999999996</v>
      </c>
      <c r="V981" s="23">
        <v>2868.95</v>
      </c>
      <c r="W981" s="23">
        <v>1478.7</v>
      </c>
      <c r="X981" s="23" t="s">
        <v>32</v>
      </c>
    </row>
    <row r="982" spans="1:24" x14ac:dyDescent="0.25">
      <c r="A982" s="20" t="s">
        <v>1491</v>
      </c>
      <c r="B982" s="19">
        <v>45306</v>
      </c>
      <c r="C982" s="20" t="s">
        <v>584</v>
      </c>
      <c r="D982" s="20" t="s">
        <v>105</v>
      </c>
      <c r="E982" s="20" t="s">
        <v>36</v>
      </c>
      <c r="F982" s="20" t="s">
        <v>37</v>
      </c>
      <c r="G982" s="20" t="s">
        <v>2579</v>
      </c>
      <c r="H982" s="20" t="s">
        <v>39</v>
      </c>
      <c r="I982" s="20" t="s">
        <v>53</v>
      </c>
      <c r="J982" s="20" t="s">
        <v>122</v>
      </c>
      <c r="K982" s="20" t="s">
        <v>29</v>
      </c>
      <c r="L982" s="20" t="s">
        <v>2679</v>
      </c>
      <c r="M982" s="20" t="s">
        <v>30</v>
      </c>
      <c r="N982" s="20" t="s">
        <v>2578</v>
      </c>
      <c r="O982" s="20">
        <v>48</v>
      </c>
      <c r="P982" s="20">
        <v>152.56</v>
      </c>
      <c r="Q982" s="20">
        <v>100.32</v>
      </c>
      <c r="R982" s="20">
        <v>7322.71</v>
      </c>
      <c r="S982" s="20">
        <v>0.2</v>
      </c>
      <c r="T982" s="20">
        <v>1464.54</v>
      </c>
      <c r="U982" s="20">
        <v>5858.17</v>
      </c>
      <c r="V982" s="20">
        <v>4815.3</v>
      </c>
      <c r="W982" s="20">
        <v>1042.8699999999999</v>
      </c>
      <c r="X982" s="20" t="s">
        <v>129</v>
      </c>
    </row>
    <row r="983" spans="1:24" x14ac:dyDescent="0.25">
      <c r="A983" s="23" t="s">
        <v>1492</v>
      </c>
      <c r="B983" s="22">
        <v>45478</v>
      </c>
      <c r="C983" s="23" t="s">
        <v>1493</v>
      </c>
      <c r="D983" s="23" t="s">
        <v>159</v>
      </c>
      <c r="E983" s="23" t="s">
        <v>141</v>
      </c>
      <c r="F983" s="23" t="s">
        <v>2590</v>
      </c>
      <c r="G983" s="23" t="s">
        <v>2577</v>
      </c>
      <c r="H983" s="23" t="s">
        <v>26</v>
      </c>
      <c r="I983" s="23" t="s">
        <v>40</v>
      </c>
      <c r="J983" s="23" t="s">
        <v>82</v>
      </c>
      <c r="K983" s="23" t="s">
        <v>218</v>
      </c>
      <c r="L983" s="23" t="s">
        <v>2692</v>
      </c>
      <c r="M983" s="23" t="s">
        <v>61</v>
      </c>
      <c r="N983" s="23" t="s">
        <v>44</v>
      </c>
      <c r="O983" s="23">
        <v>41</v>
      </c>
      <c r="P983" s="23">
        <v>92.36</v>
      </c>
      <c r="Q983" s="23">
        <v>56.14</v>
      </c>
      <c r="R983" s="23">
        <v>3786.72</v>
      </c>
      <c r="S983" s="23">
        <v>0.2</v>
      </c>
      <c r="T983" s="23">
        <v>757.34</v>
      </c>
      <c r="U983" s="23">
        <v>3029.38</v>
      </c>
      <c r="V983" s="23">
        <v>2301.67</v>
      </c>
      <c r="W983" s="23">
        <v>727.71</v>
      </c>
      <c r="X983" s="23" t="s">
        <v>45</v>
      </c>
    </row>
    <row r="984" spans="1:24" x14ac:dyDescent="0.25">
      <c r="A984" s="20" t="s">
        <v>1494</v>
      </c>
      <c r="B984" s="19">
        <v>45384</v>
      </c>
      <c r="C984" s="20" t="s">
        <v>602</v>
      </c>
      <c r="D984" s="20" t="s">
        <v>159</v>
      </c>
      <c r="E984" s="20" t="s">
        <v>141</v>
      </c>
      <c r="F984" s="20" t="s">
        <v>2590</v>
      </c>
      <c r="G984" s="20" t="s">
        <v>2577</v>
      </c>
      <c r="H984" s="20" t="s">
        <v>26</v>
      </c>
      <c r="I984" s="20" t="s">
        <v>53</v>
      </c>
      <c r="J984" s="20" t="s">
        <v>54</v>
      </c>
      <c r="K984" s="20" t="s">
        <v>195</v>
      </c>
      <c r="L984" s="20" t="s">
        <v>2691</v>
      </c>
      <c r="M984" s="20" t="s">
        <v>43</v>
      </c>
      <c r="N984" s="20" t="s">
        <v>84</v>
      </c>
      <c r="O984" s="20">
        <f>ROUND(Cleaned_Sales!$R984/Cleaned_Sales!$P984,0)</f>
        <v>4</v>
      </c>
      <c r="P984" s="20">
        <v>91.71</v>
      </c>
      <c r="Q984" s="20">
        <v>56.73</v>
      </c>
      <c r="R984" s="20">
        <v>366.85</v>
      </c>
      <c r="S984" s="20">
        <v>0.05</v>
      </c>
      <c r="T984" s="20">
        <v>18.34</v>
      </c>
      <c r="U984" s="20">
        <v>348.51</v>
      </c>
      <c r="V984" s="20">
        <v>226.92</v>
      </c>
      <c r="W984" s="20">
        <v>121.59</v>
      </c>
      <c r="X984" s="20" t="s">
        <v>45</v>
      </c>
    </row>
    <row r="985" spans="1:24" x14ac:dyDescent="0.25">
      <c r="A985" s="23" t="s">
        <v>1495</v>
      </c>
      <c r="B985" s="22">
        <v>45297</v>
      </c>
      <c r="C985" s="23" t="s">
        <v>454</v>
      </c>
      <c r="D985" s="23" t="s">
        <v>156</v>
      </c>
      <c r="E985" s="23" t="s">
        <v>209</v>
      </c>
      <c r="F985" s="23" t="s">
        <v>2595</v>
      </c>
      <c r="G985" s="23" t="s">
        <v>2581</v>
      </c>
      <c r="H985" s="23" t="s">
        <v>116</v>
      </c>
      <c r="I985" s="23" t="s">
        <v>88</v>
      </c>
      <c r="J985" s="23" t="s">
        <v>173</v>
      </c>
      <c r="K985" s="23" t="s">
        <v>111</v>
      </c>
      <c r="L985" s="23" t="s">
        <v>2685</v>
      </c>
      <c r="M985" s="23" t="s">
        <v>61</v>
      </c>
      <c r="N985" s="23" t="s">
        <v>75</v>
      </c>
      <c r="O985" s="23">
        <v>18</v>
      </c>
      <c r="P985" s="23">
        <v>18.440000000000001</v>
      </c>
      <c r="Q985" s="23">
        <v>10.19</v>
      </c>
      <c r="R985" s="23">
        <v>331.84</v>
      </c>
      <c r="S985" s="23">
        <v>0</v>
      </c>
      <c r="T985" s="23">
        <v>0</v>
      </c>
      <c r="U985" s="23">
        <v>331.84</v>
      </c>
      <c r="V985" s="23">
        <v>183.48</v>
      </c>
      <c r="W985" s="23">
        <v>148.35</v>
      </c>
      <c r="X985" s="23" t="s">
        <v>45</v>
      </c>
    </row>
    <row r="986" spans="1:24" x14ac:dyDescent="0.25">
      <c r="A986" s="20" t="s">
        <v>1496</v>
      </c>
      <c r="B986" s="19">
        <v>45452</v>
      </c>
      <c r="C986" s="20" t="s">
        <v>331</v>
      </c>
      <c r="D986" s="20" t="s">
        <v>48</v>
      </c>
      <c r="E986" s="20" t="s">
        <v>150</v>
      </c>
      <c r="F986" s="20" t="s">
        <v>2591</v>
      </c>
      <c r="G986" s="20" t="s">
        <v>2587</v>
      </c>
      <c r="H986" s="20" t="s">
        <v>134</v>
      </c>
      <c r="I986" s="20" t="s">
        <v>53</v>
      </c>
      <c r="J986" s="20" t="s">
        <v>122</v>
      </c>
      <c r="K986" s="20" t="s">
        <v>29</v>
      </c>
      <c r="L986" s="20" t="s">
        <v>2679</v>
      </c>
      <c r="M986" s="20" t="s">
        <v>61</v>
      </c>
      <c r="N986" s="20" t="s">
        <v>70</v>
      </c>
      <c r="O986" s="20">
        <v>53</v>
      </c>
      <c r="P986" s="20">
        <v>85.44</v>
      </c>
      <c r="Q986" s="20">
        <v>48.9</v>
      </c>
      <c r="R986" s="20">
        <v>4528.51</v>
      </c>
      <c r="S986" s="20">
        <v>0</v>
      </c>
      <c r="T986" s="20">
        <v>0</v>
      </c>
      <c r="U986" s="20">
        <v>4528.51</v>
      </c>
      <c r="V986" s="20">
        <v>2591.62</v>
      </c>
      <c r="W986" s="20">
        <v>1936.89</v>
      </c>
      <c r="X986" s="20" t="s">
        <v>45</v>
      </c>
    </row>
    <row r="987" spans="1:24" x14ac:dyDescent="0.25">
      <c r="A987" s="23" t="s">
        <v>1497</v>
      </c>
      <c r="B987" s="22">
        <v>45393</v>
      </c>
      <c r="C987" s="23" t="s">
        <v>852</v>
      </c>
      <c r="D987" s="23" t="s">
        <v>57</v>
      </c>
      <c r="E987" s="23" t="s">
        <v>209</v>
      </c>
      <c r="F987" s="23" t="s">
        <v>2595</v>
      </c>
      <c r="G987" s="23" t="s">
        <v>2581</v>
      </c>
      <c r="H987" s="23" t="s">
        <v>116</v>
      </c>
      <c r="I987" s="23" t="s">
        <v>58</v>
      </c>
      <c r="J987" s="23" t="s">
        <v>73</v>
      </c>
      <c r="K987" s="23" t="s">
        <v>60</v>
      </c>
      <c r="L987" s="23" t="s">
        <v>2677</v>
      </c>
      <c r="M987" s="23" t="s">
        <v>30</v>
      </c>
      <c r="N987" s="23" t="s">
        <v>44</v>
      </c>
      <c r="O987" s="23">
        <v>3</v>
      </c>
      <c r="P987" s="23">
        <v>18.7</v>
      </c>
      <c r="Q987" s="23">
        <v>10.38</v>
      </c>
      <c r="R987" s="23">
        <v>56.1</v>
      </c>
      <c r="S987" s="23">
        <v>0.02</v>
      </c>
      <c r="T987" s="23">
        <v>1.1200000000000001</v>
      </c>
      <c r="U987" s="23">
        <v>54.98</v>
      </c>
      <c r="V987" s="23">
        <v>31.14</v>
      </c>
      <c r="W987" s="23">
        <v>23.83</v>
      </c>
      <c r="X987" s="23" t="s">
        <v>129</v>
      </c>
    </row>
    <row r="988" spans="1:24" x14ac:dyDescent="0.25">
      <c r="A988" s="20" t="s">
        <v>1498</v>
      </c>
      <c r="B988" s="19">
        <v>45353</v>
      </c>
      <c r="C988" s="20" t="s">
        <v>203</v>
      </c>
      <c r="D988" s="20" t="s">
        <v>156</v>
      </c>
      <c r="E988" s="20" t="s">
        <v>150</v>
      </c>
      <c r="F988" s="20" t="s">
        <v>2591</v>
      </c>
      <c r="G988" s="20" t="s">
        <v>2587</v>
      </c>
      <c r="H988" s="20" t="s">
        <v>134</v>
      </c>
      <c r="I988" s="20" t="s">
        <v>27</v>
      </c>
      <c r="J988" s="20" t="s">
        <v>211</v>
      </c>
      <c r="K988" s="20" t="s">
        <v>178</v>
      </c>
      <c r="L988" s="20" t="s">
        <v>2689</v>
      </c>
      <c r="M988" s="20" t="s">
        <v>30</v>
      </c>
      <c r="N988" s="20" t="s">
        <v>2578</v>
      </c>
      <c r="O988" s="20">
        <v>43</v>
      </c>
      <c r="P988" s="20">
        <v>91.54</v>
      </c>
      <c r="Q988" s="20">
        <v>53.39</v>
      </c>
      <c r="R988" s="20">
        <v>3936.4</v>
      </c>
      <c r="S988" s="20">
        <v>0</v>
      </c>
      <c r="T988" s="20">
        <v>0</v>
      </c>
      <c r="U988" s="20">
        <v>3936.4</v>
      </c>
      <c r="V988" s="20">
        <v>2295.86</v>
      </c>
      <c r="W988" s="20">
        <v>1640.54</v>
      </c>
      <c r="X988" s="20" t="s">
        <v>45</v>
      </c>
    </row>
    <row r="989" spans="1:24" x14ac:dyDescent="0.25">
      <c r="A989" s="23" t="s">
        <v>1499</v>
      </c>
      <c r="B989" s="22">
        <v>45539</v>
      </c>
      <c r="C989" s="23" t="s">
        <v>636</v>
      </c>
      <c r="D989" s="23" t="s">
        <v>87</v>
      </c>
      <c r="E989" s="23" t="s">
        <v>78</v>
      </c>
      <c r="F989" s="23" t="s">
        <v>2583</v>
      </c>
      <c r="G989" s="23" t="s">
        <v>2584</v>
      </c>
      <c r="H989" s="23" t="s">
        <v>81</v>
      </c>
      <c r="I989" s="23" t="s">
        <v>40</v>
      </c>
      <c r="J989" s="23" t="s">
        <v>289</v>
      </c>
      <c r="K989" s="23" t="s">
        <v>42</v>
      </c>
      <c r="L989" s="23" t="s">
        <v>2680</v>
      </c>
      <c r="M989" s="23" t="s">
        <v>43</v>
      </c>
      <c r="N989" s="23" t="s">
        <v>84</v>
      </c>
      <c r="O989" s="23">
        <v>18</v>
      </c>
      <c r="P989" s="23">
        <v>132.03</v>
      </c>
      <c r="Q989" s="23">
        <v>83.63</v>
      </c>
      <c r="R989" s="23">
        <v>2376.4899999999998</v>
      </c>
      <c r="S989" s="23">
        <v>0.1</v>
      </c>
      <c r="T989" s="23">
        <v>237.65</v>
      </c>
      <c r="U989" s="23">
        <v>2138.84</v>
      </c>
      <c r="V989" s="23">
        <v>1505.28</v>
      </c>
      <c r="W989" s="23">
        <v>633.55999999999995</v>
      </c>
      <c r="X989" s="23" t="s">
        <v>45</v>
      </c>
    </row>
    <row r="990" spans="1:24" x14ac:dyDescent="0.25">
      <c r="A990" s="20" t="s">
        <v>1500</v>
      </c>
      <c r="B990" s="19">
        <v>45517</v>
      </c>
      <c r="C990" s="20" t="s">
        <v>533</v>
      </c>
      <c r="D990" s="20" t="s">
        <v>163</v>
      </c>
      <c r="E990" s="20" t="s">
        <v>78</v>
      </c>
      <c r="F990" s="20" t="s">
        <v>2583</v>
      </c>
      <c r="G990" s="20" t="s">
        <v>2584</v>
      </c>
      <c r="H990" s="20" t="s">
        <v>81</v>
      </c>
      <c r="I990" s="20" t="s">
        <v>53</v>
      </c>
      <c r="J990" s="20" t="s">
        <v>122</v>
      </c>
      <c r="K990" s="20" t="s">
        <v>184</v>
      </c>
      <c r="L990" s="20" t="s">
        <v>2690</v>
      </c>
      <c r="M990" s="20" t="s">
        <v>30</v>
      </c>
      <c r="N990" s="20" t="s">
        <v>84</v>
      </c>
      <c r="O990" s="20">
        <v>50</v>
      </c>
      <c r="P990" s="20">
        <v>129.83000000000001</v>
      </c>
      <c r="Q990" s="20">
        <v>75.97</v>
      </c>
      <c r="R990" s="20">
        <v>6491.52</v>
      </c>
      <c r="S990" s="20">
        <v>0.05</v>
      </c>
      <c r="T990" s="20">
        <v>324.58</v>
      </c>
      <c r="U990" s="20">
        <v>6166.95</v>
      </c>
      <c r="V990" s="20">
        <v>3798.72</v>
      </c>
      <c r="W990" s="20">
        <v>2368.23</v>
      </c>
      <c r="X990" s="20" t="s">
        <v>32</v>
      </c>
    </row>
    <row r="991" spans="1:24" x14ac:dyDescent="0.25">
      <c r="A991" s="23" t="s">
        <v>1501</v>
      </c>
      <c r="B991" s="22">
        <v>45620</v>
      </c>
      <c r="C991" s="23" t="s">
        <v>475</v>
      </c>
      <c r="D991" s="23" t="s">
        <v>57</v>
      </c>
      <c r="E991" s="23" t="s">
        <v>66</v>
      </c>
      <c r="F991" s="23" t="s">
        <v>2582</v>
      </c>
      <c r="G991" s="23" t="s">
        <v>2579</v>
      </c>
      <c r="H991" s="23" t="s">
        <v>68</v>
      </c>
      <c r="I991" s="23" t="s">
        <v>40</v>
      </c>
      <c r="J991" s="23" t="s">
        <v>289</v>
      </c>
      <c r="K991" s="23" t="s">
        <v>111</v>
      </c>
      <c r="L991" s="23" t="s">
        <v>2685</v>
      </c>
      <c r="M991" s="23" t="s">
        <v>61</v>
      </c>
      <c r="N991" s="23" t="s">
        <v>2578</v>
      </c>
      <c r="O991" s="23">
        <v>44</v>
      </c>
      <c r="P991" s="23">
        <v>158.88</v>
      </c>
      <c r="Q991" s="23">
        <v>108.75</v>
      </c>
      <c r="R991" s="23">
        <v>6990.52</v>
      </c>
      <c r="S991" s="23">
        <v>0</v>
      </c>
      <c r="T991" s="23">
        <v>0</v>
      </c>
      <c r="U991" s="23">
        <v>6990.52</v>
      </c>
      <c r="V991" s="23">
        <v>4784.79</v>
      </c>
      <c r="W991" s="23">
        <v>2205.7199999999998</v>
      </c>
      <c r="X991" s="23" t="s">
        <v>45</v>
      </c>
    </row>
    <row r="992" spans="1:24" x14ac:dyDescent="0.25">
      <c r="A992" s="20" t="s">
        <v>1502</v>
      </c>
      <c r="B992" s="19">
        <v>45628</v>
      </c>
      <c r="C992" s="20" t="s">
        <v>613</v>
      </c>
      <c r="D992" s="20" t="s">
        <v>87</v>
      </c>
      <c r="E992" s="20" t="s">
        <v>250</v>
      </c>
      <c r="F992" s="20" t="s">
        <v>2598</v>
      </c>
      <c r="G992" s="20" t="s">
        <v>2581</v>
      </c>
      <c r="H992" s="20" t="s">
        <v>252</v>
      </c>
      <c r="I992" s="20" t="s">
        <v>58</v>
      </c>
      <c r="J992" s="20" t="s">
        <v>345</v>
      </c>
      <c r="K992" s="20" t="s">
        <v>178</v>
      </c>
      <c r="L992" s="20" t="s">
        <v>2689</v>
      </c>
      <c r="M992" s="20" t="s">
        <v>153</v>
      </c>
      <c r="N992" s="20" t="s">
        <v>75</v>
      </c>
      <c r="O992" s="20">
        <v>77</v>
      </c>
      <c r="P992" s="20">
        <v>69.44</v>
      </c>
      <c r="Q992" s="20">
        <v>37.51</v>
      </c>
      <c r="R992" s="20">
        <v>5346.51</v>
      </c>
      <c r="S992" s="20">
        <v>0.15</v>
      </c>
      <c r="T992" s="20">
        <v>801.98</v>
      </c>
      <c r="U992" s="20">
        <v>4544.54</v>
      </c>
      <c r="V992" s="20">
        <v>2888.37</v>
      </c>
      <c r="W992" s="20">
        <v>1656.16</v>
      </c>
      <c r="X992" s="20" t="s">
        <v>45</v>
      </c>
    </row>
    <row r="993" spans="1:24" x14ac:dyDescent="0.25">
      <c r="A993" s="23" t="s">
        <v>1503</v>
      </c>
      <c r="B993" s="22">
        <v>45603</v>
      </c>
      <c r="C993" s="23" t="s">
        <v>1071</v>
      </c>
      <c r="D993" s="23" t="s">
        <v>105</v>
      </c>
      <c r="E993" s="23" t="s">
        <v>150</v>
      </c>
      <c r="F993" s="23" t="s">
        <v>2591</v>
      </c>
      <c r="G993" s="23" t="s">
        <v>2587</v>
      </c>
      <c r="H993" s="23" t="s">
        <v>134</v>
      </c>
      <c r="I993" s="23" t="s">
        <v>27</v>
      </c>
      <c r="J993" s="23" t="s">
        <v>28</v>
      </c>
      <c r="K993" s="23" t="s">
        <v>265</v>
      </c>
      <c r="L993" s="23" t="s">
        <v>2663</v>
      </c>
      <c r="M993" s="23" t="s">
        <v>61</v>
      </c>
      <c r="N993" s="23" t="s">
        <v>84</v>
      </c>
      <c r="O993" s="23">
        <v>57</v>
      </c>
      <c r="P993" s="23">
        <v>80.56</v>
      </c>
      <c r="Q993" s="23">
        <v>50.46</v>
      </c>
      <c r="R993" s="23">
        <v>4591.67</v>
      </c>
      <c r="S993" s="23">
        <v>0</v>
      </c>
      <c r="T993" s="23">
        <v>0</v>
      </c>
      <c r="U993" s="23">
        <v>4591.67</v>
      </c>
      <c r="V993" s="23">
        <v>2876.23</v>
      </c>
      <c r="W993" s="23">
        <v>1715.43</v>
      </c>
      <c r="X993" s="23" t="s">
        <v>45</v>
      </c>
    </row>
    <row r="994" spans="1:24" x14ac:dyDescent="0.25">
      <c r="A994" s="20" t="s">
        <v>1504</v>
      </c>
      <c r="B994" s="19">
        <v>45336</v>
      </c>
      <c r="C994" s="20" t="s">
        <v>653</v>
      </c>
      <c r="D994" s="20" t="s">
        <v>1505</v>
      </c>
      <c r="E994" s="20" t="s">
        <v>99</v>
      </c>
      <c r="F994" s="20" t="s">
        <v>100</v>
      </c>
      <c r="G994" s="20" t="s">
        <v>2587</v>
      </c>
      <c r="H994" s="20" t="s">
        <v>102</v>
      </c>
      <c r="I994" s="20" t="s">
        <v>40</v>
      </c>
      <c r="J994" s="20" t="s">
        <v>41</v>
      </c>
      <c r="K994" s="20" t="s">
        <v>69</v>
      </c>
      <c r="L994" s="20" t="s">
        <v>2681</v>
      </c>
      <c r="M994" s="20" t="s">
        <v>30</v>
      </c>
      <c r="N994" s="20" t="s">
        <v>2578</v>
      </c>
      <c r="O994" s="20">
        <v>53</v>
      </c>
      <c r="P994" s="20">
        <v>71.53</v>
      </c>
      <c r="Q994" s="20">
        <v>42.35</v>
      </c>
      <c r="R994" s="20">
        <v>3790.98</v>
      </c>
      <c r="S994" s="20">
        <v>0.15</v>
      </c>
      <c r="T994" s="20">
        <v>568.65</v>
      </c>
      <c r="U994" s="20">
        <v>3222.34</v>
      </c>
      <c r="V994" s="20">
        <v>2244.79</v>
      </c>
      <c r="W994" s="20">
        <v>977.55</v>
      </c>
      <c r="X994" s="20" t="s">
        <v>45</v>
      </c>
    </row>
    <row r="995" spans="1:24" x14ac:dyDescent="0.25">
      <c r="A995" s="23" t="s">
        <v>1506</v>
      </c>
      <c r="B995" s="22">
        <v>45527</v>
      </c>
      <c r="C995" s="23" t="s">
        <v>759</v>
      </c>
      <c r="D995" s="23" t="s">
        <v>35</v>
      </c>
      <c r="E995" s="23" t="s">
        <v>66</v>
      </c>
      <c r="F995" s="23" t="s">
        <v>2582</v>
      </c>
      <c r="G995" s="23" t="s">
        <v>2579</v>
      </c>
      <c r="H995" s="23" t="s">
        <v>68</v>
      </c>
      <c r="I995" s="23" t="s">
        <v>88</v>
      </c>
      <c r="J995" s="23" t="s">
        <v>173</v>
      </c>
      <c r="K995" s="23" t="s">
        <v>184</v>
      </c>
      <c r="L995" s="23" t="s">
        <v>2690</v>
      </c>
      <c r="M995" s="23" t="s">
        <v>30</v>
      </c>
      <c r="N995" s="23" t="s">
        <v>84</v>
      </c>
      <c r="O995" s="23">
        <v>24</v>
      </c>
      <c r="P995" s="23">
        <v>164.97</v>
      </c>
      <c r="Q995" s="23">
        <v>104.21</v>
      </c>
      <c r="R995" s="23">
        <v>3959.29</v>
      </c>
      <c r="S995" s="23">
        <v>0.05</v>
      </c>
      <c r="T995" s="23">
        <v>197.96</v>
      </c>
      <c r="U995" s="23">
        <v>3761.32</v>
      </c>
      <c r="V995" s="23">
        <v>2501.0500000000002</v>
      </c>
      <c r="W995" s="23">
        <v>1260.27</v>
      </c>
      <c r="X995" s="23" t="s">
        <v>45</v>
      </c>
    </row>
    <row r="996" spans="1:24" x14ac:dyDescent="0.25">
      <c r="A996" s="20" t="s">
        <v>1507</v>
      </c>
      <c r="B996" s="19">
        <v>45586</v>
      </c>
      <c r="C996" s="20" t="s">
        <v>1047</v>
      </c>
      <c r="D996" s="20" t="s">
        <v>156</v>
      </c>
      <c r="E996" s="20" t="s">
        <v>141</v>
      </c>
      <c r="F996" s="20" t="s">
        <v>2590</v>
      </c>
      <c r="G996" s="20" t="s">
        <v>2577</v>
      </c>
      <c r="H996" s="20" t="s">
        <v>26</v>
      </c>
      <c r="I996" s="20" t="s">
        <v>58</v>
      </c>
      <c r="J996" s="20" t="s">
        <v>73</v>
      </c>
      <c r="K996" s="20" t="s">
        <v>261</v>
      </c>
      <c r="L996" s="20" t="s">
        <v>2695</v>
      </c>
      <c r="M996" s="20" t="s">
        <v>30</v>
      </c>
      <c r="N996" s="20" t="s">
        <v>84</v>
      </c>
      <c r="O996" s="20">
        <v>32</v>
      </c>
      <c r="P996" s="20">
        <v>96.43</v>
      </c>
      <c r="Q996" s="20">
        <v>56.89</v>
      </c>
      <c r="R996" s="20">
        <v>3085.79</v>
      </c>
      <c r="S996" s="20">
        <v>0.05</v>
      </c>
      <c r="T996" s="20">
        <v>154.29</v>
      </c>
      <c r="U996" s="20">
        <v>2931.5</v>
      </c>
      <c r="V996" s="20">
        <v>1820.63</v>
      </c>
      <c r="W996" s="20">
        <v>1110.8699999999999</v>
      </c>
      <c r="X996" s="20" t="s">
        <v>45</v>
      </c>
    </row>
    <row r="997" spans="1:24" x14ac:dyDescent="0.25">
      <c r="A997" s="23" t="s">
        <v>1508</v>
      </c>
      <c r="B997" s="22">
        <v>45604</v>
      </c>
      <c r="C997" s="23" t="s">
        <v>1210</v>
      </c>
      <c r="D997" s="23" t="s">
        <v>65</v>
      </c>
      <c r="E997" s="23" t="s">
        <v>176</v>
      </c>
      <c r="F997" s="23" t="s">
        <v>2593</v>
      </c>
      <c r="G997" s="23" t="s">
        <v>2587</v>
      </c>
      <c r="H997" s="23" t="s">
        <v>39</v>
      </c>
      <c r="I997" s="23" t="s">
        <v>27</v>
      </c>
      <c r="J997" s="23" t="s">
        <v>106</v>
      </c>
      <c r="K997" s="23" t="s">
        <v>60</v>
      </c>
      <c r="L997" s="23" t="s">
        <v>2677</v>
      </c>
      <c r="M997" s="23" t="s">
        <v>153</v>
      </c>
      <c r="N997" s="23" t="s">
        <v>75</v>
      </c>
      <c r="O997" s="23">
        <v>27</v>
      </c>
      <c r="P997" s="23">
        <v>98.1</v>
      </c>
      <c r="Q997" s="23">
        <v>64.89</v>
      </c>
      <c r="R997" s="23">
        <v>2648.7</v>
      </c>
      <c r="S997" s="23">
        <f>ROUND(Cleaned_Sales!$T997/Cleaned_Sales!$R997,2)</f>
        <v>0.15</v>
      </c>
      <c r="T997" s="23">
        <v>397.31</v>
      </c>
      <c r="U997" s="23">
        <v>2251.4</v>
      </c>
      <c r="V997" s="23">
        <v>1751.9</v>
      </c>
      <c r="W997" s="23">
        <v>499.5</v>
      </c>
      <c r="X997" s="23" t="s">
        <v>45</v>
      </c>
    </row>
    <row r="998" spans="1:24" x14ac:dyDescent="0.25">
      <c r="A998" s="20" t="s">
        <v>1509</v>
      </c>
      <c r="B998" s="19">
        <v>45543</v>
      </c>
      <c r="C998" s="20" t="s">
        <v>945</v>
      </c>
      <c r="D998" s="20" t="s">
        <v>159</v>
      </c>
      <c r="E998" s="20" t="s">
        <v>176</v>
      </c>
      <c r="F998" s="20" t="s">
        <v>2593</v>
      </c>
      <c r="G998" s="20" t="s">
        <v>2587</v>
      </c>
      <c r="H998" s="20" t="s">
        <v>39</v>
      </c>
      <c r="I998" s="20" t="s">
        <v>40</v>
      </c>
      <c r="J998" s="20" t="s">
        <v>289</v>
      </c>
      <c r="K998" s="20" t="s">
        <v>178</v>
      </c>
      <c r="L998" s="20" t="s">
        <v>2689</v>
      </c>
      <c r="M998" s="20" t="s">
        <v>61</v>
      </c>
      <c r="N998" s="20" t="s">
        <v>44</v>
      </c>
      <c r="O998" s="20">
        <v>24</v>
      </c>
      <c r="P998" s="20">
        <v>111.28</v>
      </c>
      <c r="Q998" s="20">
        <v>63.98</v>
      </c>
      <c r="R998" s="20">
        <v>2670.75</v>
      </c>
      <c r="S998" s="20">
        <v>0.15</v>
      </c>
      <c r="T998" s="20">
        <v>400.61</v>
      </c>
      <c r="U998" s="20">
        <v>2270.14</v>
      </c>
      <c r="V998" s="20">
        <v>1535.57</v>
      </c>
      <c r="W998" s="20">
        <v>734.57</v>
      </c>
      <c r="X998" s="20" t="s">
        <v>45</v>
      </c>
    </row>
    <row r="999" spans="1:24" x14ac:dyDescent="0.25">
      <c r="A999" s="23" t="s">
        <v>1510</v>
      </c>
      <c r="B999" s="22">
        <v>45382</v>
      </c>
      <c r="C999" s="23" t="s">
        <v>408</v>
      </c>
      <c r="D999" s="23" t="s">
        <v>65</v>
      </c>
      <c r="E999" s="23" t="s">
        <v>216</v>
      </c>
      <c r="F999" s="23" t="s">
        <v>2596</v>
      </c>
      <c r="G999" s="23" t="s">
        <v>2579</v>
      </c>
      <c r="H999" s="23" t="s">
        <v>134</v>
      </c>
      <c r="I999" s="23" t="s">
        <v>88</v>
      </c>
      <c r="J999" s="23" t="s">
        <v>135</v>
      </c>
      <c r="K999" s="23" t="s">
        <v>218</v>
      </c>
      <c r="L999" s="23" t="s">
        <v>2692</v>
      </c>
      <c r="M999" s="23" t="s">
        <v>30</v>
      </c>
      <c r="N999" s="23" t="s">
        <v>75</v>
      </c>
      <c r="O999" s="23">
        <v>78</v>
      </c>
      <c r="P999" s="23">
        <v>107.42</v>
      </c>
      <c r="Q999" s="23">
        <v>64.819999999999993</v>
      </c>
      <c r="R999" s="23">
        <v>8378.5400000000009</v>
      </c>
      <c r="S999" s="23">
        <v>0.02</v>
      </c>
      <c r="T999" s="23">
        <v>167.57</v>
      </c>
      <c r="U999" s="23">
        <v>8210.9699999999993</v>
      </c>
      <c r="V999" s="23">
        <v>5055.87</v>
      </c>
      <c r="W999" s="23">
        <v>3155.1</v>
      </c>
      <c r="X999" s="23" t="s">
        <v>45</v>
      </c>
    </row>
    <row r="1000" spans="1:24" x14ac:dyDescent="0.25">
      <c r="A1000" s="20" t="s">
        <v>1511</v>
      </c>
      <c r="B1000" s="19">
        <v>45608</v>
      </c>
      <c r="C1000" s="20" t="s">
        <v>1184</v>
      </c>
      <c r="D1000" s="20" t="s">
        <v>65</v>
      </c>
      <c r="E1000" s="20" t="s">
        <v>23</v>
      </c>
      <c r="F1000" s="20" t="s">
        <v>2576</v>
      </c>
      <c r="G1000" s="20" t="s">
        <v>2577</v>
      </c>
      <c r="H1000" s="20" t="s">
        <v>26</v>
      </c>
      <c r="I1000" s="20" t="s">
        <v>27</v>
      </c>
      <c r="J1000" s="20" t="s">
        <v>211</v>
      </c>
      <c r="K1000" s="20" t="s">
        <v>265</v>
      </c>
      <c r="L1000" s="20" t="s">
        <v>2663</v>
      </c>
      <c r="M1000" s="20" t="s">
        <v>153</v>
      </c>
      <c r="N1000" s="20" t="s">
        <v>70</v>
      </c>
      <c r="O1000" s="20">
        <v>29</v>
      </c>
      <c r="P1000" s="20">
        <v>77.91</v>
      </c>
      <c r="Q1000" s="20">
        <v>43.48</v>
      </c>
      <c r="R1000" s="20">
        <v>2259.46</v>
      </c>
      <c r="S1000" s="20">
        <v>0.1</v>
      </c>
      <c r="T1000" s="20">
        <v>225.95</v>
      </c>
      <c r="U1000" s="20">
        <v>2033.52</v>
      </c>
      <c r="V1000" s="20">
        <v>1260.79</v>
      </c>
      <c r="W1000" s="20">
        <v>772.73</v>
      </c>
      <c r="X1000" s="20" t="s">
        <v>32</v>
      </c>
    </row>
    <row r="1001" spans="1:24" x14ac:dyDescent="0.25">
      <c r="A1001" s="23" t="s">
        <v>1512</v>
      </c>
      <c r="B1001" s="22">
        <v>45462</v>
      </c>
      <c r="C1001" s="23" t="s">
        <v>318</v>
      </c>
      <c r="D1001" s="23" t="s">
        <v>121</v>
      </c>
      <c r="E1001" s="23" t="s">
        <v>23</v>
      </c>
      <c r="F1001" s="23" t="s">
        <v>2576</v>
      </c>
      <c r="G1001" s="23" t="s">
        <v>2577</v>
      </c>
      <c r="H1001" s="23" t="s">
        <v>26</v>
      </c>
      <c r="I1001" s="23" t="s">
        <v>27</v>
      </c>
      <c r="J1001" s="23" t="s">
        <v>211</v>
      </c>
      <c r="K1001" s="23" t="s">
        <v>248</v>
      </c>
      <c r="L1001" s="23" t="s">
        <v>2693</v>
      </c>
      <c r="M1001" s="23" t="s">
        <v>153</v>
      </c>
      <c r="N1001" s="23" t="s">
        <v>2578</v>
      </c>
      <c r="O1001" s="23">
        <v>80</v>
      </c>
      <c r="P1001" s="23">
        <v>73.52</v>
      </c>
      <c r="Q1001" s="23">
        <v>46.19</v>
      </c>
      <c r="R1001" s="23">
        <v>5881.4</v>
      </c>
      <c r="S1001" s="23">
        <v>0.1</v>
      </c>
      <c r="T1001" s="23">
        <v>588.14</v>
      </c>
      <c r="U1001" s="23">
        <v>5293.26</v>
      </c>
      <c r="V1001" s="23">
        <v>3694.9</v>
      </c>
      <c r="W1001" s="23">
        <v>1598.36</v>
      </c>
      <c r="X1001" s="23" t="s">
        <v>129</v>
      </c>
    </row>
    <row r="1002" spans="1:24" x14ac:dyDescent="0.25">
      <c r="A1002" s="20" t="s">
        <v>1513</v>
      </c>
      <c r="B1002" s="19">
        <v>45357</v>
      </c>
      <c r="C1002" s="20" t="s">
        <v>480</v>
      </c>
      <c r="D1002" s="20" t="s">
        <v>22</v>
      </c>
      <c r="E1002" s="20" t="s">
        <v>66</v>
      </c>
      <c r="F1002" s="20" t="s">
        <v>2582</v>
      </c>
      <c r="G1002" s="20" t="s">
        <v>2579</v>
      </c>
      <c r="H1002" s="20" t="s">
        <v>68</v>
      </c>
      <c r="I1002" s="20" t="s">
        <v>40</v>
      </c>
      <c r="J1002" s="20" t="s">
        <v>289</v>
      </c>
      <c r="K1002" s="20" t="s">
        <v>69</v>
      </c>
      <c r="L1002" s="20" t="s">
        <v>2681</v>
      </c>
      <c r="M1002" s="20" t="s">
        <v>43</v>
      </c>
      <c r="N1002" s="20" t="s">
        <v>44</v>
      </c>
      <c r="O1002" s="20">
        <v>13</v>
      </c>
      <c r="P1002" s="20">
        <v>162.12</v>
      </c>
      <c r="Q1002" s="20">
        <v>99.89</v>
      </c>
      <c r="R1002" s="20">
        <v>2107.6</v>
      </c>
      <c r="S1002" s="20">
        <v>0.2</v>
      </c>
      <c r="T1002" s="20">
        <v>421.52</v>
      </c>
      <c r="U1002" s="20">
        <v>1686.08</v>
      </c>
      <c r="V1002" s="20">
        <v>1298.5899999999999</v>
      </c>
      <c r="W1002" s="20">
        <v>387.49</v>
      </c>
      <c r="X1002" s="20" t="s">
        <v>45</v>
      </c>
    </row>
    <row r="1003" spans="1:24" x14ac:dyDescent="0.25">
      <c r="A1003" s="23" t="s">
        <v>1514</v>
      </c>
      <c r="B1003" s="22">
        <v>45296</v>
      </c>
      <c r="C1003" s="23" t="s">
        <v>662</v>
      </c>
      <c r="D1003" s="23" t="s">
        <v>156</v>
      </c>
      <c r="E1003" s="23" t="s">
        <v>141</v>
      </c>
      <c r="F1003" s="23" t="s">
        <v>2590</v>
      </c>
      <c r="G1003" s="23" t="s">
        <v>2577</v>
      </c>
      <c r="H1003" s="23" t="s">
        <v>26</v>
      </c>
      <c r="I1003" s="23" t="s">
        <v>58</v>
      </c>
      <c r="J1003" s="23" t="s">
        <v>59</v>
      </c>
      <c r="K1003" s="23" t="s">
        <v>60</v>
      </c>
      <c r="L1003" s="23" t="s">
        <v>2677</v>
      </c>
      <c r="M1003" s="23" t="s">
        <v>43</v>
      </c>
      <c r="N1003" s="23" t="s">
        <v>75</v>
      </c>
      <c r="O1003" s="23">
        <v>67</v>
      </c>
      <c r="P1003" s="23">
        <v>96.62</v>
      </c>
      <c r="Q1003" s="23">
        <v>60.46</v>
      </c>
      <c r="R1003" s="23">
        <v>6473.21</v>
      </c>
      <c r="S1003" s="23">
        <v>0.15</v>
      </c>
      <c r="T1003" s="23">
        <v>970.98</v>
      </c>
      <c r="U1003" s="23">
        <v>5502.23</v>
      </c>
      <c r="V1003" s="23">
        <v>4050.65</v>
      </c>
      <c r="W1003" s="23">
        <v>1451.58</v>
      </c>
      <c r="X1003" s="23" t="s">
        <v>32</v>
      </c>
    </row>
    <row r="1004" spans="1:24" x14ac:dyDescent="0.25">
      <c r="A1004" s="20" t="s">
        <v>1515</v>
      </c>
      <c r="B1004" s="19">
        <v>45649</v>
      </c>
      <c r="C1004" s="20" t="s">
        <v>418</v>
      </c>
      <c r="D1004" s="20" t="s">
        <v>159</v>
      </c>
      <c r="E1004" s="20" t="s">
        <v>141</v>
      </c>
      <c r="F1004" s="20" t="s">
        <v>2590</v>
      </c>
      <c r="G1004" s="20" t="s">
        <v>2577</v>
      </c>
      <c r="H1004" s="20" t="s">
        <v>26</v>
      </c>
      <c r="I1004" s="20" t="s">
        <v>88</v>
      </c>
      <c r="J1004" s="20" t="s">
        <v>135</v>
      </c>
      <c r="K1004" s="20" t="s">
        <v>248</v>
      </c>
      <c r="L1004" s="20" t="s">
        <v>2693</v>
      </c>
      <c r="M1004" s="20" t="s">
        <v>43</v>
      </c>
      <c r="N1004" s="20" t="s">
        <v>84</v>
      </c>
      <c r="O1004" s="20">
        <v>54</v>
      </c>
      <c r="P1004" s="20">
        <v>89.39</v>
      </c>
      <c r="Q1004" s="20">
        <v>61.59</v>
      </c>
      <c r="R1004" s="20">
        <v>4826.8900000000003</v>
      </c>
      <c r="S1004" s="20">
        <v>0.02</v>
      </c>
      <c r="T1004" s="20">
        <v>96.54</v>
      </c>
      <c r="U1004" s="20">
        <v>4730.3500000000004</v>
      </c>
      <c r="V1004" s="20">
        <v>3325.74</v>
      </c>
      <c r="W1004" s="20">
        <v>1404.61</v>
      </c>
      <c r="X1004" s="20" t="s">
        <v>45</v>
      </c>
    </row>
    <row r="1005" spans="1:24" x14ac:dyDescent="0.25">
      <c r="A1005" s="23" t="s">
        <v>1516</v>
      </c>
      <c r="B1005" s="22">
        <v>45649</v>
      </c>
      <c r="C1005" s="23" t="s">
        <v>303</v>
      </c>
      <c r="D1005" s="23" t="s">
        <v>22</v>
      </c>
      <c r="E1005" s="23" t="s">
        <v>176</v>
      </c>
      <c r="F1005" s="23" t="s">
        <v>2593</v>
      </c>
      <c r="G1005" s="23" t="s">
        <v>2587</v>
      </c>
      <c r="H1005" s="23" t="s">
        <v>39</v>
      </c>
      <c r="I1005" s="23" t="s">
        <v>40</v>
      </c>
      <c r="J1005" s="23" t="s">
        <v>82</v>
      </c>
      <c r="K1005" s="23" t="s">
        <v>178</v>
      </c>
      <c r="L1005" s="23" t="s">
        <v>2689</v>
      </c>
      <c r="M1005" s="23" t="s">
        <v>30</v>
      </c>
      <c r="N1005" s="23" t="s">
        <v>75</v>
      </c>
      <c r="O1005" s="23">
        <v>28</v>
      </c>
      <c r="P1005" s="23">
        <v>97.65</v>
      </c>
      <c r="Q1005" s="23">
        <v>66.87</v>
      </c>
      <c r="R1005" s="23">
        <v>2734.18</v>
      </c>
      <c r="S1005" s="23">
        <v>0.1</v>
      </c>
      <c r="T1005" s="23">
        <v>273.42</v>
      </c>
      <c r="U1005" s="23">
        <v>2460.7600000000002</v>
      </c>
      <c r="V1005" s="23">
        <v>1872.23</v>
      </c>
      <c r="W1005" s="23">
        <v>588.53</v>
      </c>
      <c r="X1005" s="23" t="s">
        <v>45</v>
      </c>
    </row>
    <row r="1006" spans="1:24" x14ac:dyDescent="0.25">
      <c r="A1006" s="20" t="s">
        <v>1517</v>
      </c>
      <c r="B1006" s="19">
        <v>45563</v>
      </c>
      <c r="C1006" s="20" t="s">
        <v>1044</v>
      </c>
      <c r="D1006" s="20" t="s">
        <v>359</v>
      </c>
      <c r="E1006" s="20" t="s">
        <v>222</v>
      </c>
      <c r="F1006" s="20" t="s">
        <v>2597</v>
      </c>
      <c r="G1006" s="20" t="s">
        <v>2587</v>
      </c>
      <c r="H1006" s="20" t="s">
        <v>68</v>
      </c>
      <c r="I1006" s="20" t="s">
        <v>40</v>
      </c>
      <c r="J1006" s="20" t="s">
        <v>117</v>
      </c>
      <c r="K1006" s="20" t="s">
        <v>29</v>
      </c>
      <c r="L1006" s="20" t="s">
        <v>2679</v>
      </c>
      <c r="M1006" s="20" t="s">
        <v>61</v>
      </c>
      <c r="N1006" s="20" t="s">
        <v>75</v>
      </c>
      <c r="O1006" s="20">
        <v>66</v>
      </c>
      <c r="P1006" s="20">
        <v>125.73</v>
      </c>
      <c r="Q1006" s="20">
        <v>79.87</v>
      </c>
      <c r="R1006" s="20">
        <v>8298</v>
      </c>
      <c r="S1006" s="20">
        <v>0.02</v>
      </c>
      <c r="T1006" s="20">
        <v>165.96</v>
      </c>
      <c r="U1006" s="20">
        <v>8132.04</v>
      </c>
      <c r="V1006" s="20">
        <v>5271.52</v>
      </c>
      <c r="W1006" s="20">
        <v>2860.52</v>
      </c>
      <c r="X1006" s="20" t="s">
        <v>45</v>
      </c>
    </row>
    <row r="1007" spans="1:24" x14ac:dyDescent="0.25">
      <c r="A1007" s="23" t="s">
        <v>1518</v>
      </c>
      <c r="B1007" s="22">
        <v>45381</v>
      </c>
      <c r="C1007" s="23" t="s">
        <v>1175</v>
      </c>
      <c r="D1007" s="23" t="s">
        <v>156</v>
      </c>
      <c r="E1007" s="23" t="s">
        <v>109</v>
      </c>
      <c r="F1007" s="23" t="s">
        <v>110</v>
      </c>
      <c r="G1007" s="23" t="s">
        <v>2584</v>
      </c>
      <c r="H1007" s="23" t="s">
        <v>81</v>
      </c>
      <c r="I1007" s="23" t="s">
        <v>88</v>
      </c>
      <c r="J1007" s="23" t="s">
        <v>183</v>
      </c>
      <c r="K1007" s="23" t="s">
        <v>265</v>
      </c>
      <c r="L1007" s="23" t="s">
        <v>2663</v>
      </c>
      <c r="M1007" s="23" t="s">
        <v>153</v>
      </c>
      <c r="N1007" s="23" t="s">
        <v>70</v>
      </c>
      <c r="O1007" s="23">
        <v>41</v>
      </c>
      <c r="P1007" s="23">
        <v>127.73</v>
      </c>
      <c r="Q1007" s="23">
        <v>75.349999999999994</v>
      </c>
      <c r="R1007" s="23">
        <v>5237.07</v>
      </c>
      <c r="S1007" s="23">
        <v>0.2</v>
      </c>
      <c r="T1007" s="23">
        <v>1047.4100000000001</v>
      </c>
      <c r="U1007" s="23">
        <v>4189.66</v>
      </c>
      <c r="V1007" s="23">
        <v>3089.31</v>
      </c>
      <c r="W1007" s="23">
        <v>1100.3499999999999</v>
      </c>
      <c r="X1007" s="23" t="s">
        <v>32</v>
      </c>
    </row>
    <row r="1008" spans="1:24" x14ac:dyDescent="0.25">
      <c r="A1008" s="20" t="s">
        <v>1519</v>
      </c>
      <c r="B1008" s="19">
        <v>45549</v>
      </c>
      <c r="C1008" s="20" t="s">
        <v>1310</v>
      </c>
      <c r="D1008" s="20" t="s">
        <v>264</v>
      </c>
      <c r="E1008" s="20" t="s">
        <v>93</v>
      </c>
      <c r="F1008" s="20" t="s">
        <v>2585</v>
      </c>
      <c r="G1008" s="20" t="s">
        <v>2586</v>
      </c>
      <c r="H1008" s="20" t="s">
        <v>96</v>
      </c>
      <c r="I1008" s="20" t="s">
        <v>40</v>
      </c>
      <c r="J1008" s="20" t="s">
        <v>82</v>
      </c>
      <c r="K1008" s="20" t="s">
        <v>253</v>
      </c>
      <c r="L1008" s="20" t="s">
        <v>2694</v>
      </c>
      <c r="M1008" s="20" t="s">
        <v>30</v>
      </c>
      <c r="N1008" s="20" t="s">
        <v>44</v>
      </c>
      <c r="O1008" s="20">
        <v>66</v>
      </c>
      <c r="P1008" s="20">
        <v>55.41</v>
      </c>
      <c r="Q1008" s="20">
        <v>34.06</v>
      </c>
      <c r="R1008" s="20">
        <v>3657.12</v>
      </c>
      <c r="S1008" s="20">
        <v>0.2</v>
      </c>
      <c r="T1008" s="20">
        <v>731.42</v>
      </c>
      <c r="U1008" s="20">
        <v>2925.7</v>
      </c>
      <c r="V1008" s="20">
        <v>2247.98</v>
      </c>
      <c r="W1008" s="20">
        <v>677.71</v>
      </c>
      <c r="X1008" s="20" t="s">
        <v>32</v>
      </c>
    </row>
    <row r="1009" spans="1:24" x14ac:dyDescent="0.25">
      <c r="A1009" s="23" t="s">
        <v>1520</v>
      </c>
      <c r="B1009" s="22">
        <v>45362</v>
      </c>
      <c r="C1009" s="23" t="s">
        <v>948</v>
      </c>
      <c r="D1009" s="23" t="s">
        <v>87</v>
      </c>
      <c r="E1009" s="23" t="s">
        <v>109</v>
      </c>
      <c r="F1009" s="23" t="s">
        <v>110</v>
      </c>
      <c r="G1009" s="23" t="s">
        <v>2584</v>
      </c>
      <c r="H1009" s="23" t="s">
        <v>81</v>
      </c>
      <c r="I1009" s="23" t="s">
        <v>53</v>
      </c>
      <c r="J1009" s="23" t="s">
        <v>122</v>
      </c>
      <c r="K1009" s="23" t="s">
        <v>118</v>
      </c>
      <c r="L1009" s="23" t="s">
        <v>2686</v>
      </c>
      <c r="M1009" s="23" t="s">
        <v>30</v>
      </c>
      <c r="N1009" s="23" t="s">
        <v>70</v>
      </c>
      <c r="O1009" s="23">
        <v>21</v>
      </c>
      <c r="P1009" s="23">
        <v>130.59</v>
      </c>
      <c r="Q1009" s="23">
        <v>72.23</v>
      </c>
      <c r="R1009" s="23">
        <v>2742.43</v>
      </c>
      <c r="S1009" s="23">
        <v>0.02</v>
      </c>
      <c r="T1009" s="23">
        <v>54.85</v>
      </c>
      <c r="U1009" s="23">
        <v>2198.48</v>
      </c>
      <c r="V1009" s="23">
        <v>1516.74</v>
      </c>
      <c r="W1009" s="23">
        <v>1170.8399999999999</v>
      </c>
      <c r="X1009" s="23" t="s">
        <v>45</v>
      </c>
    </row>
    <row r="1010" spans="1:24" x14ac:dyDescent="0.25">
      <c r="A1010" s="20" t="s">
        <v>1521</v>
      </c>
      <c r="B1010" s="19">
        <v>45338</v>
      </c>
      <c r="C1010" s="20" t="s">
        <v>408</v>
      </c>
      <c r="D1010" s="20" t="s">
        <v>65</v>
      </c>
      <c r="E1010" s="20" t="s">
        <v>126</v>
      </c>
      <c r="F1010" s="20" t="s">
        <v>2589</v>
      </c>
      <c r="G1010" s="20" t="s">
        <v>2586</v>
      </c>
      <c r="H1010" s="20" t="s">
        <v>128</v>
      </c>
      <c r="I1010" s="20" t="s">
        <v>58</v>
      </c>
      <c r="J1010" s="20" t="s">
        <v>345</v>
      </c>
      <c r="K1010" s="20" t="s">
        <v>152</v>
      </c>
      <c r="L1010" s="20" t="s">
        <v>2688</v>
      </c>
      <c r="M1010" s="20" t="s">
        <v>43</v>
      </c>
      <c r="N1010" s="20" t="s">
        <v>75</v>
      </c>
      <c r="O1010" s="20">
        <v>21</v>
      </c>
      <c r="P1010" s="20">
        <v>86.68</v>
      </c>
      <c r="Q1010" s="20">
        <v>51.96</v>
      </c>
      <c r="R1010" s="20">
        <v>1820.22</v>
      </c>
      <c r="S1010" s="20">
        <v>0.2</v>
      </c>
      <c r="T1010" s="20">
        <v>364.04</v>
      </c>
      <c r="U1010" s="20">
        <v>1456.18</v>
      </c>
      <c r="V1010" s="20">
        <v>1091.1500000000001</v>
      </c>
      <c r="W1010" s="20">
        <v>365.03</v>
      </c>
      <c r="X1010" s="20" t="s">
        <v>45</v>
      </c>
    </row>
    <row r="1011" spans="1:24" x14ac:dyDescent="0.25">
      <c r="A1011" s="23" t="s">
        <v>1522</v>
      </c>
      <c r="B1011" s="22">
        <v>45562</v>
      </c>
      <c r="C1011" s="23" t="s">
        <v>389</v>
      </c>
      <c r="D1011" s="23" t="s">
        <v>264</v>
      </c>
      <c r="E1011" s="23" t="s">
        <v>209</v>
      </c>
      <c r="F1011" s="23" t="s">
        <v>2595</v>
      </c>
      <c r="G1011" s="23" t="s">
        <v>2581</v>
      </c>
      <c r="H1011" s="23" t="s">
        <v>116</v>
      </c>
      <c r="I1011" s="23" t="s">
        <v>58</v>
      </c>
      <c r="J1011" s="23" t="s">
        <v>73</v>
      </c>
      <c r="K1011" s="23" t="s">
        <v>253</v>
      </c>
      <c r="L1011" s="23" t="s">
        <v>2694</v>
      </c>
      <c r="M1011" s="23" t="s">
        <v>30</v>
      </c>
      <c r="N1011" s="23" t="s">
        <v>44</v>
      </c>
      <c r="O1011" s="23">
        <v>63</v>
      </c>
      <c r="P1011" s="23">
        <v>18.88</v>
      </c>
      <c r="Q1011" s="23">
        <v>10.52</v>
      </c>
      <c r="R1011" s="23">
        <v>1189.3599999999999</v>
      </c>
      <c r="S1011" s="23">
        <v>0.2</v>
      </c>
      <c r="T1011" s="23">
        <v>237.87</v>
      </c>
      <c r="U1011" s="23">
        <v>951.48</v>
      </c>
      <c r="V1011" s="23">
        <v>662.56</v>
      </c>
      <c r="W1011" s="23">
        <v>288.93</v>
      </c>
      <c r="X1011" s="23" t="s">
        <v>45</v>
      </c>
    </row>
    <row r="1012" spans="1:24" x14ac:dyDescent="0.25">
      <c r="A1012" s="20" t="s">
        <v>1523</v>
      </c>
      <c r="B1012" s="19">
        <v>45651</v>
      </c>
      <c r="C1012" s="20" t="s">
        <v>1047</v>
      </c>
      <c r="D1012" s="20" t="s">
        <v>156</v>
      </c>
      <c r="E1012" s="20" t="s">
        <v>114</v>
      </c>
      <c r="F1012" s="20" t="s">
        <v>2588</v>
      </c>
      <c r="G1012" s="20" t="s">
        <v>2586</v>
      </c>
      <c r="H1012" s="20" t="s">
        <v>116</v>
      </c>
      <c r="I1012" s="20" t="s">
        <v>40</v>
      </c>
      <c r="J1012" s="20" t="s">
        <v>82</v>
      </c>
      <c r="K1012" s="20" t="s">
        <v>178</v>
      </c>
      <c r="L1012" s="20" t="s">
        <v>2689</v>
      </c>
      <c r="M1012" s="20" t="s">
        <v>61</v>
      </c>
      <c r="N1012" s="20" t="s">
        <v>84</v>
      </c>
      <c r="O1012" s="20">
        <v>37</v>
      </c>
      <c r="P1012" s="20">
        <v>36.53</v>
      </c>
      <c r="Q1012" s="20">
        <v>20.12</v>
      </c>
      <c r="R1012" s="20">
        <v>1351.52</v>
      </c>
      <c r="S1012" s="20">
        <v>0.15</v>
      </c>
      <c r="T1012" s="20">
        <v>202.73</v>
      </c>
      <c r="U1012" s="20">
        <v>1148.79</v>
      </c>
      <c r="V1012" s="20">
        <v>744.3</v>
      </c>
      <c r="W1012" s="20">
        <v>404.49</v>
      </c>
      <c r="X1012" s="20" t="s">
        <v>32</v>
      </c>
    </row>
    <row r="1013" spans="1:24" x14ac:dyDescent="0.25">
      <c r="A1013" s="23" t="s">
        <v>1524</v>
      </c>
      <c r="B1013" s="22">
        <v>45518</v>
      </c>
      <c r="C1013" s="23" t="s">
        <v>487</v>
      </c>
      <c r="D1013" s="23" t="s">
        <v>156</v>
      </c>
      <c r="E1013" s="23" t="s">
        <v>66</v>
      </c>
      <c r="F1013" s="23" t="s">
        <v>2582</v>
      </c>
      <c r="G1013" s="23" t="s">
        <v>2579</v>
      </c>
      <c r="H1013" s="23" t="s">
        <v>68</v>
      </c>
      <c r="I1013" s="23" t="s">
        <v>58</v>
      </c>
      <c r="J1013" s="23" t="s">
        <v>345</v>
      </c>
      <c r="K1013" s="23" t="s">
        <v>90</v>
      </c>
      <c r="L1013" s="23" t="s">
        <v>2684</v>
      </c>
      <c r="M1013" s="23" t="s">
        <v>61</v>
      </c>
      <c r="N1013" s="23" t="s">
        <v>84</v>
      </c>
      <c r="O1013" s="23">
        <v>35</v>
      </c>
      <c r="P1013" s="23">
        <v>166.12</v>
      </c>
      <c r="Q1013" s="23">
        <v>100.3</v>
      </c>
      <c r="R1013" s="23">
        <v>5814.2</v>
      </c>
      <c r="S1013" s="23">
        <v>0.1</v>
      </c>
      <c r="T1013" s="23">
        <v>581.41999999999996</v>
      </c>
      <c r="U1013" s="23">
        <v>5232.78</v>
      </c>
      <c r="V1013" s="23">
        <v>3510.4</v>
      </c>
      <c r="W1013" s="23">
        <v>1722.39</v>
      </c>
      <c r="X1013" s="23" t="s">
        <v>32</v>
      </c>
    </row>
    <row r="1014" spans="1:24" x14ac:dyDescent="0.25">
      <c r="A1014" s="20" t="s">
        <v>1525</v>
      </c>
      <c r="B1014" s="19">
        <v>45463</v>
      </c>
      <c r="C1014" s="20" t="s">
        <v>924</v>
      </c>
      <c r="D1014" s="20" t="s">
        <v>48</v>
      </c>
      <c r="E1014" s="20" t="s">
        <v>109</v>
      </c>
      <c r="F1014" s="20" t="s">
        <v>110</v>
      </c>
      <c r="G1014" s="20" t="s">
        <v>2584</v>
      </c>
      <c r="H1014" s="20" t="s">
        <v>81</v>
      </c>
      <c r="I1014" s="20" t="s">
        <v>27</v>
      </c>
      <c r="J1014" s="20" t="s">
        <v>28</v>
      </c>
      <c r="K1014" s="20" t="s">
        <v>144</v>
      </c>
      <c r="L1014" s="20" t="s">
        <v>2687</v>
      </c>
      <c r="M1014" s="20" t="s">
        <v>61</v>
      </c>
      <c r="N1014" s="20" t="s">
        <v>75</v>
      </c>
      <c r="O1014" s="20">
        <v>73</v>
      </c>
      <c r="P1014" s="20">
        <v>116.83</v>
      </c>
      <c r="Q1014" s="20">
        <v>78.47</v>
      </c>
      <c r="R1014" s="20">
        <v>8528.57</v>
      </c>
      <c r="S1014" s="20">
        <v>0.2</v>
      </c>
      <c r="T1014" s="20">
        <v>1705.71</v>
      </c>
      <c r="U1014" s="20">
        <v>6822.86</v>
      </c>
      <c r="V1014" s="20">
        <v>5728.25</v>
      </c>
      <c r="W1014" s="20">
        <v>1094.6099999999999</v>
      </c>
      <c r="X1014" s="20" t="s">
        <v>129</v>
      </c>
    </row>
    <row r="1015" spans="1:24" x14ac:dyDescent="0.25">
      <c r="A1015" s="23" t="s">
        <v>1526</v>
      </c>
      <c r="B1015" s="22">
        <v>45380</v>
      </c>
      <c r="C1015" s="23" t="s">
        <v>897</v>
      </c>
      <c r="D1015" s="23" t="s">
        <v>65</v>
      </c>
      <c r="E1015" s="23" t="s">
        <v>93</v>
      </c>
      <c r="F1015" s="23" t="s">
        <v>2585</v>
      </c>
      <c r="G1015" s="23" t="s">
        <v>2586</v>
      </c>
      <c r="H1015" s="23" t="s">
        <v>96</v>
      </c>
      <c r="I1015" s="23" t="s">
        <v>58</v>
      </c>
      <c r="J1015" s="23" t="s">
        <v>323</v>
      </c>
      <c r="K1015" s="23" t="s">
        <v>265</v>
      </c>
      <c r="L1015" s="23" t="s">
        <v>2663</v>
      </c>
      <c r="M1015" s="23" t="s">
        <v>61</v>
      </c>
      <c r="N1015" s="23" t="s">
        <v>2578</v>
      </c>
      <c r="O1015" s="23">
        <v>78</v>
      </c>
      <c r="P1015" s="23">
        <v>56.78</v>
      </c>
      <c r="Q1015" s="23">
        <v>33.51</v>
      </c>
      <c r="R1015" s="23">
        <v>4428.63</v>
      </c>
      <c r="S1015" s="23">
        <v>0.02</v>
      </c>
      <c r="T1015" s="23">
        <v>88.57</v>
      </c>
      <c r="U1015" s="23">
        <v>4340.0600000000004</v>
      </c>
      <c r="V1015" s="23">
        <v>2614.13</v>
      </c>
      <c r="W1015" s="23">
        <v>1725.93</v>
      </c>
      <c r="X1015" s="23" t="s">
        <v>45</v>
      </c>
    </row>
    <row r="1016" spans="1:24" x14ac:dyDescent="0.25">
      <c r="A1016" s="20" t="s">
        <v>1527</v>
      </c>
      <c r="B1016" s="19">
        <v>45381</v>
      </c>
      <c r="C1016" s="20" t="s">
        <v>1488</v>
      </c>
      <c r="D1016" s="20" t="s">
        <v>149</v>
      </c>
      <c r="E1016" s="20" t="s">
        <v>126</v>
      </c>
      <c r="F1016" s="20" t="s">
        <v>2589</v>
      </c>
      <c r="G1016" s="20" t="s">
        <v>2586</v>
      </c>
      <c r="H1016" s="20" t="s">
        <v>128</v>
      </c>
      <c r="I1016" s="20" t="s">
        <v>27</v>
      </c>
      <c r="J1016" s="20" t="s">
        <v>211</v>
      </c>
      <c r="K1016" s="20" t="s">
        <v>69</v>
      </c>
      <c r="L1016" s="20" t="s">
        <v>2681</v>
      </c>
      <c r="M1016" s="20" t="s">
        <v>30</v>
      </c>
      <c r="N1016" s="20" t="s">
        <v>75</v>
      </c>
      <c r="O1016" s="20">
        <v>9</v>
      </c>
      <c r="P1016" s="20">
        <v>83.98</v>
      </c>
      <c r="Q1016" s="20">
        <v>52.66</v>
      </c>
      <c r="R1016" s="20">
        <v>755.86</v>
      </c>
      <c r="S1016" s="20">
        <v>0.1</v>
      </c>
      <c r="T1016" s="20">
        <v>75.59</v>
      </c>
      <c r="U1016" s="20">
        <v>680.28</v>
      </c>
      <c r="V1016" s="20">
        <v>473.92</v>
      </c>
      <c r="W1016" s="20">
        <v>206.36</v>
      </c>
      <c r="X1016" s="20" t="s">
        <v>32</v>
      </c>
    </row>
    <row r="1017" spans="1:24" x14ac:dyDescent="0.25">
      <c r="A1017" s="23" t="s">
        <v>1528</v>
      </c>
      <c r="B1017" s="22">
        <v>45541</v>
      </c>
      <c r="C1017" s="23" t="s">
        <v>1265</v>
      </c>
      <c r="D1017" s="23" t="s">
        <v>48</v>
      </c>
      <c r="E1017" s="23" t="s">
        <v>176</v>
      </c>
      <c r="F1017" s="23" t="s">
        <v>2593</v>
      </c>
      <c r="G1017" s="23" t="s">
        <v>2587</v>
      </c>
      <c r="H1017" s="23" t="s">
        <v>39</v>
      </c>
      <c r="I1017" s="23" t="s">
        <v>40</v>
      </c>
      <c r="J1017" s="23" t="s">
        <v>41</v>
      </c>
      <c r="K1017" s="23" t="s">
        <v>69</v>
      </c>
      <c r="L1017" s="23" t="s">
        <v>2681</v>
      </c>
      <c r="M1017" s="23" t="s">
        <v>61</v>
      </c>
      <c r="N1017" s="23" t="s">
        <v>75</v>
      </c>
      <c r="O1017" s="23">
        <v>51</v>
      </c>
      <c r="P1017" s="23">
        <v>109.51</v>
      </c>
      <c r="Q1017" s="23">
        <v>62.17</v>
      </c>
      <c r="R1017" s="23">
        <v>5584.86</v>
      </c>
      <c r="S1017" s="23">
        <v>0.2</v>
      </c>
      <c r="T1017" s="23">
        <v>1116.97</v>
      </c>
      <c r="U1017" s="23">
        <v>4467.8900000000003</v>
      </c>
      <c r="V1017" s="23">
        <v>3170.73</v>
      </c>
      <c r="W1017" s="23">
        <v>1297.1600000000001</v>
      </c>
      <c r="X1017" s="23" t="s">
        <v>45</v>
      </c>
    </row>
    <row r="1018" spans="1:24" x14ac:dyDescent="0.25">
      <c r="A1018" s="20" t="s">
        <v>1529</v>
      </c>
      <c r="B1018" s="19">
        <v>45409</v>
      </c>
      <c r="C1018" s="20" t="s">
        <v>1380</v>
      </c>
      <c r="D1018" s="20" t="s">
        <v>121</v>
      </c>
      <c r="E1018" s="20" t="s">
        <v>165</v>
      </c>
      <c r="F1018" s="20" t="s">
        <v>2592</v>
      </c>
      <c r="G1018" s="20" t="s">
        <v>2586</v>
      </c>
      <c r="H1018" s="20" t="s">
        <v>167</v>
      </c>
      <c r="I1018" s="20" t="s">
        <v>53</v>
      </c>
      <c r="J1018" s="20" t="s">
        <v>122</v>
      </c>
      <c r="K1018" s="20" t="s">
        <v>60</v>
      </c>
      <c r="L1018" s="20" t="s">
        <v>2677</v>
      </c>
      <c r="M1018" s="20" t="s">
        <v>43</v>
      </c>
      <c r="N1018" s="20" t="s">
        <v>75</v>
      </c>
      <c r="O1018" s="20">
        <v>32</v>
      </c>
      <c r="P1018" s="20">
        <v>41.17</v>
      </c>
      <c r="Q1018" s="20">
        <v>23.33</v>
      </c>
      <c r="R1018" s="20">
        <v>1317.39</v>
      </c>
      <c r="S1018" s="20">
        <v>0.1</v>
      </c>
      <c r="T1018" s="20">
        <v>131.74</v>
      </c>
      <c r="U1018" s="20">
        <v>1185.6500000000001</v>
      </c>
      <c r="V1018" s="20">
        <v>746.69</v>
      </c>
      <c r="W1018" s="20">
        <v>438.96</v>
      </c>
      <c r="X1018" s="20" t="s">
        <v>129</v>
      </c>
    </row>
    <row r="1019" spans="1:24" x14ac:dyDescent="0.25">
      <c r="A1019" s="23" t="s">
        <v>1530</v>
      </c>
      <c r="B1019" s="22">
        <v>45438</v>
      </c>
      <c r="C1019" s="23" t="s">
        <v>1531</v>
      </c>
      <c r="D1019" s="23" t="s">
        <v>105</v>
      </c>
      <c r="E1019" s="23" t="s">
        <v>216</v>
      </c>
      <c r="F1019" s="23" t="s">
        <v>2596</v>
      </c>
      <c r="G1019" s="23" t="s">
        <v>2579</v>
      </c>
      <c r="H1019" s="23" t="s">
        <v>134</v>
      </c>
      <c r="I1019" s="23" t="s">
        <v>53</v>
      </c>
      <c r="J1019" s="23" t="s">
        <v>54</v>
      </c>
      <c r="K1019" s="23" t="s">
        <v>195</v>
      </c>
      <c r="L1019" s="23" t="s">
        <v>2691</v>
      </c>
      <c r="M1019" s="23" t="s">
        <v>30</v>
      </c>
      <c r="N1019" s="23" t="s">
        <v>75</v>
      </c>
      <c r="O1019" s="23">
        <v>21</v>
      </c>
      <c r="P1019" s="23">
        <v>113.39</v>
      </c>
      <c r="Q1019" s="23">
        <v>70.62</v>
      </c>
      <c r="R1019" s="23">
        <v>2381.19</v>
      </c>
      <c r="S1019" s="23">
        <v>0.05</v>
      </c>
      <c r="T1019" s="23">
        <v>119.06</v>
      </c>
      <c r="U1019" s="23">
        <v>2262.13</v>
      </c>
      <c r="V1019" s="23">
        <v>1483.12</v>
      </c>
      <c r="W1019" s="23">
        <v>779.02</v>
      </c>
      <c r="X1019" s="23" t="s">
        <v>45</v>
      </c>
    </row>
    <row r="1020" spans="1:24" x14ac:dyDescent="0.25">
      <c r="A1020" s="20" t="s">
        <v>1532</v>
      </c>
      <c r="B1020" s="19">
        <v>45535</v>
      </c>
      <c r="C1020" s="20" t="s">
        <v>674</v>
      </c>
      <c r="D1020" s="20" t="s">
        <v>264</v>
      </c>
      <c r="E1020" s="20" t="s">
        <v>132</v>
      </c>
      <c r="F1020" s="20" t="s">
        <v>133</v>
      </c>
      <c r="G1020" s="20" t="s">
        <v>2581</v>
      </c>
      <c r="H1020" s="20" t="s">
        <v>134</v>
      </c>
      <c r="I1020" s="20" t="s">
        <v>88</v>
      </c>
      <c r="J1020" s="20" t="s">
        <v>135</v>
      </c>
      <c r="K1020" s="20" t="s">
        <v>111</v>
      </c>
      <c r="L1020" s="20" t="s">
        <v>2685</v>
      </c>
      <c r="M1020" s="20" t="s">
        <v>30</v>
      </c>
      <c r="N1020" s="20" t="s">
        <v>84</v>
      </c>
      <c r="O1020" s="20">
        <v>-2</v>
      </c>
      <c r="P1020" s="20">
        <v>57.4</v>
      </c>
      <c r="Q1020" s="20">
        <v>33.83</v>
      </c>
      <c r="R1020" s="20">
        <v>3903.33</v>
      </c>
      <c r="S1020" s="20">
        <v>0</v>
      </c>
      <c r="T1020" s="20">
        <v>0</v>
      </c>
      <c r="U1020" s="20">
        <v>3903.33</v>
      </c>
      <c r="V1020" s="20">
        <v>2300.5700000000002</v>
      </c>
      <c r="W1020" s="20">
        <v>1602.76</v>
      </c>
      <c r="X1020" s="20" t="s">
        <v>45</v>
      </c>
    </row>
    <row r="1021" spans="1:24" x14ac:dyDescent="0.25">
      <c r="A1021" s="23" t="s">
        <v>1533</v>
      </c>
      <c r="B1021" s="22">
        <v>45368</v>
      </c>
      <c r="C1021" s="23" t="s">
        <v>1129</v>
      </c>
      <c r="D1021" s="23" t="s">
        <v>65</v>
      </c>
      <c r="E1021" s="23" t="s">
        <v>187</v>
      </c>
      <c r="F1021" s="23" t="s">
        <v>2594</v>
      </c>
      <c r="G1021" s="23" t="s">
        <v>2577</v>
      </c>
      <c r="H1021" s="23" t="s">
        <v>26</v>
      </c>
      <c r="I1021" s="23" t="s">
        <v>58</v>
      </c>
      <c r="J1021" s="23" t="s">
        <v>73</v>
      </c>
      <c r="K1021" s="23" t="s">
        <v>152</v>
      </c>
      <c r="L1021" s="23" t="s">
        <v>2688</v>
      </c>
      <c r="M1021" s="23" t="s">
        <v>61</v>
      </c>
      <c r="N1021" s="23" t="s">
        <v>84</v>
      </c>
      <c r="O1021" s="23">
        <v>5</v>
      </c>
      <c r="P1021" s="23">
        <v>44.83</v>
      </c>
      <c r="Q1021" s="23">
        <v>29.17</v>
      </c>
      <c r="R1021" s="23">
        <v>224.14</v>
      </c>
      <c r="S1021" s="23">
        <v>0.15</v>
      </c>
      <c r="T1021" s="23">
        <v>33.619999999999997</v>
      </c>
      <c r="U1021" s="23">
        <v>190.52</v>
      </c>
      <c r="V1021" s="23">
        <v>145.86000000000001</v>
      </c>
      <c r="W1021" s="23">
        <v>44.66</v>
      </c>
      <c r="X1021" s="23" t="s">
        <v>45</v>
      </c>
    </row>
    <row r="1022" spans="1:24" x14ac:dyDescent="0.25">
      <c r="A1022" s="20" t="s">
        <v>1534</v>
      </c>
      <c r="B1022" s="19">
        <v>45416</v>
      </c>
      <c r="C1022" s="20" t="s">
        <v>1368</v>
      </c>
      <c r="D1022" s="20" t="s">
        <v>22</v>
      </c>
      <c r="E1022" s="20" t="s">
        <v>49</v>
      </c>
      <c r="F1022" s="20" t="s">
        <v>2580</v>
      </c>
      <c r="G1022" s="20" t="s">
        <v>2581</v>
      </c>
      <c r="H1022" s="20" t="s">
        <v>52</v>
      </c>
      <c r="I1022" s="20" t="s">
        <v>58</v>
      </c>
      <c r="J1022" s="20" t="s">
        <v>323</v>
      </c>
      <c r="K1022" s="20" t="s">
        <v>90</v>
      </c>
      <c r="L1022" s="20" t="s">
        <v>2684</v>
      </c>
      <c r="M1022" s="20" t="s">
        <v>153</v>
      </c>
      <c r="N1022" s="20" t="s">
        <v>70</v>
      </c>
      <c r="O1022" s="20">
        <v>62</v>
      </c>
      <c r="P1022" s="20">
        <v>23.29</v>
      </c>
      <c r="Q1022" s="20">
        <v>13.38</v>
      </c>
      <c r="R1022" s="20">
        <v>1443.8</v>
      </c>
      <c r="S1022" s="20">
        <v>0.02</v>
      </c>
      <c r="T1022" s="20">
        <v>28.88</v>
      </c>
      <c r="U1022" s="20">
        <v>1414.92</v>
      </c>
      <c r="V1022" s="20">
        <v>829.55</v>
      </c>
      <c r="W1022" s="20">
        <v>585.37</v>
      </c>
      <c r="X1022" s="20" t="s">
        <v>45</v>
      </c>
    </row>
    <row r="1023" spans="1:24" x14ac:dyDescent="0.25">
      <c r="A1023" s="23" t="s">
        <v>1535</v>
      </c>
      <c r="B1023" s="22">
        <v>45628</v>
      </c>
      <c r="C1023" s="23" t="s">
        <v>113</v>
      </c>
      <c r="D1023" s="23" t="s">
        <v>65</v>
      </c>
      <c r="E1023" s="23" t="s">
        <v>141</v>
      </c>
      <c r="F1023" s="23" t="s">
        <v>2590</v>
      </c>
      <c r="G1023" s="23" t="s">
        <v>2577</v>
      </c>
      <c r="H1023" s="23" t="s">
        <v>26</v>
      </c>
      <c r="I1023" s="23" t="s">
        <v>27</v>
      </c>
      <c r="J1023" s="23" t="s">
        <v>211</v>
      </c>
      <c r="K1023" s="23" t="s">
        <v>111</v>
      </c>
      <c r="L1023" s="23" t="s">
        <v>2685</v>
      </c>
      <c r="M1023" s="23" t="s">
        <v>153</v>
      </c>
      <c r="N1023" s="23" t="s">
        <v>70</v>
      </c>
      <c r="O1023" s="23">
        <v>55</v>
      </c>
      <c r="P1023" s="23">
        <v>97.11</v>
      </c>
      <c r="Q1023" s="23">
        <v>61.41</v>
      </c>
      <c r="R1023" s="23">
        <v>5341.3</v>
      </c>
      <c r="S1023" s="23">
        <v>0.15</v>
      </c>
      <c r="T1023" s="23">
        <v>801.2</v>
      </c>
      <c r="U1023" s="23">
        <v>4540.1099999999997</v>
      </c>
      <c r="V1023" s="23">
        <v>3377.79</v>
      </c>
      <c r="W1023" s="23">
        <v>1162.32</v>
      </c>
      <c r="X1023" s="23" t="s">
        <v>129</v>
      </c>
    </row>
    <row r="1024" spans="1:24" x14ac:dyDescent="0.25">
      <c r="A1024" s="20" t="s">
        <v>1536</v>
      </c>
      <c r="B1024" s="19">
        <v>45588</v>
      </c>
      <c r="C1024" s="20" t="s">
        <v>21</v>
      </c>
      <c r="D1024" s="20" t="s">
        <v>22</v>
      </c>
      <c r="E1024" s="20" t="s">
        <v>176</v>
      </c>
      <c r="F1024" s="20" t="s">
        <v>2593</v>
      </c>
      <c r="G1024" s="20" t="s">
        <v>2587</v>
      </c>
      <c r="H1024" s="20" t="s">
        <v>39</v>
      </c>
      <c r="I1024" s="20" t="s">
        <v>53</v>
      </c>
      <c r="J1024" s="20" t="s">
        <v>54</v>
      </c>
      <c r="K1024" s="20" t="s">
        <v>218</v>
      </c>
      <c r="L1024" s="20" t="s">
        <v>2692</v>
      </c>
      <c r="M1024" s="20" t="s">
        <v>30</v>
      </c>
      <c r="N1024" s="20" t="s">
        <v>84</v>
      </c>
      <c r="O1024" s="20">
        <v>73</v>
      </c>
      <c r="P1024" s="20">
        <v>103.3</v>
      </c>
      <c r="Q1024" s="20">
        <v>59.44</v>
      </c>
      <c r="R1024" s="20">
        <v>7540.72</v>
      </c>
      <c r="S1024" s="20">
        <v>0.05</v>
      </c>
      <c r="T1024" s="20">
        <v>377.04</v>
      </c>
      <c r="U1024" s="20">
        <v>7163.68</v>
      </c>
      <c r="V1024" s="20">
        <v>4338.79</v>
      </c>
      <c r="W1024" s="20">
        <v>2824.9</v>
      </c>
      <c r="X1024" s="20" t="s">
        <v>45</v>
      </c>
    </row>
    <row r="1025" spans="1:24" x14ac:dyDescent="0.25">
      <c r="A1025" s="23" t="s">
        <v>1537</v>
      </c>
      <c r="B1025" s="22">
        <v>45357</v>
      </c>
      <c r="C1025" s="23" t="s">
        <v>293</v>
      </c>
      <c r="D1025" s="23" t="s">
        <v>65</v>
      </c>
      <c r="E1025" s="23" t="s">
        <v>132</v>
      </c>
      <c r="F1025" s="23" t="s">
        <v>133</v>
      </c>
      <c r="G1025" s="23" t="s">
        <v>2581</v>
      </c>
      <c r="H1025" s="23" t="s">
        <v>134</v>
      </c>
      <c r="I1025" s="23" t="s">
        <v>40</v>
      </c>
      <c r="J1025" s="23" t="s">
        <v>117</v>
      </c>
      <c r="K1025" s="23" t="s">
        <v>2619</v>
      </c>
      <c r="L1025" s="23" t="s">
        <v>2619</v>
      </c>
      <c r="M1025" s="23" t="s">
        <v>30</v>
      </c>
      <c r="N1025" s="23" t="s">
        <v>75</v>
      </c>
      <c r="O1025" s="23">
        <v>13</v>
      </c>
      <c r="P1025" s="23">
        <v>57.91</v>
      </c>
      <c r="Q1025" s="23">
        <v>32.25</v>
      </c>
      <c r="R1025" s="23">
        <v>752.8</v>
      </c>
      <c r="S1025" s="23">
        <v>0.1</v>
      </c>
      <c r="T1025" s="23">
        <v>75.28</v>
      </c>
      <c r="U1025" s="23">
        <v>677.52</v>
      </c>
      <c r="V1025" s="23">
        <v>419.19</v>
      </c>
      <c r="W1025" s="23">
        <v>258.33</v>
      </c>
      <c r="X1025" s="23" t="s">
        <v>45</v>
      </c>
    </row>
    <row r="1026" spans="1:24" x14ac:dyDescent="0.25">
      <c r="A1026" s="20" t="s">
        <v>1538</v>
      </c>
      <c r="B1026" s="19">
        <v>45320</v>
      </c>
      <c r="C1026" s="20" t="s">
        <v>367</v>
      </c>
      <c r="D1026" s="20" t="s">
        <v>105</v>
      </c>
      <c r="E1026" s="20" t="s">
        <v>141</v>
      </c>
      <c r="F1026" s="20" t="s">
        <v>2590</v>
      </c>
      <c r="G1026" s="20" t="s">
        <v>2577</v>
      </c>
      <c r="H1026" s="20" t="s">
        <v>26</v>
      </c>
      <c r="I1026" s="20" t="s">
        <v>53</v>
      </c>
      <c r="J1026" s="20" t="s">
        <v>122</v>
      </c>
      <c r="K1026" s="20" t="s">
        <v>83</v>
      </c>
      <c r="L1026" s="20" t="s">
        <v>2683</v>
      </c>
      <c r="M1026" s="20" t="s">
        <v>43</v>
      </c>
      <c r="N1026" s="20" t="s">
        <v>75</v>
      </c>
      <c r="O1026" s="20">
        <v>67</v>
      </c>
      <c r="P1026" s="20">
        <v>99.52</v>
      </c>
      <c r="Q1026" s="20">
        <v>59.47</v>
      </c>
      <c r="R1026" s="20">
        <v>6667.9</v>
      </c>
      <c r="S1026" s="20">
        <v>0.05</v>
      </c>
      <c r="T1026" s="20">
        <v>333.39</v>
      </c>
      <c r="U1026" s="20">
        <v>6334.5</v>
      </c>
      <c r="V1026" s="20">
        <v>3984.52</v>
      </c>
      <c r="W1026" s="20">
        <v>2349.98</v>
      </c>
      <c r="X1026" s="20" t="s">
        <v>32</v>
      </c>
    </row>
    <row r="1027" spans="1:24" x14ac:dyDescent="0.25">
      <c r="A1027" s="23" t="s">
        <v>1539</v>
      </c>
      <c r="B1027" s="22">
        <v>45419</v>
      </c>
      <c r="C1027" s="23" t="s">
        <v>893</v>
      </c>
      <c r="D1027" s="23" t="s">
        <v>48</v>
      </c>
      <c r="E1027" s="23" t="s">
        <v>150</v>
      </c>
      <c r="F1027" s="23" t="s">
        <v>2591</v>
      </c>
      <c r="G1027" s="23" t="s">
        <v>2587</v>
      </c>
      <c r="H1027" s="23" t="s">
        <v>134</v>
      </c>
      <c r="I1027" s="23" t="s">
        <v>53</v>
      </c>
      <c r="J1027" s="23" t="s">
        <v>143</v>
      </c>
      <c r="K1027" s="23" t="s">
        <v>218</v>
      </c>
      <c r="L1027" s="23" t="s">
        <v>2692</v>
      </c>
      <c r="M1027" s="23" t="s">
        <v>30</v>
      </c>
      <c r="N1027" s="23" t="s">
        <v>75</v>
      </c>
      <c r="O1027" s="23">
        <v>39</v>
      </c>
      <c r="P1027" s="23">
        <v>89.08</v>
      </c>
      <c r="Q1027" s="23">
        <v>48.58</v>
      </c>
      <c r="R1027" s="23">
        <v>3474.16</v>
      </c>
      <c r="S1027" s="23">
        <v>0</v>
      </c>
      <c r="T1027" s="23">
        <v>0</v>
      </c>
      <c r="U1027" s="23">
        <v>3474.16</v>
      </c>
      <c r="V1027" s="23">
        <v>1894.81</v>
      </c>
      <c r="W1027" s="23">
        <v>1579.35</v>
      </c>
      <c r="X1027" s="23" t="s">
        <v>32</v>
      </c>
    </row>
    <row r="1028" spans="1:24" x14ac:dyDescent="0.25">
      <c r="A1028" s="20" t="s">
        <v>1540</v>
      </c>
      <c r="B1028" s="19">
        <v>45614</v>
      </c>
      <c r="C1028" s="20" t="s">
        <v>192</v>
      </c>
      <c r="D1028" s="20" t="s">
        <v>65</v>
      </c>
      <c r="E1028" s="20" t="s">
        <v>23</v>
      </c>
      <c r="F1028" s="20" t="s">
        <v>2576</v>
      </c>
      <c r="G1028" s="20" t="s">
        <v>2577</v>
      </c>
      <c r="H1028" s="20" t="s">
        <v>26</v>
      </c>
      <c r="I1028" s="20" t="s">
        <v>58</v>
      </c>
      <c r="J1028" s="20" t="s">
        <v>323</v>
      </c>
      <c r="K1028" s="20" t="s">
        <v>74</v>
      </c>
      <c r="L1028" s="20" t="s">
        <v>2682</v>
      </c>
      <c r="M1028" s="20" t="s">
        <v>385</v>
      </c>
      <c r="N1028" s="20" t="s">
        <v>84</v>
      </c>
      <c r="O1028" s="20">
        <v>6</v>
      </c>
      <c r="P1028" s="20">
        <v>77.31</v>
      </c>
      <c r="Q1028" s="20">
        <v>46.46</v>
      </c>
      <c r="R1028" s="20">
        <v>463.84</v>
      </c>
      <c r="S1028" s="20">
        <v>0.2</v>
      </c>
      <c r="T1028" s="20">
        <v>92.77</v>
      </c>
      <c r="U1028" s="20">
        <v>371.08</v>
      </c>
      <c r="V1028" s="20">
        <v>278.75</v>
      </c>
      <c r="W1028" s="20">
        <v>92.33</v>
      </c>
      <c r="X1028" s="20" t="s">
        <v>45</v>
      </c>
    </row>
    <row r="1029" spans="1:24" x14ac:dyDescent="0.25">
      <c r="A1029" s="23" t="s">
        <v>1541</v>
      </c>
      <c r="B1029" s="22">
        <v>45298</v>
      </c>
      <c r="C1029" s="23" t="s">
        <v>832</v>
      </c>
      <c r="D1029" s="23" t="s">
        <v>159</v>
      </c>
      <c r="E1029" s="23" t="s">
        <v>49</v>
      </c>
      <c r="F1029" s="23" t="s">
        <v>2580</v>
      </c>
      <c r="G1029" s="23" t="s">
        <v>2581</v>
      </c>
      <c r="H1029" s="23" t="s">
        <v>52</v>
      </c>
      <c r="I1029" s="23" t="s">
        <v>88</v>
      </c>
      <c r="J1029" s="23" t="s">
        <v>2112</v>
      </c>
      <c r="K1029" s="23" t="s">
        <v>90</v>
      </c>
      <c r="L1029" s="23" t="s">
        <v>2684</v>
      </c>
      <c r="M1029" s="23" t="s">
        <v>30</v>
      </c>
      <c r="N1029" s="23" t="s">
        <v>2578</v>
      </c>
      <c r="O1029" s="23">
        <v>5</v>
      </c>
      <c r="P1029" s="23">
        <v>25.71</v>
      </c>
      <c r="Q1029" s="23">
        <v>13.22</v>
      </c>
      <c r="R1029" s="23">
        <v>128.54</v>
      </c>
      <c r="S1029" s="23">
        <v>0</v>
      </c>
      <c r="T1029" s="23">
        <v>0</v>
      </c>
      <c r="U1029" s="23">
        <v>128.54</v>
      </c>
      <c r="V1029" s="23">
        <v>66.099999999999994</v>
      </c>
      <c r="W1029" s="23">
        <v>62.44</v>
      </c>
      <c r="X1029" s="23" t="s">
        <v>45</v>
      </c>
    </row>
    <row r="1030" spans="1:24" x14ac:dyDescent="0.25">
      <c r="A1030" s="20" t="s">
        <v>1542</v>
      </c>
      <c r="B1030" s="19">
        <v>45445</v>
      </c>
      <c r="C1030" s="20" t="s">
        <v>303</v>
      </c>
      <c r="D1030" s="20" t="s">
        <v>22</v>
      </c>
      <c r="E1030" s="20" t="s">
        <v>78</v>
      </c>
      <c r="F1030" s="20" t="s">
        <v>2583</v>
      </c>
      <c r="G1030" s="20" t="s">
        <v>2584</v>
      </c>
      <c r="H1030" s="20" t="s">
        <v>81</v>
      </c>
      <c r="I1030" s="20" t="s">
        <v>53</v>
      </c>
      <c r="J1030" s="20" t="s">
        <v>232</v>
      </c>
      <c r="K1030" s="20" t="s">
        <v>184</v>
      </c>
      <c r="L1030" s="20" t="s">
        <v>2690</v>
      </c>
      <c r="M1030" s="20" t="s">
        <v>30</v>
      </c>
      <c r="N1030" s="20" t="s">
        <v>2578</v>
      </c>
      <c r="O1030" s="20">
        <v>30</v>
      </c>
      <c r="P1030" s="20">
        <v>137.11000000000001</v>
      </c>
      <c r="Q1030" s="20">
        <v>83.33</v>
      </c>
      <c r="R1030" s="20">
        <v>4113.43</v>
      </c>
      <c r="S1030" s="20">
        <v>0.05</v>
      </c>
      <c r="T1030" s="20">
        <v>205.67</v>
      </c>
      <c r="U1030" s="20">
        <v>3907.76</v>
      </c>
      <c r="V1030" s="20">
        <v>2499.7800000000002</v>
      </c>
      <c r="W1030" s="20">
        <v>1407.97</v>
      </c>
      <c r="X1030" s="20" t="s">
        <v>32</v>
      </c>
    </row>
    <row r="1031" spans="1:24" x14ac:dyDescent="0.25">
      <c r="A1031" s="23" t="s">
        <v>1543</v>
      </c>
      <c r="B1031" s="22">
        <v>45565</v>
      </c>
      <c r="C1031" s="23" t="s">
        <v>442</v>
      </c>
      <c r="D1031" s="23" t="s">
        <v>87</v>
      </c>
      <c r="E1031" s="23" t="s">
        <v>109</v>
      </c>
      <c r="F1031" s="23" t="s">
        <v>110</v>
      </c>
      <c r="G1031" s="23" t="s">
        <v>2584</v>
      </c>
      <c r="H1031" s="23" t="s">
        <v>81</v>
      </c>
      <c r="I1031" s="23" t="s">
        <v>58</v>
      </c>
      <c r="J1031" s="23" t="s">
        <v>59</v>
      </c>
      <c r="K1031" s="23" t="s">
        <v>248</v>
      </c>
      <c r="L1031" s="23" t="s">
        <v>2693</v>
      </c>
      <c r="M1031" s="23" t="s">
        <v>153</v>
      </c>
      <c r="N1031" s="23" t="s">
        <v>44</v>
      </c>
      <c r="O1031" s="23">
        <v>18</v>
      </c>
      <c r="P1031" s="23">
        <v>131.78</v>
      </c>
      <c r="Q1031" s="23">
        <v>69.98</v>
      </c>
      <c r="R1031" s="23">
        <v>2372.1</v>
      </c>
      <c r="S1031" s="23">
        <v>0.02</v>
      </c>
      <c r="T1031" s="23">
        <v>47.44</v>
      </c>
      <c r="U1031" s="23">
        <v>2324.66</v>
      </c>
      <c r="V1031" s="23">
        <v>1259.68</v>
      </c>
      <c r="W1031" s="23">
        <v>1064.98</v>
      </c>
      <c r="X1031" s="23" t="s">
        <v>32</v>
      </c>
    </row>
    <row r="1032" spans="1:24" x14ac:dyDescent="0.25">
      <c r="A1032" s="20" t="s">
        <v>1544</v>
      </c>
      <c r="B1032" s="19">
        <v>45486</v>
      </c>
      <c r="C1032" s="20" t="s">
        <v>347</v>
      </c>
      <c r="D1032" s="20" t="s">
        <v>163</v>
      </c>
      <c r="E1032" s="20" t="s">
        <v>141</v>
      </c>
      <c r="F1032" s="20" t="s">
        <v>2590</v>
      </c>
      <c r="G1032" s="20" t="s">
        <v>2577</v>
      </c>
      <c r="H1032" s="20" t="s">
        <v>26</v>
      </c>
      <c r="I1032" s="20" t="s">
        <v>27</v>
      </c>
      <c r="J1032" s="20" t="s">
        <v>189</v>
      </c>
      <c r="K1032" s="20" t="s">
        <v>152</v>
      </c>
      <c r="L1032" s="20" t="s">
        <v>2688</v>
      </c>
      <c r="M1032" s="20" t="s">
        <v>153</v>
      </c>
      <c r="N1032" s="20" t="s">
        <v>70</v>
      </c>
      <c r="O1032" s="20">
        <v>13</v>
      </c>
      <c r="P1032" s="20">
        <v>88.28</v>
      </c>
      <c r="Q1032" s="20">
        <v>61.4</v>
      </c>
      <c r="R1032" s="20">
        <v>1147.68</v>
      </c>
      <c r="S1032" s="20">
        <v>0.05</v>
      </c>
      <c r="T1032" s="20">
        <v>57.38</v>
      </c>
      <c r="U1032" s="20">
        <v>1090.29</v>
      </c>
      <c r="V1032" s="20">
        <v>798.18</v>
      </c>
      <c r="W1032" s="20">
        <v>292.12</v>
      </c>
      <c r="X1032" s="20" t="s">
        <v>129</v>
      </c>
    </row>
    <row r="1033" spans="1:24" x14ac:dyDescent="0.25">
      <c r="A1033" s="23" t="s">
        <v>1545</v>
      </c>
      <c r="B1033" s="22">
        <v>45650</v>
      </c>
      <c r="C1033" s="23" t="s">
        <v>1278</v>
      </c>
      <c r="D1033" s="23" t="s">
        <v>156</v>
      </c>
      <c r="E1033" s="23" t="s">
        <v>49</v>
      </c>
      <c r="F1033" s="23" t="s">
        <v>2580</v>
      </c>
      <c r="G1033" s="23" t="s">
        <v>2581</v>
      </c>
      <c r="H1033" s="23" t="s">
        <v>52</v>
      </c>
      <c r="I1033" s="23" t="s">
        <v>58</v>
      </c>
      <c r="J1033" s="23" t="s">
        <v>73</v>
      </c>
      <c r="K1033" s="23" t="s">
        <v>42</v>
      </c>
      <c r="L1033" s="23" t="s">
        <v>2680</v>
      </c>
      <c r="M1033" s="23" t="s">
        <v>43</v>
      </c>
      <c r="N1033" s="23" t="s">
        <v>75</v>
      </c>
      <c r="O1033" s="23">
        <v>18</v>
      </c>
      <c r="P1033" s="23">
        <v>25.14</v>
      </c>
      <c r="Q1033" s="23">
        <v>12.26</v>
      </c>
      <c r="R1033" s="23">
        <v>452.45</v>
      </c>
      <c r="S1033" s="23">
        <v>0.2</v>
      </c>
      <c r="T1033" s="23">
        <v>90.49</v>
      </c>
      <c r="U1033" s="23">
        <v>361.96</v>
      </c>
      <c r="V1033" s="23">
        <v>220.6</v>
      </c>
      <c r="W1033" s="23">
        <v>141.35</v>
      </c>
      <c r="X1033" s="23" t="s">
        <v>45</v>
      </c>
    </row>
    <row r="1034" spans="1:24" x14ac:dyDescent="0.25">
      <c r="A1034" s="20" t="s">
        <v>1546</v>
      </c>
      <c r="B1034" s="19">
        <v>45500</v>
      </c>
      <c r="C1034" s="20" t="s">
        <v>676</v>
      </c>
      <c r="D1034" s="20" t="s">
        <v>359</v>
      </c>
      <c r="E1034" s="20" t="s">
        <v>209</v>
      </c>
      <c r="F1034" s="20" t="s">
        <v>2595</v>
      </c>
      <c r="G1034" s="20" t="s">
        <v>2581</v>
      </c>
      <c r="H1034" s="20" t="s">
        <v>116</v>
      </c>
      <c r="I1034" s="20" t="s">
        <v>58</v>
      </c>
      <c r="J1034" s="20" t="s">
        <v>323</v>
      </c>
      <c r="K1034" s="20" t="s">
        <v>265</v>
      </c>
      <c r="L1034" s="20" t="s">
        <v>2663</v>
      </c>
      <c r="M1034" s="20" t="s">
        <v>153</v>
      </c>
      <c r="N1034" s="20" t="s">
        <v>84</v>
      </c>
      <c r="O1034" s="20">
        <v>65</v>
      </c>
      <c r="P1034" s="20">
        <v>17.05</v>
      </c>
      <c r="Q1034" s="20">
        <v>9.64</v>
      </c>
      <c r="R1034" s="20">
        <v>1108.54</v>
      </c>
      <c r="S1034" s="20">
        <v>0</v>
      </c>
      <c r="T1034" s="20">
        <v>0</v>
      </c>
      <c r="U1034" s="20">
        <v>1108.54</v>
      </c>
      <c r="V1034" s="20">
        <v>626.32000000000005</v>
      </c>
      <c r="W1034" s="20">
        <v>482.22</v>
      </c>
      <c r="X1034" s="20" t="s">
        <v>45</v>
      </c>
    </row>
    <row r="1035" spans="1:24" x14ac:dyDescent="0.25">
      <c r="A1035" s="23" t="s">
        <v>1547</v>
      </c>
      <c r="B1035" s="22">
        <v>45440</v>
      </c>
      <c r="C1035" s="23" t="s">
        <v>917</v>
      </c>
      <c r="D1035" s="23" t="s">
        <v>57</v>
      </c>
      <c r="E1035" s="23" t="s">
        <v>222</v>
      </c>
      <c r="F1035" s="23" t="s">
        <v>2597</v>
      </c>
      <c r="G1035" s="23" t="s">
        <v>2587</v>
      </c>
      <c r="H1035" s="23" t="s">
        <v>68</v>
      </c>
      <c r="I1035" s="23" t="s">
        <v>27</v>
      </c>
      <c r="J1035" s="23" t="s">
        <v>28</v>
      </c>
      <c r="K1035" s="23" t="s">
        <v>178</v>
      </c>
      <c r="L1035" s="23" t="s">
        <v>2689</v>
      </c>
      <c r="M1035" s="23" t="s">
        <v>153</v>
      </c>
      <c r="N1035" s="23" t="s">
        <v>2578</v>
      </c>
      <c r="O1035" s="23">
        <v>11</v>
      </c>
      <c r="P1035" s="23">
        <v>110.8</v>
      </c>
      <c r="Q1035" s="23">
        <v>83.86</v>
      </c>
      <c r="R1035" s="23">
        <v>1218.75</v>
      </c>
      <c r="S1035" s="23">
        <v>0.02</v>
      </c>
      <c r="T1035" s="23">
        <v>24.37</v>
      </c>
      <c r="U1035" s="23">
        <v>1194.3699999999999</v>
      </c>
      <c r="V1035" s="23">
        <v>922.51</v>
      </c>
      <c r="W1035" s="23">
        <v>271.86</v>
      </c>
      <c r="X1035" s="23" t="s">
        <v>129</v>
      </c>
    </row>
    <row r="1036" spans="1:24" x14ac:dyDescent="0.25">
      <c r="A1036" s="20" t="s">
        <v>1548</v>
      </c>
      <c r="B1036" s="19">
        <v>45462</v>
      </c>
      <c r="C1036" s="20" t="s">
        <v>559</v>
      </c>
      <c r="D1036" s="20" t="s">
        <v>221</v>
      </c>
      <c r="E1036" s="20" t="s">
        <v>216</v>
      </c>
      <c r="F1036" s="20" t="s">
        <v>2596</v>
      </c>
      <c r="G1036" s="20" t="s">
        <v>2579</v>
      </c>
      <c r="H1036" s="20" t="s">
        <v>134</v>
      </c>
      <c r="I1036" s="20" t="s">
        <v>27</v>
      </c>
      <c r="J1036" s="20" t="s">
        <v>189</v>
      </c>
      <c r="K1036" s="20" t="s">
        <v>152</v>
      </c>
      <c r="L1036" s="20" t="s">
        <v>2688</v>
      </c>
      <c r="M1036" s="20" t="s">
        <v>30</v>
      </c>
      <c r="N1036" s="20" t="s">
        <v>75</v>
      </c>
      <c r="O1036" s="20">
        <v>26</v>
      </c>
      <c r="P1036" s="20">
        <v>117.41</v>
      </c>
      <c r="Q1036" s="20">
        <v>62.07</v>
      </c>
      <c r="R1036" s="20">
        <v>3052.53</v>
      </c>
      <c r="S1036" s="20">
        <v>0.2</v>
      </c>
      <c r="T1036" s="20">
        <v>610.51</v>
      </c>
      <c r="U1036" s="20">
        <v>2442.02</v>
      </c>
      <c r="V1036" s="20">
        <v>1613.81</v>
      </c>
      <c r="W1036" s="20">
        <v>828.22</v>
      </c>
      <c r="X1036" s="20" t="s">
        <v>45</v>
      </c>
    </row>
    <row r="1037" spans="1:24" x14ac:dyDescent="0.25">
      <c r="A1037" s="23" t="s">
        <v>1549</v>
      </c>
      <c r="B1037" s="22">
        <v>45605</v>
      </c>
      <c r="C1037" s="23" t="s">
        <v>373</v>
      </c>
      <c r="D1037" s="23" t="s">
        <v>264</v>
      </c>
      <c r="E1037" s="23" t="s">
        <v>93</v>
      </c>
      <c r="F1037" s="23" t="s">
        <v>2585</v>
      </c>
      <c r="G1037" s="23" t="s">
        <v>2586</v>
      </c>
      <c r="H1037" s="23" t="s">
        <v>96</v>
      </c>
      <c r="I1037" s="23" t="s">
        <v>88</v>
      </c>
      <c r="J1037" s="23" t="s">
        <v>173</v>
      </c>
      <c r="K1037" s="23" t="s">
        <v>42</v>
      </c>
      <c r="L1037" s="23" t="s">
        <v>2680</v>
      </c>
      <c r="M1037" s="23" t="s">
        <v>61</v>
      </c>
      <c r="N1037" s="23" t="s">
        <v>44</v>
      </c>
      <c r="O1037" s="23">
        <v>79</v>
      </c>
      <c r="P1037" s="23">
        <v>52.63</v>
      </c>
      <c r="Q1037" s="23">
        <v>30.34</v>
      </c>
      <c r="R1037" s="23">
        <v>4157.76</v>
      </c>
      <c r="S1037" s="23">
        <v>0.05</v>
      </c>
      <c r="T1037" s="23">
        <v>207.89</v>
      </c>
      <c r="U1037" s="23">
        <v>3949.87</v>
      </c>
      <c r="V1037" s="23">
        <v>2397.16</v>
      </c>
      <c r="W1037" s="23">
        <v>1552.71</v>
      </c>
      <c r="X1037" s="23" t="s">
        <v>45</v>
      </c>
    </row>
    <row r="1038" spans="1:24" x14ac:dyDescent="0.25">
      <c r="A1038" s="20" t="s">
        <v>1550</v>
      </c>
      <c r="B1038" s="19">
        <v>45445</v>
      </c>
      <c r="C1038" s="20" t="s">
        <v>1469</v>
      </c>
      <c r="D1038" s="20" t="s">
        <v>121</v>
      </c>
      <c r="E1038" s="20" t="s">
        <v>36</v>
      </c>
      <c r="F1038" s="20" t="s">
        <v>37</v>
      </c>
      <c r="G1038" s="20" t="s">
        <v>2579</v>
      </c>
      <c r="H1038" s="20" t="s">
        <v>39</v>
      </c>
      <c r="I1038" s="20" t="s">
        <v>88</v>
      </c>
      <c r="J1038" s="20" t="s">
        <v>135</v>
      </c>
      <c r="K1038" s="20" t="s">
        <v>42</v>
      </c>
      <c r="L1038" s="20" t="s">
        <v>2680</v>
      </c>
      <c r="M1038" s="20" t="s">
        <v>61</v>
      </c>
      <c r="N1038" s="20" t="s">
        <v>2578</v>
      </c>
      <c r="O1038" s="20">
        <v>36</v>
      </c>
      <c r="P1038" s="20">
        <v>152.1</v>
      </c>
      <c r="Q1038" s="20">
        <v>98.5</v>
      </c>
      <c r="R1038" s="20">
        <v>5475.59</v>
      </c>
      <c r="S1038" s="20">
        <v>0</v>
      </c>
      <c r="T1038" s="20">
        <v>0</v>
      </c>
      <c r="U1038" s="20">
        <v>5475.59</v>
      </c>
      <c r="V1038" s="20">
        <v>3546.13</v>
      </c>
      <c r="W1038" s="20">
        <v>1929.46</v>
      </c>
      <c r="X1038" s="20" t="s">
        <v>32</v>
      </c>
    </row>
    <row r="1039" spans="1:24" x14ac:dyDescent="0.25">
      <c r="A1039" s="23" t="s">
        <v>1551</v>
      </c>
      <c r="B1039" s="22">
        <v>45307</v>
      </c>
      <c r="C1039" s="23" t="s">
        <v>948</v>
      </c>
      <c r="D1039" s="23" t="s">
        <v>87</v>
      </c>
      <c r="E1039" s="23" t="s">
        <v>114</v>
      </c>
      <c r="F1039" s="23" t="s">
        <v>2588</v>
      </c>
      <c r="G1039" s="23" t="s">
        <v>2586</v>
      </c>
      <c r="H1039" s="23" t="s">
        <v>116</v>
      </c>
      <c r="I1039" s="23" t="s">
        <v>58</v>
      </c>
      <c r="J1039" s="23" t="s">
        <v>73</v>
      </c>
      <c r="K1039" s="23" t="s">
        <v>60</v>
      </c>
      <c r="L1039" s="23" t="s">
        <v>2677</v>
      </c>
      <c r="M1039" s="23" t="s">
        <v>30</v>
      </c>
      <c r="N1039" s="23" t="s">
        <v>2578</v>
      </c>
      <c r="O1039" s="23">
        <v>72</v>
      </c>
      <c r="P1039" s="23">
        <v>37.49</v>
      </c>
      <c r="Q1039" s="23">
        <v>20.89</v>
      </c>
      <c r="R1039" s="23">
        <v>2699.32</v>
      </c>
      <c r="S1039" s="23">
        <v>0.05</v>
      </c>
      <c r="T1039" s="23">
        <v>134.97</v>
      </c>
      <c r="U1039" s="23">
        <v>2564.35</v>
      </c>
      <c r="V1039" s="23">
        <v>1504.11</v>
      </c>
      <c r="W1039" s="23">
        <v>1060.24</v>
      </c>
      <c r="X1039" s="23" t="s">
        <v>129</v>
      </c>
    </row>
    <row r="1040" spans="1:24" x14ac:dyDescent="0.25">
      <c r="A1040" s="20" t="s">
        <v>1552</v>
      </c>
      <c r="B1040" s="19">
        <v>45300</v>
      </c>
      <c r="C1040" s="20" t="s">
        <v>1394</v>
      </c>
      <c r="D1040" s="20" t="s">
        <v>156</v>
      </c>
      <c r="E1040" s="20" t="s">
        <v>36</v>
      </c>
      <c r="F1040" s="20" t="s">
        <v>37</v>
      </c>
      <c r="G1040" s="20" t="s">
        <v>2579</v>
      </c>
      <c r="H1040" s="20" t="s">
        <v>39</v>
      </c>
      <c r="I1040" s="20" t="s">
        <v>58</v>
      </c>
      <c r="J1040" s="20" t="s">
        <v>59</v>
      </c>
      <c r="K1040" s="20" t="s">
        <v>111</v>
      </c>
      <c r="L1040" s="20" t="s">
        <v>2685</v>
      </c>
      <c r="M1040" s="20" t="s">
        <v>61</v>
      </c>
      <c r="N1040" s="20" t="s">
        <v>70</v>
      </c>
      <c r="O1040" s="20">
        <v>65</v>
      </c>
      <c r="P1040" s="20">
        <v>167.23</v>
      </c>
      <c r="Q1040" s="20">
        <v>105.35</v>
      </c>
      <c r="R1040" s="20">
        <v>10869.68</v>
      </c>
      <c r="S1040" s="20">
        <v>0.2</v>
      </c>
      <c r="T1040" s="20">
        <v>2173.94</v>
      </c>
      <c r="U1040" s="20">
        <v>8695.75</v>
      </c>
      <c r="V1040" s="20">
        <v>6848.03</v>
      </c>
      <c r="W1040" s="20">
        <v>1847.71</v>
      </c>
      <c r="X1040" s="20" t="s">
        <v>45</v>
      </c>
    </row>
    <row r="1041" spans="1:24" x14ac:dyDescent="0.25">
      <c r="A1041" s="23" t="s">
        <v>1553</v>
      </c>
      <c r="B1041" s="22">
        <v>45632</v>
      </c>
      <c r="C1041" s="23" t="s">
        <v>1281</v>
      </c>
      <c r="D1041" s="23" t="s">
        <v>35</v>
      </c>
      <c r="E1041" s="23" t="s">
        <v>250</v>
      </c>
      <c r="F1041" s="23" t="s">
        <v>2598</v>
      </c>
      <c r="G1041" s="23" t="s">
        <v>2581</v>
      </c>
      <c r="H1041" s="23" t="s">
        <v>252</v>
      </c>
      <c r="I1041" s="23" t="s">
        <v>88</v>
      </c>
      <c r="J1041" s="23" t="s">
        <v>173</v>
      </c>
      <c r="K1041" s="23" t="s">
        <v>152</v>
      </c>
      <c r="L1041" s="23" t="s">
        <v>2688</v>
      </c>
      <c r="M1041" s="23" t="s">
        <v>30</v>
      </c>
      <c r="N1041" s="23" t="s">
        <v>44</v>
      </c>
      <c r="O1041" s="23">
        <v>32</v>
      </c>
      <c r="P1041" s="23">
        <v>67.25</v>
      </c>
      <c r="Q1041" s="23">
        <v>35.4</v>
      </c>
      <c r="R1041" s="23">
        <v>2151.9899999999998</v>
      </c>
      <c r="S1041" s="23">
        <v>0.2</v>
      </c>
      <c r="T1041" s="23">
        <v>430.4</v>
      </c>
      <c r="U1041" s="23">
        <v>1721.59</v>
      </c>
      <c r="V1041" s="23">
        <v>1132.74</v>
      </c>
      <c r="W1041" s="23">
        <v>588.85</v>
      </c>
      <c r="X1041" s="23" t="s">
        <v>45</v>
      </c>
    </row>
    <row r="1042" spans="1:24" x14ac:dyDescent="0.25">
      <c r="A1042" s="20" t="s">
        <v>1554</v>
      </c>
      <c r="B1042" s="19">
        <v>45411</v>
      </c>
      <c r="C1042" s="20" t="s">
        <v>798</v>
      </c>
      <c r="D1042" s="20" t="s">
        <v>259</v>
      </c>
      <c r="E1042" s="20" t="s">
        <v>150</v>
      </c>
      <c r="F1042" s="20" t="s">
        <v>2591</v>
      </c>
      <c r="G1042" s="20" t="s">
        <v>2587</v>
      </c>
      <c r="H1042" s="20" t="s">
        <v>134</v>
      </c>
      <c r="I1042" s="20" t="s">
        <v>88</v>
      </c>
      <c r="J1042" s="20" t="s">
        <v>173</v>
      </c>
      <c r="K1042" s="20" t="s">
        <v>144</v>
      </c>
      <c r="L1042" s="20" t="s">
        <v>2687</v>
      </c>
      <c r="M1042" s="20" t="s">
        <v>30</v>
      </c>
      <c r="N1042" s="20" t="s">
        <v>44</v>
      </c>
      <c r="O1042" s="20">
        <v>15</v>
      </c>
      <c r="P1042" s="20">
        <v>89.37</v>
      </c>
      <c r="Q1042" s="20">
        <v>46.93</v>
      </c>
      <c r="R1042" s="20">
        <v>1340.52</v>
      </c>
      <c r="S1042" s="20">
        <v>0.2</v>
      </c>
      <c r="T1042" s="20">
        <v>268.10000000000002</v>
      </c>
      <c r="U1042" s="20">
        <v>1259.79</v>
      </c>
      <c r="V1042" s="20">
        <v>703.99</v>
      </c>
      <c r="W1042" s="20">
        <v>368.43</v>
      </c>
      <c r="X1042" s="20" t="s">
        <v>45</v>
      </c>
    </row>
    <row r="1043" spans="1:24" x14ac:dyDescent="0.25">
      <c r="A1043" s="23" t="s">
        <v>1555</v>
      </c>
      <c r="B1043" s="22">
        <v>45432</v>
      </c>
      <c r="C1043" s="23" t="s">
        <v>645</v>
      </c>
      <c r="D1043" s="23" t="s">
        <v>149</v>
      </c>
      <c r="E1043" s="23" t="s">
        <v>78</v>
      </c>
      <c r="F1043" s="23" t="s">
        <v>2583</v>
      </c>
      <c r="G1043" s="23" t="s">
        <v>2584</v>
      </c>
      <c r="H1043" s="23" t="s">
        <v>81</v>
      </c>
      <c r="I1043" s="23" t="s">
        <v>27</v>
      </c>
      <c r="J1043" s="23" t="s">
        <v>28</v>
      </c>
      <c r="K1043" s="23" t="s">
        <v>218</v>
      </c>
      <c r="L1043" s="23" t="s">
        <v>2692</v>
      </c>
      <c r="M1043" s="23" t="s">
        <v>153</v>
      </c>
      <c r="N1043" s="23" t="s">
        <v>2619</v>
      </c>
      <c r="O1043" s="23">
        <v>37</v>
      </c>
      <c r="P1043" s="23">
        <v>145.87</v>
      </c>
      <c r="Q1043" s="23">
        <v>86.38</v>
      </c>
      <c r="R1043" s="23">
        <v>5397.06</v>
      </c>
      <c r="S1043" s="23">
        <v>0.1</v>
      </c>
      <c r="T1043" s="23">
        <v>539.71</v>
      </c>
      <c r="U1043" s="23">
        <v>4857.3599999999997</v>
      </c>
      <c r="V1043" s="23">
        <v>3195.97</v>
      </c>
      <c r="W1043" s="23">
        <v>1661.39</v>
      </c>
      <c r="X1043" s="23" t="s">
        <v>45</v>
      </c>
    </row>
    <row r="1044" spans="1:24" x14ac:dyDescent="0.25">
      <c r="A1044" s="20" t="s">
        <v>1556</v>
      </c>
      <c r="B1044" s="19">
        <v>45306</v>
      </c>
      <c r="C1044" s="20" t="s">
        <v>1557</v>
      </c>
      <c r="D1044" s="20" t="s">
        <v>159</v>
      </c>
      <c r="E1044" s="20" t="s">
        <v>49</v>
      </c>
      <c r="F1044" s="20" t="s">
        <v>2580</v>
      </c>
      <c r="G1044" s="20" t="s">
        <v>2581</v>
      </c>
      <c r="H1044" s="20" t="s">
        <v>52</v>
      </c>
      <c r="I1044" s="20" t="s">
        <v>53</v>
      </c>
      <c r="J1044" s="20" t="s">
        <v>122</v>
      </c>
      <c r="K1044" s="20" t="s">
        <v>265</v>
      </c>
      <c r="L1044" s="20" t="s">
        <v>2663</v>
      </c>
      <c r="M1044" s="20" t="s">
        <v>61</v>
      </c>
      <c r="N1044" s="20" t="s">
        <v>44</v>
      </c>
      <c r="O1044" s="20">
        <v>72</v>
      </c>
      <c r="P1044" s="20">
        <v>24.19</v>
      </c>
      <c r="Q1044" s="20">
        <v>12.58</v>
      </c>
      <c r="R1044" s="20">
        <v>1741.6</v>
      </c>
      <c r="S1044" s="20">
        <v>0</v>
      </c>
      <c r="T1044" s="20">
        <v>0</v>
      </c>
      <c r="U1044" s="20">
        <v>1741.6</v>
      </c>
      <c r="V1044" s="20">
        <v>906.04</v>
      </c>
      <c r="W1044" s="20">
        <v>835.57</v>
      </c>
      <c r="X1044" s="20" t="s">
        <v>45</v>
      </c>
    </row>
    <row r="1045" spans="1:24" x14ac:dyDescent="0.25">
      <c r="A1045" s="23" t="s">
        <v>1558</v>
      </c>
      <c r="B1045" s="22">
        <v>45387</v>
      </c>
      <c r="C1045" s="23" t="s">
        <v>800</v>
      </c>
      <c r="D1045" s="23" t="s">
        <v>264</v>
      </c>
      <c r="E1045" s="23" t="s">
        <v>176</v>
      </c>
      <c r="F1045" s="23" t="s">
        <v>2593</v>
      </c>
      <c r="G1045" s="23" t="s">
        <v>2587</v>
      </c>
      <c r="H1045" s="23" t="s">
        <v>39</v>
      </c>
      <c r="I1045" s="23" t="s">
        <v>40</v>
      </c>
      <c r="J1045" s="23" t="s">
        <v>82</v>
      </c>
      <c r="K1045" s="23" t="s">
        <v>118</v>
      </c>
      <c r="L1045" s="23" t="s">
        <v>2686</v>
      </c>
      <c r="M1045" s="23" t="s">
        <v>61</v>
      </c>
      <c r="N1045" s="23" t="s">
        <v>84</v>
      </c>
      <c r="O1045" s="23">
        <v>32</v>
      </c>
      <c r="P1045" s="23">
        <v>98.83</v>
      </c>
      <c r="Q1045" s="23">
        <v>66.650000000000006</v>
      </c>
      <c r="R1045" s="23">
        <v>3162.45</v>
      </c>
      <c r="S1045" s="23">
        <v>0.02</v>
      </c>
      <c r="T1045" s="23">
        <v>63.25</v>
      </c>
      <c r="U1045" s="23">
        <v>3099.2</v>
      </c>
      <c r="V1045" s="23">
        <v>2132.77</v>
      </c>
      <c r="W1045" s="23">
        <v>966.42</v>
      </c>
      <c r="X1045" s="23" t="s">
        <v>32</v>
      </c>
    </row>
    <row r="1046" spans="1:24" x14ac:dyDescent="0.25">
      <c r="A1046" s="20" t="s">
        <v>1559</v>
      </c>
      <c r="B1046" s="19">
        <v>45510</v>
      </c>
      <c r="C1046" s="20" t="s">
        <v>333</v>
      </c>
      <c r="D1046" s="20" t="s">
        <v>57</v>
      </c>
      <c r="E1046" s="20" t="s">
        <v>36</v>
      </c>
      <c r="F1046" s="20" t="s">
        <v>37</v>
      </c>
      <c r="G1046" s="20" t="s">
        <v>2579</v>
      </c>
      <c r="H1046" s="20" t="s">
        <v>39</v>
      </c>
      <c r="I1046" s="20" t="s">
        <v>58</v>
      </c>
      <c r="J1046" s="20" t="s">
        <v>323</v>
      </c>
      <c r="K1046" s="20" t="s">
        <v>74</v>
      </c>
      <c r="L1046" s="20" t="s">
        <v>2682</v>
      </c>
      <c r="M1046" s="20" t="s">
        <v>43</v>
      </c>
      <c r="N1046" s="20" t="s">
        <v>84</v>
      </c>
      <c r="O1046" s="20">
        <f>ROUND(Cleaned_Sales!$R1046/Cleaned_Sales!$P1046,0)</f>
        <v>33</v>
      </c>
      <c r="P1046" s="20">
        <v>159.83000000000001</v>
      </c>
      <c r="Q1046" s="20">
        <v>95.89</v>
      </c>
      <c r="R1046" s="20">
        <v>5274.42</v>
      </c>
      <c r="S1046" s="20">
        <v>0.05</v>
      </c>
      <c r="T1046" s="20">
        <v>263.72000000000003</v>
      </c>
      <c r="U1046" s="20">
        <v>5010.7</v>
      </c>
      <c r="V1046" s="20">
        <v>3164.52</v>
      </c>
      <c r="W1046" s="20">
        <v>1846.18</v>
      </c>
      <c r="X1046" s="20" t="s">
        <v>45</v>
      </c>
    </row>
    <row r="1047" spans="1:24" x14ac:dyDescent="0.25">
      <c r="A1047" s="23" t="s">
        <v>1560</v>
      </c>
      <c r="B1047" s="22">
        <v>45539</v>
      </c>
      <c r="C1047" s="23" t="s">
        <v>172</v>
      </c>
      <c r="D1047" s="23" t="s">
        <v>22</v>
      </c>
      <c r="E1047" s="23" t="s">
        <v>141</v>
      </c>
      <c r="F1047" s="23" t="s">
        <v>2590</v>
      </c>
      <c r="G1047" s="23" t="s">
        <v>2577</v>
      </c>
      <c r="H1047" s="23" t="s">
        <v>26</v>
      </c>
      <c r="I1047" s="23" t="s">
        <v>27</v>
      </c>
      <c r="J1047" s="23" t="s">
        <v>189</v>
      </c>
      <c r="K1047" s="23" t="s">
        <v>60</v>
      </c>
      <c r="L1047" s="23" t="s">
        <v>2677</v>
      </c>
      <c r="M1047" s="23" t="s">
        <v>385</v>
      </c>
      <c r="N1047" s="23" t="s">
        <v>44</v>
      </c>
      <c r="O1047" s="23">
        <v>65</v>
      </c>
      <c r="P1047" s="23">
        <v>97.69</v>
      </c>
      <c r="Q1047" s="23">
        <v>61.14</v>
      </c>
      <c r="R1047" s="23">
        <v>6349.82</v>
      </c>
      <c r="S1047" s="23">
        <v>0.02</v>
      </c>
      <c r="T1047" s="23">
        <v>127</v>
      </c>
      <c r="U1047" s="23">
        <v>6222.82</v>
      </c>
      <c r="V1047" s="23">
        <v>3973.83</v>
      </c>
      <c r="W1047" s="23">
        <v>2248.9899999999998</v>
      </c>
      <c r="X1047" s="23" t="s">
        <v>45</v>
      </c>
    </row>
    <row r="1048" spans="1:24" x14ac:dyDescent="0.25">
      <c r="A1048" s="20" t="s">
        <v>1561</v>
      </c>
      <c r="B1048" s="19">
        <v>45560</v>
      </c>
      <c r="C1048" s="20" t="s">
        <v>660</v>
      </c>
      <c r="D1048" s="20" t="s">
        <v>264</v>
      </c>
      <c r="E1048" s="20" t="s">
        <v>114</v>
      </c>
      <c r="F1048" s="20" t="s">
        <v>2588</v>
      </c>
      <c r="G1048" s="20" t="s">
        <v>2586</v>
      </c>
      <c r="H1048" s="20" t="s">
        <v>116</v>
      </c>
      <c r="I1048" s="20" t="s">
        <v>27</v>
      </c>
      <c r="J1048" s="20" t="s">
        <v>211</v>
      </c>
      <c r="K1048" s="20" t="s">
        <v>90</v>
      </c>
      <c r="L1048" s="20" t="s">
        <v>2684</v>
      </c>
      <c r="M1048" s="20" t="s">
        <v>153</v>
      </c>
      <c r="N1048" s="20" t="s">
        <v>75</v>
      </c>
      <c r="O1048" s="20">
        <v>38</v>
      </c>
      <c r="P1048" s="20">
        <v>36.92</v>
      </c>
      <c r="Q1048" s="20">
        <v>20.95</v>
      </c>
      <c r="R1048" s="20">
        <v>1403.06</v>
      </c>
      <c r="S1048" s="20">
        <v>0.02</v>
      </c>
      <c r="T1048" s="20">
        <v>28.06</v>
      </c>
      <c r="U1048" s="20">
        <v>1375</v>
      </c>
      <c r="V1048" s="20">
        <v>796.1</v>
      </c>
      <c r="W1048" s="20">
        <v>578.9</v>
      </c>
      <c r="X1048" s="20" t="s">
        <v>45</v>
      </c>
    </row>
    <row r="1049" spans="1:24" x14ac:dyDescent="0.25">
      <c r="A1049" s="23" t="s">
        <v>1562</v>
      </c>
      <c r="B1049" s="22">
        <v>45336</v>
      </c>
      <c r="C1049" s="23" t="s">
        <v>397</v>
      </c>
      <c r="D1049" s="23" t="s">
        <v>105</v>
      </c>
      <c r="E1049" s="23" t="s">
        <v>222</v>
      </c>
      <c r="F1049" s="23" t="s">
        <v>2597</v>
      </c>
      <c r="G1049" s="23" t="s">
        <v>2587</v>
      </c>
      <c r="H1049" s="23" t="s">
        <v>68</v>
      </c>
      <c r="I1049" s="23" t="s">
        <v>88</v>
      </c>
      <c r="J1049" s="23" t="s">
        <v>135</v>
      </c>
      <c r="K1049" s="23" t="s">
        <v>218</v>
      </c>
      <c r="L1049" s="23" t="s">
        <v>2692</v>
      </c>
      <c r="M1049" s="23" t="s">
        <v>43</v>
      </c>
      <c r="N1049" s="23" t="s">
        <v>70</v>
      </c>
      <c r="O1049" s="23">
        <v>11</v>
      </c>
      <c r="P1049" s="23">
        <v>127.14</v>
      </c>
      <c r="Q1049" s="23">
        <v>74.5</v>
      </c>
      <c r="R1049" s="23">
        <v>1398.52</v>
      </c>
      <c r="S1049" s="23">
        <v>0.1</v>
      </c>
      <c r="T1049" s="23">
        <v>139.85</v>
      </c>
      <c r="U1049" s="23">
        <v>1258.67</v>
      </c>
      <c r="V1049" s="23">
        <v>819.45</v>
      </c>
      <c r="W1049" s="23">
        <v>439.21</v>
      </c>
      <c r="X1049" s="23" t="s">
        <v>45</v>
      </c>
    </row>
    <row r="1050" spans="1:24" x14ac:dyDescent="0.25">
      <c r="A1050" s="20" t="s">
        <v>1563</v>
      </c>
      <c r="B1050" s="19">
        <v>45418</v>
      </c>
      <c r="C1050" s="20" t="s">
        <v>47</v>
      </c>
      <c r="D1050" s="20" t="s">
        <v>48</v>
      </c>
      <c r="E1050" s="20" t="s">
        <v>78</v>
      </c>
      <c r="F1050" s="20" t="s">
        <v>2583</v>
      </c>
      <c r="G1050" s="20" t="s">
        <v>2584</v>
      </c>
      <c r="H1050" s="20" t="s">
        <v>81</v>
      </c>
      <c r="I1050" s="20" t="s">
        <v>53</v>
      </c>
      <c r="J1050" s="20" t="s">
        <v>143</v>
      </c>
      <c r="K1050" s="20" t="s">
        <v>69</v>
      </c>
      <c r="L1050" s="20" t="s">
        <v>2681</v>
      </c>
      <c r="M1050" s="20" t="s">
        <v>61</v>
      </c>
      <c r="N1050" s="20" t="s">
        <v>84</v>
      </c>
      <c r="O1050" s="20">
        <v>40</v>
      </c>
      <c r="P1050" s="20">
        <v>134.97999999999999</v>
      </c>
      <c r="Q1050" s="20">
        <v>86.95</v>
      </c>
      <c r="R1050" s="20">
        <v>5399.09</v>
      </c>
      <c r="S1050" s="20">
        <v>0.2</v>
      </c>
      <c r="T1050" s="20">
        <v>1079.82</v>
      </c>
      <c r="U1050" s="20">
        <v>4319.2700000000004</v>
      </c>
      <c r="V1050" s="20">
        <v>3477.9</v>
      </c>
      <c r="W1050" s="20">
        <v>841.37</v>
      </c>
      <c r="X1050" s="20" t="s">
        <v>45</v>
      </c>
    </row>
    <row r="1051" spans="1:24" x14ac:dyDescent="0.25">
      <c r="A1051" s="23" t="s">
        <v>1564</v>
      </c>
      <c r="B1051" s="22">
        <v>45347</v>
      </c>
      <c r="C1051" s="23" t="s">
        <v>931</v>
      </c>
      <c r="D1051" s="23" t="s">
        <v>105</v>
      </c>
      <c r="E1051" s="23" t="s">
        <v>49</v>
      </c>
      <c r="F1051" s="23" t="s">
        <v>2580</v>
      </c>
      <c r="G1051" s="23" t="s">
        <v>2581</v>
      </c>
      <c r="H1051" s="23" t="s">
        <v>52</v>
      </c>
      <c r="I1051" s="23" t="s">
        <v>27</v>
      </c>
      <c r="J1051" s="23" t="s">
        <v>28</v>
      </c>
      <c r="K1051" s="23" t="s">
        <v>42</v>
      </c>
      <c r="L1051" s="23" t="s">
        <v>2680</v>
      </c>
      <c r="M1051" s="23" t="s">
        <v>43</v>
      </c>
      <c r="N1051" s="23" t="s">
        <v>2578</v>
      </c>
      <c r="O1051" s="23">
        <v>5</v>
      </c>
      <c r="P1051" s="23">
        <v>26.88</v>
      </c>
      <c r="Q1051" s="23">
        <v>12.5</v>
      </c>
      <c r="R1051" s="23">
        <v>134.38999999999999</v>
      </c>
      <c r="S1051" s="23">
        <v>0.2</v>
      </c>
      <c r="T1051" s="23">
        <v>26.88</v>
      </c>
      <c r="U1051" s="23">
        <v>107.51</v>
      </c>
      <c r="V1051" s="23">
        <v>62.48</v>
      </c>
      <c r="W1051" s="23">
        <v>45.03</v>
      </c>
      <c r="X1051" s="23" t="s">
        <v>45</v>
      </c>
    </row>
    <row r="1052" spans="1:24" x14ac:dyDescent="0.25">
      <c r="A1052" s="20" t="s">
        <v>1565</v>
      </c>
      <c r="B1052" s="19">
        <v>45318</v>
      </c>
      <c r="C1052" s="20" t="s">
        <v>653</v>
      </c>
      <c r="D1052" s="20" t="s">
        <v>87</v>
      </c>
      <c r="E1052" s="20" t="s">
        <v>49</v>
      </c>
      <c r="F1052" s="20" t="s">
        <v>2580</v>
      </c>
      <c r="G1052" s="20" t="s">
        <v>2581</v>
      </c>
      <c r="H1052" s="20" t="s">
        <v>52</v>
      </c>
      <c r="I1052" s="20" t="s">
        <v>88</v>
      </c>
      <c r="J1052" s="20" t="s">
        <v>183</v>
      </c>
      <c r="K1052" s="20" t="s">
        <v>152</v>
      </c>
      <c r="L1052" s="20" t="s">
        <v>2688</v>
      </c>
      <c r="M1052" s="20" t="s">
        <v>43</v>
      </c>
      <c r="N1052" s="20" t="s">
        <v>2578</v>
      </c>
      <c r="O1052" s="20">
        <v>55</v>
      </c>
      <c r="P1052" s="20">
        <v>25.8</v>
      </c>
      <c r="Q1052" s="20">
        <v>13.37</v>
      </c>
      <c r="R1052" s="20">
        <v>1419.25</v>
      </c>
      <c r="S1052" s="20">
        <v>0.2</v>
      </c>
      <c r="T1052" s="20">
        <v>283.85000000000002</v>
      </c>
      <c r="U1052" s="20">
        <v>1135.4000000000001</v>
      </c>
      <c r="V1052" s="20">
        <v>735.6</v>
      </c>
      <c r="W1052" s="20">
        <v>399.8</v>
      </c>
      <c r="X1052" s="20" t="s">
        <v>45</v>
      </c>
    </row>
    <row r="1053" spans="1:24" x14ac:dyDescent="0.25">
      <c r="A1053" s="23" t="s">
        <v>1566</v>
      </c>
      <c r="B1053" s="22">
        <v>45567</v>
      </c>
      <c r="C1053" s="23" t="s">
        <v>926</v>
      </c>
      <c r="D1053" s="23" t="s">
        <v>22</v>
      </c>
      <c r="E1053" s="23" t="s">
        <v>49</v>
      </c>
      <c r="F1053" s="23" t="s">
        <v>2580</v>
      </c>
      <c r="G1053" s="23" t="s">
        <v>2581</v>
      </c>
      <c r="H1053" s="23" t="s">
        <v>52</v>
      </c>
      <c r="I1053" s="23" t="s">
        <v>27</v>
      </c>
      <c r="J1053" s="23" t="s">
        <v>28</v>
      </c>
      <c r="K1053" s="23" t="s">
        <v>60</v>
      </c>
      <c r="L1053" s="23" t="s">
        <v>2677</v>
      </c>
      <c r="M1053" s="23" t="s">
        <v>43</v>
      </c>
      <c r="N1053" s="23" t="s">
        <v>2578</v>
      </c>
      <c r="O1053" s="23">
        <v>56</v>
      </c>
      <c r="P1053" s="23">
        <v>25.01</v>
      </c>
      <c r="Q1053" s="23">
        <v>13.2</v>
      </c>
      <c r="R1053" s="23">
        <v>1400.49</v>
      </c>
      <c r="S1053" s="23">
        <v>0.2</v>
      </c>
      <c r="T1053" s="23">
        <v>280.10000000000002</v>
      </c>
      <c r="U1053" s="23">
        <v>1120.3900000000001</v>
      </c>
      <c r="V1053" s="23">
        <v>739.11</v>
      </c>
      <c r="W1053" s="23">
        <v>381.28</v>
      </c>
      <c r="X1053" s="23" t="s">
        <v>32</v>
      </c>
    </row>
    <row r="1054" spans="1:24" x14ac:dyDescent="0.25">
      <c r="A1054" s="20" t="s">
        <v>1567</v>
      </c>
      <c r="B1054" s="19">
        <v>45363</v>
      </c>
      <c r="C1054" s="20" t="s">
        <v>255</v>
      </c>
      <c r="D1054" s="20" t="s">
        <v>256</v>
      </c>
      <c r="E1054" s="20" t="s">
        <v>114</v>
      </c>
      <c r="F1054" s="20" t="s">
        <v>2588</v>
      </c>
      <c r="G1054" s="20" t="s">
        <v>2586</v>
      </c>
      <c r="H1054" s="20" t="s">
        <v>116</v>
      </c>
      <c r="I1054" s="20" t="s">
        <v>27</v>
      </c>
      <c r="J1054" s="20" t="s">
        <v>28</v>
      </c>
      <c r="K1054" s="20" t="s">
        <v>60</v>
      </c>
      <c r="L1054" s="20" t="s">
        <v>2677</v>
      </c>
      <c r="M1054" s="20" t="s">
        <v>61</v>
      </c>
      <c r="N1054" s="20" t="s">
        <v>2578</v>
      </c>
      <c r="O1054" s="20">
        <v>75</v>
      </c>
      <c r="P1054" s="20">
        <v>33.89</v>
      </c>
      <c r="Q1054" s="20">
        <v>21.7</v>
      </c>
      <c r="R1054" s="20">
        <v>2541.4</v>
      </c>
      <c r="S1054" s="20">
        <v>0.2</v>
      </c>
      <c r="T1054" s="20">
        <v>508.28</v>
      </c>
      <c r="U1054" s="20">
        <v>2033.12</v>
      </c>
      <c r="V1054" s="20">
        <v>1627.46</v>
      </c>
      <c r="W1054" s="20">
        <v>405.66</v>
      </c>
      <c r="X1054" s="20" t="s">
        <v>32</v>
      </c>
    </row>
    <row r="1055" spans="1:24" x14ac:dyDescent="0.25">
      <c r="A1055" s="23" t="s">
        <v>1568</v>
      </c>
      <c r="B1055" s="22">
        <v>45598</v>
      </c>
      <c r="C1055" s="23" t="s">
        <v>1047</v>
      </c>
      <c r="D1055" s="23" t="s">
        <v>156</v>
      </c>
      <c r="E1055" s="23" t="s">
        <v>150</v>
      </c>
      <c r="F1055" s="23" t="s">
        <v>2591</v>
      </c>
      <c r="G1055" s="23" t="s">
        <v>2587</v>
      </c>
      <c r="H1055" s="23" t="s">
        <v>134</v>
      </c>
      <c r="I1055" s="23" t="s">
        <v>58</v>
      </c>
      <c r="J1055" s="23" t="s">
        <v>323</v>
      </c>
      <c r="K1055" s="23" t="s">
        <v>265</v>
      </c>
      <c r="L1055" s="23" t="s">
        <v>2663</v>
      </c>
      <c r="M1055" s="23" t="s">
        <v>43</v>
      </c>
      <c r="N1055" s="23" t="s">
        <v>70</v>
      </c>
      <c r="O1055" s="23">
        <v>42</v>
      </c>
      <c r="P1055" s="23">
        <v>79.16</v>
      </c>
      <c r="Q1055" s="23">
        <v>48.43</v>
      </c>
      <c r="R1055" s="23">
        <v>3324.66</v>
      </c>
      <c r="S1055" s="23">
        <v>0.15</v>
      </c>
      <c r="T1055" s="23">
        <v>498.7</v>
      </c>
      <c r="U1055" s="23">
        <v>2825.97</v>
      </c>
      <c r="V1055" s="23">
        <v>2034.26</v>
      </c>
      <c r="W1055" s="23">
        <v>791.7</v>
      </c>
      <c r="X1055" s="23" t="s">
        <v>45</v>
      </c>
    </row>
    <row r="1056" spans="1:24" x14ac:dyDescent="0.25">
      <c r="A1056" s="20" t="s">
        <v>1569</v>
      </c>
      <c r="B1056" s="19">
        <v>45347</v>
      </c>
      <c r="C1056" s="20" t="s">
        <v>658</v>
      </c>
      <c r="D1056" s="20" t="s">
        <v>264</v>
      </c>
      <c r="E1056" s="20" t="s">
        <v>109</v>
      </c>
      <c r="F1056" s="20" t="s">
        <v>110</v>
      </c>
      <c r="G1056" s="20" t="s">
        <v>2584</v>
      </c>
      <c r="H1056" s="20" t="s">
        <v>81</v>
      </c>
      <c r="I1056" s="20" t="s">
        <v>88</v>
      </c>
      <c r="J1056" s="20" t="s">
        <v>135</v>
      </c>
      <c r="K1056" s="20" t="s">
        <v>69</v>
      </c>
      <c r="L1056" s="20" t="s">
        <v>2681</v>
      </c>
      <c r="M1056" s="20" t="s">
        <v>43</v>
      </c>
      <c r="N1056" s="20" t="s">
        <v>2578</v>
      </c>
      <c r="O1056" s="20">
        <v>19</v>
      </c>
      <c r="P1056" s="20">
        <v>130.22</v>
      </c>
      <c r="Q1056" s="20">
        <v>75.489999999999995</v>
      </c>
      <c r="R1056" s="20">
        <v>2474.19</v>
      </c>
      <c r="S1056" s="20">
        <v>0.15</v>
      </c>
      <c r="T1056" s="20">
        <v>371.13</v>
      </c>
      <c r="U1056" s="20">
        <v>2103.06</v>
      </c>
      <c r="V1056" s="20">
        <v>1434.39</v>
      </c>
      <c r="W1056" s="20">
        <v>668.67</v>
      </c>
      <c r="X1056" s="20" t="s">
        <v>129</v>
      </c>
    </row>
    <row r="1057" spans="1:24" x14ac:dyDescent="0.25">
      <c r="A1057" s="23" t="s">
        <v>1570</v>
      </c>
      <c r="B1057" s="22">
        <v>45486</v>
      </c>
      <c r="C1057" s="23" t="s">
        <v>234</v>
      </c>
      <c r="D1057" s="23" t="s">
        <v>159</v>
      </c>
      <c r="E1057" s="23" t="s">
        <v>165</v>
      </c>
      <c r="F1057" s="23" t="s">
        <v>2592</v>
      </c>
      <c r="G1057" s="23" t="s">
        <v>2586</v>
      </c>
      <c r="H1057" s="23" t="s">
        <v>167</v>
      </c>
      <c r="I1057" s="23" t="s">
        <v>27</v>
      </c>
      <c r="J1057" s="23" t="s">
        <v>189</v>
      </c>
      <c r="K1057" s="23" t="s">
        <v>29</v>
      </c>
      <c r="L1057" s="23" t="s">
        <v>2679</v>
      </c>
      <c r="M1057" s="23" t="s">
        <v>43</v>
      </c>
      <c r="N1057" s="23" t="s">
        <v>70</v>
      </c>
      <c r="O1057" s="23">
        <v>12</v>
      </c>
      <c r="P1057" s="23">
        <v>40.93</v>
      </c>
      <c r="Q1057" s="23">
        <v>23.29</v>
      </c>
      <c r="R1057" s="23">
        <v>491.15</v>
      </c>
      <c r="S1057" s="23">
        <v>0.2</v>
      </c>
      <c r="T1057" s="23">
        <v>98.23</v>
      </c>
      <c r="U1057" s="23">
        <v>392.92</v>
      </c>
      <c r="V1057" s="23">
        <v>279.44</v>
      </c>
      <c r="W1057" s="23">
        <v>113.47</v>
      </c>
      <c r="X1057" s="23" t="s">
        <v>32</v>
      </c>
    </row>
    <row r="1058" spans="1:24" x14ac:dyDescent="0.25">
      <c r="A1058" s="20" t="s">
        <v>1571</v>
      </c>
      <c r="B1058" s="19">
        <v>45560</v>
      </c>
      <c r="C1058" s="20" t="s">
        <v>389</v>
      </c>
      <c r="D1058" s="20" t="s">
        <v>264</v>
      </c>
      <c r="E1058" s="20" t="s">
        <v>109</v>
      </c>
      <c r="F1058" s="20" t="s">
        <v>110</v>
      </c>
      <c r="G1058" s="20" t="s">
        <v>2584</v>
      </c>
      <c r="H1058" s="20" t="s">
        <v>81</v>
      </c>
      <c r="I1058" s="20" t="s">
        <v>40</v>
      </c>
      <c r="J1058" s="20" t="s">
        <v>117</v>
      </c>
      <c r="K1058" s="20" t="s">
        <v>60</v>
      </c>
      <c r="L1058" s="20" t="s">
        <v>2677</v>
      </c>
      <c r="M1058" s="20" t="s">
        <v>43</v>
      </c>
      <c r="N1058" s="20" t="s">
        <v>75</v>
      </c>
      <c r="O1058" s="20">
        <v>54</v>
      </c>
      <c r="P1058" s="20">
        <v>121.71</v>
      </c>
      <c r="Q1058" s="20">
        <v>79.67</v>
      </c>
      <c r="R1058" s="20">
        <v>6572.46</v>
      </c>
      <c r="S1058" s="20">
        <v>0.2</v>
      </c>
      <c r="T1058" s="20">
        <v>1314.49</v>
      </c>
      <c r="U1058" s="20">
        <v>5257.97</v>
      </c>
      <c r="V1058" s="20">
        <v>4301.95</v>
      </c>
      <c r="W1058" s="20">
        <v>956.02</v>
      </c>
      <c r="X1058" s="20" t="s">
        <v>45</v>
      </c>
    </row>
    <row r="1059" spans="1:24" x14ac:dyDescent="0.25">
      <c r="A1059" s="23" t="s">
        <v>1572</v>
      </c>
      <c r="B1059" s="22">
        <v>45586</v>
      </c>
      <c r="C1059" s="23" t="s">
        <v>1036</v>
      </c>
      <c r="D1059" s="23" t="s">
        <v>22</v>
      </c>
      <c r="E1059" s="23" t="s">
        <v>36</v>
      </c>
      <c r="F1059" s="23" t="s">
        <v>37</v>
      </c>
      <c r="G1059" s="23" t="s">
        <v>2579</v>
      </c>
      <c r="H1059" s="23" t="s">
        <v>39</v>
      </c>
      <c r="I1059" s="23" t="s">
        <v>58</v>
      </c>
      <c r="J1059" s="23" t="s">
        <v>323</v>
      </c>
      <c r="K1059" s="23" t="s">
        <v>83</v>
      </c>
      <c r="L1059" s="23" t="s">
        <v>2683</v>
      </c>
      <c r="M1059" s="23" t="s">
        <v>61</v>
      </c>
      <c r="N1059" s="23" t="s">
        <v>84</v>
      </c>
      <c r="O1059" s="23">
        <v>41</v>
      </c>
      <c r="P1059" s="23">
        <v>154.74</v>
      </c>
      <c r="Q1059" s="23">
        <v>98.88</v>
      </c>
      <c r="R1059" s="23">
        <v>6344.16</v>
      </c>
      <c r="S1059" s="23">
        <v>0.15</v>
      </c>
      <c r="T1059" s="23">
        <v>951.62</v>
      </c>
      <c r="U1059" s="23">
        <v>5392.54</v>
      </c>
      <c r="V1059" s="23">
        <v>4054.21</v>
      </c>
      <c r="W1059" s="23">
        <v>1338.33</v>
      </c>
      <c r="X1059" s="23" t="s">
        <v>45</v>
      </c>
    </row>
    <row r="1060" spans="1:24" x14ac:dyDescent="0.25">
      <c r="A1060" s="20" t="s">
        <v>1573</v>
      </c>
      <c r="B1060" s="19">
        <v>45598</v>
      </c>
      <c r="C1060" s="20" t="s">
        <v>691</v>
      </c>
      <c r="D1060" s="20" t="s">
        <v>35</v>
      </c>
      <c r="E1060" s="20" t="s">
        <v>250</v>
      </c>
      <c r="F1060" s="20" t="s">
        <v>2598</v>
      </c>
      <c r="G1060" s="20" t="s">
        <v>2581</v>
      </c>
      <c r="H1060" s="20" t="s">
        <v>252</v>
      </c>
      <c r="I1060" s="20" t="s">
        <v>40</v>
      </c>
      <c r="J1060" s="20" t="s">
        <v>82</v>
      </c>
      <c r="K1060" s="20" t="s">
        <v>60</v>
      </c>
      <c r="L1060" s="20" t="s">
        <v>2677</v>
      </c>
      <c r="M1060" s="20" t="s">
        <v>153</v>
      </c>
      <c r="N1060" s="20" t="s">
        <v>44</v>
      </c>
      <c r="O1060" s="20">
        <v>33</v>
      </c>
      <c r="P1060" s="20">
        <v>65.87</v>
      </c>
      <c r="Q1060" s="20">
        <v>38.56</v>
      </c>
      <c r="R1060" s="20">
        <v>2173.5500000000002</v>
      </c>
      <c r="S1060" s="20">
        <v>0.15</v>
      </c>
      <c r="T1060" s="20">
        <v>326.02999999999997</v>
      </c>
      <c r="U1060" s="20">
        <v>1847.52</v>
      </c>
      <c r="V1060" s="20">
        <v>1272.6300000000001</v>
      </c>
      <c r="W1060" s="20">
        <v>574.89</v>
      </c>
      <c r="X1060" s="20" t="s">
        <v>45</v>
      </c>
    </row>
    <row r="1061" spans="1:24" x14ac:dyDescent="0.25">
      <c r="A1061" s="23" t="s">
        <v>1574</v>
      </c>
      <c r="B1061" s="22">
        <v>45590</v>
      </c>
      <c r="C1061" s="23" t="s">
        <v>1575</v>
      </c>
      <c r="D1061" s="23" t="s">
        <v>57</v>
      </c>
      <c r="E1061" s="23" t="s">
        <v>36</v>
      </c>
      <c r="F1061" s="23" t="s">
        <v>37</v>
      </c>
      <c r="G1061" s="23" t="s">
        <v>2579</v>
      </c>
      <c r="H1061" s="23" t="s">
        <v>39</v>
      </c>
      <c r="I1061" s="23" t="s">
        <v>40</v>
      </c>
      <c r="J1061" s="23" t="s">
        <v>289</v>
      </c>
      <c r="K1061" s="23" t="s">
        <v>248</v>
      </c>
      <c r="L1061" s="23" t="s">
        <v>2693</v>
      </c>
      <c r="M1061" s="23" t="s">
        <v>43</v>
      </c>
      <c r="N1061" s="23" t="s">
        <v>70</v>
      </c>
      <c r="O1061" s="23">
        <v>73</v>
      </c>
      <c r="P1061" s="23">
        <v>160.79</v>
      </c>
      <c r="Q1061" s="23">
        <v>99.17</v>
      </c>
      <c r="R1061" s="23">
        <v>11737.44</v>
      </c>
      <c r="S1061" s="23">
        <v>0</v>
      </c>
      <c r="T1061" s="23">
        <v>0</v>
      </c>
      <c r="U1061" s="23">
        <v>11737.44</v>
      </c>
      <c r="V1061" s="23">
        <v>7239.23</v>
      </c>
      <c r="W1061" s="23">
        <v>4498.21</v>
      </c>
      <c r="X1061" s="23" t="s">
        <v>32</v>
      </c>
    </row>
    <row r="1062" spans="1:24" x14ac:dyDescent="0.25">
      <c r="A1062" s="20" t="s">
        <v>1576</v>
      </c>
      <c r="B1062" s="19">
        <v>45433</v>
      </c>
      <c r="C1062" s="20" t="s">
        <v>911</v>
      </c>
      <c r="D1062" s="20" t="s">
        <v>48</v>
      </c>
      <c r="E1062" s="20" t="s">
        <v>114</v>
      </c>
      <c r="F1062" s="20" t="s">
        <v>2588</v>
      </c>
      <c r="G1062" s="20" t="s">
        <v>2586</v>
      </c>
      <c r="H1062" s="20" t="s">
        <v>116</v>
      </c>
      <c r="I1062" s="20" t="s">
        <v>88</v>
      </c>
      <c r="J1062" s="20" t="s">
        <v>173</v>
      </c>
      <c r="K1062" s="20" t="s">
        <v>60</v>
      </c>
      <c r="L1062" s="20" t="s">
        <v>2677</v>
      </c>
      <c r="M1062" s="20" t="s">
        <v>30</v>
      </c>
      <c r="N1062" s="20" t="s">
        <v>2578</v>
      </c>
      <c r="O1062" s="20">
        <v>20</v>
      </c>
      <c r="P1062" s="20">
        <v>36.049999999999997</v>
      </c>
      <c r="Q1062" s="20">
        <v>19.72</v>
      </c>
      <c r="R1062" s="20">
        <v>721.06</v>
      </c>
      <c r="S1062" s="20">
        <v>0.02</v>
      </c>
      <c r="T1062" s="20">
        <v>14.42</v>
      </c>
      <c r="U1062" s="20">
        <v>706.64</v>
      </c>
      <c r="V1062" s="20">
        <v>394.49</v>
      </c>
      <c r="W1062" s="20">
        <v>312.14999999999998</v>
      </c>
      <c r="X1062" s="20" t="s">
        <v>45</v>
      </c>
    </row>
    <row r="1063" spans="1:24" x14ac:dyDescent="0.25">
      <c r="A1063" s="23" t="s">
        <v>1577</v>
      </c>
      <c r="B1063" s="22">
        <v>45545</v>
      </c>
      <c r="C1063" s="23" t="s">
        <v>655</v>
      </c>
      <c r="D1063" s="23" t="s">
        <v>57</v>
      </c>
      <c r="E1063" s="23" t="s">
        <v>109</v>
      </c>
      <c r="F1063" s="23" t="s">
        <v>110</v>
      </c>
      <c r="G1063" s="23" t="s">
        <v>2584</v>
      </c>
      <c r="H1063" s="23" t="s">
        <v>81</v>
      </c>
      <c r="I1063" s="23" t="s">
        <v>58</v>
      </c>
      <c r="J1063" s="23" t="s">
        <v>345</v>
      </c>
      <c r="K1063" s="23" t="s">
        <v>69</v>
      </c>
      <c r="L1063" s="23" t="s">
        <v>2681</v>
      </c>
      <c r="M1063" s="23" t="s">
        <v>153</v>
      </c>
      <c r="N1063" s="23" t="s">
        <v>84</v>
      </c>
      <c r="O1063" s="23">
        <v>42</v>
      </c>
      <c r="P1063" s="23">
        <v>117.4</v>
      </c>
      <c r="Q1063" s="23">
        <v>72.08</v>
      </c>
      <c r="R1063" s="23">
        <v>4930.6899999999996</v>
      </c>
      <c r="S1063" s="23">
        <v>0.02</v>
      </c>
      <c r="T1063" s="23">
        <v>98.61</v>
      </c>
      <c r="U1063" s="23">
        <v>4832.07</v>
      </c>
      <c r="V1063" s="23">
        <v>3027.25</v>
      </c>
      <c r="W1063" s="23">
        <v>1804.82</v>
      </c>
      <c r="X1063" s="23" t="s">
        <v>45</v>
      </c>
    </row>
    <row r="1064" spans="1:24" x14ac:dyDescent="0.25">
      <c r="A1064" s="20" t="s">
        <v>1578</v>
      </c>
      <c r="B1064" s="19">
        <v>45508</v>
      </c>
      <c r="C1064" s="20" t="s">
        <v>655</v>
      </c>
      <c r="D1064" s="20" t="s">
        <v>57</v>
      </c>
      <c r="E1064" s="20" t="s">
        <v>187</v>
      </c>
      <c r="F1064" s="20" t="s">
        <v>2594</v>
      </c>
      <c r="G1064" s="20" t="s">
        <v>2577</v>
      </c>
      <c r="H1064" s="20" t="s">
        <v>26</v>
      </c>
      <c r="I1064" s="20" t="s">
        <v>53</v>
      </c>
      <c r="J1064" s="20" t="s">
        <v>54</v>
      </c>
      <c r="K1064" s="20" t="s">
        <v>60</v>
      </c>
      <c r="L1064" s="20" t="s">
        <v>2677</v>
      </c>
      <c r="M1064" s="20" t="s">
        <v>61</v>
      </c>
      <c r="N1064" s="20" t="s">
        <v>84</v>
      </c>
      <c r="O1064" s="20">
        <v>72</v>
      </c>
      <c r="P1064" s="20">
        <v>48.36</v>
      </c>
      <c r="Q1064" s="20">
        <v>27.54</v>
      </c>
      <c r="R1064" s="20">
        <v>3481.83</v>
      </c>
      <c r="S1064" s="20">
        <v>0.2</v>
      </c>
      <c r="T1064" s="20">
        <v>696.37</v>
      </c>
      <c r="U1064" s="20">
        <v>2785.46</v>
      </c>
      <c r="V1064" s="20">
        <v>1982.72</v>
      </c>
      <c r="W1064" s="20">
        <v>802.75</v>
      </c>
      <c r="X1064" s="20" t="s">
        <v>45</v>
      </c>
    </row>
    <row r="1065" spans="1:24" x14ac:dyDescent="0.25">
      <c r="A1065" s="23" t="s">
        <v>1579</v>
      </c>
      <c r="B1065" s="22">
        <v>45323</v>
      </c>
      <c r="C1065" s="23" t="s">
        <v>422</v>
      </c>
      <c r="D1065" s="23" t="s">
        <v>48</v>
      </c>
      <c r="E1065" s="23" t="s">
        <v>176</v>
      </c>
      <c r="F1065" s="23" t="s">
        <v>2593</v>
      </c>
      <c r="G1065" s="23" t="s">
        <v>2587</v>
      </c>
      <c r="H1065" s="23" t="s">
        <v>39</v>
      </c>
      <c r="I1065" s="23" t="s">
        <v>40</v>
      </c>
      <c r="J1065" s="23" t="s">
        <v>41</v>
      </c>
      <c r="K1065" s="23" t="s">
        <v>265</v>
      </c>
      <c r="L1065" s="23" t="s">
        <v>2663</v>
      </c>
      <c r="M1065" s="23" t="s">
        <v>61</v>
      </c>
      <c r="N1065" s="23" t="s">
        <v>70</v>
      </c>
      <c r="O1065" s="23">
        <v>58</v>
      </c>
      <c r="P1065" s="23">
        <v>101.41</v>
      </c>
      <c r="Q1065" s="23">
        <v>63.92</v>
      </c>
      <c r="R1065" s="23">
        <v>5882.01</v>
      </c>
      <c r="S1065" s="23">
        <v>0</v>
      </c>
      <c r="T1065" s="23">
        <v>0</v>
      </c>
      <c r="U1065" s="23">
        <v>5882.01</v>
      </c>
      <c r="V1065" s="23">
        <v>3707.1</v>
      </c>
      <c r="W1065" s="23">
        <v>2174.9</v>
      </c>
      <c r="X1065" s="23" t="s">
        <v>45</v>
      </c>
    </row>
    <row r="1066" spans="1:24" x14ac:dyDescent="0.25">
      <c r="A1066" s="20" t="s">
        <v>1580</v>
      </c>
      <c r="B1066" s="19">
        <v>45571</v>
      </c>
      <c r="C1066" s="20" t="s">
        <v>272</v>
      </c>
      <c r="D1066" s="20" t="s">
        <v>105</v>
      </c>
      <c r="E1066" s="20" t="s">
        <v>165</v>
      </c>
      <c r="F1066" s="20" t="s">
        <v>2592</v>
      </c>
      <c r="G1066" s="20" t="s">
        <v>2586</v>
      </c>
      <c r="H1066" s="20" t="s">
        <v>167</v>
      </c>
      <c r="I1066" s="20" t="s">
        <v>88</v>
      </c>
      <c r="J1066" s="20" t="s">
        <v>2112</v>
      </c>
      <c r="K1066" s="20" t="s">
        <v>184</v>
      </c>
      <c r="L1066" s="20" t="s">
        <v>2690</v>
      </c>
      <c r="M1066" s="20" t="s">
        <v>61</v>
      </c>
      <c r="N1066" s="20" t="s">
        <v>70</v>
      </c>
      <c r="O1066" s="20">
        <v>67</v>
      </c>
      <c r="P1066" s="20">
        <v>38.92</v>
      </c>
      <c r="Q1066" s="20">
        <v>23.07</v>
      </c>
      <c r="R1066" s="20">
        <v>2607.83</v>
      </c>
      <c r="S1066" s="20">
        <f>ROUND(Cleaned_Sales!$T1066/Cleaned_Sales!$R1066,2)</f>
        <v>0.05</v>
      </c>
      <c r="T1066" s="20">
        <v>130.38999999999999</v>
      </c>
      <c r="U1066" s="20">
        <v>2477.44</v>
      </c>
      <c r="V1066" s="20">
        <v>1545.79</v>
      </c>
      <c r="W1066" s="20">
        <v>931.65</v>
      </c>
      <c r="X1066" s="20" t="s">
        <v>45</v>
      </c>
    </row>
    <row r="1067" spans="1:24" x14ac:dyDescent="0.25">
      <c r="A1067" s="23" t="s">
        <v>1581</v>
      </c>
      <c r="B1067" s="22">
        <v>45565</v>
      </c>
      <c r="C1067" s="23" t="s">
        <v>461</v>
      </c>
      <c r="D1067" s="23" t="s">
        <v>87</v>
      </c>
      <c r="E1067" s="23" t="s">
        <v>99</v>
      </c>
      <c r="F1067" s="23" t="s">
        <v>100</v>
      </c>
      <c r="G1067" s="23" t="s">
        <v>2587</v>
      </c>
      <c r="H1067" s="23" t="s">
        <v>102</v>
      </c>
      <c r="I1067" s="23" t="s">
        <v>53</v>
      </c>
      <c r="J1067" s="23" t="s">
        <v>143</v>
      </c>
      <c r="K1067" s="23" t="s">
        <v>42</v>
      </c>
      <c r="L1067" s="23" t="s">
        <v>2680</v>
      </c>
      <c r="M1067" s="23" t="s">
        <v>547</v>
      </c>
      <c r="N1067" s="23" t="s">
        <v>2578</v>
      </c>
      <c r="O1067" s="23">
        <v>78</v>
      </c>
      <c r="P1067" s="23">
        <v>70.7</v>
      </c>
      <c r="Q1067" s="23">
        <v>44</v>
      </c>
      <c r="R1067" s="23">
        <v>5514.42</v>
      </c>
      <c r="S1067" s="23">
        <v>0.05</v>
      </c>
      <c r="T1067" s="23">
        <v>275.72000000000003</v>
      </c>
      <c r="U1067" s="23">
        <v>5238.7</v>
      </c>
      <c r="V1067" s="23">
        <v>3432.16</v>
      </c>
      <c r="W1067" s="23">
        <v>1806.54</v>
      </c>
      <c r="X1067" s="23" t="s">
        <v>45</v>
      </c>
    </row>
    <row r="1068" spans="1:24" x14ac:dyDescent="0.25">
      <c r="A1068" s="20" t="s">
        <v>1582</v>
      </c>
      <c r="B1068" s="19">
        <v>45398</v>
      </c>
      <c r="C1068" s="20" t="s">
        <v>293</v>
      </c>
      <c r="D1068" s="20" t="s">
        <v>65</v>
      </c>
      <c r="E1068" s="20" t="s">
        <v>187</v>
      </c>
      <c r="F1068" s="20" t="s">
        <v>2594</v>
      </c>
      <c r="G1068" s="20" t="s">
        <v>2577</v>
      </c>
      <c r="H1068" s="20" t="s">
        <v>26</v>
      </c>
      <c r="I1068" s="20" t="s">
        <v>27</v>
      </c>
      <c r="J1068" s="20" t="s">
        <v>28</v>
      </c>
      <c r="K1068" s="20" t="s">
        <v>170</v>
      </c>
      <c r="L1068" s="20" t="s">
        <v>2671</v>
      </c>
      <c r="M1068" s="20" t="s">
        <v>153</v>
      </c>
      <c r="N1068" s="20" t="s">
        <v>2578</v>
      </c>
      <c r="O1068" s="20">
        <v>33</v>
      </c>
      <c r="P1068" s="20">
        <v>49.64</v>
      </c>
      <c r="Q1068" s="20">
        <v>29.77</v>
      </c>
      <c r="R1068" s="20">
        <v>1637.99</v>
      </c>
      <c r="S1068" s="20">
        <v>0.05</v>
      </c>
      <c r="T1068" s="20">
        <v>81.900000000000006</v>
      </c>
      <c r="U1068" s="20">
        <v>1556.09</v>
      </c>
      <c r="V1068" s="20">
        <v>982.48</v>
      </c>
      <c r="W1068" s="20">
        <v>573.62</v>
      </c>
      <c r="X1068" s="20" t="s">
        <v>45</v>
      </c>
    </row>
    <row r="1069" spans="1:24" x14ac:dyDescent="0.25">
      <c r="A1069" s="23" t="s">
        <v>1583</v>
      </c>
      <c r="B1069" s="22">
        <v>45374</v>
      </c>
      <c r="C1069" s="23" t="s">
        <v>651</v>
      </c>
      <c r="D1069" s="23" t="s">
        <v>105</v>
      </c>
      <c r="E1069" s="23" t="s">
        <v>141</v>
      </c>
      <c r="F1069" s="23" t="s">
        <v>2590</v>
      </c>
      <c r="G1069" s="23" t="s">
        <v>2577</v>
      </c>
      <c r="H1069" s="23" t="s">
        <v>26</v>
      </c>
      <c r="I1069" s="23" t="s">
        <v>58</v>
      </c>
      <c r="J1069" s="23" t="s">
        <v>345</v>
      </c>
      <c r="K1069" s="23" t="s">
        <v>218</v>
      </c>
      <c r="L1069" s="23" t="s">
        <v>2692</v>
      </c>
      <c r="M1069" s="23" t="s">
        <v>30</v>
      </c>
      <c r="N1069" s="23" t="s">
        <v>44</v>
      </c>
      <c r="O1069" s="23">
        <v>43</v>
      </c>
      <c r="P1069" s="23">
        <v>97.7</v>
      </c>
      <c r="Q1069" s="23">
        <v>53.51</v>
      </c>
      <c r="R1069" s="23">
        <v>4201.0600000000004</v>
      </c>
      <c r="S1069" s="23">
        <v>0.1</v>
      </c>
      <c r="T1069" s="23">
        <v>420.11</v>
      </c>
      <c r="U1069" s="23">
        <v>3780.95</v>
      </c>
      <c r="V1069" s="23">
        <v>2301.1</v>
      </c>
      <c r="W1069" s="23">
        <v>1479.85</v>
      </c>
      <c r="X1069" s="23" t="s">
        <v>45</v>
      </c>
    </row>
    <row r="1070" spans="1:24" x14ac:dyDescent="0.25">
      <c r="A1070" s="20" t="s">
        <v>1584</v>
      </c>
      <c r="B1070" s="19">
        <v>45328</v>
      </c>
      <c r="C1070" s="20" t="s">
        <v>148</v>
      </c>
      <c r="D1070" s="20" t="s">
        <v>149</v>
      </c>
      <c r="E1070" s="20" t="s">
        <v>132</v>
      </c>
      <c r="F1070" s="20" t="s">
        <v>133</v>
      </c>
      <c r="G1070" s="20" t="s">
        <v>2581</v>
      </c>
      <c r="H1070" s="20" t="s">
        <v>134</v>
      </c>
      <c r="I1070" s="20" t="s">
        <v>53</v>
      </c>
      <c r="J1070" s="20" t="s">
        <v>232</v>
      </c>
      <c r="K1070" s="20" t="s">
        <v>178</v>
      </c>
      <c r="L1070" s="20" t="s">
        <v>2689</v>
      </c>
      <c r="M1070" s="20" t="s">
        <v>153</v>
      </c>
      <c r="N1070" s="20" t="s">
        <v>70</v>
      </c>
      <c r="O1070" s="20">
        <v>44</v>
      </c>
      <c r="P1070" s="20">
        <v>57.57</v>
      </c>
      <c r="Q1070" s="20">
        <v>33.909999999999997</v>
      </c>
      <c r="R1070" s="20">
        <v>2532.9699999999998</v>
      </c>
      <c r="S1070" s="20">
        <v>0.05</v>
      </c>
      <c r="T1070" s="20">
        <v>126.65</v>
      </c>
      <c r="U1070" s="20">
        <v>2406.3200000000002</v>
      </c>
      <c r="V1070" s="20">
        <v>1492.19</v>
      </c>
      <c r="W1070" s="20">
        <v>914.13</v>
      </c>
      <c r="X1070" s="20" t="s">
        <v>129</v>
      </c>
    </row>
    <row r="1071" spans="1:24" x14ac:dyDescent="0.25">
      <c r="A1071" s="23" t="s">
        <v>1585</v>
      </c>
      <c r="B1071" s="22">
        <v>45520</v>
      </c>
      <c r="C1071" s="23" t="s">
        <v>1586</v>
      </c>
      <c r="D1071" s="23" t="s">
        <v>221</v>
      </c>
      <c r="E1071" s="23" t="s">
        <v>165</v>
      </c>
      <c r="F1071" s="23" t="s">
        <v>2592</v>
      </c>
      <c r="G1071" s="23" t="s">
        <v>2586</v>
      </c>
      <c r="H1071" s="23" t="s">
        <v>167</v>
      </c>
      <c r="I1071" s="23" t="s">
        <v>40</v>
      </c>
      <c r="J1071" s="23" t="s">
        <v>289</v>
      </c>
      <c r="K1071" s="23" t="s">
        <v>152</v>
      </c>
      <c r="L1071" s="23" t="s">
        <v>2688</v>
      </c>
      <c r="M1071" s="23" t="s">
        <v>153</v>
      </c>
      <c r="N1071" s="23" t="s">
        <v>2578</v>
      </c>
      <c r="O1071" s="23">
        <v>55</v>
      </c>
      <c r="P1071" s="23">
        <v>39.270000000000003</v>
      </c>
      <c r="Q1071" s="23">
        <v>24.94</v>
      </c>
      <c r="R1071" s="23">
        <v>2159.86</v>
      </c>
      <c r="S1071" s="23">
        <v>0.2</v>
      </c>
      <c r="T1071" s="23">
        <v>431.97</v>
      </c>
      <c r="U1071" s="23">
        <v>1727.89</v>
      </c>
      <c r="V1071" s="23">
        <v>1371.95</v>
      </c>
      <c r="W1071" s="23">
        <v>355.94</v>
      </c>
      <c r="X1071" s="23" t="s">
        <v>45</v>
      </c>
    </row>
    <row r="1072" spans="1:24" x14ac:dyDescent="0.25">
      <c r="A1072" s="20" t="s">
        <v>1587</v>
      </c>
      <c r="B1072" s="19">
        <v>45370</v>
      </c>
      <c r="C1072" s="20" t="s">
        <v>874</v>
      </c>
      <c r="D1072" s="20" t="s">
        <v>159</v>
      </c>
      <c r="E1072" s="20" t="s">
        <v>141</v>
      </c>
      <c r="F1072" s="20" t="s">
        <v>2590</v>
      </c>
      <c r="G1072" s="20" t="s">
        <v>2577</v>
      </c>
      <c r="H1072" s="20" t="s">
        <v>26</v>
      </c>
      <c r="I1072" s="20" t="s">
        <v>27</v>
      </c>
      <c r="J1072" s="20" t="s">
        <v>189</v>
      </c>
      <c r="K1072" s="20" t="s">
        <v>29</v>
      </c>
      <c r="L1072" s="20" t="s">
        <v>2679</v>
      </c>
      <c r="M1072" s="20" t="s">
        <v>30</v>
      </c>
      <c r="N1072" s="20" t="s">
        <v>75</v>
      </c>
      <c r="O1072" s="20">
        <v>44</v>
      </c>
      <c r="P1072" s="20">
        <v>93.45</v>
      </c>
      <c r="Q1072" s="20">
        <v>61.89</v>
      </c>
      <c r="R1072" s="20">
        <v>4111.67</v>
      </c>
      <c r="S1072" s="20">
        <v>0.05</v>
      </c>
      <c r="T1072" s="20">
        <v>205.58</v>
      </c>
      <c r="U1072" s="20">
        <v>3906.09</v>
      </c>
      <c r="V1072" s="20">
        <v>2723.3</v>
      </c>
      <c r="W1072" s="20">
        <v>1182.79</v>
      </c>
      <c r="X1072" s="20" t="s">
        <v>129</v>
      </c>
    </row>
    <row r="1073" spans="1:24" x14ac:dyDescent="0.25">
      <c r="A1073" s="23" t="s">
        <v>1588</v>
      </c>
      <c r="B1073" s="22">
        <v>45571</v>
      </c>
      <c r="C1073" s="23" t="s">
        <v>341</v>
      </c>
      <c r="D1073" s="23" t="s">
        <v>259</v>
      </c>
      <c r="E1073" s="23" t="s">
        <v>165</v>
      </c>
      <c r="F1073" s="23" t="s">
        <v>2592</v>
      </c>
      <c r="G1073" s="23" t="s">
        <v>2586</v>
      </c>
      <c r="H1073" s="23" t="s">
        <v>167</v>
      </c>
      <c r="I1073" s="23" t="s">
        <v>40</v>
      </c>
      <c r="J1073" s="23" t="s">
        <v>117</v>
      </c>
      <c r="K1073" s="23" t="s">
        <v>178</v>
      </c>
      <c r="L1073" s="23" t="s">
        <v>2689</v>
      </c>
      <c r="M1073" s="23" t="s">
        <v>30</v>
      </c>
      <c r="N1073" s="23" t="s">
        <v>44</v>
      </c>
      <c r="O1073" s="23">
        <v>70</v>
      </c>
      <c r="P1073" s="23">
        <v>45</v>
      </c>
      <c r="Q1073" s="23">
        <v>26.54</v>
      </c>
      <c r="R1073" s="23">
        <v>3150.34</v>
      </c>
      <c r="S1073" s="23">
        <v>0.2</v>
      </c>
      <c r="T1073" s="23">
        <v>630.07000000000005</v>
      </c>
      <c r="U1073" s="23">
        <v>2384.56</v>
      </c>
      <c r="V1073" s="23">
        <v>1857.76</v>
      </c>
      <c r="W1073" s="23">
        <v>662.52</v>
      </c>
      <c r="X1073" s="23" t="s">
        <v>45</v>
      </c>
    </row>
    <row r="1074" spans="1:24" x14ac:dyDescent="0.25">
      <c r="A1074" s="20" t="s">
        <v>1589</v>
      </c>
      <c r="B1074" s="19">
        <v>45650</v>
      </c>
      <c r="C1074" s="20" t="s">
        <v>199</v>
      </c>
      <c r="D1074" s="20" t="s">
        <v>105</v>
      </c>
      <c r="E1074" s="20" t="s">
        <v>150</v>
      </c>
      <c r="F1074" s="20" t="s">
        <v>2591</v>
      </c>
      <c r="G1074" s="20" t="s">
        <v>2587</v>
      </c>
      <c r="H1074" s="20" t="s">
        <v>134</v>
      </c>
      <c r="I1074" s="20" t="s">
        <v>53</v>
      </c>
      <c r="J1074" s="20" t="s">
        <v>2619</v>
      </c>
      <c r="K1074" s="20" t="s">
        <v>178</v>
      </c>
      <c r="L1074" s="20" t="s">
        <v>2689</v>
      </c>
      <c r="M1074" s="20" t="s">
        <v>153</v>
      </c>
      <c r="N1074" s="20" t="s">
        <v>44</v>
      </c>
      <c r="O1074" s="20">
        <v>38</v>
      </c>
      <c r="P1074" s="20">
        <v>80.25</v>
      </c>
      <c r="Q1074" s="20">
        <v>54.82</v>
      </c>
      <c r="R1074" s="20">
        <v>3049.36</v>
      </c>
      <c r="S1074" s="20">
        <v>0</v>
      </c>
      <c r="T1074" s="20">
        <v>0</v>
      </c>
      <c r="U1074" s="20">
        <v>3049.36</v>
      </c>
      <c r="V1074" s="20">
        <v>2083.14</v>
      </c>
      <c r="W1074" s="20">
        <v>966.22</v>
      </c>
      <c r="X1074" s="20" t="s">
        <v>32</v>
      </c>
    </row>
    <row r="1075" spans="1:24" x14ac:dyDescent="0.25">
      <c r="A1075" s="23" t="s">
        <v>1590</v>
      </c>
      <c r="B1075" s="22">
        <v>45567</v>
      </c>
      <c r="C1075" s="23" t="s">
        <v>852</v>
      </c>
      <c r="D1075" s="23" t="s">
        <v>57</v>
      </c>
      <c r="E1075" s="23" t="s">
        <v>109</v>
      </c>
      <c r="F1075" s="23" t="s">
        <v>110</v>
      </c>
      <c r="G1075" s="23" t="s">
        <v>2584</v>
      </c>
      <c r="H1075" s="23" t="s">
        <v>81</v>
      </c>
      <c r="I1075" s="23" t="s">
        <v>88</v>
      </c>
      <c r="J1075" s="23" t="s">
        <v>183</v>
      </c>
      <c r="K1075" s="23" t="s">
        <v>74</v>
      </c>
      <c r="L1075" s="23" t="s">
        <v>2682</v>
      </c>
      <c r="M1075" s="23" t="s">
        <v>61</v>
      </c>
      <c r="N1075" s="23" t="s">
        <v>44</v>
      </c>
      <c r="O1075" s="23">
        <v>7</v>
      </c>
      <c r="P1075" s="23">
        <v>128.33000000000001</v>
      </c>
      <c r="Q1075" s="23">
        <v>70.010000000000005</v>
      </c>
      <c r="R1075" s="23">
        <v>898.32</v>
      </c>
      <c r="S1075" s="23">
        <v>0.2</v>
      </c>
      <c r="T1075" s="23">
        <v>179.66</v>
      </c>
      <c r="U1075" s="23">
        <v>718.66</v>
      </c>
      <c r="V1075" s="23">
        <v>490.04</v>
      </c>
      <c r="W1075" s="23">
        <v>228.61</v>
      </c>
      <c r="X1075" s="23" t="s">
        <v>45</v>
      </c>
    </row>
    <row r="1076" spans="1:24" x14ac:dyDescent="0.25">
      <c r="A1076" s="20" t="s">
        <v>1591</v>
      </c>
      <c r="B1076" s="19">
        <v>45558</v>
      </c>
      <c r="C1076" s="20" t="s">
        <v>631</v>
      </c>
      <c r="D1076" s="20" t="s">
        <v>105</v>
      </c>
      <c r="E1076" s="20" t="s">
        <v>114</v>
      </c>
      <c r="F1076" s="20" t="s">
        <v>2588</v>
      </c>
      <c r="G1076" s="20" t="s">
        <v>2586</v>
      </c>
      <c r="H1076" s="20" t="s">
        <v>116</v>
      </c>
      <c r="I1076" s="20" t="s">
        <v>27</v>
      </c>
      <c r="J1076" s="20" t="s">
        <v>211</v>
      </c>
      <c r="K1076" s="20" t="s">
        <v>261</v>
      </c>
      <c r="L1076" s="20" t="s">
        <v>2695</v>
      </c>
      <c r="M1076" s="20" t="s">
        <v>30</v>
      </c>
      <c r="N1076" s="20" t="s">
        <v>75</v>
      </c>
      <c r="O1076" s="20">
        <v>67</v>
      </c>
      <c r="P1076" s="20">
        <v>34.33</v>
      </c>
      <c r="Q1076" s="20">
        <v>22.04</v>
      </c>
      <c r="R1076" s="20">
        <v>2300.35</v>
      </c>
      <c r="S1076" s="20">
        <v>0.02</v>
      </c>
      <c r="T1076" s="20">
        <v>46.01</v>
      </c>
      <c r="U1076" s="20">
        <v>2254.34</v>
      </c>
      <c r="V1076" s="20">
        <v>1476.43</v>
      </c>
      <c r="W1076" s="20">
        <v>777.91</v>
      </c>
      <c r="X1076" s="20" t="s">
        <v>45</v>
      </c>
    </row>
    <row r="1077" spans="1:24" x14ac:dyDescent="0.25">
      <c r="A1077" s="23" t="s">
        <v>1592</v>
      </c>
      <c r="B1077" s="22">
        <v>45640</v>
      </c>
      <c r="C1077" s="23" t="s">
        <v>146</v>
      </c>
      <c r="D1077" s="23" t="s">
        <v>105</v>
      </c>
      <c r="E1077" s="23" t="s">
        <v>36</v>
      </c>
      <c r="F1077" s="23" t="s">
        <v>37</v>
      </c>
      <c r="G1077" s="23" t="s">
        <v>2579</v>
      </c>
      <c r="H1077" s="23" t="s">
        <v>39</v>
      </c>
      <c r="I1077" s="23" t="s">
        <v>53</v>
      </c>
      <c r="J1077" s="23" t="s">
        <v>143</v>
      </c>
      <c r="K1077" s="23" t="s">
        <v>184</v>
      </c>
      <c r="L1077" s="23" t="s">
        <v>2690</v>
      </c>
      <c r="M1077" s="23" t="s">
        <v>30</v>
      </c>
      <c r="N1077" s="23" t="s">
        <v>75</v>
      </c>
      <c r="O1077" s="23">
        <v>4</v>
      </c>
      <c r="P1077" s="23">
        <v>166.97</v>
      </c>
      <c r="Q1077" s="23">
        <v>104.41</v>
      </c>
      <c r="R1077" s="23">
        <v>667.86</v>
      </c>
      <c r="S1077" s="23">
        <v>0.02</v>
      </c>
      <c r="T1077" s="23">
        <v>13.36</v>
      </c>
      <c r="U1077" s="23">
        <v>654.51</v>
      </c>
      <c r="V1077" s="23">
        <v>417.66</v>
      </c>
      <c r="W1077" s="23">
        <v>236.85</v>
      </c>
      <c r="X1077" s="23" t="s">
        <v>45</v>
      </c>
    </row>
    <row r="1078" spans="1:24" x14ac:dyDescent="0.25">
      <c r="A1078" s="20" t="s">
        <v>1593</v>
      </c>
      <c r="B1078" s="19">
        <v>45339</v>
      </c>
      <c r="C1078" s="20" t="s">
        <v>331</v>
      </c>
      <c r="D1078" s="20" t="s">
        <v>48</v>
      </c>
      <c r="E1078" s="20" t="s">
        <v>250</v>
      </c>
      <c r="F1078" s="20" t="s">
        <v>2598</v>
      </c>
      <c r="G1078" s="20" t="s">
        <v>2581</v>
      </c>
      <c r="H1078" s="20" t="s">
        <v>252</v>
      </c>
      <c r="I1078" s="20" t="s">
        <v>40</v>
      </c>
      <c r="J1078" s="20" t="s">
        <v>117</v>
      </c>
      <c r="K1078" s="20" t="s">
        <v>195</v>
      </c>
      <c r="L1078" s="20" t="s">
        <v>2691</v>
      </c>
      <c r="M1078" s="20" t="s">
        <v>43</v>
      </c>
      <c r="N1078" s="20" t="s">
        <v>2578</v>
      </c>
      <c r="O1078" s="20">
        <v>33</v>
      </c>
      <c r="P1078" s="20">
        <v>65.61</v>
      </c>
      <c r="Q1078" s="20">
        <v>36.909999999999997</v>
      </c>
      <c r="R1078" s="20">
        <v>2165.27</v>
      </c>
      <c r="S1078" s="20">
        <v>0.15</v>
      </c>
      <c r="T1078" s="20">
        <v>324.79000000000002</v>
      </c>
      <c r="U1078" s="20">
        <v>1840.48</v>
      </c>
      <c r="V1078" s="20">
        <v>1218.1199999999999</v>
      </c>
      <c r="W1078" s="20">
        <v>622.36</v>
      </c>
      <c r="X1078" s="20" t="s">
        <v>129</v>
      </c>
    </row>
    <row r="1079" spans="1:24" x14ac:dyDescent="0.25">
      <c r="A1079" s="23" t="s">
        <v>1594</v>
      </c>
      <c r="B1079" s="22">
        <v>45365</v>
      </c>
      <c r="C1079" s="23" t="s">
        <v>1122</v>
      </c>
      <c r="D1079" s="23" t="s">
        <v>159</v>
      </c>
      <c r="E1079" s="23" t="s">
        <v>109</v>
      </c>
      <c r="F1079" s="23" t="s">
        <v>110</v>
      </c>
      <c r="G1079" s="23" t="s">
        <v>2584</v>
      </c>
      <c r="H1079" s="23" t="s">
        <v>81</v>
      </c>
      <c r="I1079" s="23" t="s">
        <v>58</v>
      </c>
      <c r="J1079" s="23" t="s">
        <v>323</v>
      </c>
      <c r="K1079" s="23" t="s">
        <v>111</v>
      </c>
      <c r="L1079" s="23" t="s">
        <v>2685</v>
      </c>
      <c r="M1079" s="23" t="s">
        <v>30</v>
      </c>
      <c r="N1079" s="23" t="s">
        <v>44</v>
      </c>
      <c r="O1079" s="23">
        <v>6</v>
      </c>
      <c r="P1079" s="23">
        <v>126.54</v>
      </c>
      <c r="Q1079" s="23">
        <v>68.599999999999994</v>
      </c>
      <c r="R1079" s="23">
        <v>759.26</v>
      </c>
      <c r="S1079" s="23">
        <v>0.2</v>
      </c>
      <c r="T1079" s="23">
        <v>151.85</v>
      </c>
      <c r="U1079" s="23">
        <v>607.41</v>
      </c>
      <c r="V1079" s="23">
        <v>411.59</v>
      </c>
      <c r="W1079" s="23">
        <v>195.82</v>
      </c>
      <c r="X1079" s="23" t="s">
        <v>32</v>
      </c>
    </row>
    <row r="1080" spans="1:24" x14ac:dyDescent="0.25">
      <c r="A1080" s="20" t="s">
        <v>1595</v>
      </c>
      <c r="B1080" s="19">
        <v>45440</v>
      </c>
      <c r="C1080" s="20" t="s">
        <v>613</v>
      </c>
      <c r="D1080" s="20" t="s">
        <v>87</v>
      </c>
      <c r="E1080" s="20" t="s">
        <v>109</v>
      </c>
      <c r="F1080" s="20" t="s">
        <v>110</v>
      </c>
      <c r="G1080" s="20" t="s">
        <v>2584</v>
      </c>
      <c r="H1080" s="20" t="s">
        <v>81</v>
      </c>
      <c r="I1080" s="20" t="s">
        <v>53</v>
      </c>
      <c r="J1080" s="20" t="s">
        <v>143</v>
      </c>
      <c r="K1080" s="20" t="s">
        <v>248</v>
      </c>
      <c r="L1080" s="20" t="s">
        <v>2693</v>
      </c>
      <c r="M1080" s="20" t="s">
        <v>43</v>
      </c>
      <c r="N1080" s="20" t="s">
        <v>70</v>
      </c>
      <c r="O1080" s="20">
        <v>21</v>
      </c>
      <c r="P1080" s="20">
        <v>118.32</v>
      </c>
      <c r="Q1080" s="20">
        <v>79.28</v>
      </c>
      <c r="R1080" s="20">
        <v>2484.63</v>
      </c>
      <c r="S1080" s="20">
        <v>0.02</v>
      </c>
      <c r="T1080" s="20">
        <v>49.69</v>
      </c>
      <c r="U1080" s="20">
        <v>2434.9299999999998</v>
      </c>
      <c r="V1080" s="20">
        <v>1664.82</v>
      </c>
      <c r="W1080" s="20">
        <v>770.11</v>
      </c>
      <c r="X1080" s="20" t="s">
        <v>129</v>
      </c>
    </row>
    <row r="1081" spans="1:24" x14ac:dyDescent="0.25">
      <c r="A1081" s="23" t="s">
        <v>1596</v>
      </c>
      <c r="B1081" s="22">
        <v>45452</v>
      </c>
      <c r="C1081" s="23" t="s">
        <v>631</v>
      </c>
      <c r="D1081" s="23" t="s">
        <v>105</v>
      </c>
      <c r="E1081" s="23" t="s">
        <v>176</v>
      </c>
      <c r="F1081" s="23" t="s">
        <v>2593</v>
      </c>
      <c r="G1081" s="23" t="s">
        <v>2587</v>
      </c>
      <c r="H1081" s="23" t="s">
        <v>39</v>
      </c>
      <c r="I1081" s="23" t="s">
        <v>27</v>
      </c>
      <c r="J1081" s="23" t="s">
        <v>211</v>
      </c>
      <c r="K1081" s="23" t="s">
        <v>265</v>
      </c>
      <c r="L1081" s="23" t="s">
        <v>2663</v>
      </c>
      <c r="M1081" s="23" t="s">
        <v>153</v>
      </c>
      <c r="N1081" s="23" t="s">
        <v>44</v>
      </c>
      <c r="O1081" s="23">
        <v>22</v>
      </c>
      <c r="P1081" s="23">
        <v>97.65</v>
      </c>
      <c r="Q1081" s="23">
        <v>63.13</v>
      </c>
      <c r="R1081" s="23">
        <v>2148.2199999999998</v>
      </c>
      <c r="S1081" s="23">
        <v>0.05</v>
      </c>
      <c r="T1081" s="23">
        <v>107.41</v>
      </c>
      <c r="U1081" s="23">
        <v>2040.81</v>
      </c>
      <c r="V1081" s="23">
        <v>1388.77</v>
      </c>
      <c r="W1081" s="23">
        <v>652.03</v>
      </c>
      <c r="X1081" s="23" t="s">
        <v>45</v>
      </c>
    </row>
    <row r="1082" spans="1:24" x14ac:dyDescent="0.25">
      <c r="A1082" s="20" t="s">
        <v>1597</v>
      </c>
      <c r="B1082" s="19">
        <v>45373</v>
      </c>
      <c r="C1082" s="20" t="s">
        <v>414</v>
      </c>
      <c r="D1082" s="20" t="s">
        <v>22</v>
      </c>
      <c r="E1082" s="20" t="s">
        <v>66</v>
      </c>
      <c r="F1082" s="20" t="s">
        <v>2582</v>
      </c>
      <c r="G1082" s="20" t="s">
        <v>2579</v>
      </c>
      <c r="H1082" s="20" t="s">
        <v>68</v>
      </c>
      <c r="I1082" s="20" t="s">
        <v>58</v>
      </c>
      <c r="J1082" s="20" t="s">
        <v>345</v>
      </c>
      <c r="K1082" s="20" t="s">
        <v>83</v>
      </c>
      <c r="L1082" s="20" t="s">
        <v>2683</v>
      </c>
      <c r="M1082" s="20" t="s">
        <v>43</v>
      </c>
      <c r="N1082" s="20" t="s">
        <v>75</v>
      </c>
      <c r="O1082" s="20">
        <v>54</v>
      </c>
      <c r="P1082" s="20">
        <v>160.29</v>
      </c>
      <c r="Q1082" s="20">
        <v>103.87</v>
      </c>
      <c r="R1082" s="20">
        <v>8655.59</v>
      </c>
      <c r="S1082" s="20">
        <v>0.1</v>
      </c>
      <c r="T1082" s="20">
        <v>865.56</v>
      </c>
      <c r="U1082" s="20">
        <v>7790.03</v>
      </c>
      <c r="V1082" s="20">
        <v>5609.1</v>
      </c>
      <c r="W1082" s="20">
        <v>2180.92</v>
      </c>
      <c r="X1082" s="20" t="s">
        <v>45</v>
      </c>
    </row>
    <row r="1083" spans="1:24" x14ac:dyDescent="0.25">
      <c r="A1083" s="23" t="s">
        <v>1598</v>
      </c>
      <c r="B1083" s="22">
        <v>45325</v>
      </c>
      <c r="C1083" s="23" t="s">
        <v>438</v>
      </c>
      <c r="D1083" s="23" t="s">
        <v>221</v>
      </c>
      <c r="E1083" s="23" t="s">
        <v>93</v>
      </c>
      <c r="F1083" s="23" t="s">
        <v>2585</v>
      </c>
      <c r="G1083" s="23" t="s">
        <v>2586</v>
      </c>
      <c r="H1083" s="23" t="s">
        <v>96</v>
      </c>
      <c r="I1083" s="23" t="s">
        <v>27</v>
      </c>
      <c r="J1083" s="23" t="s">
        <v>106</v>
      </c>
      <c r="K1083" s="23" t="s">
        <v>170</v>
      </c>
      <c r="L1083" s="23" t="s">
        <v>2671</v>
      </c>
      <c r="M1083" s="23" t="s">
        <v>30</v>
      </c>
      <c r="N1083" s="23" t="s">
        <v>2578</v>
      </c>
      <c r="O1083" s="23">
        <v>36</v>
      </c>
      <c r="P1083" s="23">
        <v>55.41</v>
      </c>
      <c r="Q1083" s="23">
        <v>31.66</v>
      </c>
      <c r="R1083" s="23">
        <v>1994.76</v>
      </c>
      <c r="S1083" s="23">
        <v>0.15</v>
      </c>
      <c r="T1083" s="23">
        <v>299.20999999999998</v>
      </c>
      <c r="U1083" s="23">
        <v>1695.54</v>
      </c>
      <c r="V1083" s="23">
        <v>1139.6199999999999</v>
      </c>
      <c r="W1083" s="23">
        <v>555.92999999999995</v>
      </c>
      <c r="X1083" s="23" t="s">
        <v>129</v>
      </c>
    </row>
    <row r="1084" spans="1:24" x14ac:dyDescent="0.25">
      <c r="A1084" s="20" t="s">
        <v>1599</v>
      </c>
      <c r="B1084" s="19">
        <v>45471</v>
      </c>
      <c r="C1084" s="20" t="s">
        <v>169</v>
      </c>
      <c r="D1084" s="20" t="s">
        <v>57</v>
      </c>
      <c r="E1084" s="20" t="s">
        <v>141</v>
      </c>
      <c r="F1084" s="20" t="s">
        <v>2590</v>
      </c>
      <c r="G1084" s="20" t="s">
        <v>2577</v>
      </c>
      <c r="H1084" s="20" t="s">
        <v>26</v>
      </c>
      <c r="I1084" s="20" t="s">
        <v>53</v>
      </c>
      <c r="J1084" s="20" t="s">
        <v>122</v>
      </c>
      <c r="K1084" s="20" t="s">
        <v>184</v>
      </c>
      <c r="L1084" s="20" t="s">
        <v>2690</v>
      </c>
      <c r="M1084" s="20" t="s">
        <v>153</v>
      </c>
      <c r="N1084" s="20" t="s">
        <v>84</v>
      </c>
      <c r="O1084" s="20">
        <v>70</v>
      </c>
      <c r="P1084" s="20">
        <v>102.25</v>
      </c>
      <c r="Q1084" s="20">
        <v>54.39</v>
      </c>
      <c r="R1084" s="20">
        <v>7157.32</v>
      </c>
      <c r="S1084" s="20">
        <v>0.05</v>
      </c>
      <c r="T1084" s="20">
        <v>357.87</v>
      </c>
      <c r="U1084" s="20">
        <v>6799.45</v>
      </c>
      <c r="V1084" s="20">
        <v>3807.12</v>
      </c>
      <c r="W1084" s="20">
        <v>2992.33</v>
      </c>
      <c r="X1084" s="20" t="s">
        <v>45</v>
      </c>
    </row>
    <row r="1085" spans="1:24" x14ac:dyDescent="0.25">
      <c r="A1085" s="23" t="s">
        <v>1600</v>
      </c>
      <c r="B1085" s="22">
        <v>45526</v>
      </c>
      <c r="C1085" s="23" t="s">
        <v>911</v>
      </c>
      <c r="D1085" s="23" t="s">
        <v>48</v>
      </c>
      <c r="E1085" s="23" t="s">
        <v>36</v>
      </c>
      <c r="F1085" s="23" t="s">
        <v>37</v>
      </c>
      <c r="G1085" s="23" t="s">
        <v>2579</v>
      </c>
      <c r="H1085" s="23" t="s">
        <v>39</v>
      </c>
      <c r="I1085" s="23" t="s">
        <v>40</v>
      </c>
      <c r="J1085" s="23" t="s">
        <v>82</v>
      </c>
      <c r="K1085" s="23" t="s">
        <v>218</v>
      </c>
      <c r="L1085" s="23" t="s">
        <v>2692</v>
      </c>
      <c r="M1085" s="23" t="s">
        <v>61</v>
      </c>
      <c r="N1085" s="23" t="s">
        <v>84</v>
      </c>
      <c r="O1085" s="23">
        <v>39</v>
      </c>
      <c r="P1085" s="23">
        <v>166.46</v>
      </c>
      <c r="Q1085" s="23">
        <v>102.47</v>
      </c>
      <c r="R1085" s="23">
        <v>6492</v>
      </c>
      <c r="S1085" s="23">
        <v>0.15</v>
      </c>
      <c r="T1085" s="23">
        <v>973.8</v>
      </c>
      <c r="U1085" s="23">
        <v>5518.2</v>
      </c>
      <c r="V1085" s="23">
        <v>3996.41</v>
      </c>
      <c r="W1085" s="23">
        <v>1521.79</v>
      </c>
      <c r="X1085" s="23" t="s">
        <v>45</v>
      </c>
    </row>
    <row r="1086" spans="1:24" x14ac:dyDescent="0.25">
      <c r="A1086" s="20" t="s">
        <v>1601</v>
      </c>
      <c r="B1086" s="19">
        <v>45405</v>
      </c>
      <c r="C1086" s="20" t="s">
        <v>56</v>
      </c>
      <c r="D1086" s="20" t="s">
        <v>57</v>
      </c>
      <c r="E1086" s="20" t="s">
        <v>150</v>
      </c>
      <c r="F1086" s="20" t="s">
        <v>2591</v>
      </c>
      <c r="G1086" s="20" t="s">
        <v>2587</v>
      </c>
      <c r="H1086" s="20" t="s">
        <v>134</v>
      </c>
      <c r="I1086" s="20" t="s">
        <v>40</v>
      </c>
      <c r="J1086" s="20" t="s">
        <v>41</v>
      </c>
      <c r="K1086" s="20" t="s">
        <v>261</v>
      </c>
      <c r="L1086" s="20" t="s">
        <v>2695</v>
      </c>
      <c r="M1086" s="20" t="s">
        <v>30</v>
      </c>
      <c r="N1086" s="20" t="s">
        <v>44</v>
      </c>
      <c r="O1086" s="20">
        <v>29</v>
      </c>
      <c r="P1086" s="20">
        <v>80.94</v>
      </c>
      <c r="Q1086" s="20">
        <v>48.26</v>
      </c>
      <c r="R1086" s="20">
        <v>2347.3200000000002</v>
      </c>
      <c r="S1086" s="20">
        <v>0.2</v>
      </c>
      <c r="T1086" s="20">
        <v>469.46</v>
      </c>
      <c r="U1086" s="20">
        <v>1877.86</v>
      </c>
      <c r="V1086" s="20">
        <v>1399.41</v>
      </c>
      <c r="W1086" s="20">
        <v>478.45</v>
      </c>
      <c r="X1086" s="20" t="s">
        <v>45</v>
      </c>
    </row>
    <row r="1087" spans="1:24" x14ac:dyDescent="0.25">
      <c r="A1087" s="23" t="s">
        <v>1602</v>
      </c>
      <c r="B1087" s="22">
        <v>45398</v>
      </c>
      <c r="C1087" s="23" t="s">
        <v>194</v>
      </c>
      <c r="D1087" s="23" t="s">
        <v>163</v>
      </c>
      <c r="E1087" s="23" t="s">
        <v>132</v>
      </c>
      <c r="F1087" s="23" t="s">
        <v>133</v>
      </c>
      <c r="G1087" s="23" t="s">
        <v>2581</v>
      </c>
      <c r="H1087" s="23" t="s">
        <v>134</v>
      </c>
      <c r="I1087" s="23" t="s">
        <v>27</v>
      </c>
      <c r="J1087" s="23" t="s">
        <v>189</v>
      </c>
      <c r="K1087" s="23" t="s">
        <v>265</v>
      </c>
      <c r="L1087" s="23" t="s">
        <v>2663</v>
      </c>
      <c r="M1087" s="23" t="s">
        <v>61</v>
      </c>
      <c r="N1087" s="23" t="s">
        <v>75</v>
      </c>
      <c r="O1087" s="23">
        <v>28</v>
      </c>
      <c r="P1087" s="23">
        <v>64.66</v>
      </c>
      <c r="Q1087" s="23">
        <v>32.6</v>
      </c>
      <c r="R1087" s="23">
        <v>1810.54</v>
      </c>
      <c r="S1087" s="23">
        <v>0.05</v>
      </c>
      <c r="T1087" s="23">
        <v>90.53</v>
      </c>
      <c r="U1087" s="23">
        <v>1720.02</v>
      </c>
      <c r="V1087" s="23">
        <v>912.71</v>
      </c>
      <c r="W1087" s="23">
        <v>807.31</v>
      </c>
      <c r="X1087" s="23" t="s">
        <v>45</v>
      </c>
    </row>
    <row r="1088" spans="1:24" x14ac:dyDescent="0.25">
      <c r="A1088" s="20" t="s">
        <v>1603</v>
      </c>
      <c r="B1088" s="19">
        <v>45609</v>
      </c>
      <c r="C1088" s="20" t="s">
        <v>662</v>
      </c>
      <c r="D1088" s="20" t="s">
        <v>156</v>
      </c>
      <c r="E1088" s="20" t="s">
        <v>99</v>
      </c>
      <c r="F1088" s="20" t="s">
        <v>100</v>
      </c>
      <c r="G1088" s="20" t="s">
        <v>2587</v>
      </c>
      <c r="H1088" s="20" t="s">
        <v>102</v>
      </c>
      <c r="I1088" s="20" t="s">
        <v>40</v>
      </c>
      <c r="J1088" s="20" t="s">
        <v>117</v>
      </c>
      <c r="K1088" s="20" t="s">
        <v>42</v>
      </c>
      <c r="L1088" s="20" t="s">
        <v>2680</v>
      </c>
      <c r="M1088" s="20" t="s">
        <v>153</v>
      </c>
      <c r="N1088" s="20" t="s">
        <v>84</v>
      </c>
      <c r="O1088" s="20">
        <v>11</v>
      </c>
      <c r="P1088" s="20">
        <v>71.099999999999994</v>
      </c>
      <c r="Q1088" s="20">
        <v>43.77</v>
      </c>
      <c r="R1088" s="20">
        <v>782.06</v>
      </c>
      <c r="S1088" s="20">
        <v>0.1</v>
      </c>
      <c r="T1088" s="20">
        <v>78.209999999999994</v>
      </c>
      <c r="U1088" s="20">
        <v>703.86</v>
      </c>
      <c r="V1088" s="20">
        <v>481.44</v>
      </c>
      <c r="W1088" s="20">
        <v>222.41</v>
      </c>
      <c r="X1088" s="20" t="s">
        <v>45</v>
      </c>
    </row>
    <row r="1089" spans="1:24" x14ac:dyDescent="0.25">
      <c r="A1089" s="23" t="s">
        <v>1604</v>
      </c>
      <c r="B1089" s="22">
        <v>45622</v>
      </c>
      <c r="C1089" s="23" t="s">
        <v>953</v>
      </c>
      <c r="D1089" s="23" t="s">
        <v>221</v>
      </c>
      <c r="E1089" s="23" t="s">
        <v>132</v>
      </c>
      <c r="F1089" s="23" t="s">
        <v>133</v>
      </c>
      <c r="G1089" s="23" t="s">
        <v>2581</v>
      </c>
      <c r="H1089" s="23" t="s">
        <v>134</v>
      </c>
      <c r="I1089" s="23" t="s">
        <v>40</v>
      </c>
      <c r="J1089" s="23" t="s">
        <v>41</v>
      </c>
      <c r="K1089" s="23" t="s">
        <v>90</v>
      </c>
      <c r="L1089" s="23" t="s">
        <v>2684</v>
      </c>
      <c r="M1089" s="23" t="s">
        <v>153</v>
      </c>
      <c r="N1089" s="23" t="s">
        <v>70</v>
      </c>
      <c r="O1089" s="23">
        <v>25</v>
      </c>
      <c r="P1089" s="23">
        <v>62.49</v>
      </c>
      <c r="Q1089" s="23">
        <v>31.84</v>
      </c>
      <c r="R1089" s="23">
        <v>1562.16</v>
      </c>
      <c r="S1089" s="23">
        <v>0.15</v>
      </c>
      <c r="T1089" s="23">
        <v>234.32</v>
      </c>
      <c r="U1089" s="23">
        <v>1327.84</v>
      </c>
      <c r="V1089" s="23">
        <v>795.94</v>
      </c>
      <c r="W1089" s="23">
        <v>531.89</v>
      </c>
      <c r="X1089" s="23" t="s">
        <v>129</v>
      </c>
    </row>
    <row r="1090" spans="1:24" x14ac:dyDescent="0.25">
      <c r="A1090" s="20" t="s">
        <v>1605</v>
      </c>
      <c r="B1090" s="19">
        <v>45583</v>
      </c>
      <c r="C1090" s="20" t="s">
        <v>339</v>
      </c>
      <c r="D1090" s="20" t="s">
        <v>221</v>
      </c>
      <c r="E1090" s="20" t="s">
        <v>222</v>
      </c>
      <c r="F1090" s="20" t="s">
        <v>2597</v>
      </c>
      <c r="G1090" s="20" t="s">
        <v>2587</v>
      </c>
      <c r="H1090" s="20" t="s">
        <v>68</v>
      </c>
      <c r="I1090" s="20" t="s">
        <v>40</v>
      </c>
      <c r="J1090" s="20" t="s">
        <v>82</v>
      </c>
      <c r="K1090" s="20" t="s">
        <v>83</v>
      </c>
      <c r="L1090" s="20" t="s">
        <v>2683</v>
      </c>
      <c r="M1090" s="20" t="s">
        <v>30</v>
      </c>
      <c r="N1090" s="20" t="s">
        <v>75</v>
      </c>
      <c r="O1090" s="20">
        <v>28</v>
      </c>
      <c r="P1090" s="20">
        <v>127.19</v>
      </c>
      <c r="Q1090" s="20">
        <v>78.36</v>
      </c>
      <c r="R1090" s="20">
        <v>3561.44</v>
      </c>
      <c r="S1090" s="20">
        <v>0.2</v>
      </c>
      <c r="T1090" s="20">
        <v>712.29</v>
      </c>
      <c r="U1090" s="20">
        <v>2849.15</v>
      </c>
      <c r="V1090" s="20">
        <v>2194.11</v>
      </c>
      <c r="W1090" s="20">
        <v>655.04</v>
      </c>
      <c r="X1090" s="20" t="s">
        <v>45</v>
      </c>
    </row>
    <row r="1091" spans="1:24" x14ac:dyDescent="0.25">
      <c r="A1091" s="23" t="s">
        <v>1606</v>
      </c>
      <c r="B1091" s="22">
        <v>45555</v>
      </c>
      <c r="C1091" s="23" t="s">
        <v>347</v>
      </c>
      <c r="D1091" s="23" t="s">
        <v>163</v>
      </c>
      <c r="E1091" s="23" t="s">
        <v>176</v>
      </c>
      <c r="F1091" s="23" t="s">
        <v>2593</v>
      </c>
      <c r="G1091" s="23" t="s">
        <v>2587</v>
      </c>
      <c r="H1091" s="23" t="s">
        <v>39</v>
      </c>
      <c r="I1091" s="23" t="s">
        <v>40</v>
      </c>
      <c r="J1091" s="23" t="s">
        <v>289</v>
      </c>
      <c r="K1091" s="23" t="s">
        <v>144</v>
      </c>
      <c r="L1091" s="23" t="s">
        <v>2687</v>
      </c>
      <c r="M1091" s="23" t="s">
        <v>153</v>
      </c>
      <c r="N1091" s="23" t="s">
        <v>84</v>
      </c>
      <c r="O1091" s="23">
        <v>9</v>
      </c>
      <c r="P1091" s="23">
        <v>104.88</v>
      </c>
      <c r="Q1091" s="23">
        <v>60.98</v>
      </c>
      <c r="R1091" s="23">
        <v>943.91</v>
      </c>
      <c r="S1091" s="23">
        <v>0.1</v>
      </c>
      <c r="T1091" s="23">
        <v>94.39</v>
      </c>
      <c r="U1091" s="23">
        <v>849.52</v>
      </c>
      <c r="V1091" s="23">
        <v>548.85</v>
      </c>
      <c r="W1091" s="23">
        <v>300.67</v>
      </c>
      <c r="X1091" s="23" t="s">
        <v>45</v>
      </c>
    </row>
    <row r="1092" spans="1:24" x14ac:dyDescent="0.25">
      <c r="A1092" s="20" t="s">
        <v>1607</v>
      </c>
      <c r="B1092" s="19">
        <v>45306</v>
      </c>
      <c r="C1092" s="20" t="s">
        <v>303</v>
      </c>
      <c r="D1092" s="20" t="s">
        <v>22</v>
      </c>
      <c r="E1092" s="20" t="s">
        <v>187</v>
      </c>
      <c r="F1092" s="20" t="s">
        <v>2594</v>
      </c>
      <c r="G1092" s="20" t="s">
        <v>2577</v>
      </c>
      <c r="H1092" s="20" t="s">
        <v>26</v>
      </c>
      <c r="I1092" s="20" t="s">
        <v>53</v>
      </c>
      <c r="J1092" s="20" t="s">
        <v>122</v>
      </c>
      <c r="K1092" s="20" t="s">
        <v>178</v>
      </c>
      <c r="L1092" s="20" t="s">
        <v>2689</v>
      </c>
      <c r="M1092" s="20" t="s">
        <v>61</v>
      </c>
      <c r="N1092" s="20" t="s">
        <v>2619</v>
      </c>
      <c r="O1092" s="20">
        <v>50</v>
      </c>
      <c r="P1092" s="20">
        <v>46.39</v>
      </c>
      <c r="Q1092" s="20">
        <v>27.43</v>
      </c>
      <c r="R1092" s="20">
        <v>2319.2600000000002</v>
      </c>
      <c r="S1092" s="20">
        <v>0.05</v>
      </c>
      <c r="T1092" s="20">
        <v>115.96</v>
      </c>
      <c r="U1092" s="20">
        <v>2203.3000000000002</v>
      </c>
      <c r="V1092" s="20">
        <v>1371.4</v>
      </c>
      <c r="W1092" s="20">
        <v>831.9</v>
      </c>
      <c r="X1092" s="20" t="s">
        <v>45</v>
      </c>
    </row>
    <row r="1093" spans="1:24" x14ac:dyDescent="0.25">
      <c r="A1093" s="23" t="s">
        <v>1608</v>
      </c>
      <c r="B1093" s="22">
        <v>45365</v>
      </c>
      <c r="C1093" s="23" t="s">
        <v>280</v>
      </c>
      <c r="D1093" s="23" t="s">
        <v>35</v>
      </c>
      <c r="E1093" s="23" t="s">
        <v>176</v>
      </c>
      <c r="F1093" s="23" t="s">
        <v>2593</v>
      </c>
      <c r="G1093" s="23" t="s">
        <v>2587</v>
      </c>
      <c r="H1093" s="23" t="s">
        <v>39</v>
      </c>
      <c r="I1093" s="23" t="s">
        <v>88</v>
      </c>
      <c r="J1093" s="23" t="s">
        <v>2112</v>
      </c>
      <c r="K1093" s="23" t="s">
        <v>111</v>
      </c>
      <c r="L1093" s="23" t="s">
        <v>2685</v>
      </c>
      <c r="M1093" s="23" t="s">
        <v>61</v>
      </c>
      <c r="N1093" s="23" t="s">
        <v>75</v>
      </c>
      <c r="O1093" s="23">
        <v>35</v>
      </c>
      <c r="P1093" s="23">
        <v>100.67</v>
      </c>
      <c r="Q1093" s="23">
        <v>67.91</v>
      </c>
      <c r="R1093" s="23">
        <v>3523.32</v>
      </c>
      <c r="S1093" s="23">
        <v>0.15</v>
      </c>
      <c r="T1093" s="23">
        <v>528.5</v>
      </c>
      <c r="U1093" s="23">
        <v>2994.82</v>
      </c>
      <c r="V1093" s="23">
        <v>2376.69</v>
      </c>
      <c r="W1093" s="23">
        <v>618.13</v>
      </c>
      <c r="X1093" s="23" t="s">
        <v>32</v>
      </c>
    </row>
    <row r="1094" spans="1:24" x14ac:dyDescent="0.25">
      <c r="A1094" s="20" t="s">
        <v>1609</v>
      </c>
      <c r="B1094" s="19">
        <v>45434</v>
      </c>
      <c r="C1094" s="20" t="s">
        <v>506</v>
      </c>
      <c r="D1094" s="20" t="s">
        <v>264</v>
      </c>
      <c r="E1094" s="20" t="s">
        <v>165</v>
      </c>
      <c r="F1094" s="20" t="s">
        <v>2592</v>
      </c>
      <c r="G1094" s="20" t="s">
        <v>2586</v>
      </c>
      <c r="H1094" s="20" t="s">
        <v>167</v>
      </c>
      <c r="I1094" s="20" t="s">
        <v>40</v>
      </c>
      <c r="J1094" s="20" t="s">
        <v>41</v>
      </c>
      <c r="K1094" s="20" t="s">
        <v>74</v>
      </c>
      <c r="L1094" s="20" t="s">
        <v>2682</v>
      </c>
      <c r="M1094" s="20" t="s">
        <v>61</v>
      </c>
      <c r="N1094" s="20" t="s">
        <v>75</v>
      </c>
      <c r="O1094" s="20">
        <v>11</v>
      </c>
      <c r="P1094" s="20">
        <v>39.450000000000003</v>
      </c>
      <c r="Q1094" s="20">
        <v>24.84</v>
      </c>
      <c r="R1094" s="20">
        <v>433.96</v>
      </c>
      <c r="S1094" s="20">
        <v>0.05</v>
      </c>
      <c r="T1094" s="20">
        <v>21.7</v>
      </c>
      <c r="U1094" s="20">
        <v>412.26</v>
      </c>
      <c r="V1094" s="20">
        <v>273.27</v>
      </c>
      <c r="W1094" s="20">
        <v>138.99</v>
      </c>
      <c r="X1094" s="20" t="s">
        <v>32</v>
      </c>
    </row>
    <row r="1095" spans="1:24" x14ac:dyDescent="0.25">
      <c r="A1095" s="23" t="s">
        <v>1610</v>
      </c>
      <c r="B1095" s="22">
        <v>45595</v>
      </c>
      <c r="C1095" s="23" t="s">
        <v>823</v>
      </c>
      <c r="D1095" s="23" t="s">
        <v>87</v>
      </c>
      <c r="E1095" s="23" t="s">
        <v>222</v>
      </c>
      <c r="F1095" s="23" t="s">
        <v>2597</v>
      </c>
      <c r="G1095" s="23" t="s">
        <v>2587</v>
      </c>
      <c r="H1095" s="23" t="s">
        <v>68</v>
      </c>
      <c r="I1095" s="23" t="s">
        <v>40</v>
      </c>
      <c r="J1095" s="23" t="s">
        <v>117</v>
      </c>
      <c r="K1095" s="23" t="s">
        <v>42</v>
      </c>
      <c r="L1095" s="23" t="s">
        <v>2680</v>
      </c>
      <c r="M1095" s="23" t="s">
        <v>30</v>
      </c>
      <c r="N1095" s="23" t="s">
        <v>2578</v>
      </c>
      <c r="O1095" s="23">
        <v>44</v>
      </c>
      <c r="P1095" s="23">
        <v>116.31</v>
      </c>
      <c r="Q1095" s="23">
        <v>80.55</v>
      </c>
      <c r="R1095" s="23">
        <v>5117.74</v>
      </c>
      <c r="S1095" s="23">
        <v>0.05</v>
      </c>
      <c r="T1095" s="23">
        <v>255.89</v>
      </c>
      <c r="U1095" s="23">
        <v>4861.8500000000004</v>
      </c>
      <c r="V1095" s="23">
        <v>3544.39</v>
      </c>
      <c r="W1095" s="23">
        <v>1317.46</v>
      </c>
      <c r="X1095" s="23" t="s">
        <v>45</v>
      </c>
    </row>
    <row r="1096" spans="1:24" x14ac:dyDescent="0.25">
      <c r="A1096" s="20" t="s">
        <v>1611</v>
      </c>
      <c r="B1096" s="19">
        <v>45428</v>
      </c>
      <c r="C1096" s="20" t="s">
        <v>318</v>
      </c>
      <c r="D1096" s="20" t="s">
        <v>121</v>
      </c>
      <c r="E1096" s="20" t="s">
        <v>209</v>
      </c>
      <c r="F1096" s="20" t="s">
        <v>2595</v>
      </c>
      <c r="G1096" s="20" t="s">
        <v>2581</v>
      </c>
      <c r="H1096" s="20" t="s">
        <v>116</v>
      </c>
      <c r="I1096" s="20" t="s">
        <v>27</v>
      </c>
      <c r="J1096" s="20" t="s">
        <v>211</v>
      </c>
      <c r="K1096" s="20" t="s">
        <v>178</v>
      </c>
      <c r="L1096" s="20" t="s">
        <v>2689</v>
      </c>
      <c r="M1096" s="20" t="s">
        <v>43</v>
      </c>
      <c r="N1096" s="20" t="s">
        <v>44</v>
      </c>
      <c r="O1096" s="20">
        <v>20</v>
      </c>
      <c r="P1096" s="20">
        <v>19.21</v>
      </c>
      <c r="Q1096" s="20">
        <v>10.19</v>
      </c>
      <c r="R1096" s="20">
        <v>384.24</v>
      </c>
      <c r="S1096" s="20">
        <v>0.2</v>
      </c>
      <c r="T1096" s="20">
        <v>76.849999999999994</v>
      </c>
      <c r="U1096" s="20">
        <v>307.39</v>
      </c>
      <c r="V1096" s="20">
        <v>203.73</v>
      </c>
      <c r="W1096" s="20">
        <v>103.66</v>
      </c>
      <c r="X1096" s="20" t="s">
        <v>129</v>
      </c>
    </row>
    <row r="1097" spans="1:24" x14ac:dyDescent="0.25">
      <c r="A1097" s="23" t="s">
        <v>1612</v>
      </c>
      <c r="B1097" s="22">
        <v>45486</v>
      </c>
      <c r="C1097" s="23" t="s">
        <v>1469</v>
      </c>
      <c r="D1097" s="23" t="s">
        <v>121</v>
      </c>
      <c r="E1097" s="23" t="s">
        <v>250</v>
      </c>
      <c r="F1097" s="23" t="s">
        <v>2598</v>
      </c>
      <c r="G1097" s="23" t="s">
        <v>2581</v>
      </c>
      <c r="H1097" s="23" t="s">
        <v>252</v>
      </c>
      <c r="I1097" s="23" t="s">
        <v>88</v>
      </c>
      <c r="J1097" s="23" t="s">
        <v>135</v>
      </c>
      <c r="K1097" s="23" t="s">
        <v>195</v>
      </c>
      <c r="L1097" s="23" t="s">
        <v>2691</v>
      </c>
      <c r="M1097" s="23" t="s">
        <v>153</v>
      </c>
      <c r="N1097" s="23" t="s">
        <v>70</v>
      </c>
      <c r="O1097" s="23">
        <v>35</v>
      </c>
      <c r="P1097" s="23">
        <v>61.69</v>
      </c>
      <c r="Q1097" s="23">
        <v>36.08</v>
      </c>
      <c r="R1097" s="23">
        <v>2159.1799999999998</v>
      </c>
      <c r="S1097" s="23">
        <v>0.2</v>
      </c>
      <c r="T1097" s="23">
        <v>431.84</v>
      </c>
      <c r="U1097" s="23">
        <v>1727.35</v>
      </c>
      <c r="V1097" s="23">
        <v>1262.6300000000001</v>
      </c>
      <c r="W1097" s="23">
        <v>464.72</v>
      </c>
      <c r="X1097" s="23" t="s">
        <v>45</v>
      </c>
    </row>
    <row r="1098" spans="1:24" x14ac:dyDescent="0.25">
      <c r="A1098" s="20" t="s">
        <v>1613</v>
      </c>
      <c r="B1098" s="19">
        <v>45559</v>
      </c>
      <c r="C1098" s="20" t="s">
        <v>146</v>
      </c>
      <c r="D1098" s="20" t="s">
        <v>105</v>
      </c>
      <c r="E1098" s="20" t="s">
        <v>99</v>
      </c>
      <c r="F1098" s="20" t="s">
        <v>100</v>
      </c>
      <c r="G1098" s="20" t="s">
        <v>2587</v>
      </c>
      <c r="H1098" s="20" t="s">
        <v>102</v>
      </c>
      <c r="I1098" s="20" t="s">
        <v>58</v>
      </c>
      <c r="J1098" s="20" t="s">
        <v>345</v>
      </c>
      <c r="K1098" s="20" t="s">
        <v>218</v>
      </c>
      <c r="L1098" s="20" t="s">
        <v>2692</v>
      </c>
      <c r="M1098" s="20" t="s">
        <v>153</v>
      </c>
      <c r="N1098" s="20" t="s">
        <v>84</v>
      </c>
      <c r="O1098" s="20">
        <v>20</v>
      </c>
      <c r="P1098" s="20">
        <v>65.16</v>
      </c>
      <c r="Q1098" s="20">
        <v>42.97</v>
      </c>
      <c r="R1098" s="20">
        <v>1303.1500000000001</v>
      </c>
      <c r="S1098" s="20">
        <v>0</v>
      </c>
      <c r="T1098" s="20">
        <v>0</v>
      </c>
      <c r="U1098" s="20">
        <v>1303.1500000000001</v>
      </c>
      <c r="V1098" s="20">
        <v>859.41</v>
      </c>
      <c r="W1098" s="20">
        <v>443.74</v>
      </c>
      <c r="X1098" s="20" t="s">
        <v>45</v>
      </c>
    </row>
    <row r="1099" spans="1:24" x14ac:dyDescent="0.25">
      <c r="A1099" s="23" t="s">
        <v>1614</v>
      </c>
      <c r="B1099" s="22">
        <v>45616</v>
      </c>
      <c r="C1099" s="23" t="s">
        <v>1129</v>
      </c>
      <c r="D1099" s="23" t="s">
        <v>65</v>
      </c>
      <c r="E1099" s="23" t="s">
        <v>109</v>
      </c>
      <c r="F1099" s="23" t="s">
        <v>110</v>
      </c>
      <c r="G1099" s="23" t="s">
        <v>2584</v>
      </c>
      <c r="H1099" s="23" t="s">
        <v>81</v>
      </c>
      <c r="I1099" s="23" t="s">
        <v>58</v>
      </c>
      <c r="J1099" s="23" t="s">
        <v>73</v>
      </c>
      <c r="K1099" s="23" t="s">
        <v>90</v>
      </c>
      <c r="L1099" s="23" t="s">
        <v>2684</v>
      </c>
      <c r="M1099" s="23" t="s">
        <v>43</v>
      </c>
      <c r="N1099" s="23" t="s">
        <v>70</v>
      </c>
      <c r="O1099" s="23">
        <v>37</v>
      </c>
      <c r="P1099" s="23">
        <v>130.96</v>
      </c>
      <c r="Q1099" s="23">
        <v>72.77</v>
      </c>
      <c r="R1099" s="23">
        <v>4845.46</v>
      </c>
      <c r="S1099" s="23">
        <v>0.2</v>
      </c>
      <c r="T1099" s="23">
        <v>969.09</v>
      </c>
      <c r="U1099" s="23">
        <v>3876.37</v>
      </c>
      <c r="V1099" s="23">
        <v>2692.43</v>
      </c>
      <c r="W1099" s="23">
        <v>1183.94</v>
      </c>
      <c r="X1099" s="23" t="s">
        <v>45</v>
      </c>
    </row>
    <row r="1100" spans="1:24" x14ac:dyDescent="0.25">
      <c r="A1100" s="20" t="s">
        <v>1615</v>
      </c>
      <c r="B1100" s="19">
        <v>45449</v>
      </c>
      <c r="C1100" s="20" t="s">
        <v>737</v>
      </c>
      <c r="D1100" s="20" t="s">
        <v>22</v>
      </c>
      <c r="E1100" s="20" t="s">
        <v>99</v>
      </c>
      <c r="F1100" s="20" t="s">
        <v>100</v>
      </c>
      <c r="G1100" s="20" t="s">
        <v>2587</v>
      </c>
      <c r="H1100" s="20" t="s">
        <v>102</v>
      </c>
      <c r="I1100" s="20" t="s">
        <v>88</v>
      </c>
      <c r="J1100" s="20" t="s">
        <v>135</v>
      </c>
      <c r="K1100" s="20" t="s">
        <v>170</v>
      </c>
      <c r="L1100" s="20" t="s">
        <v>2671</v>
      </c>
      <c r="M1100" s="20" t="s">
        <v>30</v>
      </c>
      <c r="N1100" s="20" t="s">
        <v>44</v>
      </c>
      <c r="O1100" s="20">
        <v>38</v>
      </c>
      <c r="P1100" s="20">
        <v>65.3</v>
      </c>
      <c r="Q1100" s="20">
        <v>41.16</v>
      </c>
      <c r="R1100" s="20">
        <v>2481.35</v>
      </c>
      <c r="S1100" s="20">
        <v>0.02</v>
      </c>
      <c r="T1100" s="20">
        <v>49.63</v>
      </c>
      <c r="U1100" s="20">
        <v>2431.7199999999998</v>
      </c>
      <c r="V1100" s="20">
        <v>1564.11</v>
      </c>
      <c r="W1100" s="20">
        <v>867.61</v>
      </c>
      <c r="X1100" s="20" t="s">
        <v>45</v>
      </c>
    </row>
    <row r="1101" spans="1:24" x14ac:dyDescent="0.25">
      <c r="A1101" s="23" t="s">
        <v>1616</v>
      </c>
      <c r="B1101" s="22">
        <v>45604</v>
      </c>
      <c r="C1101" s="23" t="s">
        <v>1617</v>
      </c>
      <c r="D1101" s="23" t="s">
        <v>35</v>
      </c>
      <c r="E1101" s="23" t="s">
        <v>114</v>
      </c>
      <c r="F1101" s="23" t="s">
        <v>2588</v>
      </c>
      <c r="G1101" s="23" t="s">
        <v>2586</v>
      </c>
      <c r="H1101" s="23" t="s">
        <v>116</v>
      </c>
      <c r="I1101" s="23" t="s">
        <v>88</v>
      </c>
      <c r="J1101" s="23" t="s">
        <v>135</v>
      </c>
      <c r="K1101" s="23" t="s">
        <v>42</v>
      </c>
      <c r="L1101" s="23" t="s">
        <v>2680</v>
      </c>
      <c r="M1101" s="23" t="s">
        <v>61</v>
      </c>
      <c r="N1101" s="23" t="s">
        <v>2578</v>
      </c>
      <c r="O1101" s="23">
        <v>10</v>
      </c>
      <c r="P1101" s="23">
        <v>36.520000000000003</v>
      </c>
      <c r="Q1101" s="23">
        <v>20.98</v>
      </c>
      <c r="R1101" s="23">
        <v>365.17</v>
      </c>
      <c r="S1101" s="23">
        <v>0.1</v>
      </c>
      <c r="T1101" s="23">
        <v>36.520000000000003</v>
      </c>
      <c r="U1101" s="23">
        <v>328.66</v>
      </c>
      <c r="V1101" s="23">
        <v>209.79</v>
      </c>
      <c r="W1101" s="23">
        <v>118.87</v>
      </c>
      <c r="X1101" s="23" t="s">
        <v>45</v>
      </c>
    </row>
    <row r="1102" spans="1:24" x14ac:dyDescent="0.25">
      <c r="A1102" s="20" t="s">
        <v>1618</v>
      </c>
      <c r="B1102" s="19">
        <v>45599</v>
      </c>
      <c r="C1102" s="20" t="s">
        <v>878</v>
      </c>
      <c r="D1102" s="20" t="s">
        <v>65</v>
      </c>
      <c r="E1102" s="20" t="s">
        <v>150</v>
      </c>
      <c r="F1102" s="20" t="s">
        <v>2591</v>
      </c>
      <c r="G1102" s="20" t="s">
        <v>2587</v>
      </c>
      <c r="H1102" s="20" t="s">
        <v>134</v>
      </c>
      <c r="I1102" s="20" t="s">
        <v>27</v>
      </c>
      <c r="J1102" s="20" t="s">
        <v>106</v>
      </c>
      <c r="K1102" s="20" t="s">
        <v>60</v>
      </c>
      <c r="L1102" s="20" t="s">
        <v>2677</v>
      </c>
      <c r="M1102" s="20" t="s">
        <v>43</v>
      </c>
      <c r="N1102" s="20" t="s">
        <v>75</v>
      </c>
      <c r="O1102" s="20">
        <v>43</v>
      </c>
      <c r="P1102" s="20">
        <v>84.08</v>
      </c>
      <c r="Q1102" s="20">
        <v>54.92</v>
      </c>
      <c r="R1102" s="20">
        <v>3615.24</v>
      </c>
      <c r="S1102" s="20">
        <v>0.1</v>
      </c>
      <c r="T1102" s="20">
        <v>361.52</v>
      </c>
      <c r="U1102" s="20">
        <v>3253.72</v>
      </c>
      <c r="V1102" s="20">
        <v>2361.5500000000002</v>
      </c>
      <c r="W1102" s="20">
        <v>892.17</v>
      </c>
      <c r="X1102" s="20" t="s">
        <v>45</v>
      </c>
    </row>
    <row r="1103" spans="1:24" x14ac:dyDescent="0.25">
      <c r="A1103" s="23" t="s">
        <v>1619</v>
      </c>
      <c r="B1103" s="22">
        <v>45394</v>
      </c>
      <c r="C1103" s="23" t="s">
        <v>1620</v>
      </c>
      <c r="D1103" s="23" t="s">
        <v>359</v>
      </c>
      <c r="E1103" s="23" t="s">
        <v>141</v>
      </c>
      <c r="F1103" s="23" t="s">
        <v>2590</v>
      </c>
      <c r="G1103" s="23" t="s">
        <v>2577</v>
      </c>
      <c r="H1103" s="23" t="s">
        <v>26</v>
      </c>
      <c r="I1103" s="23" t="s">
        <v>53</v>
      </c>
      <c r="J1103" s="23" t="s">
        <v>232</v>
      </c>
      <c r="K1103" s="23" t="s">
        <v>74</v>
      </c>
      <c r="L1103" s="23" t="s">
        <v>2682</v>
      </c>
      <c r="M1103" s="23" t="s">
        <v>153</v>
      </c>
      <c r="N1103" s="23" t="s">
        <v>75</v>
      </c>
      <c r="O1103" s="23">
        <v>17</v>
      </c>
      <c r="P1103" s="23">
        <v>97.31</v>
      </c>
      <c r="Q1103" s="23">
        <v>55.44</v>
      </c>
      <c r="R1103" s="23">
        <v>1654.27</v>
      </c>
      <c r="S1103" s="23">
        <v>0.15</v>
      </c>
      <c r="T1103" s="23">
        <v>248.14</v>
      </c>
      <c r="U1103" s="23">
        <v>1406.13</v>
      </c>
      <c r="V1103" s="23">
        <v>942.5</v>
      </c>
      <c r="W1103" s="23">
        <v>463.63</v>
      </c>
      <c r="X1103" s="23" t="s">
        <v>45</v>
      </c>
    </row>
    <row r="1104" spans="1:24" x14ac:dyDescent="0.25">
      <c r="A1104" s="20" t="s">
        <v>1621</v>
      </c>
      <c r="B1104" s="19">
        <v>45648</v>
      </c>
      <c r="C1104" s="20" t="s">
        <v>303</v>
      </c>
      <c r="D1104" s="20" t="s">
        <v>22</v>
      </c>
      <c r="E1104" s="20" t="s">
        <v>99</v>
      </c>
      <c r="F1104" s="20" t="s">
        <v>100</v>
      </c>
      <c r="G1104" s="20" t="s">
        <v>2587</v>
      </c>
      <c r="H1104" s="20" t="s">
        <v>102</v>
      </c>
      <c r="I1104" s="20" t="s">
        <v>27</v>
      </c>
      <c r="J1104" s="20" t="s">
        <v>28</v>
      </c>
      <c r="K1104" s="20" t="s">
        <v>29</v>
      </c>
      <c r="L1104" s="20" t="s">
        <v>2679</v>
      </c>
      <c r="M1104" s="20" t="s">
        <v>30</v>
      </c>
      <c r="N1104" s="20" t="s">
        <v>44</v>
      </c>
      <c r="O1104" s="20">
        <v>13</v>
      </c>
      <c r="P1104" s="20">
        <v>66.13</v>
      </c>
      <c r="Q1104" s="20">
        <v>40.880000000000003</v>
      </c>
      <c r="R1104" s="20">
        <v>859.68</v>
      </c>
      <c r="S1104" s="20">
        <v>0</v>
      </c>
      <c r="T1104" s="20">
        <v>0</v>
      </c>
      <c r="U1104" s="20">
        <v>859.68</v>
      </c>
      <c r="V1104" s="20">
        <v>531.39</v>
      </c>
      <c r="W1104" s="20">
        <v>328.28</v>
      </c>
      <c r="X1104" s="20" t="s">
        <v>45</v>
      </c>
    </row>
    <row r="1105" spans="1:24" x14ac:dyDescent="0.25">
      <c r="A1105" s="23" t="s">
        <v>1622</v>
      </c>
      <c r="B1105" s="22">
        <v>45648</v>
      </c>
      <c r="C1105" s="23" t="s">
        <v>47</v>
      </c>
      <c r="D1105" s="23" t="s">
        <v>48</v>
      </c>
      <c r="E1105" s="23" t="s">
        <v>114</v>
      </c>
      <c r="F1105" s="23" t="s">
        <v>2588</v>
      </c>
      <c r="G1105" s="23" t="s">
        <v>2586</v>
      </c>
      <c r="H1105" s="23" t="s">
        <v>116</v>
      </c>
      <c r="I1105" s="23" t="s">
        <v>53</v>
      </c>
      <c r="J1105" s="23" t="s">
        <v>54</v>
      </c>
      <c r="K1105" s="23" t="s">
        <v>90</v>
      </c>
      <c r="L1105" s="23" t="s">
        <v>2684</v>
      </c>
      <c r="M1105" s="23" t="s">
        <v>153</v>
      </c>
      <c r="N1105" s="23" t="s">
        <v>44</v>
      </c>
      <c r="O1105" s="23">
        <v>59</v>
      </c>
      <c r="P1105" s="23">
        <v>34.72</v>
      </c>
      <c r="Q1105" s="23">
        <v>21.84</v>
      </c>
      <c r="R1105" s="23">
        <v>2048.6</v>
      </c>
      <c r="S1105" s="23">
        <v>0.1</v>
      </c>
      <c r="T1105" s="23">
        <v>204.86</v>
      </c>
      <c r="U1105" s="23">
        <v>1843.74</v>
      </c>
      <c r="V1105" s="23">
        <v>1288.33</v>
      </c>
      <c r="W1105" s="23">
        <v>555.41</v>
      </c>
      <c r="X1105" s="23" t="s">
        <v>45</v>
      </c>
    </row>
    <row r="1106" spans="1:24" x14ac:dyDescent="0.25">
      <c r="A1106" s="20" t="s">
        <v>1623</v>
      </c>
      <c r="B1106" s="19">
        <v>45423</v>
      </c>
      <c r="C1106" s="20" t="s">
        <v>47</v>
      </c>
      <c r="D1106" s="20" t="s">
        <v>48</v>
      </c>
      <c r="E1106" s="20" t="s">
        <v>176</v>
      </c>
      <c r="F1106" s="20" t="s">
        <v>2593</v>
      </c>
      <c r="G1106" s="20" t="s">
        <v>2587</v>
      </c>
      <c r="H1106" s="20" t="s">
        <v>39</v>
      </c>
      <c r="I1106" s="20" t="s">
        <v>40</v>
      </c>
      <c r="J1106" s="20" t="s">
        <v>289</v>
      </c>
      <c r="K1106" s="20" t="s">
        <v>184</v>
      </c>
      <c r="L1106" s="20" t="s">
        <v>2690</v>
      </c>
      <c r="M1106" s="20" t="s">
        <v>30</v>
      </c>
      <c r="N1106" s="20" t="s">
        <v>75</v>
      </c>
      <c r="O1106" s="20">
        <v>63</v>
      </c>
      <c r="P1106" s="20">
        <v>97.84</v>
      </c>
      <c r="Q1106" s="20">
        <v>63.54</v>
      </c>
      <c r="R1106" s="20">
        <v>6163.91</v>
      </c>
      <c r="S1106" s="20">
        <v>0.2</v>
      </c>
      <c r="T1106" s="20">
        <v>1232.78</v>
      </c>
      <c r="U1106" s="20">
        <v>4931.13</v>
      </c>
      <c r="V1106" s="20">
        <v>4003.2</v>
      </c>
      <c r="W1106" s="20">
        <v>927.93</v>
      </c>
      <c r="X1106" s="20" t="s">
        <v>129</v>
      </c>
    </row>
    <row r="1107" spans="1:24" x14ac:dyDescent="0.25">
      <c r="A1107" s="23" t="s">
        <v>1624</v>
      </c>
      <c r="B1107" s="22">
        <v>45488</v>
      </c>
      <c r="C1107" s="23" t="s">
        <v>584</v>
      </c>
      <c r="D1107" s="23" t="s">
        <v>105</v>
      </c>
      <c r="E1107" s="23" t="s">
        <v>250</v>
      </c>
      <c r="F1107" s="23" t="s">
        <v>2598</v>
      </c>
      <c r="G1107" s="23" t="s">
        <v>2581</v>
      </c>
      <c r="H1107" s="23" t="s">
        <v>252</v>
      </c>
      <c r="I1107" s="23" t="s">
        <v>27</v>
      </c>
      <c r="J1107" s="23" t="s">
        <v>106</v>
      </c>
      <c r="K1107" s="23" t="s">
        <v>83</v>
      </c>
      <c r="L1107" s="23" t="s">
        <v>2683</v>
      </c>
      <c r="M1107" s="23" t="s">
        <v>153</v>
      </c>
      <c r="N1107" s="23" t="s">
        <v>44</v>
      </c>
      <c r="O1107" s="23">
        <v>31</v>
      </c>
      <c r="P1107" s="23">
        <v>64.39</v>
      </c>
      <c r="Q1107" s="23">
        <v>40.36</v>
      </c>
      <c r="R1107" s="23">
        <v>1996.15</v>
      </c>
      <c r="S1107" s="23">
        <v>0.1</v>
      </c>
      <c r="T1107" s="23">
        <v>199.61</v>
      </c>
      <c r="U1107" s="23">
        <v>1796.53</v>
      </c>
      <c r="V1107" s="23">
        <v>1251.07</v>
      </c>
      <c r="W1107" s="23">
        <v>545.46</v>
      </c>
      <c r="X1107" s="23" t="s">
        <v>129</v>
      </c>
    </row>
    <row r="1108" spans="1:24" x14ac:dyDescent="0.25">
      <c r="A1108" s="20" t="s">
        <v>1625</v>
      </c>
      <c r="B1108" s="19">
        <v>45522</v>
      </c>
      <c r="C1108" s="20" t="s">
        <v>291</v>
      </c>
      <c r="D1108" s="20" t="s">
        <v>57</v>
      </c>
      <c r="E1108" s="20" t="s">
        <v>176</v>
      </c>
      <c r="F1108" s="20" t="s">
        <v>2593</v>
      </c>
      <c r="G1108" s="20" t="s">
        <v>2587</v>
      </c>
      <c r="H1108" s="20" t="s">
        <v>39</v>
      </c>
      <c r="I1108" s="20" t="s">
        <v>53</v>
      </c>
      <c r="J1108" s="20" t="s">
        <v>54</v>
      </c>
      <c r="K1108" s="20" t="s">
        <v>218</v>
      </c>
      <c r="L1108" s="20" t="s">
        <v>2692</v>
      </c>
      <c r="M1108" s="20" t="s">
        <v>43</v>
      </c>
      <c r="N1108" s="20" t="s">
        <v>44</v>
      </c>
      <c r="O1108" s="20">
        <v>21</v>
      </c>
      <c r="P1108" s="20">
        <v>100.5</v>
      </c>
      <c r="Q1108" s="20">
        <v>60.79</v>
      </c>
      <c r="R1108" s="20">
        <v>2110.59</v>
      </c>
      <c r="S1108" s="20">
        <v>0.02</v>
      </c>
      <c r="T1108" s="20">
        <v>42.21</v>
      </c>
      <c r="U1108" s="20">
        <v>2068.37</v>
      </c>
      <c r="V1108" s="20">
        <v>1276.6400000000001</v>
      </c>
      <c r="W1108" s="20">
        <v>791.73</v>
      </c>
      <c r="X1108" s="20" t="s">
        <v>45</v>
      </c>
    </row>
    <row r="1109" spans="1:24" x14ac:dyDescent="0.25">
      <c r="A1109" s="23" t="s">
        <v>1626</v>
      </c>
      <c r="B1109" s="22">
        <v>45322</v>
      </c>
      <c r="C1109" s="23" t="s">
        <v>578</v>
      </c>
      <c r="D1109" s="23" t="s">
        <v>221</v>
      </c>
      <c r="E1109" s="23" t="s">
        <v>36</v>
      </c>
      <c r="F1109" s="23" t="s">
        <v>37</v>
      </c>
      <c r="G1109" s="23" t="s">
        <v>2579</v>
      </c>
      <c r="H1109" s="23" t="s">
        <v>39</v>
      </c>
      <c r="I1109" s="23" t="s">
        <v>40</v>
      </c>
      <c r="J1109" s="23" t="s">
        <v>41</v>
      </c>
      <c r="K1109" s="23" t="s">
        <v>218</v>
      </c>
      <c r="L1109" s="23" t="s">
        <v>2692</v>
      </c>
      <c r="M1109" s="23" t="s">
        <v>153</v>
      </c>
      <c r="N1109" s="23" t="s">
        <v>75</v>
      </c>
      <c r="O1109" s="23">
        <v>64</v>
      </c>
      <c r="P1109" s="23">
        <v>171.76</v>
      </c>
      <c r="Q1109" s="23">
        <v>98.34</v>
      </c>
      <c r="R1109" s="23">
        <v>10992.9</v>
      </c>
      <c r="S1109" s="23">
        <v>0.05</v>
      </c>
      <c r="T1109" s="23">
        <v>549.64</v>
      </c>
      <c r="U1109" s="23">
        <v>10443.25</v>
      </c>
      <c r="V1109" s="23">
        <v>6293.95</v>
      </c>
      <c r="W1109" s="23">
        <v>4149.3</v>
      </c>
      <c r="X1109" s="23" t="s">
        <v>45</v>
      </c>
    </row>
    <row r="1110" spans="1:24" x14ac:dyDescent="0.25">
      <c r="A1110" s="20" t="s">
        <v>1627</v>
      </c>
      <c r="B1110" s="19">
        <v>45553</v>
      </c>
      <c r="C1110" s="20" t="s">
        <v>757</v>
      </c>
      <c r="D1110" s="20" t="s">
        <v>163</v>
      </c>
      <c r="E1110" s="20" t="s">
        <v>23</v>
      </c>
      <c r="F1110" s="20" t="s">
        <v>2576</v>
      </c>
      <c r="G1110" s="20" t="s">
        <v>2577</v>
      </c>
      <c r="H1110" s="20" t="s">
        <v>26</v>
      </c>
      <c r="I1110" s="20" t="s">
        <v>88</v>
      </c>
      <c r="J1110" s="20" t="s">
        <v>173</v>
      </c>
      <c r="K1110" s="20" t="s">
        <v>83</v>
      </c>
      <c r="L1110" s="20" t="s">
        <v>2683</v>
      </c>
      <c r="M1110" s="20" t="s">
        <v>61</v>
      </c>
      <c r="N1110" s="20" t="s">
        <v>70</v>
      </c>
      <c r="O1110" s="20">
        <v>71</v>
      </c>
      <c r="P1110" s="20">
        <v>77.34</v>
      </c>
      <c r="Q1110" s="20">
        <v>43.33</v>
      </c>
      <c r="R1110" s="20">
        <v>5491.26</v>
      </c>
      <c r="S1110" s="20">
        <v>0.05</v>
      </c>
      <c r="T1110" s="20">
        <v>274.56</v>
      </c>
      <c r="U1110" s="20">
        <v>5216.7</v>
      </c>
      <c r="V1110" s="20">
        <v>3076.17</v>
      </c>
      <c r="W1110" s="20">
        <v>2140.5300000000002</v>
      </c>
      <c r="X1110" s="20" t="s">
        <v>45</v>
      </c>
    </row>
    <row r="1111" spans="1:24" x14ac:dyDescent="0.25">
      <c r="A1111" s="23" t="s">
        <v>1628</v>
      </c>
      <c r="B1111" s="22">
        <v>45448</v>
      </c>
      <c r="C1111" s="23" t="s">
        <v>888</v>
      </c>
      <c r="D1111" s="23" t="s">
        <v>159</v>
      </c>
      <c r="E1111" s="23" t="s">
        <v>150</v>
      </c>
      <c r="F1111" s="23" t="s">
        <v>2591</v>
      </c>
      <c r="G1111" s="23" t="s">
        <v>2587</v>
      </c>
      <c r="H1111" s="23" t="s">
        <v>134</v>
      </c>
      <c r="I1111" s="23" t="s">
        <v>40</v>
      </c>
      <c r="J1111" s="23" t="s">
        <v>82</v>
      </c>
      <c r="K1111" s="23" t="s">
        <v>265</v>
      </c>
      <c r="L1111" s="23" t="s">
        <v>2663</v>
      </c>
      <c r="M1111" s="23" t="s">
        <v>61</v>
      </c>
      <c r="N1111" s="23" t="s">
        <v>75</v>
      </c>
      <c r="O1111" s="23">
        <v>31</v>
      </c>
      <c r="P1111" s="23">
        <v>87.32</v>
      </c>
      <c r="Q1111" s="23">
        <v>51.49</v>
      </c>
      <c r="R1111" s="23">
        <v>2706.98</v>
      </c>
      <c r="S1111" s="23">
        <v>0.02</v>
      </c>
      <c r="T1111" s="23">
        <v>54.14</v>
      </c>
      <c r="U1111" s="23">
        <v>2652.84</v>
      </c>
      <c r="V1111" s="23">
        <v>1596.29</v>
      </c>
      <c r="W1111" s="23">
        <v>1056.55</v>
      </c>
      <c r="X1111" s="23" t="s">
        <v>45</v>
      </c>
    </row>
    <row r="1112" spans="1:24" x14ac:dyDescent="0.25">
      <c r="A1112" s="20" t="s">
        <v>1629</v>
      </c>
      <c r="B1112" s="19">
        <v>45419</v>
      </c>
      <c r="C1112" s="20" t="s">
        <v>948</v>
      </c>
      <c r="D1112" s="20" t="s">
        <v>87</v>
      </c>
      <c r="E1112" s="20" t="s">
        <v>49</v>
      </c>
      <c r="F1112" s="20" t="s">
        <v>2580</v>
      </c>
      <c r="G1112" s="20" t="s">
        <v>2581</v>
      </c>
      <c r="H1112" s="20" t="s">
        <v>52</v>
      </c>
      <c r="I1112" s="20" t="s">
        <v>53</v>
      </c>
      <c r="J1112" s="20" t="s">
        <v>232</v>
      </c>
      <c r="K1112" s="20" t="s">
        <v>261</v>
      </c>
      <c r="L1112" s="20" t="s">
        <v>2695</v>
      </c>
      <c r="M1112" s="20" t="s">
        <v>61</v>
      </c>
      <c r="N1112" s="20" t="s">
        <v>2578</v>
      </c>
      <c r="O1112" s="20">
        <v>45</v>
      </c>
      <c r="P1112" s="20">
        <v>26.12</v>
      </c>
      <c r="Q1112" s="20">
        <v>12.91</v>
      </c>
      <c r="R1112" s="20">
        <v>1175.47</v>
      </c>
      <c r="S1112" s="20">
        <v>0</v>
      </c>
      <c r="T1112" s="20">
        <v>0</v>
      </c>
      <c r="U1112" s="20">
        <v>1175.47</v>
      </c>
      <c r="V1112" s="20">
        <v>581.07000000000005</v>
      </c>
      <c r="W1112" s="20">
        <v>594.4</v>
      </c>
      <c r="X1112" s="20" t="s">
        <v>45</v>
      </c>
    </row>
    <row r="1113" spans="1:24" x14ac:dyDescent="0.25">
      <c r="A1113" s="23" t="s">
        <v>1630</v>
      </c>
      <c r="B1113" s="22">
        <v>45434</v>
      </c>
      <c r="C1113" s="23" t="s">
        <v>180</v>
      </c>
      <c r="D1113" s="23" t="s">
        <v>163</v>
      </c>
      <c r="E1113" s="23" t="s">
        <v>150</v>
      </c>
      <c r="F1113" s="23" t="s">
        <v>2591</v>
      </c>
      <c r="G1113" s="23" t="s">
        <v>2587</v>
      </c>
      <c r="H1113" s="23" t="s">
        <v>134</v>
      </c>
      <c r="I1113" s="23" t="s">
        <v>88</v>
      </c>
      <c r="J1113" s="23" t="s">
        <v>2112</v>
      </c>
      <c r="K1113" s="23" t="s">
        <v>144</v>
      </c>
      <c r="L1113" s="23" t="s">
        <v>2687</v>
      </c>
      <c r="M1113" s="23" t="s">
        <v>153</v>
      </c>
      <c r="N1113" s="23" t="s">
        <v>84</v>
      </c>
      <c r="O1113" s="23">
        <v>61</v>
      </c>
      <c r="P1113" s="23">
        <v>89.64</v>
      </c>
      <c r="Q1113" s="23">
        <v>48.73</v>
      </c>
      <c r="R1113" s="23">
        <v>5467.82</v>
      </c>
      <c r="S1113" s="23">
        <v>0.02</v>
      </c>
      <c r="T1113" s="23">
        <v>109.36</v>
      </c>
      <c r="U1113" s="23">
        <v>5358.46</v>
      </c>
      <c r="V1113" s="23">
        <v>2972.24</v>
      </c>
      <c r="W1113" s="23">
        <v>2386.2199999999998</v>
      </c>
      <c r="X1113" s="23" t="s">
        <v>45</v>
      </c>
    </row>
    <row r="1114" spans="1:24" x14ac:dyDescent="0.25">
      <c r="A1114" s="20" t="s">
        <v>1631</v>
      </c>
      <c r="B1114" s="19">
        <v>45346</v>
      </c>
      <c r="C1114" s="20" t="s">
        <v>2619</v>
      </c>
      <c r="D1114" s="20" t="s">
        <v>2619</v>
      </c>
      <c r="E1114" s="20" t="s">
        <v>49</v>
      </c>
      <c r="F1114" s="20" t="s">
        <v>2580</v>
      </c>
      <c r="G1114" s="20" t="s">
        <v>2581</v>
      </c>
      <c r="H1114" s="20" t="s">
        <v>52</v>
      </c>
      <c r="I1114" s="20" t="s">
        <v>58</v>
      </c>
      <c r="J1114" s="20" t="s">
        <v>345</v>
      </c>
      <c r="K1114" s="20" t="s">
        <v>60</v>
      </c>
      <c r="L1114" s="20" t="s">
        <v>2677</v>
      </c>
      <c r="M1114" s="20" t="s">
        <v>153</v>
      </c>
      <c r="N1114" s="20" t="s">
        <v>2578</v>
      </c>
      <c r="O1114" s="20">
        <v>8</v>
      </c>
      <c r="P1114" s="20">
        <v>25.16</v>
      </c>
      <c r="Q1114" s="20">
        <v>13.41</v>
      </c>
      <c r="R1114" s="20">
        <v>201.31</v>
      </c>
      <c r="S1114" s="20">
        <v>0.05</v>
      </c>
      <c r="T1114" s="20">
        <v>10.07</v>
      </c>
      <c r="U1114" s="20">
        <v>191.24</v>
      </c>
      <c r="V1114" s="20">
        <v>107.27</v>
      </c>
      <c r="W1114" s="20">
        <v>83.97</v>
      </c>
      <c r="X1114" s="20" t="s">
        <v>45</v>
      </c>
    </row>
    <row r="1115" spans="1:24" x14ac:dyDescent="0.25">
      <c r="A1115" s="23" t="s">
        <v>1632</v>
      </c>
      <c r="B1115" s="22">
        <v>45383</v>
      </c>
      <c r="C1115" s="23" t="s">
        <v>1047</v>
      </c>
      <c r="D1115" s="23" t="s">
        <v>156</v>
      </c>
      <c r="E1115" s="23" t="s">
        <v>36</v>
      </c>
      <c r="F1115" s="23" t="s">
        <v>37</v>
      </c>
      <c r="G1115" s="23" t="s">
        <v>2579</v>
      </c>
      <c r="H1115" s="23" t="s">
        <v>39</v>
      </c>
      <c r="I1115" s="23" t="s">
        <v>40</v>
      </c>
      <c r="J1115" s="23" t="s">
        <v>289</v>
      </c>
      <c r="K1115" s="23" t="s">
        <v>178</v>
      </c>
      <c r="L1115" s="23" t="s">
        <v>2689</v>
      </c>
      <c r="M1115" s="23" t="s">
        <v>153</v>
      </c>
      <c r="N1115" s="23" t="s">
        <v>44</v>
      </c>
      <c r="O1115" s="23">
        <v>7</v>
      </c>
      <c r="P1115" s="23">
        <v>176.5</v>
      </c>
      <c r="Q1115" s="23">
        <v>94.02</v>
      </c>
      <c r="R1115" s="23">
        <v>1235.48</v>
      </c>
      <c r="S1115" s="23">
        <v>0.05</v>
      </c>
      <c r="T1115" s="23">
        <v>61.77</v>
      </c>
      <c r="U1115" s="23">
        <v>1173.7</v>
      </c>
      <c r="V1115" s="23">
        <v>658.15</v>
      </c>
      <c r="W1115" s="23">
        <v>515.54999999999995</v>
      </c>
      <c r="X1115" s="23" t="s">
        <v>32</v>
      </c>
    </row>
    <row r="1116" spans="1:24" x14ac:dyDescent="0.25">
      <c r="A1116" s="20" t="s">
        <v>1633</v>
      </c>
      <c r="B1116" s="19">
        <v>45645</v>
      </c>
      <c r="C1116" s="20" t="s">
        <v>983</v>
      </c>
      <c r="D1116" s="20" t="s">
        <v>351</v>
      </c>
      <c r="E1116" s="20" t="s">
        <v>216</v>
      </c>
      <c r="F1116" s="20" t="s">
        <v>2596</v>
      </c>
      <c r="G1116" s="20" t="s">
        <v>2579</v>
      </c>
      <c r="H1116" s="20" t="s">
        <v>134</v>
      </c>
      <c r="I1116" s="20" t="s">
        <v>58</v>
      </c>
      <c r="J1116" s="20" t="s">
        <v>345</v>
      </c>
      <c r="K1116" s="20" t="s">
        <v>253</v>
      </c>
      <c r="L1116" s="20" t="s">
        <v>2694</v>
      </c>
      <c r="M1116" s="20" t="s">
        <v>61</v>
      </c>
      <c r="N1116" s="20" t="s">
        <v>70</v>
      </c>
      <c r="O1116" s="20">
        <v>36</v>
      </c>
      <c r="P1116" s="20">
        <v>105.3</v>
      </c>
      <c r="Q1116" s="20">
        <v>61.9</v>
      </c>
      <c r="R1116" s="20">
        <v>3790.8</v>
      </c>
      <c r="S1116" s="20">
        <v>0.15</v>
      </c>
      <c r="T1116" s="20">
        <v>568.62</v>
      </c>
      <c r="U1116" s="20">
        <v>3222.18</v>
      </c>
      <c r="V1116" s="20">
        <v>2228.46</v>
      </c>
      <c r="W1116" s="20">
        <v>993.73</v>
      </c>
      <c r="X1116" s="20" t="s">
        <v>45</v>
      </c>
    </row>
    <row r="1117" spans="1:24" x14ac:dyDescent="0.25">
      <c r="A1117" s="23" t="s">
        <v>1634</v>
      </c>
      <c r="B1117" s="22">
        <v>45318</v>
      </c>
      <c r="C1117" s="23" t="s">
        <v>1210</v>
      </c>
      <c r="D1117" s="23" t="s">
        <v>65</v>
      </c>
      <c r="E1117" s="23" t="s">
        <v>222</v>
      </c>
      <c r="F1117" s="23" t="s">
        <v>2597</v>
      </c>
      <c r="G1117" s="23" t="s">
        <v>2587</v>
      </c>
      <c r="H1117" s="23" t="s">
        <v>68</v>
      </c>
      <c r="I1117" s="23" t="s">
        <v>40</v>
      </c>
      <c r="J1117" s="23" t="s">
        <v>41</v>
      </c>
      <c r="K1117" s="23" t="s">
        <v>152</v>
      </c>
      <c r="L1117" s="23" t="s">
        <v>2688</v>
      </c>
      <c r="M1117" s="23" t="s">
        <v>43</v>
      </c>
      <c r="N1117" s="23" t="s">
        <v>70</v>
      </c>
      <c r="O1117" s="23">
        <v>35</v>
      </c>
      <c r="P1117" s="23">
        <v>128.87</v>
      </c>
      <c r="Q1117" s="23">
        <v>76.44</v>
      </c>
      <c r="R1117" s="23">
        <v>4510.58</v>
      </c>
      <c r="S1117" s="23">
        <v>0.1</v>
      </c>
      <c r="T1117" s="23">
        <v>451.06</v>
      </c>
      <c r="U1117" s="23">
        <v>4059.52</v>
      </c>
      <c r="V1117" s="23">
        <v>2675.34</v>
      </c>
      <c r="W1117" s="23">
        <v>1384.18</v>
      </c>
      <c r="X1117" s="23" t="s">
        <v>45</v>
      </c>
    </row>
    <row r="1118" spans="1:24" x14ac:dyDescent="0.25">
      <c r="A1118" s="20" t="s">
        <v>1635</v>
      </c>
      <c r="B1118" s="19">
        <v>45506</v>
      </c>
      <c r="C1118" s="20" t="s">
        <v>1412</v>
      </c>
      <c r="D1118" s="20" t="s">
        <v>48</v>
      </c>
      <c r="E1118" s="20" t="s">
        <v>126</v>
      </c>
      <c r="F1118" s="20" t="s">
        <v>2589</v>
      </c>
      <c r="G1118" s="20" t="s">
        <v>2586</v>
      </c>
      <c r="H1118" s="20" t="s">
        <v>128</v>
      </c>
      <c r="I1118" s="20" t="s">
        <v>40</v>
      </c>
      <c r="J1118" s="20" t="s">
        <v>289</v>
      </c>
      <c r="K1118" s="20" t="s">
        <v>83</v>
      </c>
      <c r="L1118" s="20" t="s">
        <v>2683</v>
      </c>
      <c r="M1118" s="20" t="s">
        <v>61</v>
      </c>
      <c r="N1118" s="20" t="s">
        <v>70</v>
      </c>
      <c r="O1118" s="20">
        <v>26</v>
      </c>
      <c r="P1118" s="20">
        <v>83.28</v>
      </c>
      <c r="Q1118" s="20">
        <v>49.43</v>
      </c>
      <c r="R1118" s="20">
        <v>2165.23</v>
      </c>
      <c r="S1118" s="20">
        <v>0.2</v>
      </c>
      <c r="T1118" s="20">
        <v>433.05</v>
      </c>
      <c r="U1118" s="20">
        <v>1732.18</v>
      </c>
      <c r="V1118" s="20">
        <v>1285.08</v>
      </c>
      <c r="W1118" s="20">
        <v>447.1</v>
      </c>
      <c r="X1118" s="20" t="s">
        <v>45</v>
      </c>
    </row>
    <row r="1119" spans="1:24" x14ac:dyDescent="0.25">
      <c r="A1119" s="23" t="s">
        <v>1636</v>
      </c>
      <c r="B1119" s="22">
        <v>45574</v>
      </c>
      <c r="C1119" s="23" t="s">
        <v>314</v>
      </c>
      <c r="D1119" s="23" t="s">
        <v>163</v>
      </c>
      <c r="E1119" s="23" t="s">
        <v>132</v>
      </c>
      <c r="F1119" s="23" t="s">
        <v>133</v>
      </c>
      <c r="G1119" s="23" t="s">
        <v>2581</v>
      </c>
      <c r="H1119" s="23" t="s">
        <v>134</v>
      </c>
      <c r="I1119" s="23" t="s">
        <v>40</v>
      </c>
      <c r="J1119" s="23" t="s">
        <v>289</v>
      </c>
      <c r="K1119" s="23" t="s">
        <v>2619</v>
      </c>
      <c r="L1119" s="23" t="s">
        <v>2619</v>
      </c>
      <c r="M1119" s="23" t="s">
        <v>153</v>
      </c>
      <c r="N1119" s="23" t="s">
        <v>75</v>
      </c>
      <c r="O1119" s="23">
        <v>46</v>
      </c>
      <c r="P1119" s="23">
        <v>59.03</v>
      </c>
      <c r="Q1119" s="23">
        <v>35.85</v>
      </c>
      <c r="R1119" s="23">
        <v>2715.41</v>
      </c>
      <c r="S1119" s="23">
        <v>0.02</v>
      </c>
      <c r="T1119" s="23">
        <v>54.31</v>
      </c>
      <c r="U1119" s="23">
        <v>2661.11</v>
      </c>
      <c r="V1119" s="23">
        <v>1649.03</v>
      </c>
      <c r="W1119" s="23">
        <v>1012.07</v>
      </c>
      <c r="X1119" s="23" t="s">
        <v>45</v>
      </c>
    </row>
    <row r="1120" spans="1:24" x14ac:dyDescent="0.25">
      <c r="A1120" s="20" t="s">
        <v>1637</v>
      </c>
      <c r="B1120" s="19">
        <v>45596</v>
      </c>
      <c r="C1120" s="20" t="s">
        <v>162</v>
      </c>
      <c r="D1120" s="20" t="s">
        <v>163</v>
      </c>
      <c r="E1120" s="20" t="s">
        <v>216</v>
      </c>
      <c r="F1120" s="20" t="s">
        <v>2596</v>
      </c>
      <c r="G1120" s="20" t="s">
        <v>2579</v>
      </c>
      <c r="H1120" s="20" t="s">
        <v>134</v>
      </c>
      <c r="I1120" s="20" t="s">
        <v>58</v>
      </c>
      <c r="J1120" s="20" t="s">
        <v>59</v>
      </c>
      <c r="K1120" s="20" t="s">
        <v>29</v>
      </c>
      <c r="L1120" s="20" t="s">
        <v>2679</v>
      </c>
      <c r="M1120" s="20" t="s">
        <v>30</v>
      </c>
      <c r="N1120" s="20" t="s">
        <v>44</v>
      </c>
      <c r="O1120" s="20">
        <v>4</v>
      </c>
      <c r="P1120" s="20">
        <v>105.4</v>
      </c>
      <c r="Q1120" s="20">
        <v>62.82</v>
      </c>
      <c r="R1120" s="20">
        <v>421.61</v>
      </c>
      <c r="S1120" s="20">
        <v>0.05</v>
      </c>
      <c r="T1120" s="20">
        <v>21.08</v>
      </c>
      <c r="U1120" s="20">
        <v>400.53</v>
      </c>
      <c r="V1120" s="20">
        <v>251.3</v>
      </c>
      <c r="W1120" s="20">
        <v>149.22999999999999</v>
      </c>
      <c r="X1120" s="20" t="s">
        <v>45</v>
      </c>
    </row>
    <row r="1121" spans="1:24" x14ac:dyDescent="0.25">
      <c r="A1121" s="23" t="s">
        <v>1638</v>
      </c>
      <c r="B1121" s="22">
        <v>45374</v>
      </c>
      <c r="C1121" s="23" t="s">
        <v>1493</v>
      </c>
      <c r="D1121" s="23" t="s">
        <v>159</v>
      </c>
      <c r="E1121" s="23" t="s">
        <v>109</v>
      </c>
      <c r="F1121" s="23" t="s">
        <v>110</v>
      </c>
      <c r="G1121" s="23" t="s">
        <v>2584</v>
      </c>
      <c r="H1121" s="23" t="s">
        <v>81</v>
      </c>
      <c r="I1121" s="23" t="s">
        <v>88</v>
      </c>
      <c r="J1121" s="23" t="s">
        <v>173</v>
      </c>
      <c r="K1121" s="23" t="s">
        <v>261</v>
      </c>
      <c r="L1121" s="23" t="s">
        <v>2695</v>
      </c>
      <c r="M1121" s="23" t="s">
        <v>30</v>
      </c>
      <c r="N1121" s="23" t="s">
        <v>70</v>
      </c>
      <c r="O1121" s="23">
        <v>12</v>
      </c>
      <c r="P1121" s="23">
        <v>118.77</v>
      </c>
      <c r="Q1121" s="23">
        <v>-10</v>
      </c>
      <c r="R1121" s="23">
        <v>1425.25</v>
      </c>
      <c r="S1121" s="23">
        <v>0.15</v>
      </c>
      <c r="T1121" s="23">
        <v>213.79</v>
      </c>
      <c r="U1121" s="23">
        <v>1211.46</v>
      </c>
      <c r="V1121" s="23">
        <v>912.5</v>
      </c>
      <c r="W1121" s="23">
        <v>298.95999999999998</v>
      </c>
      <c r="X1121" s="23" t="s">
        <v>45</v>
      </c>
    </row>
    <row r="1122" spans="1:24" x14ac:dyDescent="0.25">
      <c r="A1122" s="20" t="s">
        <v>1639</v>
      </c>
      <c r="B1122" s="19">
        <v>45311</v>
      </c>
      <c r="C1122" s="20" t="s">
        <v>495</v>
      </c>
      <c r="D1122" s="20" t="s">
        <v>125</v>
      </c>
      <c r="E1122" s="20" t="s">
        <v>99</v>
      </c>
      <c r="F1122" s="20" t="s">
        <v>100</v>
      </c>
      <c r="G1122" s="20" t="s">
        <v>2587</v>
      </c>
      <c r="H1122" s="20" t="s">
        <v>102</v>
      </c>
      <c r="I1122" s="20" t="s">
        <v>58</v>
      </c>
      <c r="J1122" s="20" t="s">
        <v>345</v>
      </c>
      <c r="K1122" s="20" t="s">
        <v>90</v>
      </c>
      <c r="L1122" s="20" t="s">
        <v>2684</v>
      </c>
      <c r="M1122" s="20" t="s">
        <v>30</v>
      </c>
      <c r="N1122" s="20" t="s">
        <v>70</v>
      </c>
      <c r="O1122" s="20">
        <v>73</v>
      </c>
      <c r="P1122" s="20">
        <v>72.05</v>
      </c>
      <c r="Q1122" s="20">
        <v>40.65</v>
      </c>
      <c r="R1122" s="20">
        <v>5259.86</v>
      </c>
      <c r="S1122" s="20">
        <v>0.1</v>
      </c>
      <c r="T1122" s="20">
        <v>525.99</v>
      </c>
      <c r="U1122" s="20">
        <v>4733.88</v>
      </c>
      <c r="V1122" s="20">
        <v>2967.09</v>
      </c>
      <c r="W1122" s="20">
        <v>1766.78</v>
      </c>
      <c r="X1122" s="20" t="s">
        <v>45</v>
      </c>
    </row>
    <row r="1123" spans="1:24" x14ac:dyDescent="0.25">
      <c r="A1123" s="23" t="s">
        <v>1640</v>
      </c>
      <c r="B1123" s="22">
        <v>45387</v>
      </c>
      <c r="C1123" s="23" t="s">
        <v>717</v>
      </c>
      <c r="D1123" s="23" t="s">
        <v>35</v>
      </c>
      <c r="E1123" s="23" t="s">
        <v>222</v>
      </c>
      <c r="F1123" s="23" t="s">
        <v>2597</v>
      </c>
      <c r="G1123" s="23" t="s">
        <v>2587</v>
      </c>
      <c r="H1123" s="23" t="s">
        <v>68</v>
      </c>
      <c r="I1123" s="23" t="s">
        <v>88</v>
      </c>
      <c r="J1123" s="23" t="s">
        <v>173</v>
      </c>
      <c r="K1123" s="23" t="s">
        <v>170</v>
      </c>
      <c r="L1123" s="23" t="s">
        <v>2671</v>
      </c>
      <c r="M1123" s="23" t="s">
        <v>61</v>
      </c>
      <c r="N1123" s="23" t="s">
        <v>70</v>
      </c>
      <c r="O1123" s="23">
        <v>41</v>
      </c>
      <c r="P1123" s="23">
        <v>112.8</v>
      </c>
      <c r="Q1123" s="23">
        <v>81.67</v>
      </c>
      <c r="R1123" s="23">
        <v>4624.66</v>
      </c>
      <c r="S1123" s="23">
        <v>0.15</v>
      </c>
      <c r="T1123" s="23">
        <v>693.7</v>
      </c>
      <c r="U1123" s="23">
        <v>3930.96</v>
      </c>
      <c r="V1123" s="23">
        <v>3348.54</v>
      </c>
      <c r="W1123" s="23">
        <v>582.41999999999996</v>
      </c>
      <c r="X1123" s="23" t="s">
        <v>45</v>
      </c>
    </row>
    <row r="1124" spans="1:24" x14ac:dyDescent="0.25">
      <c r="A1124" s="20" t="s">
        <v>1641</v>
      </c>
      <c r="B1124" s="19">
        <v>45585</v>
      </c>
      <c r="C1124" s="20" t="s">
        <v>852</v>
      </c>
      <c r="D1124" s="20" t="s">
        <v>57</v>
      </c>
      <c r="E1124" s="20" t="s">
        <v>187</v>
      </c>
      <c r="F1124" s="20" t="s">
        <v>2594</v>
      </c>
      <c r="G1124" s="20" t="s">
        <v>2577</v>
      </c>
      <c r="H1124" s="20" t="s">
        <v>26</v>
      </c>
      <c r="I1124" s="20" t="s">
        <v>40</v>
      </c>
      <c r="J1124" s="20" t="s">
        <v>117</v>
      </c>
      <c r="K1124" s="20" t="s">
        <v>2619</v>
      </c>
      <c r="L1124" s="20" t="s">
        <v>2619</v>
      </c>
      <c r="M1124" s="20" t="s">
        <v>153</v>
      </c>
      <c r="N1124" s="20" t="s">
        <v>75</v>
      </c>
      <c r="O1124" s="20">
        <v>54</v>
      </c>
      <c r="P1124" s="20">
        <v>47.96</v>
      </c>
      <c r="Q1124" s="20">
        <v>30.52</v>
      </c>
      <c r="R1124" s="20">
        <v>2589.6</v>
      </c>
      <c r="S1124" s="20">
        <v>0.2</v>
      </c>
      <c r="T1124" s="20">
        <v>517.91999999999996</v>
      </c>
      <c r="U1124" s="20">
        <v>2071.6799999999998</v>
      </c>
      <c r="V1124" s="20">
        <v>1648.25</v>
      </c>
      <c r="W1124" s="20">
        <v>423.43</v>
      </c>
      <c r="X1124" s="20" t="s">
        <v>45</v>
      </c>
    </row>
    <row r="1125" spans="1:24" x14ac:dyDescent="0.25">
      <c r="A1125" s="23" t="s">
        <v>1642</v>
      </c>
      <c r="B1125" s="22">
        <v>45375</v>
      </c>
      <c r="C1125" s="23" t="s">
        <v>653</v>
      </c>
      <c r="D1125" s="23" t="s">
        <v>87</v>
      </c>
      <c r="E1125" s="23" t="s">
        <v>36</v>
      </c>
      <c r="F1125" s="23" t="s">
        <v>37</v>
      </c>
      <c r="G1125" s="23" t="s">
        <v>2579</v>
      </c>
      <c r="H1125" s="23" t="s">
        <v>39</v>
      </c>
      <c r="I1125" s="23" t="s">
        <v>40</v>
      </c>
      <c r="J1125" s="23" t="s">
        <v>117</v>
      </c>
      <c r="K1125" s="23" t="s">
        <v>152</v>
      </c>
      <c r="L1125" s="23" t="s">
        <v>2688</v>
      </c>
      <c r="M1125" s="23" t="s">
        <v>153</v>
      </c>
      <c r="N1125" s="23" t="s">
        <v>84</v>
      </c>
      <c r="O1125" s="23">
        <v>27</v>
      </c>
      <c r="P1125" s="23">
        <v>170.63</v>
      </c>
      <c r="Q1125" s="23">
        <v>94.24</v>
      </c>
      <c r="R1125" s="23">
        <v>4606.97</v>
      </c>
      <c r="S1125" s="23">
        <v>0</v>
      </c>
      <c r="T1125" s="23">
        <v>0</v>
      </c>
      <c r="U1125" s="23">
        <v>4606.97</v>
      </c>
      <c r="V1125" s="23">
        <v>2544.36</v>
      </c>
      <c r="W1125" s="23">
        <v>2062.61</v>
      </c>
      <c r="X1125" s="23" t="s">
        <v>45</v>
      </c>
    </row>
    <row r="1126" spans="1:24" x14ac:dyDescent="0.25">
      <c r="A1126" s="20" t="s">
        <v>1643</v>
      </c>
      <c r="B1126" s="19">
        <v>45530</v>
      </c>
      <c r="C1126" s="20" t="s">
        <v>72</v>
      </c>
      <c r="D1126" s="20" t="s">
        <v>48</v>
      </c>
      <c r="E1126" s="20" t="s">
        <v>66</v>
      </c>
      <c r="F1126" s="20" t="s">
        <v>2582</v>
      </c>
      <c r="G1126" s="20" t="s">
        <v>2579</v>
      </c>
      <c r="H1126" s="20" t="s">
        <v>68</v>
      </c>
      <c r="I1126" s="20" t="s">
        <v>40</v>
      </c>
      <c r="J1126" s="20" t="s">
        <v>41</v>
      </c>
      <c r="K1126" s="20" t="s">
        <v>152</v>
      </c>
      <c r="L1126" s="20" t="s">
        <v>2688</v>
      </c>
      <c r="M1126" s="20" t="s">
        <v>43</v>
      </c>
      <c r="N1126" s="20" t="s">
        <v>75</v>
      </c>
      <c r="O1126" s="20">
        <v>33</v>
      </c>
      <c r="P1126" s="20">
        <v>167.87</v>
      </c>
      <c r="Q1126" s="20">
        <v>110.59</v>
      </c>
      <c r="R1126" s="20">
        <v>5539.73</v>
      </c>
      <c r="S1126" s="20">
        <v>0.05</v>
      </c>
      <c r="T1126" s="20">
        <v>276.99</v>
      </c>
      <c r="U1126" s="20">
        <v>5262.74</v>
      </c>
      <c r="V1126" s="20">
        <v>3649.5</v>
      </c>
      <c r="W1126" s="20">
        <v>1613.24</v>
      </c>
      <c r="X1126" s="20" t="s">
        <v>45</v>
      </c>
    </row>
    <row r="1127" spans="1:24" x14ac:dyDescent="0.25">
      <c r="A1127" s="23" t="s">
        <v>1644</v>
      </c>
      <c r="B1127" s="22">
        <v>45426</v>
      </c>
      <c r="C1127" s="23" t="s">
        <v>333</v>
      </c>
      <c r="D1127" s="23" t="s">
        <v>57</v>
      </c>
      <c r="E1127" s="23" t="s">
        <v>109</v>
      </c>
      <c r="F1127" s="23" t="s">
        <v>110</v>
      </c>
      <c r="G1127" s="23" t="s">
        <v>2584</v>
      </c>
      <c r="H1127" s="23" t="s">
        <v>81</v>
      </c>
      <c r="I1127" s="23" t="s">
        <v>53</v>
      </c>
      <c r="J1127" s="23" t="s">
        <v>122</v>
      </c>
      <c r="K1127" s="23" t="s">
        <v>184</v>
      </c>
      <c r="L1127" s="23" t="s">
        <v>2690</v>
      </c>
      <c r="M1127" s="23" t="s">
        <v>153</v>
      </c>
      <c r="N1127" s="23" t="s">
        <v>75</v>
      </c>
      <c r="O1127" s="23">
        <v>6</v>
      </c>
      <c r="P1127" s="23">
        <v>133.33000000000001</v>
      </c>
      <c r="Q1127" s="23">
        <v>75.599999999999994</v>
      </c>
      <c r="R1127" s="23">
        <v>799.97</v>
      </c>
      <c r="S1127" s="23">
        <v>0.2</v>
      </c>
      <c r="T1127" s="23">
        <v>159.99</v>
      </c>
      <c r="U1127" s="23">
        <v>639.98</v>
      </c>
      <c r="V1127" s="23">
        <v>453.62</v>
      </c>
      <c r="W1127" s="23">
        <v>186.36</v>
      </c>
      <c r="X1127" s="23" t="s">
        <v>129</v>
      </c>
    </row>
    <row r="1128" spans="1:24" x14ac:dyDescent="0.25">
      <c r="A1128" s="20" t="s">
        <v>1645</v>
      </c>
      <c r="B1128" s="19">
        <v>45368</v>
      </c>
      <c r="C1128" s="20" t="s">
        <v>278</v>
      </c>
      <c r="D1128" s="20" t="s">
        <v>48</v>
      </c>
      <c r="E1128" s="20" t="s">
        <v>23</v>
      </c>
      <c r="F1128" s="20" t="s">
        <v>2576</v>
      </c>
      <c r="G1128" s="20" t="s">
        <v>2577</v>
      </c>
      <c r="H1128" s="20" t="s">
        <v>26</v>
      </c>
      <c r="I1128" s="20" t="s">
        <v>40</v>
      </c>
      <c r="J1128" s="20" t="s">
        <v>82</v>
      </c>
      <c r="K1128" s="20" t="s">
        <v>29</v>
      </c>
      <c r="L1128" s="20" t="s">
        <v>2679</v>
      </c>
      <c r="M1128" s="20" t="s">
        <v>153</v>
      </c>
      <c r="N1128" s="20" t="s">
        <v>44</v>
      </c>
      <c r="O1128" s="20">
        <v>58</v>
      </c>
      <c r="P1128" s="20">
        <v>72.099999999999994</v>
      </c>
      <c r="Q1128" s="20">
        <v>45.13</v>
      </c>
      <c r="R1128" s="20">
        <v>4181.53</v>
      </c>
      <c r="S1128" s="20">
        <v>0.15</v>
      </c>
      <c r="T1128" s="20">
        <v>627.23</v>
      </c>
      <c r="U1128" s="20">
        <v>3554.3</v>
      </c>
      <c r="V1128" s="20">
        <v>2617.3200000000002</v>
      </c>
      <c r="W1128" s="20">
        <v>936.97</v>
      </c>
      <c r="X1128" s="20" t="s">
        <v>32</v>
      </c>
    </row>
    <row r="1129" spans="1:24" x14ac:dyDescent="0.25">
      <c r="A1129" s="23" t="s">
        <v>1646</v>
      </c>
      <c r="B1129" s="22">
        <v>45316</v>
      </c>
      <c r="C1129" s="23" t="s">
        <v>992</v>
      </c>
      <c r="D1129" s="23" t="s">
        <v>105</v>
      </c>
      <c r="E1129" s="23" t="s">
        <v>176</v>
      </c>
      <c r="F1129" s="23" t="s">
        <v>2593</v>
      </c>
      <c r="G1129" s="23" t="s">
        <v>2587</v>
      </c>
      <c r="H1129" s="23" t="s">
        <v>39</v>
      </c>
      <c r="I1129" s="23" t="s">
        <v>58</v>
      </c>
      <c r="J1129" s="23" t="s">
        <v>59</v>
      </c>
      <c r="K1129" s="23" t="s">
        <v>248</v>
      </c>
      <c r="L1129" s="23" t="s">
        <v>2693</v>
      </c>
      <c r="M1129" s="23" t="s">
        <v>61</v>
      </c>
      <c r="N1129" s="23" t="s">
        <v>44</v>
      </c>
      <c r="O1129" s="23">
        <v>19</v>
      </c>
      <c r="P1129" s="23">
        <v>100.44</v>
      </c>
      <c r="Q1129" s="23">
        <v>68</v>
      </c>
      <c r="R1129" s="23">
        <v>1908.32</v>
      </c>
      <c r="S1129" s="23">
        <v>0.05</v>
      </c>
      <c r="T1129" s="23">
        <v>95.42</v>
      </c>
      <c r="U1129" s="23">
        <v>1496.2</v>
      </c>
      <c r="V1129" s="23">
        <v>1292.06</v>
      </c>
      <c r="W1129" s="23">
        <v>520.85</v>
      </c>
      <c r="X1129" s="23" t="s">
        <v>45</v>
      </c>
    </row>
    <row r="1130" spans="1:24" x14ac:dyDescent="0.25">
      <c r="A1130" s="20" t="s">
        <v>1647</v>
      </c>
      <c r="B1130" s="19">
        <v>45526</v>
      </c>
      <c r="C1130" s="20" t="s">
        <v>651</v>
      </c>
      <c r="D1130" s="20" t="s">
        <v>105</v>
      </c>
      <c r="E1130" s="20" t="s">
        <v>165</v>
      </c>
      <c r="F1130" s="20" t="s">
        <v>2592</v>
      </c>
      <c r="G1130" s="20" t="s">
        <v>2586</v>
      </c>
      <c r="H1130" s="20" t="s">
        <v>167</v>
      </c>
      <c r="I1130" s="20" t="s">
        <v>58</v>
      </c>
      <c r="J1130" s="20" t="s">
        <v>323</v>
      </c>
      <c r="K1130" s="20" t="s">
        <v>253</v>
      </c>
      <c r="L1130" s="20" t="s">
        <v>2694</v>
      </c>
      <c r="M1130" s="20" t="s">
        <v>43</v>
      </c>
      <c r="N1130" s="20" t="s">
        <v>44</v>
      </c>
      <c r="O1130" s="20">
        <v>73</v>
      </c>
      <c r="P1130" s="20">
        <v>43.37</v>
      </c>
      <c r="Q1130" s="20">
        <v>23.85</v>
      </c>
      <c r="R1130" s="20">
        <v>3166.11</v>
      </c>
      <c r="S1130" s="20">
        <v>0.2</v>
      </c>
      <c r="T1130" s="20">
        <v>633.22</v>
      </c>
      <c r="U1130" s="20">
        <v>2532.89</v>
      </c>
      <c r="V1130" s="20">
        <v>1741.19</v>
      </c>
      <c r="W1130" s="20">
        <v>791.71</v>
      </c>
      <c r="X1130" s="20" t="s">
        <v>45</v>
      </c>
    </row>
    <row r="1131" spans="1:24" x14ac:dyDescent="0.25">
      <c r="A1131" s="23" t="s">
        <v>1648</v>
      </c>
      <c r="B1131" s="22">
        <v>45574</v>
      </c>
      <c r="C1131" s="23" t="s">
        <v>182</v>
      </c>
      <c r="D1131" s="23" t="s">
        <v>35</v>
      </c>
      <c r="E1131" s="23" t="s">
        <v>66</v>
      </c>
      <c r="F1131" s="23" t="s">
        <v>2582</v>
      </c>
      <c r="G1131" s="23" t="s">
        <v>2579</v>
      </c>
      <c r="H1131" s="23" t="s">
        <v>68</v>
      </c>
      <c r="I1131" s="23" t="s">
        <v>53</v>
      </c>
      <c r="J1131" s="23" t="s">
        <v>2619</v>
      </c>
      <c r="K1131" s="23" t="s">
        <v>144</v>
      </c>
      <c r="L1131" s="23" t="s">
        <v>2687</v>
      </c>
      <c r="M1131" s="23" t="s">
        <v>61</v>
      </c>
      <c r="N1131" s="23" t="s">
        <v>70</v>
      </c>
      <c r="O1131" s="23">
        <v>68</v>
      </c>
      <c r="P1131" s="23">
        <v>156.63</v>
      </c>
      <c r="Q1131" s="23">
        <v>102.87</v>
      </c>
      <c r="R1131" s="23">
        <v>10650.82</v>
      </c>
      <c r="S1131" s="23">
        <v>0</v>
      </c>
      <c r="T1131" s="23">
        <v>0</v>
      </c>
      <c r="U1131" s="23">
        <v>10650.82</v>
      </c>
      <c r="V1131" s="23">
        <v>6995.45</v>
      </c>
      <c r="W1131" s="23">
        <v>3655.37</v>
      </c>
      <c r="X1131" s="23" t="s">
        <v>45</v>
      </c>
    </row>
    <row r="1132" spans="1:24" x14ac:dyDescent="0.25">
      <c r="A1132" s="20" t="s">
        <v>1649</v>
      </c>
      <c r="B1132" s="19">
        <v>45400</v>
      </c>
      <c r="C1132" s="20" t="s">
        <v>626</v>
      </c>
      <c r="D1132" s="20" t="s">
        <v>163</v>
      </c>
      <c r="E1132" s="20" t="s">
        <v>222</v>
      </c>
      <c r="F1132" s="20" t="s">
        <v>2597</v>
      </c>
      <c r="G1132" s="20" t="s">
        <v>2587</v>
      </c>
      <c r="H1132" s="20" t="s">
        <v>68</v>
      </c>
      <c r="I1132" s="20" t="s">
        <v>88</v>
      </c>
      <c r="J1132" s="20" t="s">
        <v>135</v>
      </c>
      <c r="K1132" s="20" t="s">
        <v>2619</v>
      </c>
      <c r="L1132" s="20" t="s">
        <v>2619</v>
      </c>
      <c r="M1132" s="20" t="s">
        <v>153</v>
      </c>
      <c r="N1132" s="20" t="s">
        <v>70</v>
      </c>
      <c r="O1132" s="20">
        <v>53</v>
      </c>
      <c r="P1132" s="20">
        <v>112.79</v>
      </c>
      <c r="Q1132" s="20">
        <v>80.88</v>
      </c>
      <c r="R1132" s="20">
        <v>5977.68</v>
      </c>
      <c r="S1132" s="20">
        <v>0.2</v>
      </c>
      <c r="T1132" s="20">
        <v>1195.54</v>
      </c>
      <c r="U1132" s="20">
        <v>4782.1499999999996</v>
      </c>
      <c r="V1132" s="20">
        <v>4286.7</v>
      </c>
      <c r="W1132" s="20">
        <v>495.44</v>
      </c>
      <c r="X1132" s="20" t="s">
        <v>32</v>
      </c>
    </row>
    <row r="1133" spans="1:24" x14ac:dyDescent="0.25">
      <c r="A1133" s="23" t="s">
        <v>1650</v>
      </c>
      <c r="B1133" s="22">
        <v>45624</v>
      </c>
      <c r="C1133" s="23" t="s">
        <v>711</v>
      </c>
      <c r="D1133" s="23" t="s">
        <v>57</v>
      </c>
      <c r="E1133" s="23" t="s">
        <v>165</v>
      </c>
      <c r="F1133" s="23" t="s">
        <v>2592</v>
      </c>
      <c r="G1133" s="23" t="s">
        <v>2586</v>
      </c>
      <c r="H1133" s="23" t="s">
        <v>167</v>
      </c>
      <c r="I1133" s="23" t="s">
        <v>53</v>
      </c>
      <c r="J1133" s="23" t="s">
        <v>122</v>
      </c>
      <c r="K1133" s="23" t="s">
        <v>118</v>
      </c>
      <c r="L1133" s="23" t="s">
        <v>2686</v>
      </c>
      <c r="M1133" s="23" t="s">
        <v>61</v>
      </c>
      <c r="N1133" s="23" t="s">
        <v>44</v>
      </c>
      <c r="O1133" s="23">
        <v>75</v>
      </c>
      <c r="P1133" s="23">
        <v>43.89</v>
      </c>
      <c r="Q1133" s="23">
        <v>26.01</v>
      </c>
      <c r="R1133" s="23">
        <v>3292.11</v>
      </c>
      <c r="S1133" s="23">
        <v>0.2</v>
      </c>
      <c r="T1133" s="23">
        <v>658.42</v>
      </c>
      <c r="U1133" s="23">
        <v>2633.69</v>
      </c>
      <c r="V1133" s="23">
        <v>1950.52</v>
      </c>
      <c r="W1133" s="23">
        <v>683.16</v>
      </c>
      <c r="X1133" s="23" t="s">
        <v>45</v>
      </c>
    </row>
    <row r="1134" spans="1:24" x14ac:dyDescent="0.25">
      <c r="A1134" s="20" t="s">
        <v>1651</v>
      </c>
      <c r="B1134" s="19">
        <v>45594</v>
      </c>
      <c r="C1134" s="20" t="s">
        <v>2619</v>
      </c>
      <c r="D1134" s="20" t="s">
        <v>2619</v>
      </c>
      <c r="E1134" s="20" t="s">
        <v>176</v>
      </c>
      <c r="F1134" s="20" t="s">
        <v>2593</v>
      </c>
      <c r="G1134" s="20" t="s">
        <v>2587</v>
      </c>
      <c r="H1134" s="20" t="s">
        <v>39</v>
      </c>
      <c r="I1134" s="20" t="s">
        <v>53</v>
      </c>
      <c r="J1134" s="20" t="s">
        <v>143</v>
      </c>
      <c r="K1134" s="20" t="s">
        <v>60</v>
      </c>
      <c r="L1134" s="20" t="s">
        <v>2677</v>
      </c>
      <c r="M1134" s="20" t="s">
        <v>61</v>
      </c>
      <c r="N1134" s="20" t="s">
        <v>75</v>
      </c>
      <c r="O1134" s="20">
        <v>39</v>
      </c>
      <c r="P1134" s="20">
        <v>97.54</v>
      </c>
      <c r="Q1134" s="20">
        <v>62.91</v>
      </c>
      <c r="R1134" s="20">
        <v>3804.21</v>
      </c>
      <c r="S1134" s="20">
        <v>0.05</v>
      </c>
      <c r="T1134" s="20">
        <v>190.21</v>
      </c>
      <c r="U1134" s="20">
        <v>3614</v>
      </c>
      <c r="V1134" s="20">
        <v>2453.5</v>
      </c>
      <c r="W1134" s="20">
        <v>1160.5</v>
      </c>
      <c r="X1134" s="20" t="s">
        <v>45</v>
      </c>
    </row>
    <row r="1135" spans="1:24" x14ac:dyDescent="0.25">
      <c r="A1135" s="23" t="s">
        <v>1652</v>
      </c>
      <c r="B1135" s="22">
        <v>45545</v>
      </c>
      <c r="C1135" s="23" t="s">
        <v>155</v>
      </c>
      <c r="D1135" s="23" t="s">
        <v>156</v>
      </c>
      <c r="E1135" s="23" t="s">
        <v>66</v>
      </c>
      <c r="F1135" s="23" t="s">
        <v>2582</v>
      </c>
      <c r="G1135" s="23" t="s">
        <v>2579</v>
      </c>
      <c r="H1135" s="23" t="s">
        <v>68</v>
      </c>
      <c r="I1135" s="23" t="s">
        <v>53</v>
      </c>
      <c r="J1135" s="23" t="s">
        <v>143</v>
      </c>
      <c r="K1135" s="23" t="s">
        <v>195</v>
      </c>
      <c r="L1135" s="23" t="s">
        <v>2691</v>
      </c>
      <c r="M1135" s="23" t="s">
        <v>61</v>
      </c>
      <c r="N1135" s="23" t="s">
        <v>2578</v>
      </c>
      <c r="O1135" s="23">
        <v>29</v>
      </c>
      <c r="P1135" s="23">
        <v>156.61000000000001</v>
      </c>
      <c r="Q1135" s="23">
        <v>96.81</v>
      </c>
      <c r="R1135" s="23">
        <v>4541.66</v>
      </c>
      <c r="S1135" s="23">
        <v>0</v>
      </c>
      <c r="T1135" s="23">
        <v>0</v>
      </c>
      <c r="U1135" s="23">
        <v>4541.66</v>
      </c>
      <c r="V1135" s="23">
        <v>2807.62</v>
      </c>
      <c r="W1135" s="23">
        <v>1734.04</v>
      </c>
      <c r="X1135" s="23" t="s">
        <v>32</v>
      </c>
    </row>
    <row r="1136" spans="1:24" x14ac:dyDescent="0.25">
      <c r="A1136" s="20" t="s">
        <v>1653</v>
      </c>
      <c r="B1136" s="19">
        <v>45434</v>
      </c>
      <c r="C1136" s="20" t="s">
        <v>897</v>
      </c>
      <c r="D1136" s="20" t="s">
        <v>65</v>
      </c>
      <c r="E1136" s="20" t="s">
        <v>187</v>
      </c>
      <c r="F1136" s="20" t="s">
        <v>2594</v>
      </c>
      <c r="G1136" s="20" t="s">
        <v>2577</v>
      </c>
      <c r="H1136" s="20" t="s">
        <v>26</v>
      </c>
      <c r="I1136" s="20" t="s">
        <v>27</v>
      </c>
      <c r="J1136" s="20" t="s">
        <v>106</v>
      </c>
      <c r="K1136" s="20" t="s">
        <v>69</v>
      </c>
      <c r="L1136" s="20" t="s">
        <v>2681</v>
      </c>
      <c r="M1136" s="20" t="s">
        <v>61</v>
      </c>
      <c r="N1136" s="20" t="s">
        <v>44</v>
      </c>
      <c r="O1136" s="20">
        <v>63</v>
      </c>
      <c r="P1136" s="20">
        <v>51.77</v>
      </c>
      <c r="Q1136" s="20">
        <v>26.8</v>
      </c>
      <c r="R1136" s="20">
        <v>3261.24</v>
      </c>
      <c r="S1136" s="20">
        <v>0.05</v>
      </c>
      <c r="T1136" s="20">
        <v>163.06</v>
      </c>
      <c r="U1136" s="20">
        <v>3098.18</v>
      </c>
      <c r="V1136" s="20">
        <v>1688.37</v>
      </c>
      <c r="W1136" s="20">
        <v>1409.81</v>
      </c>
      <c r="X1136" s="20" t="s">
        <v>129</v>
      </c>
    </row>
    <row r="1137" spans="1:24" x14ac:dyDescent="0.25">
      <c r="A1137" s="23" t="s">
        <v>1654</v>
      </c>
      <c r="B1137" s="22">
        <v>45351</v>
      </c>
      <c r="C1137" s="23" t="s">
        <v>798</v>
      </c>
      <c r="D1137" s="23" t="s">
        <v>259</v>
      </c>
      <c r="E1137" s="23" t="s">
        <v>126</v>
      </c>
      <c r="F1137" s="23" t="s">
        <v>2589</v>
      </c>
      <c r="G1137" s="23" t="s">
        <v>2586</v>
      </c>
      <c r="H1137" s="23" t="s">
        <v>128</v>
      </c>
      <c r="I1137" s="23" t="s">
        <v>58</v>
      </c>
      <c r="J1137" s="23" t="s">
        <v>73</v>
      </c>
      <c r="K1137" s="23" t="s">
        <v>218</v>
      </c>
      <c r="L1137" s="23" t="s">
        <v>2692</v>
      </c>
      <c r="M1137" s="23" t="s">
        <v>30</v>
      </c>
      <c r="N1137" s="23" t="s">
        <v>70</v>
      </c>
      <c r="O1137" s="23">
        <v>18</v>
      </c>
      <c r="P1137" s="23">
        <v>92.27</v>
      </c>
      <c r="Q1137" s="23">
        <v>53.58</v>
      </c>
      <c r="R1137" s="23">
        <v>1660.85</v>
      </c>
      <c r="S1137" s="23">
        <v>0</v>
      </c>
      <c r="T1137" s="23">
        <v>0</v>
      </c>
      <c r="U1137" s="23">
        <v>1660.85</v>
      </c>
      <c r="V1137" s="23">
        <v>964.43</v>
      </c>
      <c r="W1137" s="23">
        <v>696.43</v>
      </c>
      <c r="X1137" s="23" t="s">
        <v>45</v>
      </c>
    </row>
    <row r="1138" spans="1:24" x14ac:dyDescent="0.25">
      <c r="A1138" s="20" t="s">
        <v>1655</v>
      </c>
      <c r="B1138" s="19">
        <v>45327</v>
      </c>
      <c r="C1138" s="20" t="s">
        <v>86</v>
      </c>
      <c r="D1138" s="20" t="s">
        <v>87</v>
      </c>
      <c r="E1138" s="20" t="s">
        <v>216</v>
      </c>
      <c r="F1138" s="20" t="s">
        <v>2596</v>
      </c>
      <c r="G1138" s="20" t="s">
        <v>2579</v>
      </c>
      <c r="H1138" s="20" t="s">
        <v>134</v>
      </c>
      <c r="I1138" s="20" t="s">
        <v>58</v>
      </c>
      <c r="J1138" s="20" t="s">
        <v>73</v>
      </c>
      <c r="K1138" s="20" t="s">
        <v>90</v>
      </c>
      <c r="L1138" s="20" t="s">
        <v>2684</v>
      </c>
      <c r="M1138" s="20" t="s">
        <v>153</v>
      </c>
      <c r="N1138" s="20" t="s">
        <v>44</v>
      </c>
      <c r="O1138" s="20">
        <v>43</v>
      </c>
      <c r="P1138" s="20">
        <v>106.67</v>
      </c>
      <c r="Q1138" s="20">
        <v>65.13</v>
      </c>
      <c r="R1138" s="20">
        <v>4586.95</v>
      </c>
      <c r="S1138" s="20">
        <v>0.15</v>
      </c>
      <c r="T1138" s="20">
        <v>688.04</v>
      </c>
      <c r="U1138" s="20">
        <v>3898.91</v>
      </c>
      <c r="V1138" s="20">
        <v>2800.42</v>
      </c>
      <c r="W1138" s="20">
        <v>1098.49</v>
      </c>
      <c r="X1138" s="20" t="s">
        <v>45</v>
      </c>
    </row>
    <row r="1139" spans="1:24" x14ac:dyDescent="0.25">
      <c r="A1139" s="23" t="s">
        <v>1656</v>
      </c>
      <c r="B1139" s="22">
        <v>45439</v>
      </c>
      <c r="C1139" s="23" t="s">
        <v>77</v>
      </c>
      <c r="D1139" s="23" t="s">
        <v>22</v>
      </c>
      <c r="E1139" s="23" t="s">
        <v>78</v>
      </c>
      <c r="F1139" s="23" t="s">
        <v>2583</v>
      </c>
      <c r="G1139" s="23" t="s">
        <v>2584</v>
      </c>
      <c r="H1139" s="23" t="s">
        <v>81</v>
      </c>
      <c r="I1139" s="23" t="s">
        <v>53</v>
      </c>
      <c r="J1139" s="23" t="s">
        <v>143</v>
      </c>
      <c r="K1139" s="23" t="s">
        <v>90</v>
      </c>
      <c r="L1139" s="23" t="s">
        <v>2684</v>
      </c>
      <c r="M1139" s="23" t="s">
        <v>61</v>
      </c>
      <c r="N1139" s="23" t="s">
        <v>75</v>
      </c>
      <c r="O1139" s="23">
        <v>77</v>
      </c>
      <c r="P1139" s="23">
        <v>135.4</v>
      </c>
      <c r="Q1139" s="23">
        <v>80.489999999999995</v>
      </c>
      <c r="R1139" s="23">
        <v>10425.469999999999</v>
      </c>
      <c r="S1139" s="23">
        <v>0.05</v>
      </c>
      <c r="T1139" s="23">
        <v>521.27</v>
      </c>
      <c r="U1139" s="23">
        <v>9904.19</v>
      </c>
      <c r="V1139" s="23">
        <v>6197.92</v>
      </c>
      <c r="W1139" s="23">
        <v>3706.27</v>
      </c>
      <c r="X1139" s="23" t="s">
        <v>129</v>
      </c>
    </row>
    <row r="1140" spans="1:24" x14ac:dyDescent="0.25">
      <c r="A1140" s="20" t="s">
        <v>1657</v>
      </c>
      <c r="B1140" s="19">
        <v>45332</v>
      </c>
      <c r="C1140" s="20" t="s">
        <v>897</v>
      </c>
      <c r="D1140" s="20" t="s">
        <v>65</v>
      </c>
      <c r="E1140" s="20" t="s">
        <v>23</v>
      </c>
      <c r="F1140" s="20" t="s">
        <v>2576</v>
      </c>
      <c r="G1140" s="20" t="s">
        <v>2577</v>
      </c>
      <c r="H1140" s="20" t="s">
        <v>26</v>
      </c>
      <c r="I1140" s="20" t="s">
        <v>27</v>
      </c>
      <c r="J1140" s="20" t="s">
        <v>106</v>
      </c>
      <c r="K1140" s="20" t="s">
        <v>261</v>
      </c>
      <c r="L1140" s="20" t="s">
        <v>2695</v>
      </c>
      <c r="M1140" s="20" t="s">
        <v>30</v>
      </c>
      <c r="N1140" s="20" t="s">
        <v>75</v>
      </c>
      <c r="O1140" s="20">
        <v>45</v>
      </c>
      <c r="P1140" s="20">
        <v>79.86</v>
      </c>
      <c r="Q1140" s="20">
        <v>41.12</v>
      </c>
      <c r="R1140" s="20">
        <v>3593.91</v>
      </c>
      <c r="S1140" s="20">
        <v>0.1</v>
      </c>
      <c r="T1140" s="20">
        <v>359.39</v>
      </c>
      <c r="U1140" s="20">
        <v>3234.52</v>
      </c>
      <c r="V1140" s="20">
        <v>1850.52</v>
      </c>
      <c r="W1140" s="20">
        <v>1384</v>
      </c>
      <c r="X1140" s="20" t="s">
        <v>45</v>
      </c>
    </row>
    <row r="1141" spans="1:24" x14ac:dyDescent="0.25">
      <c r="A1141" s="23" t="s">
        <v>1658</v>
      </c>
      <c r="B1141" s="22">
        <v>45488</v>
      </c>
      <c r="C1141" s="23" t="s">
        <v>301</v>
      </c>
      <c r="D1141" s="23" t="s">
        <v>259</v>
      </c>
      <c r="E1141" s="23" t="s">
        <v>93</v>
      </c>
      <c r="F1141" s="23" t="s">
        <v>2585</v>
      </c>
      <c r="G1141" s="23" t="s">
        <v>2586</v>
      </c>
      <c r="H1141" s="23" t="s">
        <v>96</v>
      </c>
      <c r="I1141" s="23" t="s">
        <v>88</v>
      </c>
      <c r="J1141" s="23" t="s">
        <v>2112</v>
      </c>
      <c r="K1141" s="23" t="s">
        <v>265</v>
      </c>
      <c r="L1141" s="23" t="s">
        <v>2663</v>
      </c>
      <c r="M1141" s="23" t="s">
        <v>30</v>
      </c>
      <c r="N1141" s="23" t="s">
        <v>2578</v>
      </c>
      <c r="O1141" s="23">
        <v>20</v>
      </c>
      <c r="P1141" s="23">
        <v>58.59</v>
      </c>
      <c r="Q1141" s="23">
        <v>30.72</v>
      </c>
      <c r="R1141" s="23">
        <v>1171.73</v>
      </c>
      <c r="S1141" s="23">
        <v>0.2</v>
      </c>
      <c r="T1141" s="23">
        <v>234.35</v>
      </c>
      <c r="U1141" s="23">
        <v>937.39</v>
      </c>
      <c r="V1141" s="23">
        <v>614.33000000000004</v>
      </c>
      <c r="W1141" s="23">
        <v>323.06</v>
      </c>
      <c r="X1141" s="23" t="s">
        <v>45</v>
      </c>
    </row>
    <row r="1142" spans="1:24" x14ac:dyDescent="0.25">
      <c r="A1142" s="20" t="s">
        <v>1659</v>
      </c>
      <c r="B1142" s="19">
        <v>45366</v>
      </c>
      <c r="C1142" s="20" t="s">
        <v>485</v>
      </c>
      <c r="D1142" s="20" t="s">
        <v>22</v>
      </c>
      <c r="E1142" s="20" t="s">
        <v>36</v>
      </c>
      <c r="F1142" s="20" t="s">
        <v>37</v>
      </c>
      <c r="G1142" s="20" t="s">
        <v>2579</v>
      </c>
      <c r="H1142" s="20" t="s">
        <v>39</v>
      </c>
      <c r="I1142" s="20" t="s">
        <v>88</v>
      </c>
      <c r="J1142" s="20" t="s">
        <v>135</v>
      </c>
      <c r="K1142" s="20" t="s">
        <v>265</v>
      </c>
      <c r="L1142" s="20" t="s">
        <v>2663</v>
      </c>
      <c r="M1142" s="20" t="s">
        <v>43</v>
      </c>
      <c r="N1142" s="20" t="s">
        <v>75</v>
      </c>
      <c r="O1142" s="20">
        <v>73</v>
      </c>
      <c r="P1142" s="20">
        <v>176.69</v>
      </c>
      <c r="Q1142" s="20">
        <v>101.37</v>
      </c>
      <c r="R1142" s="20">
        <v>12898.23</v>
      </c>
      <c r="S1142" s="20">
        <v>0.02</v>
      </c>
      <c r="T1142" s="20">
        <v>257.95999999999998</v>
      </c>
      <c r="U1142" s="20">
        <v>12640.27</v>
      </c>
      <c r="V1142" s="20">
        <v>7400.04</v>
      </c>
      <c r="W1142" s="20">
        <v>5240.2299999999996</v>
      </c>
      <c r="X1142" s="20" t="s">
        <v>45</v>
      </c>
    </row>
    <row r="1143" spans="1:24" x14ac:dyDescent="0.25">
      <c r="A1143" s="23" t="s">
        <v>1660</v>
      </c>
      <c r="B1143" s="22">
        <v>45622</v>
      </c>
      <c r="C1143" s="23" t="s">
        <v>541</v>
      </c>
      <c r="D1143" s="23" t="s">
        <v>159</v>
      </c>
      <c r="E1143" s="23" t="s">
        <v>165</v>
      </c>
      <c r="F1143" s="23" t="s">
        <v>2592</v>
      </c>
      <c r="G1143" s="23" t="s">
        <v>2586</v>
      </c>
      <c r="H1143" s="23" t="s">
        <v>167</v>
      </c>
      <c r="I1143" s="23" t="s">
        <v>88</v>
      </c>
      <c r="J1143" s="23" t="s">
        <v>135</v>
      </c>
      <c r="K1143" s="23" t="s">
        <v>265</v>
      </c>
      <c r="L1143" s="23" t="s">
        <v>2663</v>
      </c>
      <c r="M1143" s="23" t="s">
        <v>153</v>
      </c>
      <c r="N1143" s="23" t="s">
        <v>75</v>
      </c>
      <c r="O1143" s="23">
        <v>63</v>
      </c>
      <c r="P1143" s="23">
        <v>42.13</v>
      </c>
      <c r="Q1143" s="23">
        <v>25.81</v>
      </c>
      <c r="R1143" s="23">
        <v>2653.96</v>
      </c>
      <c r="S1143" s="23">
        <v>0.1</v>
      </c>
      <c r="T1143" s="23">
        <v>265.39999999999998</v>
      </c>
      <c r="U1143" s="23">
        <v>2388.56</v>
      </c>
      <c r="V1143" s="23">
        <v>1626.16</v>
      </c>
      <c r="W1143" s="23">
        <v>762.4</v>
      </c>
      <c r="X1143" s="23" t="s">
        <v>45</v>
      </c>
    </row>
    <row r="1144" spans="1:24" x14ac:dyDescent="0.25">
      <c r="A1144" s="20" t="s">
        <v>1661</v>
      </c>
      <c r="B1144" s="19">
        <v>45497</v>
      </c>
      <c r="C1144" s="20" t="s">
        <v>77</v>
      </c>
      <c r="D1144" s="20" t="s">
        <v>22</v>
      </c>
      <c r="E1144" s="20" t="s">
        <v>23</v>
      </c>
      <c r="F1144" s="20" t="s">
        <v>2576</v>
      </c>
      <c r="G1144" s="20" t="s">
        <v>2577</v>
      </c>
      <c r="H1144" s="20" t="s">
        <v>26</v>
      </c>
      <c r="I1144" s="20" t="s">
        <v>88</v>
      </c>
      <c r="J1144" s="20" t="s">
        <v>2112</v>
      </c>
      <c r="K1144" s="20" t="s">
        <v>69</v>
      </c>
      <c r="L1144" s="20" t="s">
        <v>2681</v>
      </c>
      <c r="M1144" s="20" t="s">
        <v>30</v>
      </c>
      <c r="N1144" s="20" t="s">
        <v>44</v>
      </c>
      <c r="O1144" s="20">
        <v>71</v>
      </c>
      <c r="P1144" s="20">
        <v>69.599999999999994</v>
      </c>
      <c r="Q1144" s="20">
        <v>0</v>
      </c>
      <c r="R1144" s="20">
        <v>4941.79</v>
      </c>
      <c r="S1144" s="20">
        <v>0.1</v>
      </c>
      <c r="T1144" s="20">
        <v>494.18</v>
      </c>
      <c r="U1144" s="20">
        <v>4447.6099999999997</v>
      </c>
      <c r="V1144" s="20">
        <v>2910.52</v>
      </c>
      <c r="W1144" s="20">
        <v>1537.09</v>
      </c>
      <c r="X1144" s="20" t="s">
        <v>45</v>
      </c>
    </row>
    <row r="1145" spans="1:24" x14ac:dyDescent="0.25">
      <c r="A1145" s="23" t="s">
        <v>1662</v>
      </c>
      <c r="B1145" s="22">
        <v>45593</v>
      </c>
      <c r="C1145" s="23" t="s">
        <v>658</v>
      </c>
      <c r="D1145" s="23" t="s">
        <v>264</v>
      </c>
      <c r="E1145" s="23" t="s">
        <v>176</v>
      </c>
      <c r="F1145" s="23" t="s">
        <v>2593</v>
      </c>
      <c r="G1145" s="23" t="s">
        <v>2587</v>
      </c>
      <c r="H1145" s="23" t="s">
        <v>39</v>
      </c>
      <c r="I1145" s="23" t="s">
        <v>53</v>
      </c>
      <c r="J1145" s="23" t="s">
        <v>122</v>
      </c>
      <c r="K1145" s="23" t="s">
        <v>195</v>
      </c>
      <c r="L1145" s="23" t="s">
        <v>2691</v>
      </c>
      <c r="M1145" s="23" t="s">
        <v>153</v>
      </c>
      <c r="N1145" s="23" t="s">
        <v>75</v>
      </c>
      <c r="O1145" s="23">
        <v>28</v>
      </c>
      <c r="P1145" s="23">
        <v>99.28</v>
      </c>
      <c r="Q1145" s="23">
        <v>59.58</v>
      </c>
      <c r="R1145" s="23">
        <v>2779.83</v>
      </c>
      <c r="S1145" s="23">
        <v>0.1</v>
      </c>
      <c r="T1145" s="23">
        <v>277.98</v>
      </c>
      <c r="U1145" s="23">
        <v>2501.84</v>
      </c>
      <c r="V1145" s="23">
        <v>1668.17</v>
      </c>
      <c r="W1145" s="23">
        <v>833.67</v>
      </c>
      <c r="X1145" s="23" t="s">
        <v>32</v>
      </c>
    </row>
    <row r="1146" spans="1:24" x14ac:dyDescent="0.25">
      <c r="A1146" s="20" t="s">
        <v>1663</v>
      </c>
      <c r="B1146" s="19">
        <v>45306</v>
      </c>
      <c r="C1146" s="20" t="s">
        <v>47</v>
      </c>
      <c r="D1146" s="20" t="s">
        <v>48</v>
      </c>
      <c r="E1146" s="20" t="s">
        <v>132</v>
      </c>
      <c r="F1146" s="20" t="s">
        <v>133</v>
      </c>
      <c r="G1146" s="20" t="s">
        <v>2581</v>
      </c>
      <c r="H1146" s="20" t="s">
        <v>134</v>
      </c>
      <c r="I1146" s="20" t="s">
        <v>58</v>
      </c>
      <c r="J1146" s="20" t="s">
        <v>345</v>
      </c>
      <c r="K1146" s="20" t="s">
        <v>42</v>
      </c>
      <c r="L1146" s="20" t="s">
        <v>2680</v>
      </c>
      <c r="M1146" s="20" t="s">
        <v>30</v>
      </c>
      <c r="N1146" s="20" t="s">
        <v>75</v>
      </c>
      <c r="O1146" s="20">
        <v>11</v>
      </c>
      <c r="P1146" s="20">
        <v>64.430000000000007</v>
      </c>
      <c r="Q1146" s="20">
        <v>36.21</v>
      </c>
      <c r="R1146" s="20">
        <v>708.7</v>
      </c>
      <c r="S1146" s="20">
        <v>0</v>
      </c>
      <c r="T1146" s="20">
        <v>0</v>
      </c>
      <c r="U1146" s="20">
        <v>708.7</v>
      </c>
      <c r="V1146" s="20">
        <v>398.26</v>
      </c>
      <c r="W1146" s="20">
        <v>310.45</v>
      </c>
      <c r="X1146" s="20" t="s">
        <v>32</v>
      </c>
    </row>
    <row r="1147" spans="1:24" x14ac:dyDescent="0.25">
      <c r="A1147" s="23" t="s">
        <v>1664</v>
      </c>
      <c r="B1147" s="22">
        <v>45560</v>
      </c>
      <c r="C1147" s="23" t="s">
        <v>517</v>
      </c>
      <c r="D1147" s="23" t="s">
        <v>163</v>
      </c>
      <c r="E1147" s="23" t="s">
        <v>49</v>
      </c>
      <c r="F1147" s="23" t="s">
        <v>2580</v>
      </c>
      <c r="G1147" s="23" t="s">
        <v>2581</v>
      </c>
      <c r="H1147" s="23" t="s">
        <v>52</v>
      </c>
      <c r="I1147" s="23" t="s">
        <v>40</v>
      </c>
      <c r="J1147" s="23" t="s">
        <v>82</v>
      </c>
      <c r="K1147" s="23" t="s">
        <v>83</v>
      </c>
      <c r="L1147" s="23" t="s">
        <v>2683</v>
      </c>
      <c r="M1147" s="23" t="s">
        <v>61</v>
      </c>
      <c r="N1147" s="23" t="s">
        <v>84</v>
      </c>
      <c r="O1147" s="23">
        <v>11</v>
      </c>
      <c r="P1147" s="23">
        <v>25.05</v>
      </c>
      <c r="Q1147" s="23">
        <v>13</v>
      </c>
      <c r="R1147" s="23">
        <v>275.5</v>
      </c>
      <c r="S1147" s="23">
        <v>0.1</v>
      </c>
      <c r="T1147" s="23">
        <v>27.55</v>
      </c>
      <c r="U1147" s="23">
        <v>247.95</v>
      </c>
      <c r="V1147" s="23">
        <v>143.03</v>
      </c>
      <c r="W1147" s="23">
        <v>104.91</v>
      </c>
      <c r="X1147" s="23" t="s">
        <v>45</v>
      </c>
    </row>
    <row r="1148" spans="1:24" x14ac:dyDescent="0.25">
      <c r="A1148" s="20" t="s">
        <v>1665</v>
      </c>
      <c r="B1148" s="19">
        <v>45325</v>
      </c>
      <c r="C1148" s="20" t="s">
        <v>124</v>
      </c>
      <c r="D1148" s="20" t="s">
        <v>125</v>
      </c>
      <c r="E1148" s="20" t="s">
        <v>150</v>
      </c>
      <c r="F1148" s="20" t="s">
        <v>2591</v>
      </c>
      <c r="G1148" s="20" t="s">
        <v>2587</v>
      </c>
      <c r="H1148" s="20" t="s">
        <v>134</v>
      </c>
      <c r="I1148" s="20" t="s">
        <v>53</v>
      </c>
      <c r="J1148" s="20" t="s">
        <v>143</v>
      </c>
      <c r="K1148" s="20" t="s">
        <v>118</v>
      </c>
      <c r="L1148" s="20" t="s">
        <v>2686</v>
      </c>
      <c r="M1148" s="20" t="s">
        <v>61</v>
      </c>
      <c r="N1148" s="20" t="s">
        <v>75</v>
      </c>
      <c r="O1148" s="20">
        <v>63</v>
      </c>
      <c r="P1148" s="20">
        <v>79.17</v>
      </c>
      <c r="Q1148" s="20">
        <v>47.02</v>
      </c>
      <c r="R1148" s="20">
        <v>4987.6499999999996</v>
      </c>
      <c r="S1148" s="20">
        <v>0</v>
      </c>
      <c r="T1148" s="20">
        <v>0</v>
      </c>
      <c r="U1148" s="20">
        <v>4987.6499999999996</v>
      </c>
      <c r="V1148" s="20">
        <v>2962.18</v>
      </c>
      <c r="W1148" s="20">
        <v>2025.47</v>
      </c>
      <c r="X1148" s="20" t="s">
        <v>45</v>
      </c>
    </row>
    <row r="1149" spans="1:24" x14ac:dyDescent="0.25">
      <c r="A1149" s="23" t="s">
        <v>1666</v>
      </c>
      <c r="B1149" s="22">
        <v>45412</v>
      </c>
      <c r="C1149" s="23" t="s">
        <v>428</v>
      </c>
      <c r="D1149" s="23" t="s">
        <v>57</v>
      </c>
      <c r="E1149" s="23" t="s">
        <v>209</v>
      </c>
      <c r="F1149" s="23" t="s">
        <v>2595</v>
      </c>
      <c r="G1149" s="23" t="s">
        <v>2581</v>
      </c>
      <c r="H1149" s="23" t="s">
        <v>116</v>
      </c>
      <c r="I1149" s="23" t="s">
        <v>53</v>
      </c>
      <c r="J1149" s="23" t="s">
        <v>54</v>
      </c>
      <c r="K1149" s="23" t="s">
        <v>253</v>
      </c>
      <c r="L1149" s="23" t="s">
        <v>2694</v>
      </c>
      <c r="M1149" s="23" t="s">
        <v>61</v>
      </c>
      <c r="N1149" s="23" t="s">
        <v>84</v>
      </c>
      <c r="O1149" s="23">
        <v>75</v>
      </c>
      <c r="P1149" s="23">
        <v>16.93</v>
      </c>
      <c r="Q1149" s="23">
        <v>9.3699999999999992</v>
      </c>
      <c r="R1149" s="23">
        <v>1269.73</v>
      </c>
      <c r="S1149" s="23">
        <v>0.15</v>
      </c>
      <c r="T1149" s="23">
        <v>190.46</v>
      </c>
      <c r="U1149" s="23">
        <v>1079.27</v>
      </c>
      <c r="V1149" s="23">
        <v>702.49</v>
      </c>
      <c r="W1149" s="23">
        <v>376.78</v>
      </c>
      <c r="X1149" s="23" t="s">
        <v>45</v>
      </c>
    </row>
    <row r="1150" spans="1:24" x14ac:dyDescent="0.25">
      <c r="A1150" s="20" t="s">
        <v>1667</v>
      </c>
      <c r="B1150" s="19">
        <v>45428</v>
      </c>
      <c r="C1150" s="20" t="s">
        <v>220</v>
      </c>
      <c r="D1150" s="20" t="s">
        <v>221</v>
      </c>
      <c r="E1150" s="20" t="s">
        <v>165</v>
      </c>
      <c r="F1150" s="20" t="s">
        <v>2592</v>
      </c>
      <c r="G1150" s="20" t="s">
        <v>2586</v>
      </c>
      <c r="H1150" s="20" t="s">
        <v>167</v>
      </c>
      <c r="I1150" s="20" t="s">
        <v>88</v>
      </c>
      <c r="J1150" s="20" t="s">
        <v>2112</v>
      </c>
      <c r="K1150" s="20" t="s">
        <v>144</v>
      </c>
      <c r="L1150" s="20" t="s">
        <v>2687</v>
      </c>
      <c r="M1150" s="20" t="s">
        <v>153</v>
      </c>
      <c r="N1150" s="20" t="s">
        <v>44</v>
      </c>
      <c r="O1150" s="20">
        <v>19</v>
      </c>
      <c r="P1150" s="20">
        <v>41.11</v>
      </c>
      <c r="Q1150" s="20">
        <v>25.53</v>
      </c>
      <c r="R1150" s="20">
        <v>781.12</v>
      </c>
      <c r="S1150" s="20">
        <v>0</v>
      </c>
      <c r="T1150" s="20">
        <v>0</v>
      </c>
      <c r="U1150" s="20">
        <v>781.12</v>
      </c>
      <c r="V1150" s="20">
        <v>485.06</v>
      </c>
      <c r="W1150" s="20">
        <v>296.06</v>
      </c>
      <c r="X1150" s="20" t="s">
        <v>129</v>
      </c>
    </row>
    <row r="1151" spans="1:24" x14ac:dyDescent="0.25">
      <c r="A1151" s="23" t="s">
        <v>1668</v>
      </c>
      <c r="B1151" s="22">
        <v>45479</v>
      </c>
      <c r="C1151" s="23" t="s">
        <v>1219</v>
      </c>
      <c r="D1151" s="23" t="s">
        <v>359</v>
      </c>
      <c r="E1151" s="23" t="s">
        <v>209</v>
      </c>
      <c r="F1151" s="23" t="s">
        <v>2595</v>
      </c>
      <c r="G1151" s="23" t="s">
        <v>2581</v>
      </c>
      <c r="H1151" s="23" t="s">
        <v>116</v>
      </c>
      <c r="I1151" s="23" t="s">
        <v>53</v>
      </c>
      <c r="J1151" s="23" t="s">
        <v>122</v>
      </c>
      <c r="K1151" s="23" t="s">
        <v>29</v>
      </c>
      <c r="L1151" s="23" t="s">
        <v>2679</v>
      </c>
      <c r="M1151" s="23" t="s">
        <v>43</v>
      </c>
      <c r="N1151" s="23" t="s">
        <v>2578</v>
      </c>
      <c r="O1151" s="23">
        <v>56</v>
      </c>
      <c r="P1151" s="23">
        <v>16.89</v>
      </c>
      <c r="Q1151" s="23">
        <v>9.85</v>
      </c>
      <c r="R1151" s="23">
        <v>945.63</v>
      </c>
      <c r="S1151" s="23">
        <v>0</v>
      </c>
      <c r="T1151" s="23">
        <v>0</v>
      </c>
      <c r="U1151" s="23">
        <v>945.63</v>
      </c>
      <c r="V1151" s="23">
        <v>551.36</v>
      </c>
      <c r="W1151" s="23">
        <v>394.27</v>
      </c>
      <c r="X1151" s="23" t="s">
        <v>45</v>
      </c>
    </row>
    <row r="1152" spans="1:24" x14ac:dyDescent="0.25">
      <c r="A1152" s="20" t="s">
        <v>1669</v>
      </c>
      <c r="B1152" s="19">
        <v>45630</v>
      </c>
      <c r="C1152" s="20" t="s">
        <v>301</v>
      </c>
      <c r="D1152" s="20" t="s">
        <v>259</v>
      </c>
      <c r="E1152" s="20" t="s">
        <v>187</v>
      </c>
      <c r="F1152" s="20" t="s">
        <v>2594</v>
      </c>
      <c r="G1152" s="20" t="s">
        <v>2577</v>
      </c>
      <c r="H1152" s="20" t="s">
        <v>26</v>
      </c>
      <c r="I1152" s="20" t="s">
        <v>88</v>
      </c>
      <c r="J1152" s="20" t="s">
        <v>135</v>
      </c>
      <c r="K1152" s="20" t="s">
        <v>248</v>
      </c>
      <c r="L1152" s="20" t="s">
        <v>2693</v>
      </c>
      <c r="M1152" s="20" t="s">
        <v>43</v>
      </c>
      <c r="N1152" s="20" t="s">
        <v>44</v>
      </c>
      <c r="O1152" s="20">
        <v>18</v>
      </c>
      <c r="P1152" s="20">
        <v>48.88</v>
      </c>
      <c r="Q1152" s="20">
        <v>30.91</v>
      </c>
      <c r="R1152" s="20">
        <v>879.92</v>
      </c>
      <c r="S1152" s="20">
        <v>0</v>
      </c>
      <c r="T1152" s="20">
        <v>0</v>
      </c>
      <c r="U1152" s="20">
        <v>879.92</v>
      </c>
      <c r="V1152" s="20">
        <v>556.29</v>
      </c>
      <c r="W1152" s="20">
        <v>323.62</v>
      </c>
      <c r="X1152" s="20" t="s">
        <v>45</v>
      </c>
    </row>
    <row r="1153" spans="1:24" x14ac:dyDescent="0.25">
      <c r="A1153" s="23" t="s">
        <v>1670</v>
      </c>
      <c r="B1153" s="22">
        <v>45642</v>
      </c>
      <c r="C1153" s="23" t="s">
        <v>717</v>
      </c>
      <c r="D1153" s="23" t="s">
        <v>35</v>
      </c>
      <c r="E1153" s="23" t="s">
        <v>150</v>
      </c>
      <c r="F1153" s="23" t="s">
        <v>2591</v>
      </c>
      <c r="G1153" s="23" t="s">
        <v>2587</v>
      </c>
      <c r="H1153" s="23" t="s">
        <v>134</v>
      </c>
      <c r="I1153" s="23" t="s">
        <v>27</v>
      </c>
      <c r="J1153" s="23" t="s">
        <v>106</v>
      </c>
      <c r="K1153" s="23" t="s">
        <v>218</v>
      </c>
      <c r="L1153" s="23" t="s">
        <v>2692</v>
      </c>
      <c r="M1153" s="23" t="s">
        <v>61</v>
      </c>
      <c r="N1153" s="23" t="s">
        <v>44</v>
      </c>
      <c r="O1153" s="23">
        <v>46</v>
      </c>
      <c r="P1153" s="23">
        <v>83.88</v>
      </c>
      <c r="Q1153" s="23">
        <v>54.09</v>
      </c>
      <c r="R1153" s="23">
        <v>3858.44</v>
      </c>
      <c r="S1153" s="23">
        <v>0.05</v>
      </c>
      <c r="T1153" s="23">
        <v>192.92</v>
      </c>
      <c r="U1153" s="23">
        <v>3665.52</v>
      </c>
      <c r="V1153" s="23">
        <v>2488.31</v>
      </c>
      <c r="W1153" s="23">
        <v>1177.21</v>
      </c>
      <c r="X1153" s="23" t="s">
        <v>45</v>
      </c>
    </row>
    <row r="1154" spans="1:24" x14ac:dyDescent="0.25">
      <c r="A1154" s="20" t="s">
        <v>1671</v>
      </c>
      <c r="B1154" s="19">
        <v>45552</v>
      </c>
      <c r="C1154" s="20" t="s">
        <v>148</v>
      </c>
      <c r="D1154" s="20" t="s">
        <v>149</v>
      </c>
      <c r="E1154" s="20" t="s">
        <v>93</v>
      </c>
      <c r="F1154" s="20" t="s">
        <v>2585</v>
      </c>
      <c r="G1154" s="20" t="s">
        <v>2586</v>
      </c>
      <c r="H1154" s="20" t="s">
        <v>96</v>
      </c>
      <c r="I1154" s="20" t="s">
        <v>88</v>
      </c>
      <c r="J1154" s="20" t="s">
        <v>183</v>
      </c>
      <c r="K1154" s="20" t="s">
        <v>170</v>
      </c>
      <c r="L1154" s="20" t="s">
        <v>2671</v>
      </c>
      <c r="M1154" s="20" t="s">
        <v>61</v>
      </c>
      <c r="N1154" s="20" t="s">
        <v>2578</v>
      </c>
      <c r="O1154" s="20">
        <v>35</v>
      </c>
      <c r="P1154" s="20">
        <v>56.83</v>
      </c>
      <c r="Q1154" s="20">
        <v>31.43</v>
      </c>
      <c r="R1154" s="20">
        <v>1988.88</v>
      </c>
      <c r="S1154" s="20">
        <v>0.2</v>
      </c>
      <c r="T1154" s="20">
        <v>397.78</v>
      </c>
      <c r="U1154" s="20">
        <v>1591.1</v>
      </c>
      <c r="V1154" s="20">
        <v>1100.1500000000001</v>
      </c>
      <c r="W1154" s="20">
        <v>490.95</v>
      </c>
      <c r="X1154" s="20" t="s">
        <v>45</v>
      </c>
    </row>
    <row r="1155" spans="1:24" x14ac:dyDescent="0.25">
      <c r="A1155" s="23" t="s">
        <v>1672</v>
      </c>
      <c r="B1155" s="22">
        <v>45336</v>
      </c>
      <c r="C1155" s="23" t="s">
        <v>638</v>
      </c>
      <c r="D1155" s="23" t="s">
        <v>87</v>
      </c>
      <c r="E1155" s="23" t="s">
        <v>187</v>
      </c>
      <c r="F1155" s="23" t="s">
        <v>2594</v>
      </c>
      <c r="G1155" s="23" t="s">
        <v>2577</v>
      </c>
      <c r="H1155" s="23" t="s">
        <v>26</v>
      </c>
      <c r="I1155" s="23" t="s">
        <v>88</v>
      </c>
      <c r="J1155" s="23" t="s">
        <v>135</v>
      </c>
      <c r="K1155" s="23" t="s">
        <v>152</v>
      </c>
      <c r="L1155" s="23" t="s">
        <v>2688</v>
      </c>
      <c r="M1155" s="23" t="s">
        <v>43</v>
      </c>
      <c r="N1155" s="23" t="s">
        <v>70</v>
      </c>
      <c r="O1155" s="23">
        <v>14</v>
      </c>
      <c r="P1155" s="23">
        <v>45.58</v>
      </c>
      <c r="Q1155" s="23">
        <v>28.36</v>
      </c>
      <c r="R1155" s="23">
        <v>638.07000000000005</v>
      </c>
      <c r="S1155" s="23">
        <v>0.02</v>
      </c>
      <c r="T1155" s="23">
        <v>12.76</v>
      </c>
      <c r="U1155" s="23">
        <v>625.30999999999995</v>
      </c>
      <c r="V1155" s="23">
        <v>397.05</v>
      </c>
      <c r="W1155" s="23">
        <v>228.26</v>
      </c>
      <c r="X1155" s="23" t="s">
        <v>32</v>
      </c>
    </row>
    <row r="1156" spans="1:24" x14ac:dyDescent="0.25">
      <c r="A1156" s="20" t="s">
        <v>1673</v>
      </c>
      <c r="B1156" s="19">
        <v>45395</v>
      </c>
      <c r="C1156" s="20" t="s">
        <v>535</v>
      </c>
      <c r="D1156" s="20" t="s">
        <v>221</v>
      </c>
      <c r="E1156" s="20" t="s">
        <v>126</v>
      </c>
      <c r="F1156" s="20" t="s">
        <v>2589</v>
      </c>
      <c r="G1156" s="20" t="s">
        <v>2586</v>
      </c>
      <c r="H1156" s="20" t="s">
        <v>128</v>
      </c>
      <c r="I1156" s="20" t="s">
        <v>27</v>
      </c>
      <c r="J1156" s="20" t="s">
        <v>106</v>
      </c>
      <c r="K1156" s="20" t="s">
        <v>83</v>
      </c>
      <c r="L1156" s="20" t="s">
        <v>2683</v>
      </c>
      <c r="M1156" s="20" t="s">
        <v>153</v>
      </c>
      <c r="N1156" s="20" t="s">
        <v>44</v>
      </c>
      <c r="O1156" s="20">
        <v>6</v>
      </c>
      <c r="P1156" s="20">
        <v>87.93</v>
      </c>
      <c r="Q1156" s="20">
        <v>55.19</v>
      </c>
      <c r="R1156" s="20">
        <v>527.55999999999995</v>
      </c>
      <c r="S1156" s="20">
        <v>0.02</v>
      </c>
      <c r="T1156" s="20">
        <v>10.55</v>
      </c>
      <c r="U1156" s="20">
        <v>517</v>
      </c>
      <c r="V1156" s="20">
        <v>331.12</v>
      </c>
      <c r="W1156" s="20">
        <v>185.89</v>
      </c>
      <c r="X1156" s="20" t="s">
        <v>45</v>
      </c>
    </row>
    <row r="1157" spans="1:24" x14ac:dyDescent="0.25">
      <c r="A1157" s="23" t="s">
        <v>1674</v>
      </c>
      <c r="B1157" s="22">
        <v>45582</v>
      </c>
      <c r="C1157" s="23" t="s">
        <v>1098</v>
      </c>
      <c r="D1157" s="23" t="s">
        <v>121</v>
      </c>
      <c r="E1157" s="23" t="s">
        <v>23</v>
      </c>
      <c r="F1157" s="23" t="s">
        <v>2576</v>
      </c>
      <c r="G1157" s="23" t="s">
        <v>2577</v>
      </c>
      <c r="H1157" s="23" t="s">
        <v>26</v>
      </c>
      <c r="I1157" s="23" t="s">
        <v>88</v>
      </c>
      <c r="J1157" s="23" t="s">
        <v>2112</v>
      </c>
      <c r="K1157" s="23" t="s">
        <v>83</v>
      </c>
      <c r="L1157" s="23" t="s">
        <v>2683</v>
      </c>
      <c r="M1157" s="23" t="s">
        <v>30</v>
      </c>
      <c r="N1157" s="23" t="s">
        <v>75</v>
      </c>
      <c r="O1157" s="23">
        <v>50</v>
      </c>
      <c r="P1157" s="23">
        <v>76</v>
      </c>
      <c r="Q1157" s="23">
        <v>41.03</v>
      </c>
      <c r="R1157" s="23">
        <v>3800.19</v>
      </c>
      <c r="S1157" s="23">
        <v>0.2</v>
      </c>
      <c r="T1157" s="23">
        <v>760.04</v>
      </c>
      <c r="U1157" s="23">
        <v>3040.15</v>
      </c>
      <c r="V1157" s="23">
        <v>2051.36</v>
      </c>
      <c r="W1157" s="23">
        <v>988.79</v>
      </c>
      <c r="X1157" s="23" t="s">
        <v>129</v>
      </c>
    </row>
    <row r="1158" spans="1:24" x14ac:dyDescent="0.25">
      <c r="A1158" s="20" t="s">
        <v>1675</v>
      </c>
      <c r="B1158" s="19">
        <v>45400</v>
      </c>
      <c r="C1158" s="20" t="s">
        <v>933</v>
      </c>
      <c r="D1158" s="20" t="s">
        <v>159</v>
      </c>
      <c r="E1158" s="20" t="s">
        <v>250</v>
      </c>
      <c r="F1158" s="20" t="s">
        <v>2598</v>
      </c>
      <c r="G1158" s="20" t="s">
        <v>2581</v>
      </c>
      <c r="H1158" s="20" t="s">
        <v>252</v>
      </c>
      <c r="I1158" s="20" t="s">
        <v>27</v>
      </c>
      <c r="J1158" s="20" t="s">
        <v>106</v>
      </c>
      <c r="K1158" s="20" t="s">
        <v>29</v>
      </c>
      <c r="L1158" s="20" t="s">
        <v>2679</v>
      </c>
      <c r="M1158" s="20" t="s">
        <v>43</v>
      </c>
      <c r="N1158" s="20" t="s">
        <v>75</v>
      </c>
      <c r="O1158" s="20">
        <v>20</v>
      </c>
      <c r="P1158" s="20">
        <v>68.430000000000007</v>
      </c>
      <c r="Q1158" s="20">
        <v>37.369999999999997</v>
      </c>
      <c r="R1158" s="20">
        <v>1368.69</v>
      </c>
      <c r="S1158" s="20">
        <v>0.02</v>
      </c>
      <c r="T1158" s="20">
        <v>27.37</v>
      </c>
      <c r="U1158" s="20">
        <v>1341.31</v>
      </c>
      <c r="V1158" s="20">
        <v>747.5</v>
      </c>
      <c r="W1158" s="20">
        <v>593.80999999999995</v>
      </c>
      <c r="X1158" s="20" t="s">
        <v>45</v>
      </c>
    </row>
    <row r="1159" spans="1:24" x14ac:dyDescent="0.25">
      <c r="A1159" s="23" t="s">
        <v>1676</v>
      </c>
      <c r="B1159" s="22">
        <v>45315</v>
      </c>
      <c r="C1159" s="23" t="s">
        <v>975</v>
      </c>
      <c r="D1159" s="23" t="s">
        <v>105</v>
      </c>
      <c r="E1159" s="23" t="s">
        <v>141</v>
      </c>
      <c r="F1159" s="23" t="s">
        <v>2590</v>
      </c>
      <c r="G1159" s="23" t="s">
        <v>2577</v>
      </c>
      <c r="H1159" s="23" t="s">
        <v>26</v>
      </c>
      <c r="I1159" s="23" t="s">
        <v>58</v>
      </c>
      <c r="J1159" s="23" t="s">
        <v>345</v>
      </c>
      <c r="K1159" s="23" t="s">
        <v>248</v>
      </c>
      <c r="L1159" s="23" t="s">
        <v>2693</v>
      </c>
      <c r="M1159" s="23" t="s">
        <v>30</v>
      </c>
      <c r="N1159" s="23" t="s">
        <v>2578</v>
      </c>
      <c r="O1159" s="23">
        <v>10</v>
      </c>
      <c r="P1159" s="23">
        <v>101.12</v>
      </c>
      <c r="Q1159" s="23">
        <v>53.98</v>
      </c>
      <c r="R1159" s="23">
        <v>1011.17</v>
      </c>
      <c r="S1159" s="23">
        <v>0.2</v>
      </c>
      <c r="T1159" s="23">
        <v>202.23</v>
      </c>
      <c r="U1159" s="23">
        <v>808.94</v>
      </c>
      <c r="V1159" s="23">
        <v>539.77</v>
      </c>
      <c r="W1159" s="23">
        <v>269.17</v>
      </c>
      <c r="X1159" s="23" t="s">
        <v>129</v>
      </c>
    </row>
    <row r="1160" spans="1:24" x14ac:dyDescent="0.25">
      <c r="A1160" s="20" t="s">
        <v>1677</v>
      </c>
      <c r="B1160" s="19">
        <v>45404</v>
      </c>
      <c r="C1160" s="20" t="s">
        <v>276</v>
      </c>
      <c r="D1160" s="20" t="s">
        <v>221</v>
      </c>
      <c r="E1160" s="20" t="s">
        <v>99</v>
      </c>
      <c r="F1160" s="20" t="s">
        <v>100</v>
      </c>
      <c r="G1160" s="20" t="s">
        <v>2587</v>
      </c>
      <c r="H1160" s="20" t="s">
        <v>102</v>
      </c>
      <c r="I1160" s="20" t="s">
        <v>27</v>
      </c>
      <c r="J1160" s="20" t="s">
        <v>28</v>
      </c>
      <c r="K1160" s="20" t="s">
        <v>178</v>
      </c>
      <c r="L1160" s="20" t="s">
        <v>2689</v>
      </c>
      <c r="M1160" s="20" t="s">
        <v>61</v>
      </c>
      <c r="N1160" s="20" t="s">
        <v>84</v>
      </c>
      <c r="O1160" s="20">
        <v>26</v>
      </c>
      <c r="P1160" s="20">
        <v>65.05</v>
      </c>
      <c r="Q1160" s="20">
        <v>42.28</v>
      </c>
      <c r="R1160" s="20">
        <v>1691.23</v>
      </c>
      <c r="S1160" s="20">
        <v>0.1</v>
      </c>
      <c r="T1160" s="20">
        <v>169.12</v>
      </c>
      <c r="U1160" s="20">
        <v>1522.1</v>
      </c>
      <c r="V1160" s="20">
        <v>1099.27</v>
      </c>
      <c r="W1160" s="20">
        <v>422.84</v>
      </c>
      <c r="X1160" s="20" t="s">
        <v>45</v>
      </c>
    </row>
    <row r="1161" spans="1:24" x14ac:dyDescent="0.25">
      <c r="A1161" s="23" t="s">
        <v>1678</v>
      </c>
      <c r="B1161" s="22">
        <v>45564</v>
      </c>
      <c r="C1161" s="23" t="s">
        <v>447</v>
      </c>
      <c r="D1161" s="23" t="s">
        <v>48</v>
      </c>
      <c r="E1161" s="23" t="s">
        <v>78</v>
      </c>
      <c r="F1161" s="23" t="s">
        <v>2583</v>
      </c>
      <c r="G1161" s="23" t="s">
        <v>2584</v>
      </c>
      <c r="H1161" s="23" t="s">
        <v>81</v>
      </c>
      <c r="I1161" s="23" t="s">
        <v>40</v>
      </c>
      <c r="J1161" s="23" t="s">
        <v>82</v>
      </c>
      <c r="K1161" s="23" t="s">
        <v>29</v>
      </c>
      <c r="L1161" s="23" t="s">
        <v>2679</v>
      </c>
      <c r="M1161" s="23" t="s">
        <v>61</v>
      </c>
      <c r="N1161" s="23" t="s">
        <v>84</v>
      </c>
      <c r="O1161" s="23">
        <v>7</v>
      </c>
      <c r="P1161" s="23">
        <v>143.66</v>
      </c>
      <c r="Q1161" s="23">
        <v>80.83</v>
      </c>
      <c r="R1161" s="23">
        <v>1005.64</v>
      </c>
      <c r="S1161" s="23">
        <v>0.1</v>
      </c>
      <c r="T1161" s="23">
        <v>100.56</v>
      </c>
      <c r="U1161" s="23">
        <v>905.08</v>
      </c>
      <c r="V1161" s="23">
        <v>565.84</v>
      </c>
      <c r="W1161" s="23">
        <v>339.23</v>
      </c>
      <c r="X1161" s="23" t="s">
        <v>45</v>
      </c>
    </row>
    <row r="1162" spans="1:24" x14ac:dyDescent="0.25">
      <c r="A1162" s="20" t="s">
        <v>1679</v>
      </c>
      <c r="B1162" s="19">
        <v>45608</v>
      </c>
      <c r="C1162" s="20" t="s">
        <v>328</v>
      </c>
      <c r="D1162" s="20" t="s">
        <v>159</v>
      </c>
      <c r="E1162" s="20" t="s">
        <v>176</v>
      </c>
      <c r="F1162" s="20" t="s">
        <v>2593</v>
      </c>
      <c r="G1162" s="20" t="s">
        <v>2587</v>
      </c>
      <c r="H1162" s="20" t="s">
        <v>39</v>
      </c>
      <c r="I1162" s="20" t="s">
        <v>40</v>
      </c>
      <c r="J1162" s="20" t="s">
        <v>117</v>
      </c>
      <c r="K1162" s="20" t="s">
        <v>218</v>
      </c>
      <c r="L1162" s="20" t="s">
        <v>2692</v>
      </c>
      <c r="M1162" s="20" t="s">
        <v>61</v>
      </c>
      <c r="N1162" s="20" t="s">
        <v>70</v>
      </c>
      <c r="O1162" s="20">
        <v>9</v>
      </c>
      <c r="P1162" s="20">
        <v>102.3</v>
      </c>
      <c r="Q1162" s="20">
        <v>61.48</v>
      </c>
      <c r="R1162" s="20">
        <v>920.66</v>
      </c>
      <c r="S1162" s="20">
        <v>0.02</v>
      </c>
      <c r="T1162" s="20">
        <v>18.41</v>
      </c>
      <c r="U1162" s="20">
        <v>902.25</v>
      </c>
      <c r="V1162" s="20">
        <v>553.32000000000005</v>
      </c>
      <c r="W1162" s="20">
        <v>348.93</v>
      </c>
      <c r="X1162" s="20" t="s">
        <v>45</v>
      </c>
    </row>
    <row r="1163" spans="1:24" x14ac:dyDescent="0.25">
      <c r="A1163" s="23" t="s">
        <v>1680</v>
      </c>
      <c r="B1163" s="22">
        <v>45492</v>
      </c>
      <c r="C1163" s="23" t="s">
        <v>1426</v>
      </c>
      <c r="D1163" s="23" t="s">
        <v>22</v>
      </c>
      <c r="E1163" s="23" t="s">
        <v>176</v>
      </c>
      <c r="F1163" s="23" t="s">
        <v>2593</v>
      </c>
      <c r="G1163" s="23" t="s">
        <v>2587</v>
      </c>
      <c r="H1163" s="23" t="s">
        <v>39</v>
      </c>
      <c r="I1163" s="23" t="s">
        <v>58</v>
      </c>
      <c r="J1163" s="23" t="s">
        <v>73</v>
      </c>
      <c r="K1163" s="23" t="s">
        <v>218</v>
      </c>
      <c r="L1163" s="23" t="s">
        <v>2692</v>
      </c>
      <c r="M1163" s="23" t="s">
        <v>61</v>
      </c>
      <c r="N1163" s="23" t="s">
        <v>44</v>
      </c>
      <c r="O1163" s="23">
        <v>10</v>
      </c>
      <c r="P1163" s="23">
        <v>98.81</v>
      </c>
      <c r="Q1163" s="23">
        <v>65.28</v>
      </c>
      <c r="R1163" s="23">
        <v>988.13</v>
      </c>
      <c r="S1163" s="23">
        <v>0.15</v>
      </c>
      <c r="T1163" s="23">
        <v>148.22</v>
      </c>
      <c r="U1163" s="23">
        <v>839.91</v>
      </c>
      <c r="V1163" s="23">
        <v>652.78</v>
      </c>
      <c r="W1163" s="23">
        <v>187.13</v>
      </c>
      <c r="X1163" s="23" t="s">
        <v>45</v>
      </c>
    </row>
    <row r="1164" spans="1:24" x14ac:dyDescent="0.25">
      <c r="A1164" s="20" t="s">
        <v>1681</v>
      </c>
      <c r="B1164" s="19">
        <v>45556</v>
      </c>
      <c r="C1164" s="20" t="s">
        <v>578</v>
      </c>
      <c r="D1164" s="20" t="s">
        <v>221</v>
      </c>
      <c r="E1164" s="20" t="s">
        <v>66</v>
      </c>
      <c r="F1164" s="20" t="s">
        <v>2582</v>
      </c>
      <c r="G1164" s="20" t="s">
        <v>2579</v>
      </c>
      <c r="H1164" s="20" t="s">
        <v>68</v>
      </c>
      <c r="I1164" s="20" t="s">
        <v>88</v>
      </c>
      <c r="J1164" s="20" t="s">
        <v>2112</v>
      </c>
      <c r="K1164" s="20" t="s">
        <v>83</v>
      </c>
      <c r="L1164" s="20" t="s">
        <v>2683</v>
      </c>
      <c r="M1164" s="20" t="s">
        <v>30</v>
      </c>
      <c r="N1164" s="20" t="s">
        <v>2578</v>
      </c>
      <c r="O1164" s="20">
        <v>17</v>
      </c>
      <c r="P1164" s="20">
        <v>155.57</v>
      </c>
      <c r="Q1164" s="20">
        <v>106.79</v>
      </c>
      <c r="R1164" s="20">
        <v>2644.72</v>
      </c>
      <c r="S1164" s="20">
        <v>0.15</v>
      </c>
      <c r="T1164" s="20">
        <v>396.71</v>
      </c>
      <c r="U1164" s="20">
        <v>2248.02</v>
      </c>
      <c r="V1164" s="20">
        <v>1815.41</v>
      </c>
      <c r="W1164" s="20">
        <v>432.61</v>
      </c>
      <c r="X1164" s="20" t="s">
        <v>129</v>
      </c>
    </row>
    <row r="1165" spans="1:24" x14ac:dyDescent="0.25">
      <c r="A1165" s="23" t="s">
        <v>1682</v>
      </c>
      <c r="B1165" s="22">
        <v>45583</v>
      </c>
      <c r="C1165" s="23" t="s">
        <v>1033</v>
      </c>
      <c r="D1165" s="23" t="s">
        <v>105</v>
      </c>
      <c r="E1165" s="23" t="s">
        <v>132</v>
      </c>
      <c r="F1165" s="23" t="s">
        <v>133</v>
      </c>
      <c r="G1165" s="23" t="s">
        <v>2581</v>
      </c>
      <c r="H1165" s="23" t="s">
        <v>134</v>
      </c>
      <c r="I1165" s="23" t="s">
        <v>88</v>
      </c>
      <c r="J1165" s="23" t="s">
        <v>2112</v>
      </c>
      <c r="K1165" s="23" t="s">
        <v>29</v>
      </c>
      <c r="L1165" s="23" t="s">
        <v>2679</v>
      </c>
      <c r="M1165" s="23" t="s">
        <v>43</v>
      </c>
      <c r="N1165" s="23" t="s">
        <v>44</v>
      </c>
      <c r="O1165" s="23">
        <v>61</v>
      </c>
      <c r="P1165" s="23">
        <v>58.29</v>
      </c>
      <c r="Q1165" s="23">
        <v>33.869999999999997</v>
      </c>
      <c r="R1165" s="23">
        <v>3555.47</v>
      </c>
      <c r="S1165" s="23">
        <v>0.2</v>
      </c>
      <c r="T1165" s="23">
        <v>711.09</v>
      </c>
      <c r="U1165" s="23">
        <v>2844.37</v>
      </c>
      <c r="V1165" s="23">
        <v>2066.1799999999998</v>
      </c>
      <c r="W1165" s="23">
        <v>778.19</v>
      </c>
      <c r="X1165" s="23" t="s">
        <v>129</v>
      </c>
    </row>
    <row r="1166" spans="1:24" x14ac:dyDescent="0.25">
      <c r="A1166" s="20" t="s">
        <v>1683</v>
      </c>
      <c r="B1166" s="19">
        <v>45446</v>
      </c>
      <c r="C1166" s="20" t="s">
        <v>278</v>
      </c>
      <c r="D1166" s="20" t="s">
        <v>48</v>
      </c>
      <c r="E1166" s="20" t="s">
        <v>49</v>
      </c>
      <c r="F1166" s="20" t="s">
        <v>2580</v>
      </c>
      <c r="G1166" s="20" t="s">
        <v>2581</v>
      </c>
      <c r="H1166" s="20" t="s">
        <v>52</v>
      </c>
      <c r="I1166" s="20" t="s">
        <v>58</v>
      </c>
      <c r="J1166" s="20" t="s">
        <v>73</v>
      </c>
      <c r="K1166" s="20" t="s">
        <v>90</v>
      </c>
      <c r="L1166" s="20" t="s">
        <v>2684</v>
      </c>
      <c r="M1166" s="20" t="s">
        <v>61</v>
      </c>
      <c r="N1166" s="20" t="s">
        <v>2578</v>
      </c>
      <c r="O1166" s="20">
        <v>26</v>
      </c>
      <c r="P1166" s="20">
        <v>25.43</v>
      </c>
      <c r="Q1166" s="20">
        <v>11.98</v>
      </c>
      <c r="R1166" s="20">
        <v>661.07</v>
      </c>
      <c r="S1166" s="20">
        <v>0.1</v>
      </c>
      <c r="T1166" s="20">
        <v>66.11</v>
      </c>
      <c r="U1166" s="20">
        <v>594.96</v>
      </c>
      <c r="V1166" s="20">
        <v>311.45999999999998</v>
      </c>
      <c r="W1166" s="20">
        <v>283.5</v>
      </c>
      <c r="X1166" s="20" t="s">
        <v>32</v>
      </c>
    </row>
    <row r="1167" spans="1:24" x14ac:dyDescent="0.25">
      <c r="A1167" s="23" t="s">
        <v>1684</v>
      </c>
      <c r="B1167" s="22">
        <v>45391</v>
      </c>
      <c r="C1167" s="23" t="s">
        <v>280</v>
      </c>
      <c r="D1167" s="23" t="s">
        <v>35</v>
      </c>
      <c r="E1167" s="23" t="s">
        <v>23</v>
      </c>
      <c r="F1167" s="23" t="s">
        <v>2576</v>
      </c>
      <c r="G1167" s="23" t="s">
        <v>2577</v>
      </c>
      <c r="H1167" s="23" t="s">
        <v>26</v>
      </c>
      <c r="I1167" s="23" t="s">
        <v>40</v>
      </c>
      <c r="J1167" s="23" t="s">
        <v>117</v>
      </c>
      <c r="K1167" s="23" t="s">
        <v>83</v>
      </c>
      <c r="L1167" s="23" t="s">
        <v>2683</v>
      </c>
      <c r="M1167" s="23" t="s">
        <v>153</v>
      </c>
      <c r="N1167" s="23" t="s">
        <v>44</v>
      </c>
      <c r="O1167" s="23">
        <v>41</v>
      </c>
      <c r="P1167" s="23">
        <v>79.34</v>
      </c>
      <c r="Q1167" s="23">
        <v>47.14</v>
      </c>
      <c r="R1167" s="23">
        <v>3253</v>
      </c>
      <c r="S1167" s="23">
        <v>0.1</v>
      </c>
      <c r="T1167" s="23">
        <v>325.3</v>
      </c>
      <c r="U1167" s="23">
        <v>2927.7</v>
      </c>
      <c r="V1167" s="23">
        <v>1932.77</v>
      </c>
      <c r="W1167" s="23">
        <v>994.93</v>
      </c>
      <c r="X1167" s="23" t="s">
        <v>45</v>
      </c>
    </row>
    <row r="1168" spans="1:24" x14ac:dyDescent="0.25">
      <c r="A1168" s="20" t="s">
        <v>1685</v>
      </c>
      <c r="B1168" s="19">
        <v>45318</v>
      </c>
      <c r="C1168" s="20" t="s">
        <v>739</v>
      </c>
      <c r="D1168" s="20" t="s">
        <v>48</v>
      </c>
      <c r="E1168" s="20" t="s">
        <v>126</v>
      </c>
      <c r="F1168" s="20" t="s">
        <v>2589</v>
      </c>
      <c r="G1168" s="20" t="s">
        <v>2586</v>
      </c>
      <c r="H1168" s="20" t="s">
        <v>128</v>
      </c>
      <c r="I1168" s="20" t="s">
        <v>58</v>
      </c>
      <c r="J1168" s="20" t="s">
        <v>323</v>
      </c>
      <c r="K1168" s="20" t="s">
        <v>265</v>
      </c>
      <c r="L1168" s="20" t="s">
        <v>2663</v>
      </c>
      <c r="M1168" s="20" t="s">
        <v>43</v>
      </c>
      <c r="N1168" s="20" t="s">
        <v>2578</v>
      </c>
      <c r="O1168" s="20">
        <v>33</v>
      </c>
      <c r="P1168" s="20">
        <v>83.54</v>
      </c>
      <c r="Q1168" s="20">
        <v>51.12</v>
      </c>
      <c r="R1168" s="20">
        <v>2756.86</v>
      </c>
      <c r="S1168" s="20">
        <v>0.1</v>
      </c>
      <c r="T1168" s="20">
        <v>275.69</v>
      </c>
      <c r="U1168" s="20">
        <v>2481.1799999999998</v>
      </c>
      <c r="V1168" s="20">
        <v>1687.06</v>
      </c>
      <c r="W1168" s="20">
        <v>794.12</v>
      </c>
      <c r="X1168" s="20" t="s">
        <v>45</v>
      </c>
    </row>
    <row r="1169" spans="1:24" x14ac:dyDescent="0.25">
      <c r="A1169" s="23" t="s">
        <v>1686</v>
      </c>
      <c r="B1169" s="22">
        <v>45314</v>
      </c>
      <c r="C1169" s="23" t="s">
        <v>735</v>
      </c>
      <c r="D1169" s="23" t="s">
        <v>22</v>
      </c>
      <c r="E1169" s="23" t="s">
        <v>176</v>
      </c>
      <c r="F1169" s="23" t="s">
        <v>2593</v>
      </c>
      <c r="G1169" s="23" t="s">
        <v>2587</v>
      </c>
      <c r="H1169" s="23" t="s">
        <v>39</v>
      </c>
      <c r="I1169" s="23" t="s">
        <v>27</v>
      </c>
      <c r="J1169" s="23" t="s">
        <v>106</v>
      </c>
      <c r="K1169" s="23" t="s">
        <v>90</v>
      </c>
      <c r="L1169" s="23" t="s">
        <v>2684</v>
      </c>
      <c r="M1169" s="23" t="s">
        <v>153</v>
      </c>
      <c r="N1169" s="23" t="s">
        <v>70</v>
      </c>
      <c r="O1169" s="23">
        <v>76</v>
      </c>
      <c r="P1169" s="23">
        <v>99.51</v>
      </c>
      <c r="Q1169" s="23">
        <v>61.79</v>
      </c>
      <c r="R1169" s="23">
        <v>7563.12</v>
      </c>
      <c r="S1169" s="23">
        <v>0.05</v>
      </c>
      <c r="T1169" s="23">
        <v>378.16</v>
      </c>
      <c r="U1169" s="23">
        <v>7184.96</v>
      </c>
      <c r="V1169" s="23">
        <v>4695.88</v>
      </c>
      <c r="W1169" s="23">
        <v>2489.08</v>
      </c>
      <c r="X1169" s="23" t="s">
        <v>32</v>
      </c>
    </row>
    <row r="1170" spans="1:24" x14ac:dyDescent="0.25">
      <c r="A1170" s="20" t="s">
        <v>1687</v>
      </c>
      <c r="B1170" s="19">
        <v>45602</v>
      </c>
      <c r="C1170" s="20" t="s">
        <v>600</v>
      </c>
      <c r="D1170" s="20" t="s">
        <v>87</v>
      </c>
      <c r="E1170" s="20" t="s">
        <v>78</v>
      </c>
      <c r="F1170" s="20" t="s">
        <v>2583</v>
      </c>
      <c r="G1170" s="20" t="s">
        <v>2584</v>
      </c>
      <c r="H1170" s="20" t="s">
        <v>81</v>
      </c>
      <c r="I1170" s="20" t="s">
        <v>58</v>
      </c>
      <c r="J1170" s="20" t="s">
        <v>345</v>
      </c>
      <c r="K1170" s="20" t="s">
        <v>261</v>
      </c>
      <c r="L1170" s="20" t="s">
        <v>2695</v>
      </c>
      <c r="M1170" s="20" t="s">
        <v>30</v>
      </c>
      <c r="N1170" s="20" t="s">
        <v>2578</v>
      </c>
      <c r="O1170" s="20">
        <v>35</v>
      </c>
      <c r="P1170" s="20">
        <v>142.76</v>
      </c>
      <c r="Q1170" s="20">
        <v>82.91</v>
      </c>
      <c r="R1170" s="20">
        <v>4996.75</v>
      </c>
      <c r="S1170" s="20">
        <v>0</v>
      </c>
      <c r="T1170" s="20">
        <v>0</v>
      </c>
      <c r="U1170" s="20">
        <v>4996.75</v>
      </c>
      <c r="V1170" s="20">
        <v>2901.86</v>
      </c>
      <c r="W1170" s="20">
        <v>2094.89</v>
      </c>
      <c r="X1170" s="20" t="s">
        <v>45</v>
      </c>
    </row>
    <row r="1171" spans="1:24" x14ac:dyDescent="0.25">
      <c r="A1171" s="23" t="s">
        <v>1688</v>
      </c>
      <c r="B1171" s="22">
        <v>45464</v>
      </c>
      <c r="C1171" s="23" t="s">
        <v>422</v>
      </c>
      <c r="D1171" s="23" t="s">
        <v>48</v>
      </c>
      <c r="E1171" s="23" t="s">
        <v>141</v>
      </c>
      <c r="F1171" s="23" t="s">
        <v>2590</v>
      </c>
      <c r="G1171" s="23" t="s">
        <v>2577</v>
      </c>
      <c r="H1171" s="23" t="s">
        <v>26</v>
      </c>
      <c r="I1171" s="23" t="s">
        <v>40</v>
      </c>
      <c r="J1171" s="23" t="s">
        <v>82</v>
      </c>
      <c r="K1171" s="23" t="s">
        <v>83</v>
      </c>
      <c r="L1171" s="23" t="s">
        <v>2683</v>
      </c>
      <c r="M1171" s="23" t="s">
        <v>61</v>
      </c>
      <c r="N1171" s="23" t="s">
        <v>84</v>
      </c>
      <c r="O1171" s="23">
        <v>48</v>
      </c>
      <c r="P1171" s="23">
        <v>89.35</v>
      </c>
      <c r="Q1171" s="23">
        <v>56.5</v>
      </c>
      <c r="R1171" s="23">
        <v>4288.66</v>
      </c>
      <c r="S1171" s="23">
        <v>0.2</v>
      </c>
      <c r="T1171" s="23">
        <v>857.73</v>
      </c>
      <c r="U1171" s="23">
        <v>3430.93</v>
      </c>
      <c r="V1171" s="23">
        <v>2711.96</v>
      </c>
      <c r="W1171" s="23">
        <v>718.97</v>
      </c>
      <c r="X1171" s="23" t="s">
        <v>129</v>
      </c>
    </row>
    <row r="1172" spans="1:24" x14ac:dyDescent="0.25">
      <c r="A1172" s="20" t="s">
        <v>1689</v>
      </c>
      <c r="B1172" s="19">
        <v>45593</v>
      </c>
      <c r="C1172" s="20" t="s">
        <v>1281</v>
      </c>
      <c r="D1172" s="20" t="s">
        <v>35</v>
      </c>
      <c r="E1172" s="20" t="s">
        <v>99</v>
      </c>
      <c r="F1172" s="20" t="s">
        <v>100</v>
      </c>
      <c r="G1172" s="20" t="s">
        <v>2587</v>
      </c>
      <c r="H1172" s="20" t="s">
        <v>102</v>
      </c>
      <c r="I1172" s="20" t="s">
        <v>88</v>
      </c>
      <c r="J1172" s="20" t="s">
        <v>135</v>
      </c>
      <c r="K1172" s="20" t="s">
        <v>83</v>
      </c>
      <c r="L1172" s="20" t="s">
        <v>2683</v>
      </c>
      <c r="M1172" s="20" t="s">
        <v>153</v>
      </c>
      <c r="N1172" s="20" t="s">
        <v>70</v>
      </c>
      <c r="O1172" s="20">
        <v>29</v>
      </c>
      <c r="P1172" s="20">
        <v>73.89</v>
      </c>
      <c r="Q1172" s="20">
        <v>38.130000000000003</v>
      </c>
      <c r="R1172" s="20">
        <v>2142.83</v>
      </c>
      <c r="S1172" s="20">
        <v>0.2</v>
      </c>
      <c r="T1172" s="20">
        <v>428.57</v>
      </c>
      <c r="U1172" s="20">
        <v>1714.27</v>
      </c>
      <c r="V1172" s="20">
        <v>1105.75</v>
      </c>
      <c r="W1172" s="20">
        <v>608.52</v>
      </c>
      <c r="X1172" s="20" t="s">
        <v>45</v>
      </c>
    </row>
    <row r="1173" spans="1:24" x14ac:dyDescent="0.25">
      <c r="A1173" s="23" t="s">
        <v>1690</v>
      </c>
      <c r="B1173" s="22">
        <v>45647</v>
      </c>
      <c r="C1173" s="23" t="s">
        <v>852</v>
      </c>
      <c r="D1173" s="23" t="s">
        <v>57</v>
      </c>
      <c r="E1173" s="23" t="s">
        <v>49</v>
      </c>
      <c r="F1173" s="23" t="s">
        <v>2580</v>
      </c>
      <c r="G1173" s="23" t="s">
        <v>2581</v>
      </c>
      <c r="H1173" s="23" t="s">
        <v>52</v>
      </c>
      <c r="I1173" s="23" t="s">
        <v>27</v>
      </c>
      <c r="J1173" s="23" t="s">
        <v>28</v>
      </c>
      <c r="K1173" s="23" t="s">
        <v>83</v>
      </c>
      <c r="L1173" s="23" t="s">
        <v>2683</v>
      </c>
      <c r="M1173" s="23" t="s">
        <v>43</v>
      </c>
      <c r="N1173" s="23" t="s">
        <v>44</v>
      </c>
      <c r="O1173" s="23">
        <v>73</v>
      </c>
      <c r="P1173" s="23">
        <v>25.25</v>
      </c>
      <c r="Q1173" s="23">
        <v>13.26</v>
      </c>
      <c r="R1173" s="23">
        <v>1843.51</v>
      </c>
      <c r="S1173" s="23">
        <v>0.15</v>
      </c>
      <c r="T1173" s="23">
        <v>276.52999999999997</v>
      </c>
      <c r="U1173" s="23">
        <v>1566.98</v>
      </c>
      <c r="V1173" s="23">
        <v>967.92</v>
      </c>
      <c r="W1173" s="23">
        <v>599.05999999999995</v>
      </c>
      <c r="X1173" s="23" t="s">
        <v>45</v>
      </c>
    </row>
    <row r="1174" spans="1:24" x14ac:dyDescent="0.25">
      <c r="A1174" s="20" t="s">
        <v>1691</v>
      </c>
      <c r="B1174" s="19">
        <v>45434</v>
      </c>
      <c r="C1174" s="20" t="s">
        <v>373</v>
      </c>
      <c r="D1174" s="20" t="s">
        <v>264</v>
      </c>
      <c r="E1174" s="20" t="s">
        <v>150</v>
      </c>
      <c r="F1174" s="20" t="s">
        <v>2591</v>
      </c>
      <c r="G1174" s="20" t="s">
        <v>2587</v>
      </c>
      <c r="H1174" s="20" t="s">
        <v>134</v>
      </c>
      <c r="I1174" s="20" t="s">
        <v>40</v>
      </c>
      <c r="J1174" s="20" t="s">
        <v>82</v>
      </c>
      <c r="K1174" s="20" t="s">
        <v>69</v>
      </c>
      <c r="L1174" s="20" t="s">
        <v>2681</v>
      </c>
      <c r="M1174" s="20" t="s">
        <v>43</v>
      </c>
      <c r="N1174" s="20" t="s">
        <v>75</v>
      </c>
      <c r="O1174" s="20">
        <v>41</v>
      </c>
      <c r="P1174" s="20">
        <v>85.66</v>
      </c>
      <c r="Q1174" s="20">
        <v>47.46</v>
      </c>
      <c r="R1174" s="20">
        <v>3512</v>
      </c>
      <c r="S1174" s="20">
        <v>0.05</v>
      </c>
      <c r="T1174" s="20">
        <v>175.6</v>
      </c>
      <c r="U1174" s="20">
        <v>3336.4</v>
      </c>
      <c r="V1174" s="20">
        <v>1945.96</v>
      </c>
      <c r="W1174" s="20">
        <v>1390.44</v>
      </c>
      <c r="X1174" s="20" t="s">
        <v>45</v>
      </c>
    </row>
    <row r="1175" spans="1:24" x14ac:dyDescent="0.25">
      <c r="A1175" s="23" t="s">
        <v>1692</v>
      </c>
      <c r="B1175" s="22">
        <v>45561</v>
      </c>
      <c r="C1175" s="23" t="s">
        <v>513</v>
      </c>
      <c r="D1175" s="23" t="s">
        <v>48</v>
      </c>
      <c r="E1175" s="23" t="s">
        <v>250</v>
      </c>
      <c r="F1175" s="23" t="s">
        <v>2598</v>
      </c>
      <c r="G1175" s="23" t="s">
        <v>2581</v>
      </c>
      <c r="H1175" s="23" t="s">
        <v>252</v>
      </c>
      <c r="I1175" s="23" t="s">
        <v>88</v>
      </c>
      <c r="J1175" s="23" t="s">
        <v>135</v>
      </c>
      <c r="K1175" s="23" t="s">
        <v>248</v>
      </c>
      <c r="L1175" s="23" t="s">
        <v>2693</v>
      </c>
      <c r="M1175" s="23" t="s">
        <v>30</v>
      </c>
      <c r="N1175" s="23" t="s">
        <v>70</v>
      </c>
      <c r="O1175" s="23">
        <v>68</v>
      </c>
      <c r="P1175" s="23">
        <v>64.849999999999994</v>
      </c>
      <c r="Q1175" s="23">
        <v>36.520000000000003</v>
      </c>
      <c r="R1175" s="23">
        <v>4410.01</v>
      </c>
      <c r="S1175" s="23">
        <v>0</v>
      </c>
      <c r="T1175" s="23">
        <v>0</v>
      </c>
      <c r="U1175" s="23">
        <v>4410.01</v>
      </c>
      <c r="V1175" s="23">
        <v>2483.44</v>
      </c>
      <c r="W1175" s="23">
        <v>1926.57</v>
      </c>
      <c r="X1175" s="23" t="s">
        <v>45</v>
      </c>
    </row>
    <row r="1176" spans="1:24" x14ac:dyDescent="0.25">
      <c r="A1176" s="20" t="s">
        <v>1693</v>
      </c>
      <c r="B1176" s="19">
        <v>45595</v>
      </c>
      <c r="C1176" s="20" t="s">
        <v>227</v>
      </c>
      <c r="D1176" s="20" t="s">
        <v>159</v>
      </c>
      <c r="E1176" s="20" t="s">
        <v>209</v>
      </c>
      <c r="F1176" s="20" t="s">
        <v>2595</v>
      </c>
      <c r="G1176" s="20" t="s">
        <v>2581</v>
      </c>
      <c r="H1176" s="20" t="s">
        <v>116</v>
      </c>
      <c r="I1176" s="20" t="s">
        <v>88</v>
      </c>
      <c r="J1176" s="20" t="s">
        <v>2112</v>
      </c>
      <c r="K1176" s="20" t="s">
        <v>74</v>
      </c>
      <c r="L1176" s="20" t="s">
        <v>2682</v>
      </c>
      <c r="M1176" s="20" t="s">
        <v>153</v>
      </c>
      <c r="N1176" s="20" t="s">
        <v>84</v>
      </c>
      <c r="O1176" s="20">
        <v>2</v>
      </c>
      <c r="P1176" s="20">
        <v>19.07</v>
      </c>
      <c r="Q1176" s="20">
        <v>10.55</v>
      </c>
      <c r="R1176" s="20">
        <v>38.15</v>
      </c>
      <c r="S1176" s="20">
        <v>0.15</v>
      </c>
      <c r="T1176" s="20">
        <v>5.72</v>
      </c>
      <c r="U1176" s="20">
        <v>32.42</v>
      </c>
      <c r="V1176" s="20">
        <v>21.09</v>
      </c>
      <c r="W1176" s="20">
        <v>11.33</v>
      </c>
      <c r="X1176" s="20" t="s">
        <v>45</v>
      </c>
    </row>
    <row r="1177" spans="1:24" x14ac:dyDescent="0.25">
      <c r="A1177" s="23" t="s">
        <v>1694</v>
      </c>
      <c r="B1177" s="22">
        <v>45635</v>
      </c>
      <c r="C1177" s="23" t="s">
        <v>354</v>
      </c>
      <c r="D1177" s="23" t="s">
        <v>163</v>
      </c>
      <c r="E1177" s="23" t="s">
        <v>250</v>
      </c>
      <c r="F1177" s="23" t="s">
        <v>2598</v>
      </c>
      <c r="G1177" s="23" t="s">
        <v>2581</v>
      </c>
      <c r="H1177" s="23" t="s">
        <v>252</v>
      </c>
      <c r="I1177" s="23" t="s">
        <v>27</v>
      </c>
      <c r="J1177" s="23" t="s">
        <v>189</v>
      </c>
      <c r="K1177" s="23" t="s">
        <v>184</v>
      </c>
      <c r="L1177" s="23" t="s">
        <v>2690</v>
      </c>
      <c r="M1177" s="23" t="s">
        <v>61</v>
      </c>
      <c r="N1177" s="23" t="s">
        <v>70</v>
      </c>
      <c r="O1177" s="23">
        <v>12</v>
      </c>
      <c r="P1177" s="23">
        <v>62.18</v>
      </c>
      <c r="Q1177" s="23">
        <v>39.35</v>
      </c>
      <c r="R1177" s="23">
        <v>746.21</v>
      </c>
      <c r="S1177" s="23">
        <v>0</v>
      </c>
      <c r="T1177" s="23">
        <v>0</v>
      </c>
      <c r="U1177" s="23">
        <v>746.21</v>
      </c>
      <c r="V1177" s="23">
        <v>472.22</v>
      </c>
      <c r="W1177" s="23">
        <v>274</v>
      </c>
      <c r="X1177" s="23" t="s">
        <v>32</v>
      </c>
    </row>
    <row r="1178" spans="1:24" x14ac:dyDescent="0.25">
      <c r="A1178" s="20" t="s">
        <v>1695</v>
      </c>
      <c r="B1178" s="19">
        <v>45565</v>
      </c>
      <c r="C1178" s="20" t="s">
        <v>140</v>
      </c>
      <c r="D1178" s="20" t="s">
        <v>87</v>
      </c>
      <c r="E1178" s="20" t="s">
        <v>23</v>
      </c>
      <c r="F1178" s="20" t="s">
        <v>2576</v>
      </c>
      <c r="G1178" s="20" t="s">
        <v>2577</v>
      </c>
      <c r="H1178" s="20" t="s">
        <v>26</v>
      </c>
      <c r="I1178" s="20" t="s">
        <v>53</v>
      </c>
      <c r="J1178" s="20" t="s">
        <v>122</v>
      </c>
      <c r="K1178" s="20" t="s">
        <v>29</v>
      </c>
      <c r="L1178" s="20" t="s">
        <v>2679</v>
      </c>
      <c r="M1178" s="20" t="s">
        <v>30</v>
      </c>
      <c r="N1178" s="20" t="s">
        <v>2578</v>
      </c>
      <c r="O1178" s="20">
        <v>46</v>
      </c>
      <c r="P1178" s="20">
        <v>69.150000000000006</v>
      </c>
      <c r="Q1178" s="20">
        <v>47.31</v>
      </c>
      <c r="R1178" s="20">
        <v>3180.71</v>
      </c>
      <c r="S1178" s="20">
        <v>-0.05</v>
      </c>
      <c r="T1178" s="20">
        <v>159.04</v>
      </c>
      <c r="U1178" s="20">
        <v>3021.67</v>
      </c>
      <c r="V1178" s="20">
        <v>2176.17</v>
      </c>
      <c r="W1178" s="20">
        <v>845.51</v>
      </c>
      <c r="X1178" s="20" t="s">
        <v>45</v>
      </c>
    </row>
    <row r="1179" spans="1:24" x14ac:dyDescent="0.25">
      <c r="A1179" s="23" t="s">
        <v>1696</v>
      </c>
      <c r="B1179" s="22">
        <v>45611</v>
      </c>
      <c r="C1179" s="23" t="s">
        <v>658</v>
      </c>
      <c r="D1179" s="23" t="s">
        <v>264</v>
      </c>
      <c r="E1179" s="23" t="s">
        <v>209</v>
      </c>
      <c r="F1179" s="23" t="s">
        <v>2595</v>
      </c>
      <c r="G1179" s="23" t="s">
        <v>2581</v>
      </c>
      <c r="H1179" s="23" t="s">
        <v>116</v>
      </c>
      <c r="I1179" s="23" t="s">
        <v>27</v>
      </c>
      <c r="J1179" s="23" t="s">
        <v>106</v>
      </c>
      <c r="K1179" s="23" t="s">
        <v>195</v>
      </c>
      <c r="L1179" s="23" t="s">
        <v>2691</v>
      </c>
      <c r="M1179" s="23" t="s">
        <v>61</v>
      </c>
      <c r="N1179" s="23" t="s">
        <v>75</v>
      </c>
      <c r="O1179" s="23">
        <v>36</v>
      </c>
      <c r="P1179" s="23">
        <v>17.86</v>
      </c>
      <c r="Q1179" s="23">
        <v>10.73</v>
      </c>
      <c r="R1179" s="23">
        <v>642.84</v>
      </c>
      <c r="S1179" s="23">
        <v>0.05</v>
      </c>
      <c r="T1179" s="23">
        <v>32.14</v>
      </c>
      <c r="U1179" s="23">
        <v>610.70000000000005</v>
      </c>
      <c r="V1179" s="23">
        <v>386.36</v>
      </c>
      <c r="W1179" s="23">
        <v>224.34</v>
      </c>
      <c r="X1179" s="23" t="s">
        <v>32</v>
      </c>
    </row>
    <row r="1180" spans="1:24" x14ac:dyDescent="0.25">
      <c r="A1180" s="20" t="s">
        <v>1697</v>
      </c>
      <c r="B1180" s="19">
        <v>45504</v>
      </c>
      <c r="C1180" s="20" t="s">
        <v>295</v>
      </c>
      <c r="D1180" s="20" t="s">
        <v>22</v>
      </c>
      <c r="E1180" s="20" t="s">
        <v>176</v>
      </c>
      <c r="F1180" s="20" t="s">
        <v>2593</v>
      </c>
      <c r="G1180" s="20" t="s">
        <v>2587</v>
      </c>
      <c r="H1180" s="20" t="s">
        <v>39</v>
      </c>
      <c r="I1180" s="20" t="s">
        <v>27</v>
      </c>
      <c r="J1180" s="20" t="s">
        <v>106</v>
      </c>
      <c r="K1180" s="20" t="s">
        <v>29</v>
      </c>
      <c r="L1180" s="20" t="s">
        <v>2679</v>
      </c>
      <c r="M1180" s="20" t="s">
        <v>153</v>
      </c>
      <c r="N1180" s="20" t="s">
        <v>84</v>
      </c>
      <c r="O1180" s="20">
        <v>11</v>
      </c>
      <c r="P1180" s="20">
        <v>109.52</v>
      </c>
      <c r="Q1180" s="20">
        <v>67.48</v>
      </c>
      <c r="R1180" s="20">
        <v>1204.71</v>
      </c>
      <c r="S1180" s="20">
        <v>0</v>
      </c>
      <c r="T1180" s="20">
        <v>0</v>
      </c>
      <c r="U1180" s="20">
        <v>1204.71</v>
      </c>
      <c r="V1180" s="20">
        <v>742.32</v>
      </c>
      <c r="W1180" s="20">
        <v>462.39</v>
      </c>
      <c r="X1180" s="20" t="s">
        <v>45</v>
      </c>
    </row>
    <row r="1181" spans="1:24" x14ac:dyDescent="0.25">
      <c r="A1181" s="23" t="s">
        <v>1698</v>
      </c>
      <c r="B1181" s="22">
        <v>45496</v>
      </c>
      <c r="C1181" s="23" t="s">
        <v>1137</v>
      </c>
      <c r="D1181" s="23" t="s">
        <v>163</v>
      </c>
      <c r="E1181" s="23" t="s">
        <v>114</v>
      </c>
      <c r="F1181" s="23" t="s">
        <v>2588</v>
      </c>
      <c r="G1181" s="23" t="s">
        <v>2586</v>
      </c>
      <c r="H1181" s="23" t="s">
        <v>116</v>
      </c>
      <c r="I1181" s="23" t="s">
        <v>53</v>
      </c>
      <c r="J1181" s="23" t="s">
        <v>122</v>
      </c>
      <c r="K1181" s="23" t="s">
        <v>42</v>
      </c>
      <c r="L1181" s="23" t="s">
        <v>2680</v>
      </c>
      <c r="M1181" s="23" t="s">
        <v>43</v>
      </c>
      <c r="N1181" s="23" t="s">
        <v>70</v>
      </c>
      <c r="O1181" s="23">
        <v>26</v>
      </c>
      <c r="P1181" s="23">
        <v>35.81</v>
      </c>
      <c r="Q1181" s="23">
        <v>20.65</v>
      </c>
      <c r="R1181" s="23">
        <v>931.09</v>
      </c>
      <c r="S1181" s="23">
        <v>0.02</v>
      </c>
      <c r="T1181" s="23">
        <v>18.62</v>
      </c>
      <c r="U1181" s="23">
        <v>912.47</v>
      </c>
      <c r="V1181" s="23">
        <v>536.84</v>
      </c>
      <c r="W1181" s="23">
        <v>375.63</v>
      </c>
      <c r="X1181" s="23" t="s">
        <v>45</v>
      </c>
    </row>
    <row r="1182" spans="1:24" x14ac:dyDescent="0.25">
      <c r="A1182" s="20" t="s">
        <v>1699</v>
      </c>
      <c r="B1182" s="19">
        <v>45593</v>
      </c>
      <c r="C1182" s="20" t="s">
        <v>874</v>
      </c>
      <c r="D1182" s="20" t="s">
        <v>159</v>
      </c>
      <c r="E1182" s="20" t="s">
        <v>209</v>
      </c>
      <c r="F1182" s="20" t="s">
        <v>2595</v>
      </c>
      <c r="G1182" s="20" t="s">
        <v>2581</v>
      </c>
      <c r="H1182" s="20" t="s">
        <v>116</v>
      </c>
      <c r="I1182" s="20" t="s">
        <v>58</v>
      </c>
      <c r="J1182" s="20" t="s">
        <v>323</v>
      </c>
      <c r="K1182" s="20" t="s">
        <v>261</v>
      </c>
      <c r="L1182" s="20" t="s">
        <v>2695</v>
      </c>
      <c r="M1182" s="20" t="s">
        <v>43</v>
      </c>
      <c r="N1182" s="20" t="s">
        <v>75</v>
      </c>
      <c r="O1182" s="20">
        <v>42</v>
      </c>
      <c r="P1182" s="20">
        <v>17.12</v>
      </c>
      <c r="Q1182" s="20">
        <v>10.36</v>
      </c>
      <c r="R1182" s="20">
        <v>719.14</v>
      </c>
      <c r="S1182" s="20">
        <v>0</v>
      </c>
      <c r="T1182" s="20">
        <v>0</v>
      </c>
      <c r="U1182" s="20">
        <v>719.14</v>
      </c>
      <c r="V1182" s="20">
        <v>434.95</v>
      </c>
      <c r="W1182" s="20">
        <v>284.19</v>
      </c>
      <c r="X1182" s="20" t="s">
        <v>129</v>
      </c>
    </row>
    <row r="1183" spans="1:24" x14ac:dyDescent="0.25">
      <c r="A1183" s="23" t="s">
        <v>1700</v>
      </c>
      <c r="B1183" s="22">
        <v>45341</v>
      </c>
      <c r="C1183" s="23" t="s">
        <v>611</v>
      </c>
      <c r="D1183" s="23" t="s">
        <v>264</v>
      </c>
      <c r="E1183" s="23" t="s">
        <v>132</v>
      </c>
      <c r="F1183" s="23" t="s">
        <v>133</v>
      </c>
      <c r="G1183" s="23" t="s">
        <v>2581</v>
      </c>
      <c r="H1183" s="23" t="s">
        <v>134</v>
      </c>
      <c r="I1183" s="23" t="s">
        <v>40</v>
      </c>
      <c r="J1183" s="23" t="s">
        <v>289</v>
      </c>
      <c r="K1183" s="23" t="s">
        <v>69</v>
      </c>
      <c r="L1183" s="23" t="s">
        <v>2681</v>
      </c>
      <c r="M1183" s="23" t="s">
        <v>61</v>
      </c>
      <c r="N1183" s="23" t="s">
        <v>84</v>
      </c>
      <c r="O1183" s="23">
        <v>49</v>
      </c>
      <c r="P1183" s="23">
        <v>58.94</v>
      </c>
      <c r="Q1183" s="23">
        <v>34.229999999999997</v>
      </c>
      <c r="R1183" s="23">
        <v>2887.98</v>
      </c>
      <c r="S1183" s="23">
        <v>0.1</v>
      </c>
      <c r="T1183" s="23">
        <v>288.8</v>
      </c>
      <c r="U1183" s="23">
        <v>2599.1799999999998</v>
      </c>
      <c r="V1183" s="23">
        <v>1677.13</v>
      </c>
      <c r="W1183" s="23">
        <v>922.05</v>
      </c>
      <c r="X1183" s="23" t="s">
        <v>45</v>
      </c>
    </row>
    <row r="1184" spans="1:24" x14ac:dyDescent="0.25">
      <c r="A1184" s="20" t="s">
        <v>1701</v>
      </c>
      <c r="B1184" s="19">
        <v>45434</v>
      </c>
      <c r="C1184" s="20" t="s">
        <v>284</v>
      </c>
      <c r="D1184" s="20" t="s">
        <v>57</v>
      </c>
      <c r="E1184" s="20" t="s">
        <v>216</v>
      </c>
      <c r="F1184" s="20" t="s">
        <v>2596</v>
      </c>
      <c r="G1184" s="20" t="s">
        <v>2579</v>
      </c>
      <c r="H1184" s="20" t="s">
        <v>134</v>
      </c>
      <c r="I1184" s="20" t="s">
        <v>40</v>
      </c>
      <c r="J1184" s="20" t="s">
        <v>41</v>
      </c>
      <c r="K1184" s="20" t="s">
        <v>253</v>
      </c>
      <c r="L1184" s="20" t="s">
        <v>2694</v>
      </c>
      <c r="M1184" s="20" t="s">
        <v>30</v>
      </c>
      <c r="N1184" s="20" t="s">
        <v>70</v>
      </c>
      <c r="O1184" s="20">
        <v>26</v>
      </c>
      <c r="P1184" s="20">
        <v>107.29</v>
      </c>
      <c r="Q1184" s="20">
        <v>65.62</v>
      </c>
      <c r="R1184" s="20">
        <v>2789.5</v>
      </c>
      <c r="S1184" s="20">
        <v>0</v>
      </c>
      <c r="T1184" s="20">
        <v>0</v>
      </c>
      <c r="U1184" s="20">
        <v>2789.5</v>
      </c>
      <c r="V1184" s="20">
        <v>1706.06</v>
      </c>
      <c r="W1184" s="20">
        <v>1083.44</v>
      </c>
      <c r="X1184" s="20" t="s">
        <v>32</v>
      </c>
    </row>
    <row r="1185" spans="1:24" x14ac:dyDescent="0.25">
      <c r="A1185" s="23" t="s">
        <v>1702</v>
      </c>
      <c r="B1185" s="22">
        <v>45319</v>
      </c>
      <c r="C1185" s="23" t="s">
        <v>269</v>
      </c>
      <c r="D1185" s="23" t="s">
        <v>105</v>
      </c>
      <c r="E1185" s="23" t="s">
        <v>222</v>
      </c>
      <c r="F1185" s="23" t="s">
        <v>2597</v>
      </c>
      <c r="G1185" s="23" t="s">
        <v>2587</v>
      </c>
      <c r="H1185" s="23" t="s">
        <v>68</v>
      </c>
      <c r="I1185" s="23" t="s">
        <v>40</v>
      </c>
      <c r="J1185" s="23" t="s">
        <v>289</v>
      </c>
      <c r="K1185" s="23" t="s">
        <v>265</v>
      </c>
      <c r="L1185" s="23" t="s">
        <v>2663</v>
      </c>
      <c r="M1185" s="23" t="s">
        <v>153</v>
      </c>
      <c r="N1185" s="23" t="s">
        <v>44</v>
      </c>
      <c r="O1185" s="23">
        <v>13</v>
      </c>
      <c r="P1185" s="23">
        <v>129.11000000000001</v>
      </c>
      <c r="Q1185" s="23">
        <v>84.07</v>
      </c>
      <c r="R1185" s="23">
        <v>1678.41</v>
      </c>
      <c r="S1185" s="23">
        <v>0.1</v>
      </c>
      <c r="T1185" s="23">
        <v>167.84</v>
      </c>
      <c r="U1185" s="23">
        <v>1510.57</v>
      </c>
      <c r="V1185" s="23">
        <v>1092.8800000000001</v>
      </c>
      <c r="W1185" s="23">
        <v>417.69</v>
      </c>
      <c r="X1185" s="23" t="s">
        <v>32</v>
      </c>
    </row>
    <row r="1186" spans="1:24" x14ac:dyDescent="0.25">
      <c r="A1186" s="20" t="s">
        <v>1703</v>
      </c>
      <c r="B1186" s="19">
        <v>45346</v>
      </c>
      <c r="C1186" s="20" t="s">
        <v>316</v>
      </c>
      <c r="D1186" s="20" t="s">
        <v>156</v>
      </c>
      <c r="E1186" s="20" t="s">
        <v>66</v>
      </c>
      <c r="F1186" s="20" t="s">
        <v>2582</v>
      </c>
      <c r="G1186" s="20" t="s">
        <v>2579</v>
      </c>
      <c r="H1186" s="20" t="s">
        <v>68</v>
      </c>
      <c r="I1186" s="20" t="s">
        <v>27</v>
      </c>
      <c r="J1186" s="20" t="s">
        <v>211</v>
      </c>
      <c r="K1186" s="20" t="s">
        <v>218</v>
      </c>
      <c r="L1186" s="20" t="s">
        <v>2692</v>
      </c>
      <c r="M1186" s="20" t="s">
        <v>61</v>
      </c>
      <c r="N1186" s="20" t="s">
        <v>44</v>
      </c>
      <c r="O1186" s="20">
        <f>ROUND(Cleaned_Sales!$R1186/Cleaned_Sales!$P1186,0)</f>
        <v>27</v>
      </c>
      <c r="P1186" s="20">
        <v>165.21</v>
      </c>
      <c r="Q1186" s="20">
        <v>111.83</v>
      </c>
      <c r="R1186" s="20">
        <v>4460.8</v>
      </c>
      <c r="S1186" s="20">
        <v>0.02</v>
      </c>
      <c r="T1186" s="20">
        <v>89.22</v>
      </c>
      <c r="U1186" s="20">
        <v>4371.58</v>
      </c>
      <c r="V1186" s="20">
        <v>3019.28</v>
      </c>
      <c r="W1186" s="20">
        <v>1352.3</v>
      </c>
      <c r="X1186" s="20" t="s">
        <v>45</v>
      </c>
    </row>
    <row r="1187" spans="1:24" x14ac:dyDescent="0.25">
      <c r="A1187" s="23" t="s">
        <v>1704</v>
      </c>
      <c r="B1187" s="22">
        <v>45631</v>
      </c>
      <c r="C1187" s="23" t="s">
        <v>382</v>
      </c>
      <c r="D1187" s="23" t="s">
        <v>22</v>
      </c>
      <c r="E1187" s="23" t="s">
        <v>176</v>
      </c>
      <c r="F1187" s="23" t="s">
        <v>2593</v>
      </c>
      <c r="G1187" s="23" t="s">
        <v>2587</v>
      </c>
      <c r="H1187" s="23" t="s">
        <v>39</v>
      </c>
      <c r="I1187" s="23" t="s">
        <v>53</v>
      </c>
      <c r="J1187" s="23" t="s">
        <v>122</v>
      </c>
      <c r="K1187" s="23" t="s">
        <v>60</v>
      </c>
      <c r="L1187" s="23" t="s">
        <v>2677</v>
      </c>
      <c r="M1187" s="23" t="s">
        <v>153</v>
      </c>
      <c r="N1187" s="23" t="s">
        <v>70</v>
      </c>
      <c r="O1187" s="23">
        <v>20</v>
      </c>
      <c r="P1187" s="23">
        <v>105.5</v>
      </c>
      <c r="Q1187" s="23">
        <v>60.4</v>
      </c>
      <c r="R1187" s="23">
        <v>2109.96</v>
      </c>
      <c r="S1187" s="23">
        <v>0.1</v>
      </c>
      <c r="T1187" s="23">
        <v>211</v>
      </c>
      <c r="U1187" s="23">
        <v>1898.97</v>
      </c>
      <c r="V1187" s="23">
        <v>1207.96</v>
      </c>
      <c r="W1187" s="23">
        <v>691.01</v>
      </c>
      <c r="X1187" s="23" t="s">
        <v>45</v>
      </c>
    </row>
    <row r="1188" spans="1:24" x14ac:dyDescent="0.25">
      <c r="A1188" s="20" t="s">
        <v>1705</v>
      </c>
      <c r="B1188" s="19">
        <v>45293</v>
      </c>
      <c r="C1188" s="20" t="s">
        <v>1706</v>
      </c>
      <c r="D1188" s="20" t="s">
        <v>65</v>
      </c>
      <c r="E1188" s="20" t="s">
        <v>49</v>
      </c>
      <c r="F1188" s="20" t="s">
        <v>2580</v>
      </c>
      <c r="G1188" s="20" t="s">
        <v>2581</v>
      </c>
      <c r="H1188" s="20" t="s">
        <v>52</v>
      </c>
      <c r="I1188" s="20" t="s">
        <v>58</v>
      </c>
      <c r="J1188" s="20" t="s">
        <v>345</v>
      </c>
      <c r="K1188" s="20" t="s">
        <v>261</v>
      </c>
      <c r="L1188" s="20" t="s">
        <v>2695</v>
      </c>
      <c r="M1188" s="20" t="s">
        <v>61</v>
      </c>
      <c r="N1188" s="20" t="s">
        <v>2578</v>
      </c>
      <c r="O1188" s="20">
        <v>43</v>
      </c>
      <c r="P1188" s="20">
        <v>23.56</v>
      </c>
      <c r="Q1188" s="20">
        <v>13.63</v>
      </c>
      <c r="R1188" s="20">
        <v>1013.24</v>
      </c>
      <c r="S1188" s="20">
        <v>0.02</v>
      </c>
      <c r="T1188" s="20">
        <v>20.260000000000002</v>
      </c>
      <c r="U1188" s="20">
        <v>992.97</v>
      </c>
      <c r="V1188" s="20">
        <v>586.03</v>
      </c>
      <c r="W1188" s="20">
        <v>406.95</v>
      </c>
      <c r="X1188" s="20" t="s">
        <v>32</v>
      </c>
    </row>
    <row r="1189" spans="1:24" x14ac:dyDescent="0.25">
      <c r="A1189" s="23" t="s">
        <v>1707</v>
      </c>
      <c r="B1189" s="22">
        <v>45570</v>
      </c>
      <c r="C1189" s="23" t="s">
        <v>98</v>
      </c>
      <c r="D1189" s="23" t="s">
        <v>48</v>
      </c>
      <c r="E1189" s="23" t="s">
        <v>78</v>
      </c>
      <c r="F1189" s="23" t="s">
        <v>2583</v>
      </c>
      <c r="G1189" s="23" t="s">
        <v>2584</v>
      </c>
      <c r="H1189" s="23" t="s">
        <v>81</v>
      </c>
      <c r="I1189" s="23" t="s">
        <v>53</v>
      </c>
      <c r="J1189" s="23" t="s">
        <v>122</v>
      </c>
      <c r="K1189" s="23" t="s">
        <v>29</v>
      </c>
      <c r="L1189" s="23" t="s">
        <v>2679</v>
      </c>
      <c r="M1189" s="23" t="s">
        <v>61</v>
      </c>
      <c r="N1189" s="23" t="s">
        <v>84</v>
      </c>
      <c r="O1189" s="23">
        <v>21</v>
      </c>
      <c r="P1189" s="23">
        <v>134.41</v>
      </c>
      <c r="Q1189" s="23">
        <v>83.64</v>
      </c>
      <c r="R1189" s="23">
        <v>2822.62</v>
      </c>
      <c r="S1189" s="23">
        <v>0.05</v>
      </c>
      <c r="T1189" s="23">
        <v>141.13</v>
      </c>
      <c r="U1189" s="23">
        <v>2681.49</v>
      </c>
      <c r="V1189" s="23">
        <v>1756.41</v>
      </c>
      <c r="W1189" s="23">
        <v>925.08</v>
      </c>
      <c r="X1189" s="23" t="s">
        <v>129</v>
      </c>
    </row>
    <row r="1190" spans="1:24" x14ac:dyDescent="0.25">
      <c r="A1190" s="20" t="s">
        <v>1708</v>
      </c>
      <c r="B1190" s="19">
        <v>45610</v>
      </c>
      <c r="C1190" s="20" t="s">
        <v>1709</v>
      </c>
      <c r="D1190" s="20" t="s">
        <v>159</v>
      </c>
      <c r="E1190" s="20" t="s">
        <v>165</v>
      </c>
      <c r="F1190" s="20" t="s">
        <v>2592</v>
      </c>
      <c r="G1190" s="20" t="s">
        <v>2586</v>
      </c>
      <c r="H1190" s="20" t="s">
        <v>167</v>
      </c>
      <c r="I1190" s="20" t="s">
        <v>27</v>
      </c>
      <c r="J1190" s="20" t="s">
        <v>211</v>
      </c>
      <c r="K1190" s="20" t="s">
        <v>60</v>
      </c>
      <c r="L1190" s="20" t="s">
        <v>2677</v>
      </c>
      <c r="M1190" s="20" t="s">
        <v>30</v>
      </c>
      <c r="N1190" s="20" t="s">
        <v>70</v>
      </c>
      <c r="O1190" s="20">
        <v>3</v>
      </c>
      <c r="P1190" s="20">
        <v>43.78</v>
      </c>
      <c r="Q1190" s="20">
        <v>25.49</v>
      </c>
      <c r="R1190" s="20">
        <v>131.33000000000001</v>
      </c>
      <c r="S1190" s="20">
        <v>0.15</v>
      </c>
      <c r="T1190" s="20">
        <v>19.7</v>
      </c>
      <c r="U1190" s="20">
        <v>111.63</v>
      </c>
      <c r="V1190" s="20">
        <v>76.48</v>
      </c>
      <c r="W1190" s="20">
        <v>35.15</v>
      </c>
      <c r="X1190" s="20" t="s">
        <v>45</v>
      </c>
    </row>
    <row r="1191" spans="1:24" x14ac:dyDescent="0.25">
      <c r="A1191" s="23" t="s">
        <v>1710</v>
      </c>
      <c r="B1191" s="22">
        <v>45585</v>
      </c>
      <c r="C1191" s="23" t="s">
        <v>552</v>
      </c>
      <c r="D1191" s="23" t="s">
        <v>163</v>
      </c>
      <c r="E1191" s="23" t="s">
        <v>250</v>
      </c>
      <c r="F1191" s="23" t="s">
        <v>2598</v>
      </c>
      <c r="G1191" s="23" t="s">
        <v>2581</v>
      </c>
      <c r="H1191" s="23" t="s">
        <v>252</v>
      </c>
      <c r="I1191" s="23" t="s">
        <v>27</v>
      </c>
      <c r="J1191" s="23" t="s">
        <v>28</v>
      </c>
      <c r="K1191" s="23" t="s">
        <v>74</v>
      </c>
      <c r="L1191" s="23" t="s">
        <v>2682</v>
      </c>
      <c r="M1191" s="23" t="s">
        <v>43</v>
      </c>
      <c r="N1191" s="23" t="s">
        <v>44</v>
      </c>
      <c r="O1191" s="23">
        <v>76</v>
      </c>
      <c r="P1191" s="23">
        <v>62.85</v>
      </c>
      <c r="Q1191" s="23">
        <v>40.409999999999997</v>
      </c>
      <c r="R1191" s="23">
        <v>4776.5</v>
      </c>
      <c r="S1191" s="23">
        <v>0.02</v>
      </c>
      <c r="T1191" s="23">
        <v>95.53</v>
      </c>
      <c r="U1191" s="23">
        <v>4680.97</v>
      </c>
      <c r="V1191" s="23">
        <v>3071.14</v>
      </c>
      <c r="W1191" s="23">
        <v>1609.84</v>
      </c>
      <c r="X1191" s="23" t="s">
        <v>45</v>
      </c>
    </row>
    <row r="1192" spans="1:24" x14ac:dyDescent="0.25">
      <c r="A1192" s="20" t="s">
        <v>1711</v>
      </c>
      <c r="B1192" s="19">
        <v>45549</v>
      </c>
      <c r="C1192" s="20" t="s">
        <v>1493</v>
      </c>
      <c r="D1192" s="20" t="s">
        <v>159</v>
      </c>
      <c r="E1192" s="20" t="s">
        <v>216</v>
      </c>
      <c r="F1192" s="20" t="s">
        <v>2596</v>
      </c>
      <c r="G1192" s="20" t="s">
        <v>2579</v>
      </c>
      <c r="H1192" s="20" t="s">
        <v>134</v>
      </c>
      <c r="I1192" s="20" t="s">
        <v>58</v>
      </c>
      <c r="J1192" s="20" t="s">
        <v>73</v>
      </c>
      <c r="K1192" s="20" t="s">
        <v>218</v>
      </c>
      <c r="L1192" s="20" t="s">
        <v>2692</v>
      </c>
      <c r="M1192" s="20" t="s">
        <v>153</v>
      </c>
      <c r="N1192" s="20" t="s">
        <v>2578</v>
      </c>
      <c r="O1192" s="20">
        <v>44</v>
      </c>
      <c r="P1192" s="20">
        <v>109.8</v>
      </c>
      <c r="Q1192" s="20">
        <v>68.790000000000006</v>
      </c>
      <c r="R1192" s="20">
        <v>4831.3599999999997</v>
      </c>
      <c r="S1192" s="20">
        <v>0.02</v>
      </c>
      <c r="T1192" s="20">
        <v>96.63</v>
      </c>
      <c r="U1192" s="20">
        <v>4734.74</v>
      </c>
      <c r="V1192" s="20">
        <v>3026.71</v>
      </c>
      <c r="W1192" s="20">
        <v>1708.03</v>
      </c>
      <c r="X1192" s="20" t="s">
        <v>45</v>
      </c>
    </row>
    <row r="1193" spans="1:24" x14ac:dyDescent="0.25">
      <c r="A1193" s="23" t="s">
        <v>1712</v>
      </c>
      <c r="B1193" s="22">
        <v>45503</v>
      </c>
      <c r="C1193" s="23" t="s">
        <v>721</v>
      </c>
      <c r="D1193" s="23" t="s">
        <v>359</v>
      </c>
      <c r="E1193" s="23" t="s">
        <v>176</v>
      </c>
      <c r="F1193" s="23" t="s">
        <v>2593</v>
      </c>
      <c r="G1193" s="23" t="s">
        <v>2587</v>
      </c>
      <c r="H1193" s="23" t="s">
        <v>39</v>
      </c>
      <c r="I1193" s="23" t="s">
        <v>53</v>
      </c>
      <c r="J1193" s="23" t="s">
        <v>122</v>
      </c>
      <c r="K1193" s="23" t="s">
        <v>118</v>
      </c>
      <c r="L1193" s="23" t="s">
        <v>2686</v>
      </c>
      <c r="M1193" s="23" t="s">
        <v>43</v>
      </c>
      <c r="N1193" s="23" t="s">
        <v>84</v>
      </c>
      <c r="O1193" s="23">
        <v>23</v>
      </c>
      <c r="P1193" s="23">
        <v>99.24</v>
      </c>
      <c r="Q1193" s="23">
        <v>61.08</v>
      </c>
      <c r="R1193" s="23">
        <v>2282.5700000000002</v>
      </c>
      <c r="S1193" s="23">
        <v>0</v>
      </c>
      <c r="T1193" s="23">
        <v>0</v>
      </c>
      <c r="U1193" s="23">
        <v>2282.5700000000002</v>
      </c>
      <c r="V1193" s="23">
        <v>1404.9</v>
      </c>
      <c r="W1193" s="23">
        <v>877.67</v>
      </c>
      <c r="X1193" s="23" t="s">
        <v>129</v>
      </c>
    </row>
    <row r="1194" spans="1:24" x14ac:dyDescent="0.25">
      <c r="A1194" s="20" t="s">
        <v>1713</v>
      </c>
      <c r="B1194" s="19">
        <v>45372</v>
      </c>
      <c r="C1194" s="20" t="s">
        <v>645</v>
      </c>
      <c r="D1194" s="20" t="s">
        <v>149</v>
      </c>
      <c r="E1194" s="20" t="s">
        <v>78</v>
      </c>
      <c r="F1194" s="20" t="s">
        <v>2583</v>
      </c>
      <c r="G1194" s="20" t="s">
        <v>2584</v>
      </c>
      <c r="H1194" s="20" t="s">
        <v>81</v>
      </c>
      <c r="I1194" s="20" t="s">
        <v>58</v>
      </c>
      <c r="J1194" s="20" t="s">
        <v>73</v>
      </c>
      <c r="K1194" s="20" t="s">
        <v>74</v>
      </c>
      <c r="L1194" s="20" t="s">
        <v>2682</v>
      </c>
      <c r="M1194" s="20" t="s">
        <v>61</v>
      </c>
      <c r="N1194" s="20" t="s">
        <v>70</v>
      </c>
      <c r="O1194" s="20">
        <v>22</v>
      </c>
      <c r="P1194" s="20">
        <v>144.79</v>
      </c>
      <c r="Q1194" s="20">
        <v>76.64</v>
      </c>
      <c r="R1194" s="20">
        <v>3185.49</v>
      </c>
      <c r="S1194" s="20">
        <v>0.02</v>
      </c>
      <c r="T1194" s="20">
        <v>63.71</v>
      </c>
      <c r="U1194" s="20">
        <v>3409.61</v>
      </c>
      <c r="V1194" s="20">
        <v>1686.06</v>
      </c>
      <c r="W1194" s="20">
        <v>1435.72</v>
      </c>
      <c r="X1194" s="20" t="s">
        <v>45</v>
      </c>
    </row>
    <row r="1195" spans="1:24" x14ac:dyDescent="0.25">
      <c r="A1195" s="23" t="s">
        <v>1714</v>
      </c>
      <c r="B1195" s="22">
        <v>45417</v>
      </c>
      <c r="C1195" s="23" t="s">
        <v>241</v>
      </c>
      <c r="D1195" s="23" t="s">
        <v>87</v>
      </c>
      <c r="E1195" s="23" t="s">
        <v>66</v>
      </c>
      <c r="F1195" s="23" t="s">
        <v>2582</v>
      </c>
      <c r="G1195" s="23" t="s">
        <v>2579</v>
      </c>
      <c r="H1195" s="23" t="s">
        <v>68</v>
      </c>
      <c r="I1195" s="23" t="s">
        <v>27</v>
      </c>
      <c r="J1195" s="23" t="s">
        <v>106</v>
      </c>
      <c r="K1195" s="23" t="s">
        <v>253</v>
      </c>
      <c r="L1195" s="23" t="s">
        <v>2694</v>
      </c>
      <c r="M1195" s="23" t="s">
        <v>43</v>
      </c>
      <c r="N1195" s="23" t="s">
        <v>44</v>
      </c>
      <c r="O1195" s="23">
        <v>29</v>
      </c>
      <c r="P1195" s="23">
        <v>156.79</v>
      </c>
      <c r="Q1195" s="23">
        <v>111.5</v>
      </c>
      <c r="R1195" s="23">
        <v>4546.8599999999997</v>
      </c>
      <c r="S1195" s="23">
        <v>0.02</v>
      </c>
      <c r="T1195" s="23">
        <v>90.94</v>
      </c>
      <c r="U1195" s="23">
        <v>4455.92</v>
      </c>
      <c r="V1195" s="23">
        <v>3233.5</v>
      </c>
      <c r="W1195" s="23">
        <v>1222.42</v>
      </c>
      <c r="X1195" s="23" t="s">
        <v>45</v>
      </c>
    </row>
    <row r="1196" spans="1:24" x14ac:dyDescent="0.25">
      <c r="A1196" s="20" t="s">
        <v>1715</v>
      </c>
      <c r="B1196" s="19">
        <v>45655</v>
      </c>
      <c r="C1196" s="20" t="s">
        <v>169</v>
      </c>
      <c r="D1196" s="20" t="s">
        <v>57</v>
      </c>
      <c r="E1196" s="20" t="s">
        <v>209</v>
      </c>
      <c r="F1196" s="20" t="s">
        <v>2595</v>
      </c>
      <c r="G1196" s="20" t="s">
        <v>2581</v>
      </c>
      <c r="H1196" s="20" t="s">
        <v>116</v>
      </c>
      <c r="I1196" s="20" t="s">
        <v>58</v>
      </c>
      <c r="J1196" s="20" t="s">
        <v>59</v>
      </c>
      <c r="K1196" s="20" t="s">
        <v>152</v>
      </c>
      <c r="L1196" s="20" t="s">
        <v>2688</v>
      </c>
      <c r="M1196" s="20" t="s">
        <v>30</v>
      </c>
      <c r="N1196" s="20" t="s">
        <v>70</v>
      </c>
      <c r="O1196" s="20">
        <v>43</v>
      </c>
      <c r="P1196" s="20">
        <v>17.78</v>
      </c>
      <c r="Q1196" s="20">
        <v>9.27</v>
      </c>
      <c r="R1196" s="20">
        <v>764.41</v>
      </c>
      <c r="S1196" s="20">
        <v>0.15</v>
      </c>
      <c r="T1196" s="20">
        <v>114.66</v>
      </c>
      <c r="U1196" s="20">
        <v>649.75</v>
      </c>
      <c r="V1196" s="20">
        <v>398.49</v>
      </c>
      <c r="W1196" s="20">
        <v>251.26</v>
      </c>
      <c r="X1196" s="20" t="s">
        <v>45</v>
      </c>
    </row>
    <row r="1197" spans="1:24" x14ac:dyDescent="0.25">
      <c r="A1197" s="23" t="s">
        <v>1716</v>
      </c>
      <c r="B1197" s="22">
        <v>45472</v>
      </c>
      <c r="C1197" s="23" t="s">
        <v>309</v>
      </c>
      <c r="D1197" s="23" t="s">
        <v>65</v>
      </c>
      <c r="E1197" s="23" t="s">
        <v>23</v>
      </c>
      <c r="F1197" s="23" t="s">
        <v>2576</v>
      </c>
      <c r="G1197" s="23" t="s">
        <v>2577</v>
      </c>
      <c r="H1197" s="23" t="s">
        <v>26</v>
      </c>
      <c r="I1197" s="23" t="s">
        <v>27</v>
      </c>
      <c r="J1197" s="23" t="s">
        <v>211</v>
      </c>
      <c r="K1197" s="23" t="s">
        <v>60</v>
      </c>
      <c r="L1197" s="23" t="s">
        <v>2677</v>
      </c>
      <c r="M1197" s="23" t="s">
        <v>153</v>
      </c>
      <c r="N1197" s="23" t="s">
        <v>84</v>
      </c>
      <c r="O1197" s="23">
        <v>1</v>
      </c>
      <c r="P1197" s="23">
        <v>78.95</v>
      </c>
      <c r="Q1197" s="23">
        <v>42.46</v>
      </c>
      <c r="R1197" s="23">
        <v>78.95</v>
      </c>
      <c r="S1197" s="23">
        <v>0</v>
      </c>
      <c r="T1197" s="23">
        <v>0</v>
      </c>
      <c r="U1197" s="23">
        <v>78.95</v>
      </c>
      <c r="V1197" s="23">
        <v>42.46</v>
      </c>
      <c r="W1197" s="23">
        <v>36.49</v>
      </c>
      <c r="X1197" s="23" t="s">
        <v>32</v>
      </c>
    </row>
    <row r="1198" spans="1:24" x14ac:dyDescent="0.25">
      <c r="A1198" s="20" t="s">
        <v>1717</v>
      </c>
      <c r="B1198" s="19">
        <v>45352</v>
      </c>
      <c r="C1198" s="20" t="s">
        <v>798</v>
      </c>
      <c r="D1198" s="20" t="s">
        <v>259</v>
      </c>
      <c r="E1198" s="20" t="s">
        <v>66</v>
      </c>
      <c r="F1198" s="20" t="s">
        <v>2582</v>
      </c>
      <c r="G1198" s="20" t="s">
        <v>2579</v>
      </c>
      <c r="H1198" s="20" t="s">
        <v>68</v>
      </c>
      <c r="I1198" s="20" t="s">
        <v>27</v>
      </c>
      <c r="J1198" s="20" t="s">
        <v>189</v>
      </c>
      <c r="K1198" s="20" t="s">
        <v>69</v>
      </c>
      <c r="L1198" s="20" t="s">
        <v>2681</v>
      </c>
      <c r="M1198" s="20" t="s">
        <v>43</v>
      </c>
      <c r="N1198" s="20" t="s">
        <v>2578</v>
      </c>
      <c r="O1198" s="20">
        <v>66</v>
      </c>
      <c r="P1198" s="20">
        <v>152.79</v>
      </c>
      <c r="Q1198" s="20">
        <v>110.22</v>
      </c>
      <c r="R1198" s="20">
        <v>10083.879999999999</v>
      </c>
      <c r="S1198" s="20">
        <v>0</v>
      </c>
      <c r="T1198" s="20">
        <v>0</v>
      </c>
      <c r="U1198" s="20">
        <v>10083.879999999999</v>
      </c>
      <c r="V1198" s="20">
        <v>7274.82</v>
      </c>
      <c r="W1198" s="20">
        <v>2809.06</v>
      </c>
      <c r="X1198" s="20" t="s">
        <v>32</v>
      </c>
    </row>
    <row r="1199" spans="1:24" x14ac:dyDescent="0.25">
      <c r="A1199" s="23" t="s">
        <v>1718</v>
      </c>
      <c r="B1199" s="22">
        <v>45598</v>
      </c>
      <c r="C1199" s="23" t="s">
        <v>454</v>
      </c>
      <c r="D1199" s="23" t="s">
        <v>156</v>
      </c>
      <c r="E1199" s="23" t="s">
        <v>176</v>
      </c>
      <c r="F1199" s="23" t="s">
        <v>2593</v>
      </c>
      <c r="G1199" s="23" t="s">
        <v>2587</v>
      </c>
      <c r="H1199" s="23" t="s">
        <v>39</v>
      </c>
      <c r="I1199" s="23" t="s">
        <v>53</v>
      </c>
      <c r="J1199" s="23" t="s">
        <v>143</v>
      </c>
      <c r="K1199" s="23" t="s">
        <v>152</v>
      </c>
      <c r="L1199" s="23" t="s">
        <v>2688</v>
      </c>
      <c r="M1199" s="23" t="s">
        <v>153</v>
      </c>
      <c r="N1199" s="23" t="s">
        <v>70</v>
      </c>
      <c r="O1199" s="23">
        <v>6</v>
      </c>
      <c r="P1199" s="23">
        <v>98.12</v>
      </c>
      <c r="Q1199" s="23">
        <v>66.38</v>
      </c>
      <c r="R1199" s="23">
        <v>588.70000000000005</v>
      </c>
      <c r="S1199" s="23">
        <v>0.1</v>
      </c>
      <c r="T1199" s="23">
        <v>58.87</v>
      </c>
      <c r="U1199" s="23">
        <v>529.83000000000004</v>
      </c>
      <c r="V1199" s="23">
        <v>398.28</v>
      </c>
      <c r="W1199" s="23">
        <v>131.55000000000001</v>
      </c>
      <c r="X1199" s="23" t="s">
        <v>45</v>
      </c>
    </row>
    <row r="1200" spans="1:24" x14ac:dyDescent="0.25">
      <c r="A1200" s="20" t="s">
        <v>1719</v>
      </c>
      <c r="B1200" s="19">
        <v>45595</v>
      </c>
      <c r="C1200" s="20" t="s">
        <v>98</v>
      </c>
      <c r="D1200" s="20" t="s">
        <v>48</v>
      </c>
      <c r="E1200" s="20" t="s">
        <v>150</v>
      </c>
      <c r="F1200" s="20" t="s">
        <v>2591</v>
      </c>
      <c r="G1200" s="20" t="s">
        <v>2587</v>
      </c>
      <c r="H1200" s="20" t="s">
        <v>134</v>
      </c>
      <c r="I1200" s="20" t="s">
        <v>58</v>
      </c>
      <c r="J1200" s="20" t="s">
        <v>73</v>
      </c>
      <c r="K1200" s="20" t="s">
        <v>178</v>
      </c>
      <c r="L1200" s="20" t="s">
        <v>2689</v>
      </c>
      <c r="M1200" s="20" t="s">
        <v>30</v>
      </c>
      <c r="N1200" s="20" t="s">
        <v>75</v>
      </c>
      <c r="O1200" s="20">
        <v>61</v>
      </c>
      <c r="P1200" s="20">
        <v>91.13</v>
      </c>
      <c r="Q1200" s="20">
        <v>52.65</v>
      </c>
      <c r="R1200" s="20">
        <v>5558.96</v>
      </c>
      <c r="S1200" s="20">
        <v>0</v>
      </c>
      <c r="T1200" s="20">
        <v>0</v>
      </c>
      <c r="U1200" s="20">
        <v>5558.96</v>
      </c>
      <c r="V1200" s="20">
        <v>3211.82</v>
      </c>
      <c r="W1200" s="20">
        <v>2347.14</v>
      </c>
      <c r="X1200" s="20" t="s">
        <v>45</v>
      </c>
    </row>
    <row r="1201" spans="1:24" x14ac:dyDescent="0.25">
      <c r="A1201" s="23" t="s">
        <v>1720</v>
      </c>
      <c r="B1201" s="22">
        <v>45504</v>
      </c>
      <c r="C1201" s="23" t="s">
        <v>64</v>
      </c>
      <c r="D1201" s="23" t="s">
        <v>65</v>
      </c>
      <c r="E1201" s="23" t="s">
        <v>222</v>
      </c>
      <c r="F1201" s="23" t="s">
        <v>2597</v>
      </c>
      <c r="G1201" s="23" t="s">
        <v>2587</v>
      </c>
      <c r="H1201" s="23" t="s">
        <v>68</v>
      </c>
      <c r="I1201" s="23" t="s">
        <v>88</v>
      </c>
      <c r="J1201" s="23" t="s">
        <v>135</v>
      </c>
      <c r="K1201" s="23" t="s">
        <v>111</v>
      </c>
      <c r="L1201" s="23" t="s">
        <v>2685</v>
      </c>
      <c r="M1201" s="23" t="s">
        <v>30</v>
      </c>
      <c r="N1201" s="23" t="s">
        <v>75</v>
      </c>
      <c r="O1201" s="23">
        <f>ROUND(Cleaned_Sales!$R1201/Cleaned_Sales!$P1201,0)</f>
        <v>57</v>
      </c>
      <c r="P1201" s="23">
        <v>118.82</v>
      </c>
      <c r="Q1201" s="23">
        <v>80.81</v>
      </c>
      <c r="R1201" s="23">
        <v>6772.82</v>
      </c>
      <c r="S1201" s="23">
        <v>0.05</v>
      </c>
      <c r="T1201" s="23">
        <v>338.64</v>
      </c>
      <c r="U1201" s="23">
        <v>6434.18</v>
      </c>
      <c r="V1201" s="23">
        <v>4606.24</v>
      </c>
      <c r="W1201" s="23">
        <v>1827.94</v>
      </c>
      <c r="X1201" s="23" t="s">
        <v>32</v>
      </c>
    </row>
    <row r="1202" spans="1:24" x14ac:dyDescent="0.25">
      <c r="A1202" s="20" t="s">
        <v>1721</v>
      </c>
      <c r="B1202" s="19">
        <v>45373</v>
      </c>
      <c r="C1202" s="20" t="s">
        <v>402</v>
      </c>
      <c r="D1202" s="20" t="s">
        <v>35</v>
      </c>
      <c r="E1202" s="20" t="s">
        <v>78</v>
      </c>
      <c r="F1202" s="20" t="s">
        <v>2583</v>
      </c>
      <c r="G1202" s="20" t="s">
        <v>2584</v>
      </c>
      <c r="H1202" s="20" t="s">
        <v>81</v>
      </c>
      <c r="I1202" s="20" t="s">
        <v>40</v>
      </c>
      <c r="J1202" s="20" t="s">
        <v>82</v>
      </c>
      <c r="K1202" s="20" t="s">
        <v>83</v>
      </c>
      <c r="L1202" s="20" t="s">
        <v>2683</v>
      </c>
      <c r="M1202" s="20" t="s">
        <v>61</v>
      </c>
      <c r="N1202" s="20" t="s">
        <v>84</v>
      </c>
      <c r="O1202" s="20">
        <v>26</v>
      </c>
      <c r="P1202" s="20">
        <v>137.41</v>
      </c>
      <c r="Q1202" s="20">
        <v>75.77</v>
      </c>
      <c r="R1202" s="20">
        <v>3572.65</v>
      </c>
      <c r="S1202" s="20">
        <v>0.15</v>
      </c>
      <c r="T1202" s="20">
        <v>535.9</v>
      </c>
      <c r="U1202" s="20">
        <v>3036.75</v>
      </c>
      <c r="V1202" s="20">
        <v>1970.03</v>
      </c>
      <c r="W1202" s="20">
        <v>1066.72</v>
      </c>
      <c r="X1202" s="20" t="s">
        <v>45</v>
      </c>
    </row>
    <row r="1203" spans="1:24" x14ac:dyDescent="0.25">
      <c r="A1203" s="23" t="s">
        <v>1722</v>
      </c>
      <c r="B1203" s="22">
        <v>45389</v>
      </c>
      <c r="C1203" s="23" t="s">
        <v>567</v>
      </c>
      <c r="D1203" s="23" t="s">
        <v>22</v>
      </c>
      <c r="E1203" s="23" t="s">
        <v>216</v>
      </c>
      <c r="F1203" s="23" t="s">
        <v>2596</v>
      </c>
      <c r="G1203" s="23" t="s">
        <v>2579</v>
      </c>
      <c r="H1203" s="23" t="s">
        <v>134</v>
      </c>
      <c r="I1203" s="23" t="s">
        <v>58</v>
      </c>
      <c r="J1203" s="23" t="s">
        <v>323</v>
      </c>
      <c r="K1203" s="23" t="s">
        <v>29</v>
      </c>
      <c r="L1203" s="23" t="s">
        <v>2679</v>
      </c>
      <c r="M1203" s="23" t="s">
        <v>43</v>
      </c>
      <c r="N1203" s="23" t="s">
        <v>84</v>
      </c>
      <c r="O1203" s="23">
        <v>74</v>
      </c>
      <c r="P1203" s="23">
        <v>104.79</v>
      </c>
      <c r="Q1203" s="23">
        <v>67.25</v>
      </c>
      <c r="R1203" s="23">
        <v>7754.19</v>
      </c>
      <c r="S1203" s="23">
        <v>0</v>
      </c>
      <c r="T1203" s="23">
        <v>0</v>
      </c>
      <c r="U1203" s="23">
        <v>7754.19</v>
      </c>
      <c r="V1203" s="23">
        <v>4976.51</v>
      </c>
      <c r="W1203" s="23">
        <v>2777.68</v>
      </c>
      <c r="X1203" s="23" t="s">
        <v>45</v>
      </c>
    </row>
    <row r="1204" spans="1:24" x14ac:dyDescent="0.25">
      <c r="A1204" s="20" t="s">
        <v>1723</v>
      </c>
      <c r="B1204" s="19">
        <v>45349</v>
      </c>
      <c r="C1204" s="20" t="s">
        <v>1724</v>
      </c>
      <c r="D1204" s="20" t="s">
        <v>121</v>
      </c>
      <c r="E1204" s="20" t="s">
        <v>93</v>
      </c>
      <c r="F1204" s="20" t="s">
        <v>2585</v>
      </c>
      <c r="G1204" s="20" t="s">
        <v>2586</v>
      </c>
      <c r="H1204" s="20" t="s">
        <v>96</v>
      </c>
      <c r="I1204" s="20" t="s">
        <v>27</v>
      </c>
      <c r="J1204" s="20" t="s">
        <v>28</v>
      </c>
      <c r="K1204" s="20" t="s">
        <v>170</v>
      </c>
      <c r="L1204" s="20" t="s">
        <v>2671</v>
      </c>
      <c r="M1204" s="20" t="s">
        <v>61</v>
      </c>
      <c r="N1204" s="20" t="s">
        <v>2578</v>
      </c>
      <c r="O1204" s="20">
        <v>3</v>
      </c>
      <c r="P1204" s="20">
        <v>56.84</v>
      </c>
      <c r="Q1204" s="20">
        <v>29.99</v>
      </c>
      <c r="R1204" s="20">
        <v>170.52</v>
      </c>
      <c r="S1204" s="20">
        <v>0.2</v>
      </c>
      <c r="T1204" s="20">
        <v>34.1</v>
      </c>
      <c r="U1204" s="20">
        <v>136.41999999999999</v>
      </c>
      <c r="V1204" s="20">
        <v>89.96</v>
      </c>
      <c r="W1204" s="20">
        <v>46.45</v>
      </c>
      <c r="X1204" s="20" t="s">
        <v>129</v>
      </c>
    </row>
    <row r="1205" spans="1:24" x14ac:dyDescent="0.25">
      <c r="A1205" s="23" t="s">
        <v>1725</v>
      </c>
      <c r="B1205" s="22">
        <v>45531</v>
      </c>
      <c r="C1205" s="23" t="s">
        <v>1317</v>
      </c>
      <c r="D1205" s="23" t="s">
        <v>35</v>
      </c>
      <c r="E1205" s="23" t="s">
        <v>216</v>
      </c>
      <c r="F1205" s="23" t="s">
        <v>2596</v>
      </c>
      <c r="G1205" s="23" t="s">
        <v>2579</v>
      </c>
      <c r="H1205" s="23" t="s">
        <v>134</v>
      </c>
      <c r="I1205" s="23" t="s">
        <v>58</v>
      </c>
      <c r="J1205" s="23" t="s">
        <v>323</v>
      </c>
      <c r="K1205" s="23" t="s">
        <v>74</v>
      </c>
      <c r="L1205" s="23" t="s">
        <v>2682</v>
      </c>
      <c r="M1205" s="23" t="s">
        <v>61</v>
      </c>
      <c r="N1205" s="23" t="s">
        <v>2578</v>
      </c>
      <c r="O1205" s="23">
        <v>34</v>
      </c>
      <c r="P1205" s="23">
        <v>106.23</v>
      </c>
      <c r="Q1205" s="23">
        <v>63.82</v>
      </c>
      <c r="R1205" s="23">
        <v>3611.81</v>
      </c>
      <c r="S1205" s="23">
        <v>0</v>
      </c>
      <c r="T1205" s="23">
        <v>0</v>
      </c>
      <c r="U1205" s="23">
        <v>3611.81</v>
      </c>
      <c r="V1205" s="23">
        <v>2169.83</v>
      </c>
      <c r="W1205" s="23">
        <v>1441.98</v>
      </c>
      <c r="X1205" s="23" t="s">
        <v>45</v>
      </c>
    </row>
    <row r="1206" spans="1:24" x14ac:dyDescent="0.25">
      <c r="A1206" s="20" t="s">
        <v>1726</v>
      </c>
      <c r="B1206" s="19">
        <v>45602</v>
      </c>
      <c r="C1206" s="20" t="s">
        <v>902</v>
      </c>
      <c r="D1206" s="20" t="s">
        <v>35</v>
      </c>
      <c r="E1206" s="20" t="s">
        <v>93</v>
      </c>
      <c r="F1206" s="20" t="s">
        <v>2585</v>
      </c>
      <c r="G1206" s="20" t="s">
        <v>2586</v>
      </c>
      <c r="H1206" s="20" t="s">
        <v>96</v>
      </c>
      <c r="I1206" s="20" t="s">
        <v>27</v>
      </c>
      <c r="J1206" s="20" t="s">
        <v>211</v>
      </c>
      <c r="K1206" s="20" t="s">
        <v>74</v>
      </c>
      <c r="L1206" s="20" t="s">
        <v>2682</v>
      </c>
      <c r="M1206" s="20" t="s">
        <v>43</v>
      </c>
      <c r="N1206" s="20" t="s">
        <v>2578</v>
      </c>
      <c r="O1206" s="20">
        <v>34</v>
      </c>
      <c r="P1206" s="20">
        <v>55.13</v>
      </c>
      <c r="Q1206" s="20">
        <v>32.18</v>
      </c>
      <c r="R1206" s="20">
        <v>1874.49</v>
      </c>
      <c r="S1206" s="20">
        <v>0.02</v>
      </c>
      <c r="T1206" s="20">
        <v>37.49</v>
      </c>
      <c r="U1206" s="20">
        <v>1837</v>
      </c>
      <c r="V1206" s="20">
        <v>1094.19</v>
      </c>
      <c r="W1206" s="20">
        <v>742.81</v>
      </c>
      <c r="X1206" s="20" t="s">
        <v>32</v>
      </c>
    </row>
    <row r="1207" spans="1:24" x14ac:dyDescent="0.25">
      <c r="A1207" s="23" t="s">
        <v>1727</v>
      </c>
      <c r="B1207" s="22">
        <v>45596</v>
      </c>
      <c r="C1207" s="23" t="s">
        <v>1317</v>
      </c>
      <c r="D1207" s="23" t="s">
        <v>35</v>
      </c>
      <c r="E1207" s="23" t="s">
        <v>222</v>
      </c>
      <c r="F1207" s="23" t="s">
        <v>2597</v>
      </c>
      <c r="G1207" s="23" t="s">
        <v>2587</v>
      </c>
      <c r="H1207" s="23" t="s">
        <v>68</v>
      </c>
      <c r="I1207" s="23" t="s">
        <v>88</v>
      </c>
      <c r="J1207" s="23" t="s">
        <v>173</v>
      </c>
      <c r="K1207" s="23" t="s">
        <v>42</v>
      </c>
      <c r="L1207" s="23" t="s">
        <v>2680</v>
      </c>
      <c r="M1207" s="23" t="s">
        <v>61</v>
      </c>
      <c r="N1207" s="23" t="s">
        <v>2578</v>
      </c>
      <c r="O1207" s="23">
        <v>67</v>
      </c>
      <c r="P1207" s="23">
        <v>122.23</v>
      </c>
      <c r="Q1207" s="23">
        <v>78.709999999999994</v>
      </c>
      <c r="R1207" s="23">
        <v>8189.61</v>
      </c>
      <c r="S1207" s="23">
        <v>0.15</v>
      </c>
      <c r="T1207" s="23">
        <v>1228.44</v>
      </c>
      <c r="U1207" s="23">
        <v>6961.17</v>
      </c>
      <c r="V1207" s="23">
        <v>5273.56</v>
      </c>
      <c r="W1207" s="23">
        <v>1687.61</v>
      </c>
      <c r="X1207" s="23" t="s">
        <v>45</v>
      </c>
    </row>
    <row r="1208" spans="1:24" x14ac:dyDescent="0.25">
      <c r="A1208" s="20" t="s">
        <v>1728</v>
      </c>
      <c r="B1208" s="19">
        <v>45425</v>
      </c>
      <c r="C1208" s="20" t="s">
        <v>711</v>
      </c>
      <c r="D1208" s="20" t="s">
        <v>57</v>
      </c>
      <c r="E1208" s="20" t="s">
        <v>165</v>
      </c>
      <c r="F1208" s="20" t="s">
        <v>2592</v>
      </c>
      <c r="G1208" s="20" t="s">
        <v>2586</v>
      </c>
      <c r="H1208" s="20" t="s">
        <v>167</v>
      </c>
      <c r="I1208" s="20" t="s">
        <v>27</v>
      </c>
      <c r="J1208" s="20" t="s">
        <v>106</v>
      </c>
      <c r="K1208" s="20" t="s">
        <v>144</v>
      </c>
      <c r="L1208" s="20" t="s">
        <v>2687</v>
      </c>
      <c r="M1208" s="20" t="s">
        <v>43</v>
      </c>
      <c r="N1208" s="20" t="s">
        <v>2578</v>
      </c>
      <c r="O1208" s="20">
        <v>43</v>
      </c>
      <c r="P1208" s="20">
        <v>39.58</v>
      </c>
      <c r="Q1208" s="20">
        <v>25.68</v>
      </c>
      <c r="R1208" s="20">
        <v>1702.07</v>
      </c>
      <c r="S1208" s="20">
        <v>0.15</v>
      </c>
      <c r="T1208" s="20">
        <v>255.31</v>
      </c>
      <c r="U1208" s="20">
        <v>1446.76</v>
      </c>
      <c r="V1208" s="20">
        <v>1104.44</v>
      </c>
      <c r="W1208" s="20">
        <v>342.32</v>
      </c>
      <c r="X1208" s="20" t="s">
        <v>45</v>
      </c>
    </row>
    <row r="1209" spans="1:24" x14ac:dyDescent="0.25">
      <c r="A1209" s="23" t="s">
        <v>1729</v>
      </c>
      <c r="B1209" s="22">
        <v>45402</v>
      </c>
      <c r="C1209" s="23" t="s">
        <v>707</v>
      </c>
      <c r="D1209" s="23" t="s">
        <v>65</v>
      </c>
      <c r="E1209" s="23" t="s">
        <v>216</v>
      </c>
      <c r="F1209" s="23" t="s">
        <v>2596</v>
      </c>
      <c r="G1209" s="23" t="s">
        <v>2579</v>
      </c>
      <c r="H1209" s="23" t="s">
        <v>134</v>
      </c>
      <c r="I1209" s="23" t="s">
        <v>27</v>
      </c>
      <c r="J1209" s="23" t="s">
        <v>211</v>
      </c>
      <c r="K1209" s="23" t="s">
        <v>90</v>
      </c>
      <c r="L1209" s="23" t="s">
        <v>2684</v>
      </c>
      <c r="M1209" s="23" t="s">
        <v>30</v>
      </c>
      <c r="N1209" s="23" t="s">
        <v>70</v>
      </c>
      <c r="O1209" s="23">
        <v>59</v>
      </c>
      <c r="P1209" s="23">
        <v>109.13</v>
      </c>
      <c r="Q1209" s="23">
        <v>62.85</v>
      </c>
      <c r="R1209" s="23">
        <v>6438.95</v>
      </c>
      <c r="S1209" s="23">
        <v>0.02</v>
      </c>
      <c r="T1209" s="23">
        <v>128.78</v>
      </c>
      <c r="U1209" s="23">
        <v>6310.17</v>
      </c>
      <c r="V1209" s="23">
        <v>3708.38</v>
      </c>
      <c r="W1209" s="23">
        <v>2601.79</v>
      </c>
      <c r="X1209" s="23" t="s">
        <v>129</v>
      </c>
    </row>
    <row r="1210" spans="1:24" x14ac:dyDescent="0.25">
      <c r="A1210" s="20" t="s">
        <v>1730</v>
      </c>
      <c r="B1210" s="19">
        <v>45547</v>
      </c>
      <c r="C1210" s="20" t="s">
        <v>1431</v>
      </c>
      <c r="D1210" s="20" t="s">
        <v>264</v>
      </c>
      <c r="E1210" s="20" t="s">
        <v>132</v>
      </c>
      <c r="F1210" s="20" t="s">
        <v>133</v>
      </c>
      <c r="G1210" s="20" t="s">
        <v>2581</v>
      </c>
      <c r="H1210" s="20" t="s">
        <v>134</v>
      </c>
      <c r="I1210" s="20" t="s">
        <v>53</v>
      </c>
      <c r="J1210" s="20" t="s">
        <v>232</v>
      </c>
      <c r="K1210" s="20" t="s">
        <v>248</v>
      </c>
      <c r="L1210" s="20" t="s">
        <v>2693</v>
      </c>
      <c r="M1210" s="20" t="s">
        <v>153</v>
      </c>
      <c r="N1210" s="20" t="s">
        <v>2578</v>
      </c>
      <c r="O1210" s="20">
        <v>29</v>
      </c>
      <c r="P1210" s="20">
        <v>56.61</v>
      </c>
      <c r="Q1210" s="20">
        <v>33.14</v>
      </c>
      <c r="R1210" s="20">
        <v>1641.7</v>
      </c>
      <c r="S1210" s="20">
        <v>0.1</v>
      </c>
      <c r="T1210" s="20">
        <v>164.17</v>
      </c>
      <c r="U1210" s="20">
        <v>1477.53</v>
      </c>
      <c r="V1210" s="20">
        <v>961.18</v>
      </c>
      <c r="W1210" s="20">
        <v>516.36</v>
      </c>
      <c r="X1210" s="20" t="s">
        <v>45</v>
      </c>
    </row>
    <row r="1211" spans="1:24" x14ac:dyDescent="0.25">
      <c r="A1211" s="23" t="s">
        <v>1731</v>
      </c>
      <c r="B1211" s="22">
        <v>45407</v>
      </c>
      <c r="C1211" s="23" t="s">
        <v>314</v>
      </c>
      <c r="D1211" s="23" t="s">
        <v>163</v>
      </c>
      <c r="E1211" s="23" t="s">
        <v>109</v>
      </c>
      <c r="F1211" s="23" t="s">
        <v>110</v>
      </c>
      <c r="G1211" s="23" t="s">
        <v>2584</v>
      </c>
      <c r="H1211" s="23" t="s">
        <v>81</v>
      </c>
      <c r="I1211" s="23" t="s">
        <v>27</v>
      </c>
      <c r="J1211" s="23" t="s">
        <v>189</v>
      </c>
      <c r="K1211" s="23" t="s">
        <v>261</v>
      </c>
      <c r="L1211" s="23" t="s">
        <v>2695</v>
      </c>
      <c r="M1211" s="23" t="s">
        <v>61</v>
      </c>
      <c r="N1211" s="23" t="s">
        <v>44</v>
      </c>
      <c r="O1211" s="23">
        <v>42</v>
      </c>
      <c r="P1211" s="23">
        <v>124.45</v>
      </c>
      <c r="Q1211" s="23">
        <v>78.5</v>
      </c>
      <c r="R1211" s="23">
        <v>5226.72</v>
      </c>
      <c r="S1211" s="23">
        <v>0.1</v>
      </c>
      <c r="T1211" s="23">
        <v>522.66999999999996</v>
      </c>
      <c r="U1211" s="23">
        <v>4704.05</v>
      </c>
      <c r="V1211" s="23">
        <v>3297.04</v>
      </c>
      <c r="W1211" s="23">
        <v>1407</v>
      </c>
      <c r="X1211" s="23" t="s">
        <v>129</v>
      </c>
    </row>
    <row r="1212" spans="1:24" x14ac:dyDescent="0.25">
      <c r="A1212" s="20" t="s">
        <v>1732</v>
      </c>
      <c r="B1212" s="19">
        <v>45537</v>
      </c>
      <c r="C1212" s="20" t="s">
        <v>938</v>
      </c>
      <c r="D1212" s="20" t="s">
        <v>156</v>
      </c>
      <c r="E1212" s="20" t="s">
        <v>36</v>
      </c>
      <c r="F1212" s="20" t="s">
        <v>37</v>
      </c>
      <c r="G1212" s="20" t="s">
        <v>2579</v>
      </c>
      <c r="H1212" s="20" t="s">
        <v>39</v>
      </c>
      <c r="I1212" s="20" t="s">
        <v>40</v>
      </c>
      <c r="J1212" s="20" t="s">
        <v>41</v>
      </c>
      <c r="K1212" s="20" t="s">
        <v>178</v>
      </c>
      <c r="L1212" s="20" t="s">
        <v>2689</v>
      </c>
      <c r="M1212" s="20" t="s">
        <v>30</v>
      </c>
      <c r="N1212" s="20" t="s">
        <v>70</v>
      </c>
      <c r="O1212" s="20">
        <v>45</v>
      </c>
      <c r="P1212" s="20">
        <v>165.51</v>
      </c>
      <c r="Q1212" s="20">
        <v>100.71</v>
      </c>
      <c r="R1212" s="20">
        <v>7447.84</v>
      </c>
      <c r="S1212" s="20">
        <v>0</v>
      </c>
      <c r="T1212" s="20">
        <v>0</v>
      </c>
      <c r="U1212" s="20">
        <v>7447.84</v>
      </c>
      <c r="V1212" s="20">
        <v>4531.8100000000004</v>
      </c>
      <c r="W1212" s="20">
        <v>2916.03</v>
      </c>
      <c r="X1212" s="20" t="s">
        <v>32</v>
      </c>
    </row>
    <row r="1213" spans="1:24" x14ac:dyDescent="0.25">
      <c r="A1213" s="23" t="s">
        <v>1733</v>
      </c>
      <c r="B1213" s="22">
        <v>45438</v>
      </c>
      <c r="C1213" s="23" t="s">
        <v>77</v>
      </c>
      <c r="D1213" s="23" t="s">
        <v>22</v>
      </c>
      <c r="E1213" s="23" t="s">
        <v>114</v>
      </c>
      <c r="F1213" s="23" t="s">
        <v>2588</v>
      </c>
      <c r="G1213" s="23" t="s">
        <v>2586</v>
      </c>
      <c r="H1213" s="23" t="s">
        <v>116</v>
      </c>
      <c r="I1213" s="23" t="s">
        <v>40</v>
      </c>
      <c r="J1213" s="23" t="s">
        <v>82</v>
      </c>
      <c r="K1213" s="23" t="s">
        <v>195</v>
      </c>
      <c r="L1213" s="23" t="s">
        <v>2691</v>
      </c>
      <c r="M1213" s="23" t="s">
        <v>61</v>
      </c>
      <c r="N1213" s="23" t="s">
        <v>44</v>
      </c>
      <c r="O1213" s="23">
        <v>30</v>
      </c>
      <c r="P1213" s="23">
        <v>32.229999999999997</v>
      </c>
      <c r="Q1213" s="23">
        <v>19.86</v>
      </c>
      <c r="R1213" s="23">
        <v>966.85</v>
      </c>
      <c r="S1213" s="23">
        <v>0.15</v>
      </c>
      <c r="T1213" s="23">
        <v>145.03</v>
      </c>
      <c r="U1213" s="23">
        <v>821.82</v>
      </c>
      <c r="V1213" s="23">
        <v>595.80999999999995</v>
      </c>
      <c r="W1213" s="23">
        <v>226.01</v>
      </c>
      <c r="X1213" s="23" t="s">
        <v>45</v>
      </c>
    </row>
    <row r="1214" spans="1:24" x14ac:dyDescent="0.25">
      <c r="A1214" s="20" t="s">
        <v>1734</v>
      </c>
      <c r="B1214" s="19">
        <v>45300</v>
      </c>
      <c r="C1214" s="20" t="s">
        <v>1362</v>
      </c>
      <c r="D1214" s="20" t="s">
        <v>57</v>
      </c>
      <c r="E1214" s="20" t="s">
        <v>222</v>
      </c>
      <c r="F1214" s="20" t="s">
        <v>2597</v>
      </c>
      <c r="G1214" s="20" t="s">
        <v>2587</v>
      </c>
      <c r="H1214" s="20" t="s">
        <v>68</v>
      </c>
      <c r="I1214" s="20" t="s">
        <v>27</v>
      </c>
      <c r="J1214" s="20" t="s">
        <v>28</v>
      </c>
      <c r="K1214" s="20" t="s">
        <v>29</v>
      </c>
      <c r="L1214" s="20" t="s">
        <v>2679</v>
      </c>
      <c r="M1214" s="20" t="s">
        <v>61</v>
      </c>
      <c r="N1214" s="20" t="s">
        <v>2578</v>
      </c>
      <c r="O1214" s="20">
        <v>62</v>
      </c>
      <c r="P1214" s="20">
        <v>118.95</v>
      </c>
      <c r="Q1214" s="20">
        <v>78.180000000000007</v>
      </c>
      <c r="R1214" s="20">
        <v>7374.89</v>
      </c>
      <c r="S1214" s="20">
        <v>0.05</v>
      </c>
      <c r="T1214" s="20">
        <v>368.74</v>
      </c>
      <c r="U1214" s="20">
        <v>7006.15</v>
      </c>
      <c r="V1214" s="20">
        <v>4847.47</v>
      </c>
      <c r="W1214" s="20">
        <v>2158.6799999999998</v>
      </c>
      <c r="X1214" s="20" t="s">
        <v>32</v>
      </c>
    </row>
    <row r="1215" spans="1:24" x14ac:dyDescent="0.25">
      <c r="A1215" s="23" t="s">
        <v>1638</v>
      </c>
      <c r="B1215" s="22">
        <v>45374</v>
      </c>
      <c r="C1215" s="23" t="s">
        <v>1493</v>
      </c>
      <c r="D1215" s="23" t="s">
        <v>159</v>
      </c>
      <c r="E1215" s="23" t="s">
        <v>109</v>
      </c>
      <c r="F1215" s="23" t="s">
        <v>110</v>
      </c>
      <c r="G1215" s="23" t="s">
        <v>2584</v>
      </c>
      <c r="H1215" s="23" t="s">
        <v>81</v>
      </c>
      <c r="I1215" s="23" t="s">
        <v>88</v>
      </c>
      <c r="J1215" s="23" t="s">
        <v>173</v>
      </c>
      <c r="K1215" s="23" t="s">
        <v>261</v>
      </c>
      <c r="L1215" s="23" t="s">
        <v>2695</v>
      </c>
      <c r="M1215" s="23" t="s">
        <v>30</v>
      </c>
      <c r="N1215" s="23" t="s">
        <v>70</v>
      </c>
      <c r="O1215" s="23">
        <v>12</v>
      </c>
      <c r="P1215" s="23">
        <v>118.77</v>
      </c>
      <c r="Q1215" s="23">
        <v>76.040000000000006</v>
      </c>
      <c r="R1215" s="23">
        <v>1425.25</v>
      </c>
      <c r="S1215" s="23">
        <v>0.15</v>
      </c>
      <c r="T1215" s="23">
        <v>213.79</v>
      </c>
      <c r="U1215" s="23">
        <v>1211.46</v>
      </c>
      <c r="V1215" s="23">
        <v>912.5</v>
      </c>
      <c r="W1215" s="23">
        <v>298.95999999999998</v>
      </c>
      <c r="X1215" s="23" t="s">
        <v>45</v>
      </c>
    </row>
    <row r="1216" spans="1:24" x14ac:dyDescent="0.25">
      <c r="A1216" s="20" t="s">
        <v>1735</v>
      </c>
      <c r="B1216" s="19">
        <v>45355</v>
      </c>
      <c r="C1216" s="20" t="s">
        <v>124</v>
      </c>
      <c r="D1216" s="20" t="s">
        <v>125</v>
      </c>
      <c r="E1216" s="20" t="s">
        <v>109</v>
      </c>
      <c r="F1216" s="20" t="s">
        <v>110</v>
      </c>
      <c r="G1216" s="20" t="s">
        <v>2584</v>
      </c>
      <c r="H1216" s="20" t="s">
        <v>81</v>
      </c>
      <c r="I1216" s="20" t="s">
        <v>88</v>
      </c>
      <c r="J1216" s="20" t="s">
        <v>173</v>
      </c>
      <c r="K1216" s="20" t="s">
        <v>248</v>
      </c>
      <c r="L1216" s="20" t="s">
        <v>2693</v>
      </c>
      <c r="M1216" s="20" t="s">
        <v>43</v>
      </c>
      <c r="N1216" s="20" t="s">
        <v>75</v>
      </c>
      <c r="O1216" s="20">
        <v>60</v>
      </c>
      <c r="P1216" s="20">
        <v>120.26</v>
      </c>
      <c r="Q1216" s="20">
        <v>72.34</v>
      </c>
      <c r="R1216" s="20">
        <v>7215.74</v>
      </c>
      <c r="S1216" s="20">
        <v>0.05</v>
      </c>
      <c r="T1216" s="20">
        <v>360.79</v>
      </c>
      <c r="U1216" s="20">
        <v>6854.95</v>
      </c>
      <c r="V1216" s="20">
        <v>4340.6400000000003</v>
      </c>
      <c r="W1216" s="20">
        <v>2514.31</v>
      </c>
      <c r="X1216" s="20" t="s">
        <v>129</v>
      </c>
    </row>
    <row r="1217" spans="1:24" x14ac:dyDescent="0.25">
      <c r="A1217" s="23" t="s">
        <v>1736</v>
      </c>
      <c r="B1217" s="22">
        <v>45642</v>
      </c>
      <c r="C1217" s="23" t="s">
        <v>367</v>
      </c>
      <c r="D1217" s="23" t="s">
        <v>105</v>
      </c>
      <c r="E1217" s="23" t="s">
        <v>250</v>
      </c>
      <c r="F1217" s="23" t="s">
        <v>2598</v>
      </c>
      <c r="G1217" s="23" t="s">
        <v>2581</v>
      </c>
      <c r="H1217" s="23" t="s">
        <v>252</v>
      </c>
      <c r="I1217" s="23" t="s">
        <v>27</v>
      </c>
      <c r="J1217" s="23" t="s">
        <v>106</v>
      </c>
      <c r="K1217" s="23" t="s">
        <v>118</v>
      </c>
      <c r="L1217" s="23" t="s">
        <v>2686</v>
      </c>
      <c r="M1217" s="23" t="s">
        <v>153</v>
      </c>
      <c r="N1217" s="23" t="s">
        <v>44</v>
      </c>
      <c r="O1217" s="23">
        <v>77</v>
      </c>
      <c r="P1217" s="23">
        <v>62.17</v>
      </c>
      <c r="Q1217" s="23">
        <v>37.56</v>
      </c>
      <c r="R1217" s="23">
        <v>4787.13</v>
      </c>
      <c r="S1217" s="23">
        <v>0</v>
      </c>
      <c r="T1217" s="23">
        <v>0</v>
      </c>
      <c r="U1217" s="23">
        <v>4787.13</v>
      </c>
      <c r="V1217" s="23">
        <v>2891.87</v>
      </c>
      <c r="W1217" s="23">
        <v>1895.26</v>
      </c>
      <c r="X1217" s="23" t="s">
        <v>45</v>
      </c>
    </row>
    <row r="1218" spans="1:24" x14ac:dyDescent="0.25">
      <c r="A1218" s="20" t="s">
        <v>1737</v>
      </c>
      <c r="B1218" s="19">
        <v>45448</v>
      </c>
      <c r="C1218" s="20" t="s">
        <v>567</v>
      </c>
      <c r="D1218" s="20" t="s">
        <v>22</v>
      </c>
      <c r="E1218" s="20" t="s">
        <v>66</v>
      </c>
      <c r="F1218" s="20" t="s">
        <v>2582</v>
      </c>
      <c r="G1218" s="20" t="s">
        <v>2579</v>
      </c>
      <c r="H1218" s="20" t="s">
        <v>68</v>
      </c>
      <c r="I1218" s="20" t="s">
        <v>58</v>
      </c>
      <c r="J1218" s="20" t="s">
        <v>323</v>
      </c>
      <c r="K1218" s="20" t="s">
        <v>29</v>
      </c>
      <c r="L1218" s="20" t="s">
        <v>2679</v>
      </c>
      <c r="M1218" s="20" t="s">
        <v>61</v>
      </c>
      <c r="N1218" s="20" t="s">
        <v>44</v>
      </c>
      <c r="O1218" s="20">
        <v>59</v>
      </c>
      <c r="P1218" s="20">
        <v>158.44999999999999</v>
      </c>
      <c r="Q1218" s="20">
        <v>97.44</v>
      </c>
      <c r="R1218" s="20">
        <v>9348.64</v>
      </c>
      <c r="S1218" s="20">
        <v>0.02</v>
      </c>
      <c r="T1218" s="20">
        <v>186.97</v>
      </c>
      <c r="U1218" s="20">
        <v>9161.67</v>
      </c>
      <c r="V1218" s="20">
        <v>5748.86</v>
      </c>
      <c r="W1218" s="20">
        <v>3412.81</v>
      </c>
      <c r="X1218" s="20" t="s">
        <v>32</v>
      </c>
    </row>
    <row r="1219" spans="1:24" x14ac:dyDescent="0.25">
      <c r="A1219" s="23" t="s">
        <v>1738</v>
      </c>
      <c r="B1219" s="22">
        <v>45470</v>
      </c>
      <c r="C1219" s="23" t="s">
        <v>1013</v>
      </c>
      <c r="D1219" s="23" t="s">
        <v>48</v>
      </c>
      <c r="E1219" s="23" t="s">
        <v>66</v>
      </c>
      <c r="F1219" s="23" t="s">
        <v>2582</v>
      </c>
      <c r="G1219" s="23" t="s">
        <v>2579</v>
      </c>
      <c r="H1219" s="23" t="s">
        <v>68</v>
      </c>
      <c r="I1219" s="23" t="s">
        <v>40</v>
      </c>
      <c r="J1219" s="23" t="s">
        <v>41</v>
      </c>
      <c r="K1219" s="23" t="s">
        <v>261</v>
      </c>
      <c r="L1219" s="23" t="s">
        <v>2695</v>
      </c>
      <c r="M1219" s="23" t="s">
        <v>43</v>
      </c>
      <c r="N1219" s="23" t="s">
        <v>2578</v>
      </c>
      <c r="O1219" s="23">
        <v>71</v>
      </c>
      <c r="P1219" s="23">
        <v>149.15</v>
      </c>
      <c r="Q1219" s="23">
        <v>100.25</v>
      </c>
      <c r="R1219" s="23">
        <v>10589.77</v>
      </c>
      <c r="S1219" s="23">
        <v>0.02</v>
      </c>
      <c r="T1219" s="23">
        <v>211.8</v>
      </c>
      <c r="U1219" s="23">
        <v>10377.98</v>
      </c>
      <c r="V1219" s="23">
        <v>7117.83</v>
      </c>
      <c r="W1219" s="23">
        <v>3260.15</v>
      </c>
      <c r="X1219" s="23" t="s">
        <v>32</v>
      </c>
    </row>
    <row r="1220" spans="1:24" x14ac:dyDescent="0.25">
      <c r="A1220" s="20" t="s">
        <v>1739</v>
      </c>
      <c r="B1220" s="19">
        <v>45562</v>
      </c>
      <c r="C1220" s="20" t="s">
        <v>572</v>
      </c>
      <c r="D1220" s="20" t="s">
        <v>57</v>
      </c>
      <c r="E1220" s="20" t="s">
        <v>150</v>
      </c>
      <c r="F1220" s="20" t="s">
        <v>2591</v>
      </c>
      <c r="G1220" s="20" t="s">
        <v>2587</v>
      </c>
      <c r="H1220" s="20" t="s">
        <v>134</v>
      </c>
      <c r="I1220" s="20" t="s">
        <v>40</v>
      </c>
      <c r="J1220" s="20" t="s">
        <v>82</v>
      </c>
      <c r="K1220" s="20" t="s">
        <v>170</v>
      </c>
      <c r="L1220" s="20" t="s">
        <v>2671</v>
      </c>
      <c r="M1220" s="20" t="s">
        <v>43</v>
      </c>
      <c r="N1220" s="20" t="s">
        <v>84</v>
      </c>
      <c r="O1220" s="20">
        <v>17</v>
      </c>
      <c r="P1220" s="20">
        <v>91.61</v>
      </c>
      <c r="Q1220" s="20">
        <v>53.07</v>
      </c>
      <c r="R1220" s="20">
        <v>1557.36</v>
      </c>
      <c r="S1220" s="20">
        <v>0.2</v>
      </c>
      <c r="T1220" s="20">
        <v>311.47000000000003</v>
      </c>
      <c r="U1220" s="20">
        <v>1245.8900000000001</v>
      </c>
      <c r="V1220" s="20">
        <v>902.15</v>
      </c>
      <c r="W1220" s="20">
        <v>343.74</v>
      </c>
      <c r="X1220" s="20" t="s">
        <v>45</v>
      </c>
    </row>
    <row r="1221" spans="1:24" x14ac:dyDescent="0.25">
      <c r="A1221" s="23" t="s">
        <v>1740</v>
      </c>
      <c r="B1221" s="22">
        <v>45478</v>
      </c>
      <c r="C1221" s="23" t="s">
        <v>392</v>
      </c>
      <c r="D1221" s="23" t="s">
        <v>393</v>
      </c>
      <c r="E1221" s="23" t="s">
        <v>126</v>
      </c>
      <c r="F1221" s="23" t="s">
        <v>2589</v>
      </c>
      <c r="G1221" s="23" t="s">
        <v>2586</v>
      </c>
      <c r="H1221" s="23" t="s">
        <v>128</v>
      </c>
      <c r="I1221" s="23" t="s">
        <v>53</v>
      </c>
      <c r="J1221" s="23" t="s">
        <v>232</v>
      </c>
      <c r="K1221" s="23" t="s">
        <v>111</v>
      </c>
      <c r="L1221" s="23" t="s">
        <v>2685</v>
      </c>
      <c r="M1221" s="23" t="s">
        <v>153</v>
      </c>
      <c r="N1221" s="23" t="s">
        <v>44</v>
      </c>
      <c r="O1221" s="23">
        <v>48</v>
      </c>
      <c r="P1221" s="23">
        <v>83.24</v>
      </c>
      <c r="Q1221" s="23">
        <v>49.08</v>
      </c>
      <c r="R1221" s="23">
        <v>3995.48</v>
      </c>
      <c r="S1221" s="23">
        <v>0.05</v>
      </c>
      <c r="T1221" s="23">
        <v>199.77</v>
      </c>
      <c r="U1221" s="23">
        <v>3795.71</v>
      </c>
      <c r="V1221" s="23">
        <v>2355.6799999999998</v>
      </c>
      <c r="W1221" s="23">
        <v>1440.03</v>
      </c>
      <c r="X1221" s="23" t="s">
        <v>45</v>
      </c>
    </row>
    <row r="1222" spans="1:24" x14ac:dyDescent="0.25">
      <c r="A1222" s="20" t="s">
        <v>1741</v>
      </c>
      <c r="B1222" s="19">
        <v>45376</v>
      </c>
      <c r="C1222" s="20" t="s">
        <v>600</v>
      </c>
      <c r="D1222" s="20" t="s">
        <v>87</v>
      </c>
      <c r="E1222" s="20" t="s">
        <v>222</v>
      </c>
      <c r="F1222" s="20" t="s">
        <v>2597</v>
      </c>
      <c r="G1222" s="20" t="s">
        <v>2587</v>
      </c>
      <c r="H1222" s="20" t="s">
        <v>68</v>
      </c>
      <c r="I1222" s="20" t="s">
        <v>58</v>
      </c>
      <c r="J1222" s="20" t="s">
        <v>73</v>
      </c>
      <c r="K1222" s="20" t="s">
        <v>90</v>
      </c>
      <c r="L1222" s="20" t="s">
        <v>2684</v>
      </c>
      <c r="M1222" s="20" t="s">
        <v>61</v>
      </c>
      <c r="N1222" s="20" t="s">
        <v>2578</v>
      </c>
      <c r="O1222" s="20">
        <v>40</v>
      </c>
      <c r="P1222" s="20">
        <v>115.76</v>
      </c>
      <c r="Q1222" s="20">
        <v>79.78</v>
      </c>
      <c r="R1222" s="20">
        <v>4630.4799999999996</v>
      </c>
      <c r="S1222" s="20">
        <v>0.15</v>
      </c>
      <c r="T1222" s="20">
        <v>694.57</v>
      </c>
      <c r="U1222" s="20">
        <v>3935.91</v>
      </c>
      <c r="V1222" s="20">
        <v>3191.33</v>
      </c>
      <c r="W1222" s="20">
        <v>744.58</v>
      </c>
      <c r="X1222" s="20" t="s">
        <v>45</v>
      </c>
    </row>
    <row r="1223" spans="1:24" x14ac:dyDescent="0.25">
      <c r="A1223" s="23" t="s">
        <v>1742</v>
      </c>
      <c r="B1223" s="22">
        <v>45482</v>
      </c>
      <c r="C1223" s="23" t="s">
        <v>475</v>
      </c>
      <c r="D1223" s="23" t="s">
        <v>57</v>
      </c>
      <c r="E1223" s="23" t="s">
        <v>23</v>
      </c>
      <c r="F1223" s="23" t="s">
        <v>2576</v>
      </c>
      <c r="G1223" s="23" t="s">
        <v>2577</v>
      </c>
      <c r="H1223" s="23" t="s">
        <v>26</v>
      </c>
      <c r="I1223" s="23" t="s">
        <v>53</v>
      </c>
      <c r="J1223" s="23" t="s">
        <v>54</v>
      </c>
      <c r="K1223" s="23" t="s">
        <v>248</v>
      </c>
      <c r="L1223" s="23" t="s">
        <v>2693</v>
      </c>
      <c r="M1223" s="23" t="s">
        <v>43</v>
      </c>
      <c r="N1223" s="23" t="s">
        <v>2578</v>
      </c>
      <c r="O1223" s="23">
        <v>34</v>
      </c>
      <c r="P1223" s="23">
        <v>73.61</v>
      </c>
      <c r="Q1223" s="23">
        <v>44.31</v>
      </c>
      <c r="R1223" s="23">
        <v>2502.63</v>
      </c>
      <c r="S1223" s="23">
        <v>0.15</v>
      </c>
      <c r="T1223" s="23">
        <v>375.39</v>
      </c>
      <c r="U1223" s="23">
        <v>2127.23</v>
      </c>
      <c r="V1223" s="23">
        <v>1506.42</v>
      </c>
      <c r="W1223" s="23">
        <v>620.80999999999995</v>
      </c>
      <c r="X1223" s="23" t="s">
        <v>45</v>
      </c>
    </row>
    <row r="1224" spans="1:24" x14ac:dyDescent="0.25">
      <c r="A1224" s="20" t="s">
        <v>1743</v>
      </c>
      <c r="B1224" s="19">
        <v>45455</v>
      </c>
      <c r="C1224" s="20" t="s">
        <v>1744</v>
      </c>
      <c r="D1224" s="20" t="s">
        <v>121</v>
      </c>
      <c r="E1224" s="20" t="s">
        <v>126</v>
      </c>
      <c r="F1224" s="20" t="s">
        <v>2589</v>
      </c>
      <c r="G1224" s="20" t="s">
        <v>2586</v>
      </c>
      <c r="H1224" s="20" t="s">
        <v>128</v>
      </c>
      <c r="I1224" s="20" t="s">
        <v>27</v>
      </c>
      <c r="J1224" s="20" t="s">
        <v>189</v>
      </c>
      <c r="K1224" s="20" t="s">
        <v>152</v>
      </c>
      <c r="L1224" s="20" t="s">
        <v>2688</v>
      </c>
      <c r="M1224" s="20" t="s">
        <v>43</v>
      </c>
      <c r="N1224" s="20" t="s">
        <v>44</v>
      </c>
      <c r="O1224" s="20">
        <v>76</v>
      </c>
      <c r="P1224" s="20">
        <v>93.3</v>
      </c>
      <c r="Q1224" s="20">
        <v>56.96</v>
      </c>
      <c r="R1224" s="20">
        <v>7090.99</v>
      </c>
      <c r="S1224" s="20">
        <v>0.05</v>
      </c>
      <c r="T1224" s="20">
        <v>354.55</v>
      </c>
      <c r="U1224" s="20">
        <v>6736.45</v>
      </c>
      <c r="V1224" s="20">
        <v>4328.87</v>
      </c>
      <c r="W1224" s="20">
        <v>2407.5700000000002</v>
      </c>
      <c r="X1224" s="20" t="s">
        <v>45</v>
      </c>
    </row>
    <row r="1225" spans="1:24" x14ac:dyDescent="0.25">
      <c r="A1225" s="23" t="s">
        <v>1745</v>
      </c>
      <c r="B1225" s="22">
        <v>45328</v>
      </c>
      <c r="C1225" s="23" t="s">
        <v>499</v>
      </c>
      <c r="D1225" s="23" t="s">
        <v>87</v>
      </c>
      <c r="E1225" s="23" t="s">
        <v>132</v>
      </c>
      <c r="F1225" s="23" t="s">
        <v>133</v>
      </c>
      <c r="G1225" s="23" t="s">
        <v>2581</v>
      </c>
      <c r="H1225" s="23" t="s">
        <v>134</v>
      </c>
      <c r="I1225" s="23" t="s">
        <v>27</v>
      </c>
      <c r="J1225" s="23" t="s">
        <v>106</v>
      </c>
      <c r="K1225" s="23" t="s">
        <v>265</v>
      </c>
      <c r="L1225" s="23" t="s">
        <v>2663</v>
      </c>
      <c r="M1225" s="23" t="s">
        <v>30</v>
      </c>
      <c r="N1225" s="23" t="s">
        <v>75</v>
      </c>
      <c r="O1225" s="23">
        <v>54</v>
      </c>
      <c r="P1225" s="23">
        <v>56.54</v>
      </c>
      <c r="Q1225" s="23">
        <v>32.79</v>
      </c>
      <c r="R1225" s="23">
        <v>3053.39</v>
      </c>
      <c r="S1225" s="23">
        <v>0.15</v>
      </c>
      <c r="T1225" s="23">
        <v>458.01</v>
      </c>
      <c r="U1225" s="23">
        <v>2595.38</v>
      </c>
      <c r="V1225" s="23">
        <v>1770.44</v>
      </c>
      <c r="W1225" s="23">
        <v>824.94</v>
      </c>
      <c r="X1225" s="23" t="s">
        <v>45</v>
      </c>
    </row>
    <row r="1226" spans="1:24" x14ac:dyDescent="0.25">
      <c r="A1226" s="20" t="s">
        <v>1746</v>
      </c>
      <c r="B1226" s="19">
        <v>45357</v>
      </c>
      <c r="C1226" s="20" t="s">
        <v>1469</v>
      </c>
      <c r="D1226" s="20" t="s">
        <v>121</v>
      </c>
      <c r="E1226" s="20" t="s">
        <v>36</v>
      </c>
      <c r="F1226" s="20" t="s">
        <v>37</v>
      </c>
      <c r="G1226" s="20" t="s">
        <v>2579</v>
      </c>
      <c r="H1226" s="20" t="s">
        <v>39</v>
      </c>
      <c r="I1226" s="20" t="s">
        <v>88</v>
      </c>
      <c r="J1226" s="20" t="s">
        <v>183</v>
      </c>
      <c r="K1226" s="20" t="s">
        <v>195</v>
      </c>
      <c r="L1226" s="20" t="s">
        <v>2691</v>
      </c>
      <c r="M1226" s="20" t="s">
        <v>153</v>
      </c>
      <c r="N1226" s="20" t="s">
        <v>84</v>
      </c>
      <c r="O1226" s="20">
        <v>16</v>
      </c>
      <c r="P1226" s="20">
        <v>162.41999999999999</v>
      </c>
      <c r="Q1226" s="20">
        <v>105.09</v>
      </c>
      <c r="R1226" s="20">
        <v>2598.7800000000002</v>
      </c>
      <c r="S1226" s="20">
        <v>0.2</v>
      </c>
      <c r="T1226" s="20">
        <v>519.76</v>
      </c>
      <c r="U1226" s="20">
        <v>2079.02</v>
      </c>
      <c r="V1226" s="20">
        <v>1681.47</v>
      </c>
      <c r="W1226" s="20">
        <v>397.55</v>
      </c>
      <c r="X1226" s="20" t="s">
        <v>45</v>
      </c>
    </row>
    <row r="1227" spans="1:24" x14ac:dyDescent="0.25">
      <c r="A1227" s="23" t="s">
        <v>1747</v>
      </c>
      <c r="B1227" s="22">
        <v>45380</v>
      </c>
      <c r="C1227" s="23" t="s">
        <v>1368</v>
      </c>
      <c r="D1227" s="23" t="s">
        <v>22</v>
      </c>
      <c r="E1227" s="23" t="s">
        <v>114</v>
      </c>
      <c r="F1227" s="23" t="s">
        <v>2588</v>
      </c>
      <c r="G1227" s="23" t="s">
        <v>2586</v>
      </c>
      <c r="H1227" s="23" t="s">
        <v>116</v>
      </c>
      <c r="I1227" s="23" t="s">
        <v>40</v>
      </c>
      <c r="J1227" s="23" t="s">
        <v>41</v>
      </c>
      <c r="K1227" s="23" t="s">
        <v>253</v>
      </c>
      <c r="L1227" s="23" t="s">
        <v>2694</v>
      </c>
      <c r="M1227" s="23" t="s">
        <v>30</v>
      </c>
      <c r="N1227" s="23" t="s">
        <v>44</v>
      </c>
      <c r="O1227" s="23">
        <v>5</v>
      </c>
      <c r="P1227" s="23">
        <v>33.29</v>
      </c>
      <c r="Q1227" s="23">
        <v>20.96</v>
      </c>
      <c r="R1227" s="23">
        <v>166.46</v>
      </c>
      <c r="S1227" s="23">
        <v>0</v>
      </c>
      <c r="T1227" s="23">
        <v>0</v>
      </c>
      <c r="U1227" s="23">
        <v>166.46</v>
      </c>
      <c r="V1227" s="23">
        <v>104.82</v>
      </c>
      <c r="W1227" s="23">
        <v>61.64</v>
      </c>
      <c r="X1227" s="23" t="s">
        <v>129</v>
      </c>
    </row>
    <row r="1228" spans="1:24" x14ac:dyDescent="0.25">
      <c r="A1228" s="20" t="s">
        <v>1748</v>
      </c>
      <c r="B1228" s="19">
        <v>45412</v>
      </c>
      <c r="C1228" s="20" t="s">
        <v>531</v>
      </c>
      <c r="D1228" s="20" t="s">
        <v>264</v>
      </c>
      <c r="E1228" s="20" t="s">
        <v>126</v>
      </c>
      <c r="F1228" s="20" t="s">
        <v>2589</v>
      </c>
      <c r="G1228" s="20" t="s">
        <v>2586</v>
      </c>
      <c r="H1228" s="20" t="s">
        <v>128</v>
      </c>
      <c r="I1228" s="20" t="s">
        <v>88</v>
      </c>
      <c r="J1228" s="20" t="s">
        <v>173</v>
      </c>
      <c r="K1228" s="20" t="s">
        <v>253</v>
      </c>
      <c r="L1228" s="20" t="s">
        <v>2694</v>
      </c>
      <c r="M1228" s="20" t="s">
        <v>61</v>
      </c>
      <c r="N1228" s="20" t="s">
        <v>70</v>
      </c>
      <c r="O1228" s="20">
        <v>63</v>
      </c>
      <c r="P1228" s="20">
        <v>95.11</v>
      </c>
      <c r="Q1228" s="20">
        <v>56.24</v>
      </c>
      <c r="R1228" s="20">
        <v>5992.03</v>
      </c>
      <c r="S1228" s="20">
        <v>0.1</v>
      </c>
      <c r="T1228" s="20">
        <v>599.20000000000005</v>
      </c>
      <c r="U1228" s="20">
        <v>5392.83</v>
      </c>
      <c r="V1228" s="20">
        <v>3543.38</v>
      </c>
      <c r="W1228" s="20">
        <v>1849.45</v>
      </c>
      <c r="X1228" s="20" t="s">
        <v>45</v>
      </c>
    </row>
    <row r="1229" spans="1:24" x14ac:dyDescent="0.25">
      <c r="A1229" s="23" t="s">
        <v>1749</v>
      </c>
      <c r="B1229" s="22">
        <v>45434</v>
      </c>
      <c r="C1229" s="23" t="s">
        <v>442</v>
      </c>
      <c r="D1229" s="23" t="s">
        <v>87</v>
      </c>
      <c r="E1229" s="23" t="s">
        <v>216</v>
      </c>
      <c r="F1229" s="23" t="s">
        <v>2596</v>
      </c>
      <c r="G1229" s="23" t="s">
        <v>2579</v>
      </c>
      <c r="H1229" s="23" t="s">
        <v>134</v>
      </c>
      <c r="I1229" s="23" t="s">
        <v>88</v>
      </c>
      <c r="J1229" s="23" t="s">
        <v>2112</v>
      </c>
      <c r="K1229" s="23" t="s">
        <v>69</v>
      </c>
      <c r="L1229" s="23" t="s">
        <v>2681</v>
      </c>
      <c r="M1229" s="23" t="s">
        <v>153</v>
      </c>
      <c r="N1229" s="23" t="s">
        <v>2578</v>
      </c>
      <c r="O1229" s="23">
        <v>78</v>
      </c>
      <c r="P1229" s="23">
        <v>114.38</v>
      </c>
      <c r="Q1229" s="23">
        <v>65.040000000000006</v>
      </c>
      <c r="R1229" s="23">
        <v>8921.34</v>
      </c>
      <c r="S1229" s="23">
        <v>0.2</v>
      </c>
      <c r="T1229" s="23">
        <v>1784.27</v>
      </c>
      <c r="U1229" s="23">
        <v>7137.07</v>
      </c>
      <c r="V1229" s="23">
        <v>5073.47</v>
      </c>
      <c r="W1229" s="23">
        <v>2063.6</v>
      </c>
      <c r="X1229" s="23" t="s">
        <v>45</v>
      </c>
    </row>
    <row r="1230" spans="1:24" x14ac:dyDescent="0.25">
      <c r="A1230" s="20" t="s">
        <v>1750</v>
      </c>
      <c r="B1230" s="19">
        <v>45363</v>
      </c>
      <c r="C1230" s="20" t="s">
        <v>524</v>
      </c>
      <c r="D1230" s="20" t="s">
        <v>125</v>
      </c>
      <c r="E1230" s="20" t="s">
        <v>126</v>
      </c>
      <c r="F1230" s="20" t="s">
        <v>2589</v>
      </c>
      <c r="G1230" s="20" t="s">
        <v>2586</v>
      </c>
      <c r="H1230" s="20" t="s">
        <v>128</v>
      </c>
      <c r="I1230" s="20" t="s">
        <v>88</v>
      </c>
      <c r="J1230" s="20" t="s">
        <v>183</v>
      </c>
      <c r="K1230" s="20" t="s">
        <v>253</v>
      </c>
      <c r="L1230" s="20" t="s">
        <v>2694</v>
      </c>
      <c r="M1230" s="20" t="s">
        <v>153</v>
      </c>
      <c r="N1230" s="20" t="s">
        <v>44</v>
      </c>
      <c r="O1230" s="20">
        <v>32</v>
      </c>
      <c r="P1230" s="20">
        <v>89.02</v>
      </c>
      <c r="Q1230" s="20">
        <v>51.23</v>
      </c>
      <c r="R1230" s="20">
        <v>2848.64</v>
      </c>
      <c r="S1230" s="20">
        <v>0.2</v>
      </c>
      <c r="T1230" s="20">
        <v>569.73</v>
      </c>
      <c r="U1230" s="20">
        <v>2278.91</v>
      </c>
      <c r="V1230" s="20">
        <v>1639.35</v>
      </c>
      <c r="W1230" s="20">
        <v>639.55999999999995</v>
      </c>
      <c r="X1230" s="20" t="s">
        <v>45</v>
      </c>
    </row>
    <row r="1231" spans="1:24" x14ac:dyDescent="0.25">
      <c r="A1231" s="23" t="s">
        <v>1751</v>
      </c>
      <c r="B1231" s="22">
        <v>45384</v>
      </c>
      <c r="C1231" s="23" t="s">
        <v>1036</v>
      </c>
      <c r="D1231" s="23" t="s">
        <v>22</v>
      </c>
      <c r="E1231" s="23" t="s">
        <v>114</v>
      </c>
      <c r="F1231" s="23" t="s">
        <v>2588</v>
      </c>
      <c r="G1231" s="23" t="s">
        <v>2586</v>
      </c>
      <c r="H1231" s="23" t="s">
        <v>116</v>
      </c>
      <c r="I1231" s="23" t="s">
        <v>88</v>
      </c>
      <c r="J1231" s="23" t="s">
        <v>183</v>
      </c>
      <c r="K1231" s="23" t="s">
        <v>42</v>
      </c>
      <c r="L1231" s="23" t="s">
        <v>2680</v>
      </c>
      <c r="M1231" s="23" t="s">
        <v>43</v>
      </c>
      <c r="N1231" s="23" t="s">
        <v>2619</v>
      </c>
      <c r="O1231" s="23">
        <v>67</v>
      </c>
      <c r="P1231" s="23">
        <v>32.270000000000003</v>
      </c>
      <c r="Q1231" s="23">
        <v>19.61</v>
      </c>
      <c r="R1231" s="23">
        <v>2162.2800000000002</v>
      </c>
      <c r="S1231" s="23">
        <v>0.1</v>
      </c>
      <c r="T1231" s="23">
        <v>216.23</v>
      </c>
      <c r="U1231" s="23">
        <v>1946.05</v>
      </c>
      <c r="V1231" s="23">
        <v>1313.69</v>
      </c>
      <c r="W1231" s="23">
        <v>632.36</v>
      </c>
      <c r="X1231" s="23" t="s">
        <v>45</v>
      </c>
    </row>
    <row r="1232" spans="1:24" x14ac:dyDescent="0.25">
      <c r="A1232" s="20" t="s">
        <v>1752</v>
      </c>
      <c r="B1232" s="19">
        <v>45527</v>
      </c>
      <c r="C1232" s="20" t="s">
        <v>737</v>
      </c>
      <c r="D1232" s="20" t="s">
        <v>22</v>
      </c>
      <c r="E1232" s="20" t="s">
        <v>141</v>
      </c>
      <c r="F1232" s="20" t="s">
        <v>2590</v>
      </c>
      <c r="G1232" s="20" t="s">
        <v>2577</v>
      </c>
      <c r="H1232" s="20" t="s">
        <v>26</v>
      </c>
      <c r="I1232" s="20" t="s">
        <v>53</v>
      </c>
      <c r="J1232" s="20" t="s">
        <v>122</v>
      </c>
      <c r="K1232" s="20" t="s">
        <v>253</v>
      </c>
      <c r="L1232" s="20" t="s">
        <v>2694</v>
      </c>
      <c r="M1232" s="20" t="s">
        <v>153</v>
      </c>
      <c r="N1232" s="20" t="s">
        <v>75</v>
      </c>
      <c r="O1232" s="20">
        <v>5</v>
      </c>
      <c r="P1232" s="20">
        <v>88</v>
      </c>
      <c r="Q1232" s="20">
        <v>54.49</v>
      </c>
      <c r="R1232" s="20">
        <v>439.99</v>
      </c>
      <c r="S1232" s="20">
        <v>0</v>
      </c>
      <c r="T1232" s="20">
        <v>0</v>
      </c>
      <c r="U1232" s="20">
        <v>439.99</v>
      </c>
      <c r="V1232" s="20">
        <v>272.47000000000003</v>
      </c>
      <c r="W1232" s="20">
        <v>167.52</v>
      </c>
      <c r="X1232" s="20" t="s">
        <v>45</v>
      </c>
    </row>
    <row r="1233" spans="1:24" x14ac:dyDescent="0.25">
      <c r="A1233" s="23" t="s">
        <v>1753</v>
      </c>
      <c r="B1233" s="22">
        <v>45584</v>
      </c>
      <c r="C1233" s="23" t="s">
        <v>1137</v>
      </c>
      <c r="D1233" s="23" t="s">
        <v>163</v>
      </c>
      <c r="E1233" s="23" t="s">
        <v>222</v>
      </c>
      <c r="F1233" s="23" t="s">
        <v>2597</v>
      </c>
      <c r="G1233" s="23" t="s">
        <v>2587</v>
      </c>
      <c r="H1233" s="23" t="s">
        <v>68</v>
      </c>
      <c r="I1233" s="23" t="s">
        <v>40</v>
      </c>
      <c r="J1233" s="23" t="s">
        <v>41</v>
      </c>
      <c r="K1233" s="23" t="s">
        <v>144</v>
      </c>
      <c r="L1233" s="23" t="s">
        <v>2687</v>
      </c>
      <c r="M1233" s="23" t="s">
        <v>61</v>
      </c>
      <c r="N1233" s="23" t="s">
        <v>84</v>
      </c>
      <c r="O1233" s="23">
        <v>67</v>
      </c>
      <c r="P1233" s="23">
        <v>122.18</v>
      </c>
      <c r="Q1233" s="23">
        <v>76.98</v>
      </c>
      <c r="R1233" s="23">
        <v>8185.9</v>
      </c>
      <c r="S1233" s="23">
        <v>0.02</v>
      </c>
      <c r="T1233" s="23">
        <v>163.72</v>
      </c>
      <c r="U1233" s="23">
        <v>8022.18</v>
      </c>
      <c r="V1233" s="23">
        <v>5157.6400000000003</v>
      </c>
      <c r="W1233" s="23">
        <v>2864.54</v>
      </c>
      <c r="X1233" s="23" t="s">
        <v>45</v>
      </c>
    </row>
    <row r="1234" spans="1:24" x14ac:dyDescent="0.25">
      <c r="A1234" s="20" t="s">
        <v>1754</v>
      </c>
      <c r="B1234" s="19">
        <v>45311</v>
      </c>
      <c r="C1234" s="20" t="s">
        <v>739</v>
      </c>
      <c r="D1234" s="20" t="s">
        <v>48</v>
      </c>
      <c r="E1234" s="20" t="s">
        <v>109</v>
      </c>
      <c r="F1234" s="20" t="s">
        <v>110</v>
      </c>
      <c r="G1234" s="20" t="s">
        <v>2584</v>
      </c>
      <c r="H1234" s="20" t="s">
        <v>81</v>
      </c>
      <c r="I1234" s="20" t="s">
        <v>88</v>
      </c>
      <c r="J1234" s="20" t="s">
        <v>135</v>
      </c>
      <c r="K1234" s="20" t="s">
        <v>60</v>
      </c>
      <c r="L1234" s="20" t="s">
        <v>2677</v>
      </c>
      <c r="M1234" s="20" t="s">
        <v>153</v>
      </c>
      <c r="N1234" s="20" t="s">
        <v>2578</v>
      </c>
      <c r="O1234" s="20">
        <v>2</v>
      </c>
      <c r="P1234" s="20">
        <v>118</v>
      </c>
      <c r="Q1234" s="20">
        <v>71.92</v>
      </c>
      <c r="R1234" s="20">
        <v>236</v>
      </c>
      <c r="S1234" s="20">
        <v>0.05</v>
      </c>
      <c r="T1234" s="20">
        <v>11.8</v>
      </c>
      <c r="U1234" s="20">
        <v>224.2</v>
      </c>
      <c r="V1234" s="20">
        <v>143.85</v>
      </c>
      <c r="W1234" s="20">
        <v>80.349999999999994</v>
      </c>
      <c r="X1234" s="20" t="s">
        <v>45</v>
      </c>
    </row>
    <row r="1235" spans="1:24" x14ac:dyDescent="0.25">
      <c r="A1235" s="23" t="s">
        <v>1755</v>
      </c>
      <c r="B1235" s="22">
        <v>45621</v>
      </c>
      <c r="C1235" s="23" t="s">
        <v>1155</v>
      </c>
      <c r="D1235" s="23" t="s">
        <v>87</v>
      </c>
      <c r="E1235" s="23" t="s">
        <v>222</v>
      </c>
      <c r="F1235" s="23" t="s">
        <v>2597</v>
      </c>
      <c r="G1235" s="23" t="s">
        <v>2587</v>
      </c>
      <c r="H1235" s="23" t="s">
        <v>68</v>
      </c>
      <c r="I1235" s="23" t="s">
        <v>27</v>
      </c>
      <c r="J1235" s="23" t="s">
        <v>106</v>
      </c>
      <c r="K1235" s="23" t="s">
        <v>261</v>
      </c>
      <c r="L1235" s="23" t="s">
        <v>2695</v>
      </c>
      <c r="M1235" s="23" t="s">
        <v>30</v>
      </c>
      <c r="N1235" s="23" t="s">
        <v>70</v>
      </c>
      <c r="O1235" s="23">
        <v>30</v>
      </c>
      <c r="P1235" s="23">
        <v>124.22</v>
      </c>
      <c r="Q1235" s="23">
        <v>79.760000000000005</v>
      </c>
      <c r="R1235" s="23">
        <v>3726.74</v>
      </c>
      <c r="S1235" s="23">
        <v>0.1</v>
      </c>
      <c r="T1235" s="23">
        <v>372.67</v>
      </c>
      <c r="U1235" s="23">
        <v>3354.07</v>
      </c>
      <c r="V1235" s="23">
        <v>2392.85</v>
      </c>
      <c r="W1235" s="23">
        <v>961.22</v>
      </c>
      <c r="X1235" s="23" t="s">
        <v>45</v>
      </c>
    </row>
    <row r="1236" spans="1:24" x14ac:dyDescent="0.25">
      <c r="A1236" s="20" t="s">
        <v>1756</v>
      </c>
      <c r="B1236" s="19">
        <v>45418</v>
      </c>
      <c r="C1236" s="20" t="s">
        <v>1002</v>
      </c>
      <c r="D1236" s="20" t="s">
        <v>159</v>
      </c>
      <c r="E1236" s="20" t="s">
        <v>114</v>
      </c>
      <c r="F1236" s="20" t="s">
        <v>2588</v>
      </c>
      <c r="G1236" s="20" t="s">
        <v>2586</v>
      </c>
      <c r="H1236" s="20" t="s">
        <v>116</v>
      </c>
      <c r="I1236" s="20" t="s">
        <v>53</v>
      </c>
      <c r="J1236" s="20" t="s">
        <v>122</v>
      </c>
      <c r="K1236" s="20" t="s">
        <v>29</v>
      </c>
      <c r="L1236" s="20" t="s">
        <v>2679</v>
      </c>
      <c r="M1236" s="20" t="s">
        <v>43</v>
      </c>
      <c r="N1236" s="20" t="s">
        <v>75</v>
      </c>
      <c r="O1236" s="20">
        <v>32</v>
      </c>
      <c r="P1236" s="20">
        <v>33.85</v>
      </c>
      <c r="Q1236" s="20">
        <v>21.9</v>
      </c>
      <c r="R1236" s="20">
        <v>1083.3399999999999</v>
      </c>
      <c r="S1236" s="20">
        <v>0.1</v>
      </c>
      <c r="T1236" s="20">
        <v>108.33</v>
      </c>
      <c r="U1236" s="20">
        <v>975.01</v>
      </c>
      <c r="V1236" s="20">
        <v>700.95</v>
      </c>
      <c r="W1236" s="20">
        <v>274.06</v>
      </c>
      <c r="X1236" s="20" t="s">
        <v>45</v>
      </c>
    </row>
    <row r="1237" spans="1:24" x14ac:dyDescent="0.25">
      <c r="A1237" s="23" t="s">
        <v>1757</v>
      </c>
      <c r="B1237" s="22">
        <v>45416</v>
      </c>
      <c r="C1237" s="23" t="s">
        <v>98</v>
      </c>
      <c r="D1237" s="23" t="s">
        <v>48</v>
      </c>
      <c r="E1237" s="23" t="s">
        <v>66</v>
      </c>
      <c r="F1237" s="23" t="s">
        <v>2582</v>
      </c>
      <c r="G1237" s="23" t="s">
        <v>2579</v>
      </c>
      <c r="H1237" s="23" t="s">
        <v>68</v>
      </c>
      <c r="I1237" s="23" t="s">
        <v>53</v>
      </c>
      <c r="J1237" s="23" t="s">
        <v>232</v>
      </c>
      <c r="K1237" s="23" t="s">
        <v>265</v>
      </c>
      <c r="L1237" s="23" t="s">
        <v>2663</v>
      </c>
      <c r="M1237" s="23" t="s">
        <v>43</v>
      </c>
      <c r="N1237" s="23" t="s">
        <v>2578</v>
      </c>
      <c r="O1237" s="23">
        <v>28</v>
      </c>
      <c r="P1237" s="23">
        <v>169.91</v>
      </c>
      <c r="Q1237" s="23">
        <v>106.43</v>
      </c>
      <c r="R1237" s="23">
        <v>4757.3500000000004</v>
      </c>
      <c r="S1237" s="23">
        <v>0.02</v>
      </c>
      <c r="T1237" s="23">
        <v>95.15</v>
      </c>
      <c r="U1237" s="23">
        <v>4662.2</v>
      </c>
      <c r="V1237" s="23">
        <v>2979.94</v>
      </c>
      <c r="W1237" s="23">
        <v>1682.26</v>
      </c>
      <c r="X1237" s="23" t="s">
        <v>129</v>
      </c>
    </row>
    <row r="1238" spans="1:24" x14ac:dyDescent="0.25">
      <c r="A1238" s="20" t="s">
        <v>1758</v>
      </c>
      <c r="B1238" s="19">
        <v>45488</v>
      </c>
      <c r="C1238" s="20" t="s">
        <v>611</v>
      </c>
      <c r="D1238" s="20" t="s">
        <v>264</v>
      </c>
      <c r="E1238" s="20" t="s">
        <v>132</v>
      </c>
      <c r="F1238" s="20" t="s">
        <v>133</v>
      </c>
      <c r="G1238" s="20" t="s">
        <v>2581</v>
      </c>
      <c r="H1238" s="20" t="s">
        <v>134</v>
      </c>
      <c r="I1238" s="20" t="s">
        <v>40</v>
      </c>
      <c r="J1238" s="20" t="s">
        <v>2619</v>
      </c>
      <c r="K1238" s="20" t="s">
        <v>42</v>
      </c>
      <c r="L1238" s="20" t="s">
        <v>2680</v>
      </c>
      <c r="M1238" s="20" t="s">
        <v>30</v>
      </c>
      <c r="N1238" s="20" t="s">
        <v>44</v>
      </c>
      <c r="O1238" s="20">
        <v>70</v>
      </c>
      <c r="P1238" s="20">
        <v>63.66</v>
      </c>
      <c r="Q1238" s="20">
        <v>36.08</v>
      </c>
      <c r="R1238" s="20">
        <v>4456.01</v>
      </c>
      <c r="S1238" s="20">
        <v>0.02</v>
      </c>
      <c r="T1238" s="20">
        <v>89.12</v>
      </c>
      <c r="U1238" s="20">
        <v>4366.8900000000003</v>
      </c>
      <c r="V1238" s="20">
        <v>2525.81</v>
      </c>
      <c r="W1238" s="20">
        <v>1841.08</v>
      </c>
      <c r="X1238" s="20" t="s">
        <v>45</v>
      </c>
    </row>
    <row r="1239" spans="1:24" x14ac:dyDescent="0.25">
      <c r="A1239" s="23" t="s">
        <v>1759</v>
      </c>
      <c r="B1239" s="22">
        <v>45319</v>
      </c>
      <c r="C1239" s="23" t="s">
        <v>201</v>
      </c>
      <c r="D1239" s="23" t="s">
        <v>57</v>
      </c>
      <c r="E1239" s="23" t="s">
        <v>176</v>
      </c>
      <c r="F1239" s="23" t="s">
        <v>2593</v>
      </c>
      <c r="G1239" s="23" t="s">
        <v>2587</v>
      </c>
      <c r="H1239" s="23" t="s">
        <v>39</v>
      </c>
      <c r="I1239" s="23" t="s">
        <v>53</v>
      </c>
      <c r="J1239" s="23" t="s">
        <v>122</v>
      </c>
      <c r="K1239" s="23" t="s">
        <v>90</v>
      </c>
      <c r="L1239" s="23" t="s">
        <v>2684</v>
      </c>
      <c r="M1239" s="23" t="s">
        <v>30</v>
      </c>
      <c r="N1239" s="23" t="s">
        <v>44</v>
      </c>
      <c r="O1239" s="23">
        <v>39</v>
      </c>
      <c r="P1239" s="23">
        <v>110.11</v>
      </c>
      <c r="Q1239" s="23">
        <v>60.77</v>
      </c>
      <c r="R1239" s="23">
        <v>4294.47</v>
      </c>
      <c r="S1239" s="23">
        <v>0.1</v>
      </c>
      <c r="T1239" s="23">
        <v>429.45</v>
      </c>
      <c r="U1239" s="23">
        <v>3865.02</v>
      </c>
      <c r="V1239" s="23">
        <v>2370.0300000000002</v>
      </c>
      <c r="W1239" s="23">
        <v>1494.99</v>
      </c>
      <c r="X1239" s="23" t="s">
        <v>45</v>
      </c>
    </row>
    <row r="1240" spans="1:24" x14ac:dyDescent="0.25">
      <c r="A1240" s="20" t="s">
        <v>1760</v>
      </c>
      <c r="B1240" s="19">
        <v>45520</v>
      </c>
      <c r="C1240" s="20" t="s">
        <v>301</v>
      </c>
      <c r="D1240" s="20" t="s">
        <v>259</v>
      </c>
      <c r="E1240" s="20" t="s">
        <v>93</v>
      </c>
      <c r="F1240" s="20" t="s">
        <v>2585</v>
      </c>
      <c r="G1240" s="20" t="s">
        <v>2586</v>
      </c>
      <c r="H1240" s="20" t="s">
        <v>96</v>
      </c>
      <c r="I1240" s="20" t="s">
        <v>27</v>
      </c>
      <c r="J1240" s="20" t="s">
        <v>28</v>
      </c>
      <c r="K1240" s="20" t="s">
        <v>74</v>
      </c>
      <c r="L1240" s="20" t="s">
        <v>2682</v>
      </c>
      <c r="M1240" s="20" t="s">
        <v>30</v>
      </c>
      <c r="N1240" s="20" t="s">
        <v>84</v>
      </c>
      <c r="O1240" s="20">
        <v>21</v>
      </c>
      <c r="P1240" s="20">
        <v>58.24</v>
      </c>
      <c r="Q1240" s="20">
        <v>31.94</v>
      </c>
      <c r="R1240" s="20">
        <v>1223.0899999999999</v>
      </c>
      <c r="S1240" s="20">
        <v>0</v>
      </c>
      <c r="T1240" s="20">
        <v>0</v>
      </c>
      <c r="U1240" s="20">
        <v>1223.0899999999999</v>
      </c>
      <c r="V1240" s="20">
        <v>670.65</v>
      </c>
      <c r="W1240" s="20">
        <v>552.44000000000005</v>
      </c>
      <c r="X1240" s="20" t="s">
        <v>32</v>
      </c>
    </row>
    <row r="1241" spans="1:24" x14ac:dyDescent="0.25">
      <c r="A1241" s="23" t="s">
        <v>1761</v>
      </c>
      <c r="B1241" s="22">
        <v>45326</v>
      </c>
      <c r="C1241" s="23" t="s">
        <v>904</v>
      </c>
      <c r="D1241" s="23" t="s">
        <v>35</v>
      </c>
      <c r="E1241" s="23" t="s">
        <v>250</v>
      </c>
      <c r="F1241" s="23" t="s">
        <v>2598</v>
      </c>
      <c r="G1241" s="23" t="s">
        <v>2581</v>
      </c>
      <c r="H1241" s="23" t="s">
        <v>252</v>
      </c>
      <c r="I1241" s="23" t="s">
        <v>53</v>
      </c>
      <c r="J1241" s="23" t="s">
        <v>232</v>
      </c>
      <c r="K1241" s="23" t="s">
        <v>60</v>
      </c>
      <c r="L1241" s="23" t="s">
        <v>2677</v>
      </c>
      <c r="M1241" s="23" t="s">
        <v>30</v>
      </c>
      <c r="N1241" s="23" t="s">
        <v>75</v>
      </c>
      <c r="O1241" s="23">
        <v>71</v>
      </c>
      <c r="P1241" s="23">
        <v>66.78</v>
      </c>
      <c r="Q1241" s="23">
        <v>39.86</v>
      </c>
      <c r="R1241" s="23">
        <v>4741.34</v>
      </c>
      <c r="S1241" s="23">
        <v>0.1</v>
      </c>
      <c r="T1241" s="23">
        <v>474.13</v>
      </c>
      <c r="U1241" s="23">
        <v>4267.2</v>
      </c>
      <c r="V1241" s="23">
        <v>2829.85</v>
      </c>
      <c r="W1241" s="23">
        <v>1437.35</v>
      </c>
      <c r="X1241" s="23" t="s">
        <v>32</v>
      </c>
    </row>
    <row r="1242" spans="1:24" x14ac:dyDescent="0.25">
      <c r="A1242" s="20" t="s">
        <v>1762</v>
      </c>
      <c r="B1242" s="19">
        <v>45623</v>
      </c>
      <c r="C1242" s="20" t="s">
        <v>1380</v>
      </c>
      <c r="D1242" s="20" t="s">
        <v>121</v>
      </c>
      <c r="E1242" s="20" t="s">
        <v>132</v>
      </c>
      <c r="F1242" s="20" t="s">
        <v>133</v>
      </c>
      <c r="G1242" s="20" t="s">
        <v>2581</v>
      </c>
      <c r="H1242" s="20" t="s">
        <v>134</v>
      </c>
      <c r="I1242" s="20" t="s">
        <v>40</v>
      </c>
      <c r="J1242" s="20" t="s">
        <v>117</v>
      </c>
      <c r="K1242" s="20" t="s">
        <v>248</v>
      </c>
      <c r="L1242" s="20" t="s">
        <v>2693</v>
      </c>
      <c r="M1242" s="20" t="s">
        <v>30</v>
      </c>
      <c r="N1242" s="20" t="s">
        <v>70</v>
      </c>
      <c r="O1242" s="20">
        <v>11</v>
      </c>
      <c r="P1242" s="20">
        <v>58.61</v>
      </c>
      <c r="Q1242" s="20">
        <v>31.56</v>
      </c>
      <c r="R1242" s="20">
        <v>644.67999999999995</v>
      </c>
      <c r="S1242" s="20">
        <v>0.05</v>
      </c>
      <c r="T1242" s="20">
        <v>32.229999999999997</v>
      </c>
      <c r="U1242" s="20">
        <v>612.45000000000005</v>
      </c>
      <c r="V1242" s="20">
        <v>347.19</v>
      </c>
      <c r="W1242" s="20">
        <v>265.25</v>
      </c>
      <c r="X1242" s="20" t="s">
        <v>129</v>
      </c>
    </row>
    <row r="1243" spans="1:24" x14ac:dyDescent="0.25">
      <c r="A1243" s="23" t="s">
        <v>1763</v>
      </c>
      <c r="B1243" s="22">
        <v>45549</v>
      </c>
      <c r="C1243" s="23" t="s">
        <v>1586</v>
      </c>
      <c r="D1243" s="23" t="s">
        <v>221</v>
      </c>
      <c r="E1243" s="23" t="s">
        <v>126</v>
      </c>
      <c r="F1243" s="23" t="s">
        <v>2589</v>
      </c>
      <c r="G1243" s="23" t="s">
        <v>2586</v>
      </c>
      <c r="H1243" s="23" t="s">
        <v>128</v>
      </c>
      <c r="I1243" s="23" t="s">
        <v>58</v>
      </c>
      <c r="J1243" s="23" t="s">
        <v>73</v>
      </c>
      <c r="K1243" s="23" t="s">
        <v>74</v>
      </c>
      <c r="L1243" s="23" t="s">
        <v>2682</v>
      </c>
      <c r="M1243" s="23" t="s">
        <v>61</v>
      </c>
      <c r="N1243" s="23" t="s">
        <v>84</v>
      </c>
      <c r="O1243" s="23">
        <v>37</v>
      </c>
      <c r="P1243" s="23">
        <v>95.56</v>
      </c>
      <c r="Q1243" s="23">
        <v>53.79</v>
      </c>
      <c r="R1243" s="23">
        <v>3535.77</v>
      </c>
      <c r="S1243" s="23">
        <v>0.05</v>
      </c>
      <c r="T1243" s="23">
        <v>176.79</v>
      </c>
      <c r="U1243" s="23">
        <v>3358.98</v>
      </c>
      <c r="V1243" s="23">
        <v>1990.19</v>
      </c>
      <c r="W1243" s="23">
        <v>1368.78</v>
      </c>
      <c r="X1243" s="23" t="s">
        <v>129</v>
      </c>
    </row>
    <row r="1244" spans="1:24" x14ac:dyDescent="0.25">
      <c r="A1244" s="20" t="s">
        <v>1764</v>
      </c>
      <c r="B1244" s="19">
        <v>45570</v>
      </c>
      <c r="C1244" s="20" t="s">
        <v>124</v>
      </c>
      <c r="D1244" s="20" t="s">
        <v>125</v>
      </c>
      <c r="E1244" s="20" t="s">
        <v>187</v>
      </c>
      <c r="F1244" s="20" t="s">
        <v>2594</v>
      </c>
      <c r="G1244" s="20" t="s">
        <v>2577</v>
      </c>
      <c r="H1244" s="20" t="s">
        <v>26</v>
      </c>
      <c r="I1244" s="20" t="s">
        <v>53</v>
      </c>
      <c r="J1244" s="20" t="s">
        <v>143</v>
      </c>
      <c r="K1244" s="20" t="s">
        <v>261</v>
      </c>
      <c r="L1244" s="20" t="s">
        <v>2695</v>
      </c>
      <c r="M1244" s="20" t="s">
        <v>30</v>
      </c>
      <c r="N1244" s="20" t="s">
        <v>70</v>
      </c>
      <c r="O1244" s="20">
        <v>61</v>
      </c>
      <c r="P1244" s="20">
        <v>50.86</v>
      </c>
      <c r="Q1244" s="20">
        <v>30.08</v>
      </c>
      <c r="R1244" s="20">
        <v>3102.72</v>
      </c>
      <c r="S1244" s="20">
        <v>0.02</v>
      </c>
      <c r="T1244" s="20">
        <v>62.05</v>
      </c>
      <c r="U1244" s="20">
        <v>3040.66</v>
      </c>
      <c r="V1244" s="20">
        <v>1834.73</v>
      </c>
      <c r="W1244" s="20">
        <v>1205.93</v>
      </c>
      <c r="X1244" s="20" t="s">
        <v>45</v>
      </c>
    </row>
    <row r="1245" spans="1:24" x14ac:dyDescent="0.25">
      <c r="A1245" s="23" t="s">
        <v>1765</v>
      </c>
      <c r="B1245" s="22">
        <v>45584</v>
      </c>
      <c r="C1245" s="23" t="s">
        <v>1476</v>
      </c>
      <c r="D1245" s="23" t="s">
        <v>149</v>
      </c>
      <c r="E1245" s="23" t="s">
        <v>150</v>
      </c>
      <c r="F1245" s="23" t="s">
        <v>2591</v>
      </c>
      <c r="G1245" s="23" t="s">
        <v>2587</v>
      </c>
      <c r="H1245" s="23" t="s">
        <v>134</v>
      </c>
      <c r="I1245" s="23" t="s">
        <v>53</v>
      </c>
      <c r="J1245" s="23" t="s">
        <v>122</v>
      </c>
      <c r="K1245" s="23" t="s">
        <v>253</v>
      </c>
      <c r="L1245" s="23" t="s">
        <v>2694</v>
      </c>
      <c r="M1245" s="23" t="s">
        <v>61</v>
      </c>
      <c r="N1245" s="23" t="s">
        <v>70</v>
      </c>
      <c r="O1245" s="23">
        <v>29</v>
      </c>
      <c r="P1245" s="23">
        <v>89.05</v>
      </c>
      <c r="Q1245" s="23">
        <v>50.47</v>
      </c>
      <c r="R1245" s="23">
        <v>2582.46</v>
      </c>
      <c r="S1245" s="23">
        <v>0</v>
      </c>
      <c r="T1245" s="23">
        <v>0</v>
      </c>
      <c r="U1245" s="23">
        <v>2582.46</v>
      </c>
      <c r="V1245" s="23">
        <v>1463.76</v>
      </c>
      <c r="W1245" s="23">
        <v>1118.7</v>
      </c>
      <c r="X1245" s="23" t="s">
        <v>45</v>
      </c>
    </row>
    <row r="1246" spans="1:24" x14ac:dyDescent="0.25">
      <c r="A1246" s="20" t="s">
        <v>1766</v>
      </c>
      <c r="B1246" s="19">
        <v>45513</v>
      </c>
      <c r="C1246" s="20" t="s">
        <v>287</v>
      </c>
      <c r="D1246" s="20" t="s">
        <v>65</v>
      </c>
      <c r="E1246" s="20" t="s">
        <v>209</v>
      </c>
      <c r="F1246" s="20" t="s">
        <v>2595</v>
      </c>
      <c r="G1246" s="20" t="s">
        <v>2581</v>
      </c>
      <c r="H1246" s="20" t="s">
        <v>116</v>
      </c>
      <c r="I1246" s="20" t="s">
        <v>27</v>
      </c>
      <c r="J1246" s="20" t="s">
        <v>211</v>
      </c>
      <c r="K1246" s="20" t="s">
        <v>265</v>
      </c>
      <c r="L1246" s="20" t="s">
        <v>2663</v>
      </c>
      <c r="M1246" s="20" t="s">
        <v>43</v>
      </c>
      <c r="N1246" s="20" t="s">
        <v>70</v>
      </c>
      <c r="O1246" s="20">
        <v>50</v>
      </c>
      <c r="P1246" s="20">
        <v>18.09</v>
      </c>
      <c r="Q1246" s="20">
        <v>9.3699999999999992</v>
      </c>
      <c r="R1246" s="20">
        <v>904.65</v>
      </c>
      <c r="S1246" s="20">
        <v>0.1</v>
      </c>
      <c r="T1246" s="20">
        <v>90.47</v>
      </c>
      <c r="U1246" s="20">
        <v>814.19</v>
      </c>
      <c r="V1246" s="20">
        <v>468.26</v>
      </c>
      <c r="W1246" s="20">
        <v>345.92</v>
      </c>
      <c r="X1246" s="20" t="s">
        <v>129</v>
      </c>
    </row>
    <row r="1247" spans="1:24" x14ac:dyDescent="0.25">
      <c r="A1247" s="23" t="s">
        <v>1767</v>
      </c>
      <c r="B1247" s="22">
        <v>45296</v>
      </c>
      <c r="C1247" s="23" t="s">
        <v>975</v>
      </c>
      <c r="D1247" s="23" t="s">
        <v>105</v>
      </c>
      <c r="E1247" s="23" t="s">
        <v>99</v>
      </c>
      <c r="F1247" s="23" t="s">
        <v>100</v>
      </c>
      <c r="G1247" s="23" t="s">
        <v>2587</v>
      </c>
      <c r="H1247" s="23" t="s">
        <v>102</v>
      </c>
      <c r="I1247" s="23" t="s">
        <v>88</v>
      </c>
      <c r="J1247" s="23" t="s">
        <v>183</v>
      </c>
      <c r="K1247" s="23" t="s">
        <v>83</v>
      </c>
      <c r="L1247" s="23" t="s">
        <v>2683</v>
      </c>
      <c r="M1247" s="23" t="s">
        <v>61</v>
      </c>
      <c r="N1247" s="23" t="s">
        <v>2578</v>
      </c>
      <c r="O1247" s="23">
        <v>64</v>
      </c>
      <c r="P1247" s="23">
        <v>69.44</v>
      </c>
      <c r="Q1247" s="23">
        <v>39</v>
      </c>
      <c r="R1247" s="23">
        <v>4444.01</v>
      </c>
      <c r="S1247" s="23">
        <v>0.2</v>
      </c>
      <c r="T1247" s="23">
        <v>888.8</v>
      </c>
      <c r="U1247" s="23">
        <v>3555.2</v>
      </c>
      <c r="V1247" s="23">
        <v>2495.79</v>
      </c>
      <c r="W1247" s="23">
        <v>1059.4100000000001</v>
      </c>
      <c r="X1247" s="23" t="s">
        <v>45</v>
      </c>
    </row>
    <row r="1248" spans="1:24" x14ac:dyDescent="0.25">
      <c r="A1248" s="20" t="s">
        <v>1768</v>
      </c>
      <c r="B1248" s="19">
        <v>45302</v>
      </c>
      <c r="C1248" s="20" t="s">
        <v>169</v>
      </c>
      <c r="D1248" s="20" t="s">
        <v>57</v>
      </c>
      <c r="E1248" s="20" t="s">
        <v>176</v>
      </c>
      <c r="F1248" s="20" t="s">
        <v>2593</v>
      </c>
      <c r="G1248" s="20" t="s">
        <v>2587</v>
      </c>
      <c r="H1248" s="20" t="s">
        <v>39</v>
      </c>
      <c r="I1248" s="20" t="s">
        <v>58</v>
      </c>
      <c r="J1248" s="20" t="s">
        <v>59</v>
      </c>
      <c r="K1248" s="20" t="s">
        <v>118</v>
      </c>
      <c r="L1248" s="20" t="s">
        <v>2686</v>
      </c>
      <c r="M1248" s="20" t="s">
        <v>61</v>
      </c>
      <c r="N1248" s="20" t="s">
        <v>84</v>
      </c>
      <c r="O1248" s="20">
        <v>78</v>
      </c>
      <c r="P1248" s="20">
        <v>98.39</v>
      </c>
      <c r="Q1248" s="20">
        <v>64.59</v>
      </c>
      <c r="R1248" s="20">
        <v>7674.48</v>
      </c>
      <c r="S1248" s="20">
        <v>0</v>
      </c>
      <c r="T1248" s="20">
        <v>0</v>
      </c>
      <c r="U1248" s="20">
        <v>7674.48</v>
      </c>
      <c r="V1248" s="20">
        <v>5038.1000000000004</v>
      </c>
      <c r="W1248" s="20">
        <v>2636.38</v>
      </c>
      <c r="X1248" s="20" t="s">
        <v>32</v>
      </c>
    </row>
    <row r="1249" spans="1:24" x14ac:dyDescent="0.25">
      <c r="A1249" s="23" t="s">
        <v>1769</v>
      </c>
      <c r="B1249" s="22">
        <v>45552</v>
      </c>
      <c r="C1249" s="23" t="s">
        <v>626</v>
      </c>
      <c r="D1249" s="23" t="s">
        <v>163</v>
      </c>
      <c r="E1249" s="23" t="s">
        <v>109</v>
      </c>
      <c r="F1249" s="23" t="s">
        <v>110</v>
      </c>
      <c r="G1249" s="23" t="s">
        <v>2584</v>
      </c>
      <c r="H1249" s="23" t="s">
        <v>81</v>
      </c>
      <c r="I1249" s="23" t="s">
        <v>88</v>
      </c>
      <c r="J1249" s="23" t="s">
        <v>135</v>
      </c>
      <c r="K1249" s="23" t="s">
        <v>152</v>
      </c>
      <c r="L1249" s="23" t="s">
        <v>2688</v>
      </c>
      <c r="M1249" s="23" t="s">
        <v>43</v>
      </c>
      <c r="N1249" s="23" t="s">
        <v>75</v>
      </c>
      <c r="O1249" s="23">
        <v>13</v>
      </c>
      <c r="P1249" s="23">
        <v>119.37</v>
      </c>
      <c r="Q1249" s="23">
        <v>79.33</v>
      </c>
      <c r="R1249" s="23">
        <v>1551.75</v>
      </c>
      <c r="S1249" s="23">
        <v>0.05</v>
      </c>
      <c r="T1249" s="23">
        <v>77.59</v>
      </c>
      <c r="U1249" s="23">
        <v>1474.16</v>
      </c>
      <c r="V1249" s="23">
        <v>1031.26</v>
      </c>
      <c r="W1249" s="23">
        <v>442.9</v>
      </c>
      <c r="X1249" s="23" t="s">
        <v>45</v>
      </c>
    </row>
    <row r="1250" spans="1:24" x14ac:dyDescent="0.25">
      <c r="A1250" s="20" t="s">
        <v>1770</v>
      </c>
      <c r="B1250" s="19">
        <v>45372</v>
      </c>
      <c r="C1250" s="20" t="s">
        <v>735</v>
      </c>
      <c r="D1250" s="20" t="s">
        <v>22</v>
      </c>
      <c r="E1250" s="20" t="s">
        <v>216</v>
      </c>
      <c r="F1250" s="20" t="s">
        <v>2596</v>
      </c>
      <c r="G1250" s="20" t="s">
        <v>2579</v>
      </c>
      <c r="H1250" s="20" t="s">
        <v>134</v>
      </c>
      <c r="I1250" s="20" t="s">
        <v>58</v>
      </c>
      <c r="J1250" s="20" t="s">
        <v>323</v>
      </c>
      <c r="K1250" s="20" t="s">
        <v>218</v>
      </c>
      <c r="L1250" s="20" t="s">
        <v>2692</v>
      </c>
      <c r="M1250" s="20" t="s">
        <v>61</v>
      </c>
      <c r="N1250" s="20" t="s">
        <v>84</v>
      </c>
      <c r="O1250" s="20">
        <v>69</v>
      </c>
      <c r="P1250" s="20">
        <v>108.41</v>
      </c>
      <c r="Q1250" s="20">
        <v>64.98</v>
      </c>
      <c r="R1250" s="20">
        <v>7480.25</v>
      </c>
      <c r="S1250" s="20">
        <v>0.1</v>
      </c>
      <c r="T1250" s="20">
        <v>748.03</v>
      </c>
      <c r="U1250" s="20">
        <v>6732.23</v>
      </c>
      <c r="V1250" s="20">
        <v>4483.3599999999997</v>
      </c>
      <c r="W1250" s="20">
        <v>2248.87</v>
      </c>
      <c r="X1250" s="20" t="s">
        <v>45</v>
      </c>
    </row>
    <row r="1251" spans="1:24" x14ac:dyDescent="0.25">
      <c r="A1251" s="23" t="s">
        <v>1771</v>
      </c>
      <c r="B1251" s="22">
        <v>45452</v>
      </c>
      <c r="C1251" s="23" t="s">
        <v>878</v>
      </c>
      <c r="D1251" s="23" t="s">
        <v>65</v>
      </c>
      <c r="E1251" s="23" t="s">
        <v>250</v>
      </c>
      <c r="F1251" s="23" t="s">
        <v>2598</v>
      </c>
      <c r="G1251" s="23" t="s">
        <v>2581</v>
      </c>
      <c r="H1251" s="23" t="s">
        <v>252</v>
      </c>
      <c r="I1251" s="23" t="s">
        <v>53</v>
      </c>
      <c r="J1251" s="23" t="s">
        <v>143</v>
      </c>
      <c r="K1251" s="23" t="s">
        <v>74</v>
      </c>
      <c r="L1251" s="23" t="s">
        <v>2682</v>
      </c>
      <c r="M1251" s="23" t="s">
        <v>547</v>
      </c>
      <c r="N1251" s="23" t="s">
        <v>2578</v>
      </c>
      <c r="O1251" s="23">
        <v>16</v>
      </c>
      <c r="P1251" s="23">
        <v>63.3</v>
      </c>
      <c r="Q1251" s="23">
        <v>40</v>
      </c>
      <c r="R1251" s="23">
        <v>1012.88</v>
      </c>
      <c r="S1251" s="23">
        <v>0.1</v>
      </c>
      <c r="T1251" s="23">
        <v>101.29</v>
      </c>
      <c r="U1251" s="23">
        <v>911.59</v>
      </c>
      <c r="V1251" s="23">
        <v>639.99</v>
      </c>
      <c r="W1251" s="23">
        <v>271.60000000000002</v>
      </c>
      <c r="X1251" s="23" t="s">
        <v>45</v>
      </c>
    </row>
    <row r="1252" spans="1:24" x14ac:dyDescent="0.25">
      <c r="A1252" s="20" t="s">
        <v>1772</v>
      </c>
      <c r="B1252" s="19">
        <v>45529</v>
      </c>
      <c r="C1252" s="20" t="s">
        <v>356</v>
      </c>
      <c r="D1252" s="20" t="s">
        <v>48</v>
      </c>
      <c r="E1252" s="20" t="s">
        <v>126</v>
      </c>
      <c r="F1252" s="20" t="s">
        <v>2589</v>
      </c>
      <c r="G1252" s="20" t="s">
        <v>2586</v>
      </c>
      <c r="H1252" s="20" t="s">
        <v>128</v>
      </c>
      <c r="I1252" s="20" t="s">
        <v>53</v>
      </c>
      <c r="J1252" s="20" t="s">
        <v>122</v>
      </c>
      <c r="K1252" s="20" t="s">
        <v>178</v>
      </c>
      <c r="L1252" s="20" t="s">
        <v>2689</v>
      </c>
      <c r="M1252" s="20" t="s">
        <v>61</v>
      </c>
      <c r="N1252" s="20" t="s">
        <v>44</v>
      </c>
      <c r="O1252" s="20">
        <v>47</v>
      </c>
      <c r="P1252" s="20">
        <v>84.27</v>
      </c>
      <c r="Q1252" s="20">
        <v>53.05</v>
      </c>
      <c r="R1252" s="20">
        <v>3960.5</v>
      </c>
      <c r="S1252" s="20">
        <v>0.05</v>
      </c>
      <c r="T1252" s="20">
        <v>198.03</v>
      </c>
      <c r="U1252" s="20">
        <v>3762.48</v>
      </c>
      <c r="V1252" s="20">
        <v>2493.37</v>
      </c>
      <c r="W1252" s="20">
        <v>1269.0999999999999</v>
      </c>
      <c r="X1252" s="20" t="s">
        <v>45</v>
      </c>
    </row>
    <row r="1253" spans="1:24" x14ac:dyDescent="0.25">
      <c r="A1253" s="23" t="s">
        <v>1773</v>
      </c>
      <c r="B1253" s="22">
        <v>45418</v>
      </c>
      <c r="C1253" s="23" t="s">
        <v>832</v>
      </c>
      <c r="D1253" s="23" t="s">
        <v>159</v>
      </c>
      <c r="E1253" s="23" t="s">
        <v>150</v>
      </c>
      <c r="F1253" s="23" t="s">
        <v>2591</v>
      </c>
      <c r="G1253" s="23" t="s">
        <v>2587</v>
      </c>
      <c r="H1253" s="23" t="s">
        <v>134</v>
      </c>
      <c r="I1253" s="23" t="s">
        <v>27</v>
      </c>
      <c r="J1253" s="23" t="s">
        <v>106</v>
      </c>
      <c r="K1253" s="23" t="s">
        <v>184</v>
      </c>
      <c r="L1253" s="23" t="s">
        <v>2690</v>
      </c>
      <c r="M1253" s="23" t="s">
        <v>43</v>
      </c>
      <c r="N1253" s="23" t="s">
        <v>75</v>
      </c>
      <c r="O1253" s="23">
        <v>77</v>
      </c>
      <c r="P1253" s="23">
        <v>89.63</v>
      </c>
      <c r="Q1253" s="23">
        <v>54.99</v>
      </c>
      <c r="R1253" s="23">
        <v>6901.16</v>
      </c>
      <c r="S1253" s="23">
        <v>0.1</v>
      </c>
      <c r="T1253" s="23">
        <v>690.12</v>
      </c>
      <c r="U1253" s="23">
        <v>6211.05</v>
      </c>
      <c r="V1253" s="23">
        <v>4234.53</v>
      </c>
      <c r="W1253" s="23">
        <v>1976.51</v>
      </c>
      <c r="X1253" s="23" t="s">
        <v>45</v>
      </c>
    </row>
    <row r="1254" spans="1:24" x14ac:dyDescent="0.25">
      <c r="A1254" s="20" t="s">
        <v>1774</v>
      </c>
      <c r="B1254" s="19">
        <v>45648</v>
      </c>
      <c r="C1254" s="20" t="s">
        <v>468</v>
      </c>
      <c r="D1254" s="20" t="s">
        <v>65</v>
      </c>
      <c r="E1254" s="20" t="s">
        <v>114</v>
      </c>
      <c r="F1254" s="20" t="s">
        <v>2588</v>
      </c>
      <c r="G1254" s="20" t="s">
        <v>2586</v>
      </c>
      <c r="H1254" s="20" t="s">
        <v>116</v>
      </c>
      <c r="I1254" s="20" t="s">
        <v>53</v>
      </c>
      <c r="J1254" s="20" t="s">
        <v>122</v>
      </c>
      <c r="K1254" s="20" t="s">
        <v>253</v>
      </c>
      <c r="L1254" s="20" t="s">
        <v>2694</v>
      </c>
      <c r="M1254" s="20" t="s">
        <v>61</v>
      </c>
      <c r="N1254" s="20" t="s">
        <v>70</v>
      </c>
      <c r="O1254" s="20">
        <v>17</v>
      </c>
      <c r="P1254" s="20">
        <v>35.619999999999997</v>
      </c>
      <c r="Q1254" s="20">
        <v>20.260000000000002</v>
      </c>
      <c r="R1254" s="20">
        <v>605.54999999999995</v>
      </c>
      <c r="S1254" s="20">
        <v>0.1</v>
      </c>
      <c r="T1254" s="20">
        <v>60.55</v>
      </c>
      <c r="U1254" s="20">
        <v>544.99</v>
      </c>
      <c r="V1254" s="20">
        <v>344.47</v>
      </c>
      <c r="W1254" s="20">
        <v>200.52</v>
      </c>
      <c r="X1254" s="20" t="s">
        <v>45</v>
      </c>
    </row>
    <row r="1255" spans="1:24" x14ac:dyDescent="0.25">
      <c r="A1255" s="23" t="s">
        <v>1775</v>
      </c>
      <c r="B1255" s="22">
        <v>45383</v>
      </c>
      <c r="C1255" s="23" t="s">
        <v>1709</v>
      </c>
      <c r="D1255" s="23" t="s">
        <v>159</v>
      </c>
      <c r="E1255" s="23" t="s">
        <v>78</v>
      </c>
      <c r="F1255" s="23" t="s">
        <v>2583</v>
      </c>
      <c r="G1255" s="23" t="s">
        <v>2584</v>
      </c>
      <c r="H1255" s="23" t="s">
        <v>81</v>
      </c>
      <c r="I1255" s="23" t="s">
        <v>27</v>
      </c>
      <c r="J1255" s="23" t="s">
        <v>189</v>
      </c>
      <c r="K1255" s="23" t="s">
        <v>261</v>
      </c>
      <c r="L1255" s="23" t="s">
        <v>2695</v>
      </c>
      <c r="M1255" s="23" t="s">
        <v>30</v>
      </c>
      <c r="N1255" s="23" t="s">
        <v>75</v>
      </c>
      <c r="O1255" s="23">
        <v>59</v>
      </c>
      <c r="P1255" s="23">
        <v>146.86000000000001</v>
      </c>
      <c r="Q1255" s="23">
        <v>81.47</v>
      </c>
      <c r="R1255" s="23">
        <v>8664.94</v>
      </c>
      <c r="S1255" s="23">
        <v>0.05</v>
      </c>
      <c r="T1255" s="23">
        <v>433.25</v>
      </c>
      <c r="U1255" s="23">
        <v>8231.7000000000007</v>
      </c>
      <c r="V1255" s="23">
        <v>4806.45</v>
      </c>
      <c r="W1255" s="23">
        <v>3425.25</v>
      </c>
      <c r="X1255" s="23" t="s">
        <v>45</v>
      </c>
    </row>
    <row r="1256" spans="1:24" x14ac:dyDescent="0.25">
      <c r="A1256" s="20" t="s">
        <v>1776</v>
      </c>
      <c r="B1256" s="19">
        <v>45578</v>
      </c>
      <c r="C1256" s="20" t="s">
        <v>414</v>
      </c>
      <c r="D1256" s="20" t="s">
        <v>22</v>
      </c>
      <c r="E1256" s="20" t="s">
        <v>176</v>
      </c>
      <c r="F1256" s="20" t="s">
        <v>2593</v>
      </c>
      <c r="G1256" s="20" t="s">
        <v>2587</v>
      </c>
      <c r="H1256" s="20" t="s">
        <v>39</v>
      </c>
      <c r="I1256" s="20" t="s">
        <v>88</v>
      </c>
      <c r="J1256" s="20" t="s">
        <v>183</v>
      </c>
      <c r="K1256" s="20" t="s">
        <v>265</v>
      </c>
      <c r="L1256" s="20" t="s">
        <v>2663</v>
      </c>
      <c r="M1256" s="20" t="s">
        <v>61</v>
      </c>
      <c r="N1256" s="20" t="s">
        <v>84</v>
      </c>
      <c r="O1256" s="20">
        <v>24</v>
      </c>
      <c r="P1256" s="20">
        <v>100.5</v>
      </c>
      <c r="Q1256" s="20">
        <v>67.03</v>
      </c>
      <c r="R1256" s="20">
        <v>2412.0300000000002</v>
      </c>
      <c r="S1256" s="20">
        <v>0.2</v>
      </c>
      <c r="T1256" s="20">
        <v>482.41</v>
      </c>
      <c r="U1256" s="20">
        <v>1929.62</v>
      </c>
      <c r="V1256" s="20">
        <v>1608.67</v>
      </c>
      <c r="W1256" s="20">
        <v>320.95999999999998</v>
      </c>
      <c r="X1256" s="20" t="s">
        <v>45</v>
      </c>
    </row>
    <row r="1257" spans="1:24" x14ac:dyDescent="0.25">
      <c r="A1257" s="23" t="s">
        <v>1777</v>
      </c>
      <c r="B1257" s="22">
        <v>45381</v>
      </c>
      <c r="C1257" s="23" t="s">
        <v>674</v>
      </c>
      <c r="D1257" s="23" t="s">
        <v>264</v>
      </c>
      <c r="E1257" s="23" t="s">
        <v>165</v>
      </c>
      <c r="F1257" s="23" t="s">
        <v>2592</v>
      </c>
      <c r="G1257" s="23" t="s">
        <v>2586</v>
      </c>
      <c r="H1257" s="23" t="s">
        <v>167</v>
      </c>
      <c r="I1257" s="23" t="s">
        <v>58</v>
      </c>
      <c r="J1257" s="23" t="s">
        <v>323</v>
      </c>
      <c r="K1257" s="23" t="s">
        <v>90</v>
      </c>
      <c r="L1257" s="23" t="s">
        <v>2684</v>
      </c>
      <c r="M1257" s="23" t="s">
        <v>43</v>
      </c>
      <c r="N1257" s="23" t="s">
        <v>84</v>
      </c>
      <c r="O1257" s="23">
        <v>20</v>
      </c>
      <c r="P1257" s="23">
        <v>45.19</v>
      </c>
      <c r="Q1257" s="23">
        <v>25.6</v>
      </c>
      <c r="R1257" s="23">
        <v>903.81</v>
      </c>
      <c r="S1257" s="23">
        <v>0.02</v>
      </c>
      <c r="T1257" s="23">
        <v>18.079999999999998</v>
      </c>
      <c r="U1257" s="23">
        <v>885.74</v>
      </c>
      <c r="V1257" s="23">
        <v>512.03</v>
      </c>
      <c r="W1257" s="23">
        <v>373.71</v>
      </c>
      <c r="X1257" s="23" t="s">
        <v>32</v>
      </c>
    </row>
    <row r="1258" spans="1:24" x14ac:dyDescent="0.25">
      <c r="A1258" s="20" t="s">
        <v>1778</v>
      </c>
      <c r="B1258" s="19">
        <v>45419</v>
      </c>
      <c r="C1258" s="20" t="s">
        <v>373</v>
      </c>
      <c r="D1258" s="20" t="s">
        <v>264</v>
      </c>
      <c r="E1258" s="20" t="s">
        <v>126</v>
      </c>
      <c r="F1258" s="20" t="s">
        <v>2589</v>
      </c>
      <c r="G1258" s="20" t="s">
        <v>2586</v>
      </c>
      <c r="H1258" s="20" t="s">
        <v>128</v>
      </c>
      <c r="I1258" s="20" t="s">
        <v>88</v>
      </c>
      <c r="J1258" s="20" t="s">
        <v>173</v>
      </c>
      <c r="K1258" s="20" t="s">
        <v>118</v>
      </c>
      <c r="L1258" s="20" t="s">
        <v>2686</v>
      </c>
      <c r="M1258" s="20" t="s">
        <v>43</v>
      </c>
      <c r="N1258" s="20" t="s">
        <v>2578</v>
      </c>
      <c r="O1258" s="20">
        <v>21</v>
      </c>
      <c r="P1258" s="20">
        <v>96.5</v>
      </c>
      <c r="Q1258" s="20">
        <v>55.87</v>
      </c>
      <c r="R1258" s="20">
        <v>2026.53</v>
      </c>
      <c r="S1258" s="20">
        <v>0.2</v>
      </c>
      <c r="T1258" s="20">
        <v>405.31</v>
      </c>
      <c r="U1258" s="20">
        <v>1621.22</v>
      </c>
      <c r="V1258" s="20">
        <v>1173.28</v>
      </c>
      <c r="W1258" s="20">
        <v>447.95</v>
      </c>
      <c r="X1258" s="20" t="s">
        <v>45</v>
      </c>
    </row>
    <row r="1259" spans="1:24" x14ac:dyDescent="0.25">
      <c r="A1259" s="23" t="s">
        <v>1779</v>
      </c>
      <c r="B1259" s="22">
        <v>45535</v>
      </c>
      <c r="C1259" s="23" t="s">
        <v>1253</v>
      </c>
      <c r="D1259" s="23" t="s">
        <v>259</v>
      </c>
      <c r="E1259" s="23" t="s">
        <v>141</v>
      </c>
      <c r="F1259" s="23" t="s">
        <v>2590</v>
      </c>
      <c r="G1259" s="23" t="s">
        <v>2577</v>
      </c>
      <c r="H1259" s="23" t="s">
        <v>26</v>
      </c>
      <c r="I1259" s="23" t="s">
        <v>88</v>
      </c>
      <c r="J1259" s="23" t="s">
        <v>173</v>
      </c>
      <c r="K1259" s="23" t="s">
        <v>83</v>
      </c>
      <c r="L1259" s="23" t="s">
        <v>2683</v>
      </c>
      <c r="M1259" s="23" t="s">
        <v>153</v>
      </c>
      <c r="N1259" s="23" t="s">
        <v>84</v>
      </c>
      <c r="O1259" s="23">
        <v>35</v>
      </c>
      <c r="P1259" s="23">
        <v>92.7</v>
      </c>
      <c r="Q1259" s="23">
        <v>61.99</v>
      </c>
      <c r="R1259" s="23">
        <v>3244.6</v>
      </c>
      <c r="S1259" s="23">
        <v>0.05</v>
      </c>
      <c r="T1259" s="23">
        <v>162.22999999999999</v>
      </c>
      <c r="U1259" s="23">
        <v>3082.37</v>
      </c>
      <c r="V1259" s="23">
        <v>2169.5100000000002</v>
      </c>
      <c r="W1259" s="23">
        <v>912.86</v>
      </c>
      <c r="X1259" s="23" t="s">
        <v>45</v>
      </c>
    </row>
    <row r="1260" spans="1:24" x14ac:dyDescent="0.25">
      <c r="A1260" s="20" t="s">
        <v>1780</v>
      </c>
      <c r="B1260" s="19">
        <v>45512</v>
      </c>
      <c r="C1260" s="20" t="s">
        <v>213</v>
      </c>
      <c r="D1260" s="20" t="s">
        <v>87</v>
      </c>
      <c r="E1260" s="20" t="s">
        <v>78</v>
      </c>
      <c r="F1260" s="20" t="s">
        <v>2583</v>
      </c>
      <c r="G1260" s="20" t="s">
        <v>2584</v>
      </c>
      <c r="H1260" s="20" t="s">
        <v>81</v>
      </c>
      <c r="I1260" s="20" t="s">
        <v>27</v>
      </c>
      <c r="J1260" s="20" t="s">
        <v>189</v>
      </c>
      <c r="K1260" s="20" t="s">
        <v>74</v>
      </c>
      <c r="L1260" s="20" t="s">
        <v>2682</v>
      </c>
      <c r="M1260" s="20" t="s">
        <v>61</v>
      </c>
      <c r="N1260" s="20" t="s">
        <v>2578</v>
      </c>
      <c r="O1260" s="20">
        <v>63</v>
      </c>
      <c r="P1260" s="20">
        <v>143.94999999999999</v>
      </c>
      <c r="Q1260" s="20">
        <v>86</v>
      </c>
      <c r="R1260" s="20">
        <v>9069.0300000000007</v>
      </c>
      <c r="S1260" s="20">
        <v>0.02</v>
      </c>
      <c r="T1260" s="20">
        <v>181.38</v>
      </c>
      <c r="U1260" s="20">
        <v>8887.65</v>
      </c>
      <c r="V1260" s="20">
        <v>5418.09</v>
      </c>
      <c r="W1260" s="20">
        <v>3469.56</v>
      </c>
      <c r="X1260" s="20" t="s">
        <v>45</v>
      </c>
    </row>
    <row r="1261" spans="1:24" x14ac:dyDescent="0.25">
      <c r="A1261" s="23" t="s">
        <v>1781</v>
      </c>
      <c r="B1261" s="22">
        <v>45653</v>
      </c>
      <c r="C1261" s="23" t="s">
        <v>900</v>
      </c>
      <c r="D1261" s="23" t="s">
        <v>22</v>
      </c>
      <c r="E1261" s="23" t="s">
        <v>36</v>
      </c>
      <c r="F1261" s="23" t="s">
        <v>37</v>
      </c>
      <c r="G1261" s="23" t="s">
        <v>2579</v>
      </c>
      <c r="H1261" s="23" t="s">
        <v>39</v>
      </c>
      <c r="I1261" s="23" t="s">
        <v>40</v>
      </c>
      <c r="J1261" s="23" t="s">
        <v>117</v>
      </c>
      <c r="K1261" s="23" t="s">
        <v>90</v>
      </c>
      <c r="L1261" s="23" t="s">
        <v>2684</v>
      </c>
      <c r="M1261" s="23" t="s">
        <v>43</v>
      </c>
      <c r="N1261" s="23" t="s">
        <v>44</v>
      </c>
      <c r="O1261" s="23">
        <v>7</v>
      </c>
      <c r="P1261" s="23">
        <v>169.42</v>
      </c>
      <c r="Q1261" s="23">
        <v>92.59</v>
      </c>
      <c r="R1261" s="23">
        <v>1185.96</v>
      </c>
      <c r="S1261" s="23">
        <v>0.1</v>
      </c>
      <c r="T1261" s="23">
        <v>118.6</v>
      </c>
      <c r="U1261" s="23">
        <v>1067.3699999999999</v>
      </c>
      <c r="V1261" s="23">
        <v>648.15</v>
      </c>
      <c r="W1261" s="23">
        <v>419.21</v>
      </c>
      <c r="X1261" s="23" t="s">
        <v>32</v>
      </c>
    </row>
    <row r="1262" spans="1:24" x14ac:dyDescent="0.25">
      <c r="A1262" s="20" t="s">
        <v>1782</v>
      </c>
      <c r="B1262" s="19">
        <v>45600</v>
      </c>
      <c r="C1262" s="20" t="s">
        <v>1783</v>
      </c>
      <c r="D1262" s="20" t="s">
        <v>163</v>
      </c>
      <c r="E1262" s="20" t="s">
        <v>222</v>
      </c>
      <c r="F1262" s="20" t="s">
        <v>2597</v>
      </c>
      <c r="G1262" s="20" t="s">
        <v>2587</v>
      </c>
      <c r="H1262" s="20" t="s">
        <v>68</v>
      </c>
      <c r="I1262" s="20" t="s">
        <v>58</v>
      </c>
      <c r="J1262" s="20" t="s">
        <v>73</v>
      </c>
      <c r="K1262" s="20" t="s">
        <v>248</v>
      </c>
      <c r="L1262" s="20" t="s">
        <v>2693</v>
      </c>
      <c r="M1262" s="20" t="s">
        <v>43</v>
      </c>
      <c r="N1262" s="20" t="s">
        <v>70</v>
      </c>
      <c r="O1262" s="20">
        <v>71</v>
      </c>
      <c r="P1262" s="20">
        <v>121.29</v>
      </c>
      <c r="Q1262" s="20">
        <v>80.98</v>
      </c>
      <c r="R1262" s="20">
        <v>8611.36</v>
      </c>
      <c r="S1262" s="20">
        <v>0.2</v>
      </c>
      <c r="T1262" s="20">
        <v>1722.27</v>
      </c>
      <c r="U1262" s="20">
        <v>6889.09</v>
      </c>
      <c r="V1262" s="20">
        <v>5749.29</v>
      </c>
      <c r="W1262" s="20">
        <v>1139.8</v>
      </c>
      <c r="X1262" s="20" t="s">
        <v>129</v>
      </c>
    </row>
    <row r="1263" spans="1:24" x14ac:dyDescent="0.25">
      <c r="A1263" s="23" t="s">
        <v>1784</v>
      </c>
      <c r="B1263" s="22">
        <v>45406</v>
      </c>
      <c r="C1263" s="23" t="s">
        <v>303</v>
      </c>
      <c r="D1263" s="23" t="s">
        <v>22</v>
      </c>
      <c r="E1263" s="23" t="s">
        <v>99</v>
      </c>
      <c r="F1263" s="23" t="s">
        <v>100</v>
      </c>
      <c r="G1263" s="23" t="s">
        <v>2587</v>
      </c>
      <c r="H1263" s="23" t="s">
        <v>102</v>
      </c>
      <c r="I1263" s="23" t="s">
        <v>53</v>
      </c>
      <c r="J1263" s="23" t="s">
        <v>143</v>
      </c>
      <c r="K1263" s="23" t="s">
        <v>265</v>
      </c>
      <c r="L1263" s="23" t="s">
        <v>2663</v>
      </c>
      <c r="M1263" s="23" t="s">
        <v>153</v>
      </c>
      <c r="N1263" s="23" t="s">
        <v>2578</v>
      </c>
      <c r="O1263" s="23">
        <v>50</v>
      </c>
      <c r="P1263" s="23">
        <v>72.88</v>
      </c>
      <c r="Q1263" s="23">
        <v>41.13</v>
      </c>
      <c r="R1263" s="23">
        <v>3643.78</v>
      </c>
      <c r="S1263" s="23">
        <v>0.1</v>
      </c>
      <c r="T1263" s="23">
        <v>364.38</v>
      </c>
      <c r="U1263" s="23">
        <v>3279.4</v>
      </c>
      <c r="V1263" s="23">
        <v>2056.36</v>
      </c>
      <c r="W1263" s="23">
        <v>1223.04</v>
      </c>
      <c r="X1263" s="23" t="s">
        <v>45</v>
      </c>
    </row>
    <row r="1264" spans="1:24" x14ac:dyDescent="0.25">
      <c r="A1264" s="20" t="s">
        <v>1785</v>
      </c>
      <c r="B1264" s="19">
        <v>45655</v>
      </c>
      <c r="C1264" s="20" t="s">
        <v>811</v>
      </c>
      <c r="D1264" s="20" t="s">
        <v>359</v>
      </c>
      <c r="E1264" s="20" t="s">
        <v>49</v>
      </c>
      <c r="F1264" s="20" t="s">
        <v>2580</v>
      </c>
      <c r="G1264" s="20" t="s">
        <v>2581</v>
      </c>
      <c r="H1264" s="20" t="s">
        <v>52</v>
      </c>
      <c r="I1264" s="20" t="s">
        <v>27</v>
      </c>
      <c r="J1264" s="20" t="s">
        <v>106</v>
      </c>
      <c r="K1264" s="20" t="s">
        <v>218</v>
      </c>
      <c r="L1264" s="20" t="s">
        <v>2692</v>
      </c>
      <c r="M1264" s="20" t="s">
        <v>43</v>
      </c>
      <c r="N1264" s="20" t="s">
        <v>75</v>
      </c>
      <c r="O1264" s="20">
        <v>26</v>
      </c>
      <c r="P1264" s="20">
        <v>23.23</v>
      </c>
      <c r="Q1264" s="20">
        <v>12.66</v>
      </c>
      <c r="R1264" s="20">
        <v>604.09</v>
      </c>
      <c r="S1264" s="20">
        <v>0</v>
      </c>
      <c r="T1264" s="20">
        <v>0</v>
      </c>
      <c r="U1264" s="20">
        <v>604.09</v>
      </c>
      <c r="V1264" s="20">
        <v>329.04</v>
      </c>
      <c r="W1264" s="20">
        <v>275.05</v>
      </c>
      <c r="X1264" s="20" t="s">
        <v>45</v>
      </c>
    </row>
    <row r="1265" spans="1:24" x14ac:dyDescent="0.25">
      <c r="A1265" s="23" t="s">
        <v>1786</v>
      </c>
      <c r="B1265" s="22">
        <v>45359</v>
      </c>
      <c r="C1265" s="23" t="s">
        <v>495</v>
      </c>
      <c r="D1265" s="23" t="s">
        <v>125</v>
      </c>
      <c r="E1265" s="23" t="s">
        <v>114</v>
      </c>
      <c r="F1265" s="23" t="s">
        <v>2588</v>
      </c>
      <c r="G1265" s="23" t="s">
        <v>2586</v>
      </c>
      <c r="H1265" s="23" t="s">
        <v>116</v>
      </c>
      <c r="I1265" s="23" t="s">
        <v>53</v>
      </c>
      <c r="J1265" s="23" t="s">
        <v>232</v>
      </c>
      <c r="K1265" s="23" t="s">
        <v>42</v>
      </c>
      <c r="L1265" s="23" t="s">
        <v>2680</v>
      </c>
      <c r="M1265" s="23" t="s">
        <v>153</v>
      </c>
      <c r="N1265" s="23" t="s">
        <v>2578</v>
      </c>
      <c r="O1265" s="23">
        <v>31</v>
      </c>
      <c r="P1265" s="23">
        <v>35.97</v>
      </c>
      <c r="Q1265" s="23">
        <v>19.59</v>
      </c>
      <c r="R1265" s="23">
        <v>1115.01</v>
      </c>
      <c r="S1265" s="23">
        <v>0.15</v>
      </c>
      <c r="T1265" s="23">
        <v>167.25</v>
      </c>
      <c r="U1265" s="23">
        <v>947.76</v>
      </c>
      <c r="V1265" s="23">
        <v>607.37</v>
      </c>
      <c r="W1265" s="23">
        <v>340.39</v>
      </c>
      <c r="X1265" s="23" t="s">
        <v>45</v>
      </c>
    </row>
    <row r="1266" spans="1:24" x14ac:dyDescent="0.25">
      <c r="A1266" s="20" t="s">
        <v>1787</v>
      </c>
      <c r="B1266" s="19">
        <v>45367</v>
      </c>
      <c r="C1266" s="20" t="s">
        <v>941</v>
      </c>
      <c r="D1266" s="20" t="s">
        <v>149</v>
      </c>
      <c r="E1266" s="20" t="s">
        <v>114</v>
      </c>
      <c r="F1266" s="20" t="s">
        <v>2588</v>
      </c>
      <c r="G1266" s="20" t="s">
        <v>2586</v>
      </c>
      <c r="H1266" s="20" t="s">
        <v>116</v>
      </c>
      <c r="I1266" s="20" t="s">
        <v>88</v>
      </c>
      <c r="J1266" s="20" t="s">
        <v>2112</v>
      </c>
      <c r="K1266" s="20" t="s">
        <v>170</v>
      </c>
      <c r="L1266" s="20" t="s">
        <v>2671</v>
      </c>
      <c r="M1266" s="20" t="s">
        <v>153</v>
      </c>
      <c r="N1266" s="20" t="s">
        <v>70</v>
      </c>
      <c r="O1266" s="20">
        <v>39</v>
      </c>
      <c r="P1266" s="20">
        <v>33.35</v>
      </c>
      <c r="Q1266" s="20">
        <v>20.94</v>
      </c>
      <c r="R1266" s="20">
        <v>1300.6400000000001</v>
      </c>
      <c r="S1266" s="20">
        <v>0.02</v>
      </c>
      <c r="T1266" s="20">
        <v>26.01</v>
      </c>
      <c r="U1266" s="20">
        <v>1274.6300000000001</v>
      </c>
      <c r="V1266" s="20">
        <v>816.78</v>
      </c>
      <c r="W1266" s="20">
        <v>457.85</v>
      </c>
      <c r="X1266" s="20" t="s">
        <v>32</v>
      </c>
    </row>
    <row r="1267" spans="1:24" x14ac:dyDescent="0.25">
      <c r="A1267" s="23" t="s">
        <v>1788</v>
      </c>
      <c r="B1267" s="22">
        <v>45554</v>
      </c>
      <c r="C1267" s="23" t="s">
        <v>565</v>
      </c>
      <c r="D1267" s="23" t="s">
        <v>121</v>
      </c>
      <c r="E1267" s="23" t="s">
        <v>141</v>
      </c>
      <c r="F1267" s="23" t="s">
        <v>2590</v>
      </c>
      <c r="G1267" s="23" t="s">
        <v>2577</v>
      </c>
      <c r="H1267" s="23" t="s">
        <v>26</v>
      </c>
      <c r="I1267" s="23" t="s">
        <v>88</v>
      </c>
      <c r="J1267" s="23" t="s">
        <v>183</v>
      </c>
      <c r="K1267" s="23" t="s">
        <v>118</v>
      </c>
      <c r="L1267" s="23" t="s">
        <v>2686</v>
      </c>
      <c r="M1267" s="23" t="s">
        <v>30</v>
      </c>
      <c r="N1267" s="23" t="s">
        <v>75</v>
      </c>
      <c r="O1267" s="23">
        <v>3</v>
      </c>
      <c r="P1267" s="23">
        <v>98.54</v>
      </c>
      <c r="Q1267" s="23">
        <v>58.99</v>
      </c>
      <c r="R1267" s="23">
        <v>295.61</v>
      </c>
      <c r="S1267" s="23">
        <v>0.15</v>
      </c>
      <c r="T1267" s="23">
        <v>44.34</v>
      </c>
      <c r="U1267" s="23">
        <v>251.27</v>
      </c>
      <c r="V1267" s="23">
        <v>176.97</v>
      </c>
      <c r="W1267" s="23">
        <v>74.3</v>
      </c>
      <c r="X1267" s="23" t="s">
        <v>45</v>
      </c>
    </row>
    <row r="1268" spans="1:24" x14ac:dyDescent="0.25">
      <c r="A1268" s="20" t="s">
        <v>1789</v>
      </c>
      <c r="B1268" s="19">
        <v>45420</v>
      </c>
      <c r="C1268" s="20" t="s">
        <v>404</v>
      </c>
      <c r="D1268" s="20" t="s">
        <v>87</v>
      </c>
      <c r="E1268" s="20" t="s">
        <v>49</v>
      </c>
      <c r="F1268" s="20" t="s">
        <v>2580</v>
      </c>
      <c r="G1268" s="20" t="s">
        <v>2581</v>
      </c>
      <c r="H1268" s="20" t="s">
        <v>52</v>
      </c>
      <c r="I1268" s="20" t="s">
        <v>88</v>
      </c>
      <c r="J1268" s="20" t="s">
        <v>2112</v>
      </c>
      <c r="K1268" s="20" t="s">
        <v>261</v>
      </c>
      <c r="L1268" s="20" t="s">
        <v>2695</v>
      </c>
      <c r="M1268" s="20" t="s">
        <v>30</v>
      </c>
      <c r="N1268" s="20" t="s">
        <v>2578</v>
      </c>
      <c r="O1268" s="20">
        <v>62</v>
      </c>
      <c r="P1268" s="20">
        <v>25.69</v>
      </c>
      <c r="Q1268" s="20">
        <v>12.42</v>
      </c>
      <c r="R1268" s="20">
        <v>1592.85</v>
      </c>
      <c r="S1268" s="20">
        <v>0</v>
      </c>
      <c r="T1268" s="20">
        <v>0</v>
      </c>
      <c r="U1268" s="20">
        <v>1592.85</v>
      </c>
      <c r="V1268" s="20">
        <v>769.96</v>
      </c>
      <c r="W1268" s="20">
        <v>822.89</v>
      </c>
      <c r="X1268" s="20" t="s">
        <v>45</v>
      </c>
    </row>
    <row r="1269" spans="1:24" x14ac:dyDescent="0.25">
      <c r="A1269" s="23" t="s">
        <v>1790</v>
      </c>
      <c r="B1269" s="22">
        <v>45366</v>
      </c>
      <c r="C1269" s="23" t="s">
        <v>220</v>
      </c>
      <c r="D1269" s="23" t="s">
        <v>221</v>
      </c>
      <c r="E1269" s="23" t="s">
        <v>150</v>
      </c>
      <c r="F1269" s="23" t="s">
        <v>2591</v>
      </c>
      <c r="G1269" s="23" t="s">
        <v>2587</v>
      </c>
      <c r="H1269" s="23" t="s">
        <v>134</v>
      </c>
      <c r="I1269" s="23" t="s">
        <v>27</v>
      </c>
      <c r="J1269" s="23" t="s">
        <v>189</v>
      </c>
      <c r="K1269" s="23" t="s">
        <v>170</v>
      </c>
      <c r="L1269" s="23" t="s">
        <v>2671</v>
      </c>
      <c r="M1269" s="23" t="s">
        <v>61</v>
      </c>
      <c r="N1269" s="23" t="s">
        <v>44</v>
      </c>
      <c r="O1269" s="23">
        <v>72</v>
      </c>
      <c r="P1269" s="23">
        <v>90.38</v>
      </c>
      <c r="Q1269" s="23">
        <v>52.36</v>
      </c>
      <c r="R1269" s="23">
        <v>6507.12</v>
      </c>
      <c r="S1269" s="23">
        <v>0.05</v>
      </c>
      <c r="T1269" s="23">
        <v>325.36</v>
      </c>
      <c r="U1269" s="23">
        <v>6181.77</v>
      </c>
      <c r="V1269" s="23">
        <v>3769.8</v>
      </c>
      <c r="W1269" s="23">
        <v>2411.9699999999998</v>
      </c>
      <c r="X1269" s="23" t="s">
        <v>45</v>
      </c>
    </row>
    <row r="1270" spans="1:24" x14ac:dyDescent="0.25">
      <c r="A1270" s="20" t="s">
        <v>1791</v>
      </c>
      <c r="B1270" s="19">
        <v>45313</v>
      </c>
      <c r="C1270" s="20" t="s">
        <v>1253</v>
      </c>
      <c r="D1270" s="20" t="s">
        <v>259</v>
      </c>
      <c r="E1270" s="20" t="s">
        <v>36</v>
      </c>
      <c r="F1270" s="20" t="s">
        <v>37</v>
      </c>
      <c r="G1270" s="20" t="s">
        <v>2579</v>
      </c>
      <c r="H1270" s="20" t="s">
        <v>39</v>
      </c>
      <c r="I1270" s="20" t="s">
        <v>40</v>
      </c>
      <c r="J1270" s="20" t="s">
        <v>82</v>
      </c>
      <c r="K1270" s="20" t="s">
        <v>83</v>
      </c>
      <c r="L1270" s="20" t="s">
        <v>2683</v>
      </c>
      <c r="M1270" s="20" t="s">
        <v>61</v>
      </c>
      <c r="N1270" s="20" t="s">
        <v>2578</v>
      </c>
      <c r="O1270" s="20">
        <v>47</v>
      </c>
      <c r="P1270" s="20">
        <v>175.59</v>
      </c>
      <c r="Q1270" s="20">
        <v>106.86</v>
      </c>
      <c r="R1270" s="20">
        <v>8252.51</v>
      </c>
      <c r="S1270" s="20">
        <v>0.2</v>
      </c>
      <c r="T1270" s="20">
        <v>1650.5</v>
      </c>
      <c r="U1270" s="20">
        <v>6602.01</v>
      </c>
      <c r="V1270" s="20">
        <v>5022.38</v>
      </c>
      <c r="W1270" s="20">
        <v>1579.63</v>
      </c>
      <c r="X1270" s="20" t="s">
        <v>45</v>
      </c>
    </row>
    <row r="1271" spans="1:24" x14ac:dyDescent="0.25">
      <c r="A1271" s="23" t="s">
        <v>1792</v>
      </c>
      <c r="B1271" s="22">
        <v>45338</v>
      </c>
      <c r="C1271" s="23" t="s">
        <v>1380</v>
      </c>
      <c r="D1271" s="23" t="s">
        <v>121</v>
      </c>
      <c r="E1271" s="23" t="s">
        <v>93</v>
      </c>
      <c r="F1271" s="23" t="s">
        <v>2585</v>
      </c>
      <c r="G1271" s="23" t="s">
        <v>2586</v>
      </c>
      <c r="H1271" s="23" t="s">
        <v>96</v>
      </c>
      <c r="I1271" s="23" t="s">
        <v>58</v>
      </c>
      <c r="J1271" s="23" t="s">
        <v>345</v>
      </c>
      <c r="K1271" s="23" t="s">
        <v>248</v>
      </c>
      <c r="L1271" s="23" t="s">
        <v>2693</v>
      </c>
      <c r="M1271" s="23" t="s">
        <v>30</v>
      </c>
      <c r="N1271" s="23" t="s">
        <v>75</v>
      </c>
      <c r="O1271" s="23">
        <v>40</v>
      </c>
      <c r="P1271" s="23">
        <v>52.36</v>
      </c>
      <c r="Q1271" s="23">
        <v>30</v>
      </c>
      <c r="R1271" s="23">
        <v>2094.5700000000002</v>
      </c>
      <c r="S1271" s="23">
        <v>0.02</v>
      </c>
      <c r="T1271" s="23">
        <v>41.89</v>
      </c>
      <c r="U1271" s="23">
        <v>2052.6799999999998</v>
      </c>
      <c r="V1271" s="23">
        <v>1199.98</v>
      </c>
      <c r="W1271" s="23">
        <v>852.7</v>
      </c>
      <c r="X1271" s="23" t="s">
        <v>45</v>
      </c>
    </row>
    <row r="1272" spans="1:24" x14ac:dyDescent="0.25">
      <c r="A1272" s="20" t="s">
        <v>1793</v>
      </c>
      <c r="B1272" s="19">
        <v>45524</v>
      </c>
      <c r="C1272" s="20" t="s">
        <v>509</v>
      </c>
      <c r="D1272" s="20" t="s">
        <v>264</v>
      </c>
      <c r="E1272" s="20" t="s">
        <v>49</v>
      </c>
      <c r="F1272" s="20" t="s">
        <v>2580</v>
      </c>
      <c r="G1272" s="20" t="s">
        <v>2581</v>
      </c>
      <c r="H1272" s="20" t="s">
        <v>52</v>
      </c>
      <c r="I1272" s="20" t="s">
        <v>53</v>
      </c>
      <c r="J1272" s="20" t="s">
        <v>143</v>
      </c>
      <c r="K1272" s="20" t="s">
        <v>178</v>
      </c>
      <c r="L1272" s="20" t="s">
        <v>2689</v>
      </c>
      <c r="M1272" s="20" t="s">
        <v>30</v>
      </c>
      <c r="N1272" s="20" t="s">
        <v>75</v>
      </c>
      <c r="O1272" s="20">
        <v>62</v>
      </c>
      <c r="P1272" s="20">
        <v>25.44</v>
      </c>
      <c r="Q1272" s="20">
        <v>13.42</v>
      </c>
      <c r="R1272" s="20">
        <v>1577.2</v>
      </c>
      <c r="S1272" s="20">
        <v>0.2</v>
      </c>
      <c r="T1272" s="20">
        <v>315.44</v>
      </c>
      <c r="U1272" s="20">
        <v>1261.76</v>
      </c>
      <c r="V1272" s="20">
        <v>831.75</v>
      </c>
      <c r="W1272" s="20">
        <v>430.02</v>
      </c>
      <c r="X1272" s="20" t="s">
        <v>45</v>
      </c>
    </row>
    <row r="1273" spans="1:24" x14ac:dyDescent="0.25">
      <c r="A1273" s="23" t="s">
        <v>1794</v>
      </c>
      <c r="B1273" s="22">
        <v>45429</v>
      </c>
      <c r="C1273" s="23" t="s">
        <v>120</v>
      </c>
      <c r="D1273" s="23" t="s">
        <v>121</v>
      </c>
      <c r="E1273" s="23" t="s">
        <v>141</v>
      </c>
      <c r="F1273" s="23" t="s">
        <v>2590</v>
      </c>
      <c r="G1273" s="23" t="s">
        <v>2577</v>
      </c>
      <c r="H1273" s="23" t="s">
        <v>26</v>
      </c>
      <c r="I1273" s="23" t="s">
        <v>40</v>
      </c>
      <c r="J1273" s="23" t="s">
        <v>41</v>
      </c>
      <c r="K1273" s="23" t="s">
        <v>69</v>
      </c>
      <c r="L1273" s="23" t="s">
        <v>2681</v>
      </c>
      <c r="M1273" s="23" t="s">
        <v>30</v>
      </c>
      <c r="N1273" s="23" t="s">
        <v>84</v>
      </c>
      <c r="O1273" s="23">
        <v>5</v>
      </c>
      <c r="P1273" s="23">
        <v>88.69</v>
      </c>
      <c r="Q1273" s="23">
        <v>56.94</v>
      </c>
      <c r="R1273" s="23">
        <v>443.47</v>
      </c>
      <c r="S1273" s="23">
        <v>0</v>
      </c>
      <c r="T1273" s="23">
        <v>0</v>
      </c>
      <c r="U1273" s="23">
        <v>443.47</v>
      </c>
      <c r="V1273" s="23">
        <v>284.69</v>
      </c>
      <c r="W1273" s="23">
        <v>158.78</v>
      </c>
      <c r="X1273" s="23" t="s">
        <v>45</v>
      </c>
    </row>
    <row r="1274" spans="1:24" x14ac:dyDescent="0.25">
      <c r="A1274" s="20" t="s">
        <v>1795</v>
      </c>
      <c r="B1274" s="19">
        <v>45325</v>
      </c>
      <c r="C1274" s="20" t="s">
        <v>666</v>
      </c>
      <c r="D1274" s="20" t="s">
        <v>156</v>
      </c>
      <c r="E1274" s="20" t="s">
        <v>109</v>
      </c>
      <c r="F1274" s="20" t="s">
        <v>110</v>
      </c>
      <c r="G1274" s="20" t="s">
        <v>2584</v>
      </c>
      <c r="H1274" s="20" t="s">
        <v>81</v>
      </c>
      <c r="I1274" s="20" t="s">
        <v>53</v>
      </c>
      <c r="J1274" s="20" t="s">
        <v>143</v>
      </c>
      <c r="K1274" s="20" t="s">
        <v>261</v>
      </c>
      <c r="L1274" s="20" t="s">
        <v>2695</v>
      </c>
      <c r="M1274" s="20" t="s">
        <v>43</v>
      </c>
      <c r="N1274" s="20" t="s">
        <v>75</v>
      </c>
      <c r="O1274" s="20">
        <v>25</v>
      </c>
      <c r="P1274" s="20">
        <v>133.19</v>
      </c>
      <c r="Q1274" s="20">
        <v>76.63</v>
      </c>
      <c r="R1274" s="20">
        <v>3329.73</v>
      </c>
      <c r="S1274" s="20">
        <v>0.15</v>
      </c>
      <c r="T1274" s="20">
        <v>499.46</v>
      </c>
      <c r="U1274" s="20">
        <v>2830.27</v>
      </c>
      <c r="V1274" s="20">
        <v>1915.75</v>
      </c>
      <c r="W1274" s="20">
        <v>914.51</v>
      </c>
      <c r="X1274" s="20" t="s">
        <v>45</v>
      </c>
    </row>
    <row r="1275" spans="1:24" x14ac:dyDescent="0.25">
      <c r="A1275" s="23" t="s">
        <v>1796</v>
      </c>
      <c r="B1275" s="22">
        <v>45517</v>
      </c>
      <c r="C1275" s="23" t="s">
        <v>1488</v>
      </c>
      <c r="D1275" s="23" t="s">
        <v>149</v>
      </c>
      <c r="E1275" s="23" t="s">
        <v>209</v>
      </c>
      <c r="F1275" s="23" t="s">
        <v>2595</v>
      </c>
      <c r="G1275" s="23" t="s">
        <v>2581</v>
      </c>
      <c r="H1275" s="23" t="s">
        <v>116</v>
      </c>
      <c r="I1275" s="23" t="s">
        <v>58</v>
      </c>
      <c r="J1275" s="23" t="s">
        <v>323</v>
      </c>
      <c r="K1275" s="23" t="s">
        <v>118</v>
      </c>
      <c r="L1275" s="23" t="s">
        <v>2686</v>
      </c>
      <c r="M1275" s="23" t="s">
        <v>61</v>
      </c>
      <c r="N1275" s="23" t="s">
        <v>2578</v>
      </c>
      <c r="O1275" s="23">
        <v>46</v>
      </c>
      <c r="P1275" s="23">
        <v>17.88</v>
      </c>
      <c r="Q1275" s="23">
        <v>10.46</v>
      </c>
      <c r="R1275" s="23">
        <v>822.63</v>
      </c>
      <c r="S1275" s="23">
        <v>0.02</v>
      </c>
      <c r="T1275" s="23">
        <v>16.45</v>
      </c>
      <c r="U1275" s="23">
        <v>806.17</v>
      </c>
      <c r="V1275" s="23">
        <v>480.98</v>
      </c>
      <c r="W1275" s="23">
        <v>325.2</v>
      </c>
      <c r="X1275" s="23" t="s">
        <v>129</v>
      </c>
    </row>
    <row r="1276" spans="1:24" x14ac:dyDescent="0.25">
      <c r="A1276" s="20" t="s">
        <v>1797</v>
      </c>
      <c r="B1276" s="19">
        <v>45328</v>
      </c>
      <c r="C1276" s="20" t="s">
        <v>717</v>
      </c>
      <c r="D1276" s="20" t="s">
        <v>35</v>
      </c>
      <c r="E1276" s="20" t="s">
        <v>23</v>
      </c>
      <c r="F1276" s="20" t="s">
        <v>2576</v>
      </c>
      <c r="G1276" s="20" t="s">
        <v>2577</v>
      </c>
      <c r="H1276" s="20" t="s">
        <v>26</v>
      </c>
      <c r="I1276" s="20" t="s">
        <v>58</v>
      </c>
      <c r="J1276" s="20" t="s">
        <v>73</v>
      </c>
      <c r="K1276" s="20" t="s">
        <v>42</v>
      </c>
      <c r="L1276" s="20" t="s">
        <v>2680</v>
      </c>
      <c r="M1276" s="20" t="s">
        <v>61</v>
      </c>
      <c r="N1276" s="20" t="s">
        <v>2578</v>
      </c>
      <c r="O1276" s="20">
        <v>30</v>
      </c>
      <c r="P1276" s="20">
        <v>71.849999999999994</v>
      </c>
      <c r="Q1276" s="20">
        <v>45.61</v>
      </c>
      <c r="R1276" s="20">
        <v>2155.5500000000002</v>
      </c>
      <c r="S1276" s="20">
        <v>0.05</v>
      </c>
      <c r="T1276" s="20">
        <v>107.78</v>
      </c>
      <c r="U1276" s="20">
        <v>2047.77</v>
      </c>
      <c r="V1276" s="20">
        <v>1368.2</v>
      </c>
      <c r="W1276" s="20">
        <v>679.57</v>
      </c>
      <c r="X1276" s="20" t="s">
        <v>45</v>
      </c>
    </row>
    <row r="1277" spans="1:24" x14ac:dyDescent="0.25">
      <c r="A1277" s="23" t="s">
        <v>1798</v>
      </c>
      <c r="B1277" s="22">
        <v>45501</v>
      </c>
      <c r="C1277" s="23" t="s">
        <v>77</v>
      </c>
      <c r="D1277" s="23" t="s">
        <v>22</v>
      </c>
      <c r="E1277" s="23" t="s">
        <v>66</v>
      </c>
      <c r="F1277" s="23" t="s">
        <v>2582</v>
      </c>
      <c r="G1277" s="23" t="s">
        <v>2579</v>
      </c>
      <c r="H1277" s="23" t="s">
        <v>68</v>
      </c>
      <c r="I1277" s="23" t="s">
        <v>88</v>
      </c>
      <c r="J1277" s="23" t="s">
        <v>135</v>
      </c>
      <c r="K1277" s="23" t="s">
        <v>253</v>
      </c>
      <c r="L1277" s="23" t="s">
        <v>2694</v>
      </c>
      <c r="M1277" s="23" t="s">
        <v>43</v>
      </c>
      <c r="N1277" s="23" t="s">
        <v>84</v>
      </c>
      <c r="O1277" s="23">
        <v>47</v>
      </c>
      <c r="P1277" s="23">
        <v>171.31</v>
      </c>
      <c r="Q1277" s="23">
        <v>106.81</v>
      </c>
      <c r="R1277" s="23">
        <v>8051.48</v>
      </c>
      <c r="S1277" s="23">
        <v>0</v>
      </c>
      <c r="T1277" s="23">
        <v>0</v>
      </c>
      <c r="U1277" s="23">
        <v>8051.48</v>
      </c>
      <c r="V1277" s="23">
        <v>5019.84</v>
      </c>
      <c r="W1277" s="23">
        <v>3031.65</v>
      </c>
      <c r="X1277" s="23" t="s">
        <v>129</v>
      </c>
    </row>
    <row r="1278" spans="1:24" x14ac:dyDescent="0.25">
      <c r="A1278" s="20" t="s">
        <v>1799</v>
      </c>
      <c r="B1278" s="19">
        <v>45384</v>
      </c>
      <c r="C1278" s="20" t="s">
        <v>1302</v>
      </c>
      <c r="D1278" s="20" t="s">
        <v>149</v>
      </c>
      <c r="E1278" s="20" t="s">
        <v>150</v>
      </c>
      <c r="F1278" s="20" t="s">
        <v>2591</v>
      </c>
      <c r="G1278" s="20" t="s">
        <v>2587</v>
      </c>
      <c r="H1278" s="20" t="s">
        <v>134</v>
      </c>
      <c r="I1278" s="20" t="s">
        <v>27</v>
      </c>
      <c r="J1278" s="20" t="s">
        <v>106</v>
      </c>
      <c r="K1278" s="20" t="s">
        <v>218</v>
      </c>
      <c r="L1278" s="20" t="s">
        <v>2692</v>
      </c>
      <c r="M1278" s="20" t="s">
        <v>30</v>
      </c>
      <c r="N1278" s="20" t="s">
        <v>70</v>
      </c>
      <c r="O1278" s="20">
        <v>4</v>
      </c>
      <c r="P1278" s="20">
        <v>79.510000000000005</v>
      </c>
      <c r="Q1278" s="20">
        <v>50.6</v>
      </c>
      <c r="R1278" s="20">
        <v>318.06</v>
      </c>
      <c r="S1278" s="20">
        <v>0.2</v>
      </c>
      <c r="T1278" s="20">
        <v>63.61</v>
      </c>
      <c r="U1278" s="20">
        <v>254.45</v>
      </c>
      <c r="V1278" s="20">
        <v>202.38</v>
      </c>
      <c r="W1278" s="20">
        <v>52.07</v>
      </c>
      <c r="X1278" s="20" t="s">
        <v>45</v>
      </c>
    </row>
    <row r="1279" spans="1:24" x14ac:dyDescent="0.25">
      <c r="A1279" s="23" t="s">
        <v>1800</v>
      </c>
      <c r="B1279" s="22">
        <v>45505</v>
      </c>
      <c r="C1279" s="23" t="s">
        <v>237</v>
      </c>
      <c r="D1279" s="23" t="s">
        <v>105</v>
      </c>
      <c r="E1279" s="23" t="s">
        <v>49</v>
      </c>
      <c r="F1279" s="23" t="s">
        <v>2580</v>
      </c>
      <c r="G1279" s="23" t="s">
        <v>2581</v>
      </c>
      <c r="H1279" s="23" t="s">
        <v>52</v>
      </c>
      <c r="I1279" s="23" t="s">
        <v>40</v>
      </c>
      <c r="J1279" s="23" t="s">
        <v>82</v>
      </c>
      <c r="K1279" s="23" t="s">
        <v>111</v>
      </c>
      <c r="L1279" s="23" t="s">
        <v>2685</v>
      </c>
      <c r="M1279" s="23" t="s">
        <v>153</v>
      </c>
      <c r="N1279" s="23" t="s">
        <v>75</v>
      </c>
      <c r="O1279" s="23">
        <v>1</v>
      </c>
      <c r="P1279" s="23">
        <v>23.02</v>
      </c>
      <c r="Q1279" s="23">
        <v>12.31</v>
      </c>
      <c r="R1279" s="23">
        <v>23.02</v>
      </c>
      <c r="S1279" s="23">
        <v>0.1</v>
      </c>
      <c r="T1279" s="23">
        <v>2.2999999999999998</v>
      </c>
      <c r="U1279" s="23">
        <v>20.72</v>
      </c>
      <c r="V1279" s="23">
        <v>12.31</v>
      </c>
      <c r="W1279" s="23">
        <v>8.41</v>
      </c>
      <c r="X1279" s="23" t="s">
        <v>45</v>
      </c>
    </row>
    <row r="1280" spans="1:24" x14ac:dyDescent="0.25">
      <c r="A1280" s="20" t="s">
        <v>1801</v>
      </c>
      <c r="B1280" s="19">
        <v>45465</v>
      </c>
      <c r="C1280" s="20" t="s">
        <v>247</v>
      </c>
      <c r="D1280" s="20" t="s">
        <v>65</v>
      </c>
      <c r="E1280" s="20" t="s">
        <v>93</v>
      </c>
      <c r="F1280" s="20" t="s">
        <v>2585</v>
      </c>
      <c r="G1280" s="20" t="s">
        <v>2586</v>
      </c>
      <c r="H1280" s="20" t="s">
        <v>96</v>
      </c>
      <c r="I1280" s="20" t="s">
        <v>40</v>
      </c>
      <c r="J1280" s="20" t="s">
        <v>82</v>
      </c>
      <c r="K1280" s="20" t="s">
        <v>118</v>
      </c>
      <c r="L1280" s="20" t="s">
        <v>2686</v>
      </c>
      <c r="M1280" s="20" t="s">
        <v>61</v>
      </c>
      <c r="N1280" s="20" t="s">
        <v>44</v>
      </c>
      <c r="O1280" s="20">
        <v>15</v>
      </c>
      <c r="P1280" s="20">
        <v>58.24</v>
      </c>
      <c r="Q1280" s="20">
        <v>33.159999999999997</v>
      </c>
      <c r="R1280" s="20">
        <v>873.61</v>
      </c>
      <c r="S1280" s="20">
        <v>0.2</v>
      </c>
      <c r="T1280" s="20">
        <v>174.72</v>
      </c>
      <c r="U1280" s="20">
        <v>698.89</v>
      </c>
      <c r="V1280" s="20">
        <v>497.45</v>
      </c>
      <c r="W1280" s="20">
        <v>201.44</v>
      </c>
      <c r="X1280" s="20" t="s">
        <v>45</v>
      </c>
    </row>
    <row r="1281" spans="1:24" x14ac:dyDescent="0.25">
      <c r="A1281" s="23" t="s">
        <v>1802</v>
      </c>
      <c r="B1281" s="22">
        <v>45448</v>
      </c>
      <c r="C1281" s="23" t="s">
        <v>864</v>
      </c>
      <c r="D1281" s="23" t="s">
        <v>22</v>
      </c>
      <c r="E1281" s="23" t="s">
        <v>250</v>
      </c>
      <c r="F1281" s="23" t="s">
        <v>2598</v>
      </c>
      <c r="G1281" s="23" t="s">
        <v>2581</v>
      </c>
      <c r="H1281" s="23" t="s">
        <v>252</v>
      </c>
      <c r="I1281" s="23" t="s">
        <v>58</v>
      </c>
      <c r="J1281" s="23" t="s">
        <v>323</v>
      </c>
      <c r="K1281" s="23" t="s">
        <v>2619</v>
      </c>
      <c r="L1281" s="23" t="s">
        <v>2619</v>
      </c>
      <c r="M1281" s="23" t="s">
        <v>43</v>
      </c>
      <c r="N1281" s="23" t="s">
        <v>2578</v>
      </c>
      <c r="O1281" s="23">
        <v>2</v>
      </c>
      <c r="P1281" s="23">
        <v>65.33</v>
      </c>
      <c r="Q1281" s="23">
        <v>36.71</v>
      </c>
      <c r="R1281" s="23">
        <v>130.65</v>
      </c>
      <c r="S1281" s="23">
        <v>0</v>
      </c>
      <c r="T1281" s="23">
        <v>0</v>
      </c>
      <c r="U1281" s="23">
        <v>130.65</v>
      </c>
      <c r="V1281" s="23">
        <v>73.42</v>
      </c>
      <c r="W1281" s="23">
        <v>57.23</v>
      </c>
      <c r="X1281" s="23" t="s">
        <v>45</v>
      </c>
    </row>
    <row r="1282" spans="1:24" x14ac:dyDescent="0.25">
      <c r="A1282" s="20" t="s">
        <v>1803</v>
      </c>
      <c r="B1282" s="19">
        <v>45425</v>
      </c>
      <c r="C1282" s="20" t="s">
        <v>172</v>
      </c>
      <c r="D1282" s="20" t="s">
        <v>22</v>
      </c>
      <c r="E1282" s="20" t="s">
        <v>126</v>
      </c>
      <c r="F1282" s="20" t="s">
        <v>2589</v>
      </c>
      <c r="G1282" s="20" t="s">
        <v>2586</v>
      </c>
      <c r="H1282" s="20" t="s">
        <v>128</v>
      </c>
      <c r="I1282" s="20" t="s">
        <v>88</v>
      </c>
      <c r="J1282" s="20" t="s">
        <v>173</v>
      </c>
      <c r="K1282" s="20" t="s">
        <v>248</v>
      </c>
      <c r="L1282" s="20" t="s">
        <v>2693</v>
      </c>
      <c r="M1282" s="20" t="s">
        <v>153</v>
      </c>
      <c r="N1282" s="20" t="s">
        <v>84</v>
      </c>
      <c r="O1282" s="20">
        <v>49</v>
      </c>
      <c r="P1282" s="20">
        <v>91.92</v>
      </c>
      <c r="Q1282" s="20">
        <v>56.15</v>
      </c>
      <c r="R1282" s="20">
        <v>4504.13</v>
      </c>
      <c r="S1282" s="20">
        <v>0.05</v>
      </c>
      <c r="T1282" s="20">
        <v>225.21</v>
      </c>
      <c r="U1282" s="20">
        <v>4278.92</v>
      </c>
      <c r="V1282" s="20">
        <v>2751.35</v>
      </c>
      <c r="W1282" s="20">
        <v>1527.57</v>
      </c>
      <c r="X1282" s="20" t="s">
        <v>45</v>
      </c>
    </row>
    <row r="1283" spans="1:24" x14ac:dyDescent="0.25">
      <c r="A1283" s="23" t="s">
        <v>1804</v>
      </c>
      <c r="B1283" s="22">
        <v>45459</v>
      </c>
      <c r="C1283" s="23" t="s">
        <v>1805</v>
      </c>
      <c r="D1283" s="23" t="s">
        <v>65</v>
      </c>
      <c r="E1283" s="23" t="s">
        <v>93</v>
      </c>
      <c r="F1283" s="23" t="s">
        <v>2585</v>
      </c>
      <c r="G1283" s="23" t="s">
        <v>2586</v>
      </c>
      <c r="H1283" s="23" t="s">
        <v>96</v>
      </c>
      <c r="I1283" s="23" t="s">
        <v>58</v>
      </c>
      <c r="J1283" s="23" t="s">
        <v>59</v>
      </c>
      <c r="K1283" s="23" t="s">
        <v>111</v>
      </c>
      <c r="L1283" s="23" t="s">
        <v>2685</v>
      </c>
      <c r="M1283" s="23" t="s">
        <v>61</v>
      </c>
      <c r="N1283" s="23" t="s">
        <v>75</v>
      </c>
      <c r="O1283" s="23">
        <v>16</v>
      </c>
      <c r="P1283" s="23">
        <v>56.73</v>
      </c>
      <c r="Q1283" s="23">
        <v>33.04</v>
      </c>
      <c r="R1283" s="23">
        <v>907.74</v>
      </c>
      <c r="S1283" s="23">
        <v>0</v>
      </c>
      <c r="T1283" s="23">
        <v>0</v>
      </c>
      <c r="U1283" s="23">
        <v>907.74</v>
      </c>
      <c r="V1283" s="23">
        <v>528.59</v>
      </c>
      <c r="W1283" s="23">
        <v>379.15</v>
      </c>
      <c r="X1283" s="23" t="s">
        <v>45</v>
      </c>
    </row>
    <row r="1284" spans="1:24" x14ac:dyDescent="0.25">
      <c r="A1284" s="20" t="s">
        <v>1806</v>
      </c>
      <c r="B1284" s="19">
        <v>45426</v>
      </c>
      <c r="C1284" s="20" t="s">
        <v>707</v>
      </c>
      <c r="D1284" s="20" t="s">
        <v>65</v>
      </c>
      <c r="E1284" s="20" t="s">
        <v>66</v>
      </c>
      <c r="F1284" s="20" t="s">
        <v>2582</v>
      </c>
      <c r="G1284" s="20" t="s">
        <v>2579</v>
      </c>
      <c r="H1284" s="20" t="s">
        <v>68</v>
      </c>
      <c r="I1284" s="20" t="s">
        <v>40</v>
      </c>
      <c r="J1284" s="20" t="s">
        <v>82</v>
      </c>
      <c r="K1284" s="20" t="s">
        <v>111</v>
      </c>
      <c r="L1284" s="20" t="s">
        <v>2685</v>
      </c>
      <c r="M1284" s="20" t="s">
        <v>153</v>
      </c>
      <c r="N1284" s="20" t="s">
        <v>75</v>
      </c>
      <c r="O1284" s="20">
        <v>4</v>
      </c>
      <c r="P1284" s="20">
        <v>153.71</v>
      </c>
      <c r="Q1284" s="20">
        <v>101.7</v>
      </c>
      <c r="R1284" s="20">
        <v>614.85</v>
      </c>
      <c r="S1284" s="20">
        <v>0</v>
      </c>
      <c r="T1284" s="20">
        <v>0</v>
      </c>
      <c r="U1284" s="20">
        <v>614.85</v>
      </c>
      <c r="V1284" s="20">
        <v>406.8</v>
      </c>
      <c r="W1284" s="20">
        <v>208.04</v>
      </c>
      <c r="X1284" s="20" t="s">
        <v>45</v>
      </c>
    </row>
    <row r="1285" spans="1:24" x14ac:dyDescent="0.25">
      <c r="A1285" s="23" t="s">
        <v>1807</v>
      </c>
      <c r="B1285" s="22">
        <v>45492</v>
      </c>
      <c r="C1285" s="23" t="s">
        <v>137</v>
      </c>
      <c r="D1285" s="23" t="s">
        <v>22</v>
      </c>
      <c r="E1285" s="23" t="s">
        <v>114</v>
      </c>
      <c r="F1285" s="23" t="s">
        <v>2588</v>
      </c>
      <c r="G1285" s="23" t="s">
        <v>2586</v>
      </c>
      <c r="H1285" s="23" t="s">
        <v>116</v>
      </c>
      <c r="I1285" s="23" t="s">
        <v>88</v>
      </c>
      <c r="J1285" s="23" t="s">
        <v>135</v>
      </c>
      <c r="K1285" s="23" t="s">
        <v>170</v>
      </c>
      <c r="L1285" s="23" t="s">
        <v>2671</v>
      </c>
      <c r="M1285" s="23" t="s">
        <v>30</v>
      </c>
      <c r="N1285" s="23" t="s">
        <v>84</v>
      </c>
      <c r="O1285" s="23">
        <v>39</v>
      </c>
      <c r="P1285" s="23">
        <v>32.44</v>
      </c>
      <c r="Q1285" s="23">
        <v>19.87</v>
      </c>
      <c r="R1285" s="23">
        <v>1265.23</v>
      </c>
      <c r="S1285" s="23">
        <v>0.2</v>
      </c>
      <c r="T1285" s="23">
        <v>253.05</v>
      </c>
      <c r="U1285" s="23">
        <v>1012.18</v>
      </c>
      <c r="V1285" s="23">
        <v>775.08</v>
      </c>
      <c r="W1285" s="23">
        <v>237.11</v>
      </c>
      <c r="X1285" s="23" t="s">
        <v>45</v>
      </c>
    </row>
    <row r="1286" spans="1:24" x14ac:dyDescent="0.25">
      <c r="A1286" s="20" t="s">
        <v>1808</v>
      </c>
      <c r="B1286" s="19">
        <v>45332</v>
      </c>
      <c r="C1286" s="20" t="s">
        <v>255</v>
      </c>
      <c r="D1286" s="20" t="s">
        <v>256</v>
      </c>
      <c r="E1286" s="20" t="s">
        <v>216</v>
      </c>
      <c r="F1286" s="20" t="s">
        <v>2596</v>
      </c>
      <c r="G1286" s="20" t="s">
        <v>2579</v>
      </c>
      <c r="H1286" s="20" t="s">
        <v>134</v>
      </c>
      <c r="I1286" s="20" t="s">
        <v>88</v>
      </c>
      <c r="J1286" s="20" t="s">
        <v>173</v>
      </c>
      <c r="K1286" s="20" t="s">
        <v>178</v>
      </c>
      <c r="L1286" s="20" t="s">
        <v>2689</v>
      </c>
      <c r="M1286" s="20" t="s">
        <v>43</v>
      </c>
      <c r="N1286" s="20" t="s">
        <v>75</v>
      </c>
      <c r="O1286" s="20">
        <v>78</v>
      </c>
      <c r="P1286" s="20">
        <v>117.77</v>
      </c>
      <c r="Q1286" s="20">
        <v>63.43</v>
      </c>
      <c r="R1286" s="20">
        <v>9186.35</v>
      </c>
      <c r="S1286" s="20">
        <v>0.02</v>
      </c>
      <c r="T1286" s="20">
        <v>183.73</v>
      </c>
      <c r="U1286" s="20">
        <v>9002.6299999999992</v>
      </c>
      <c r="V1286" s="20">
        <v>4947.8599999999997</v>
      </c>
      <c r="W1286" s="20">
        <v>4054.77</v>
      </c>
      <c r="X1286" s="20" t="s">
        <v>45</v>
      </c>
    </row>
    <row r="1287" spans="1:24" x14ac:dyDescent="0.25">
      <c r="A1287" s="23" t="s">
        <v>1809</v>
      </c>
      <c r="B1287" s="22">
        <v>45399</v>
      </c>
      <c r="C1287" s="23" t="s">
        <v>318</v>
      </c>
      <c r="D1287" s="23" t="s">
        <v>121</v>
      </c>
      <c r="E1287" s="23" t="s">
        <v>250</v>
      </c>
      <c r="F1287" s="23" t="s">
        <v>2598</v>
      </c>
      <c r="G1287" s="23" t="s">
        <v>2581</v>
      </c>
      <c r="H1287" s="23" t="s">
        <v>252</v>
      </c>
      <c r="I1287" s="23" t="s">
        <v>58</v>
      </c>
      <c r="J1287" s="23" t="s">
        <v>59</v>
      </c>
      <c r="K1287" s="23" t="s">
        <v>170</v>
      </c>
      <c r="L1287" s="23" t="s">
        <v>2671</v>
      </c>
      <c r="M1287" s="23" t="s">
        <v>61</v>
      </c>
      <c r="N1287" s="23" t="s">
        <v>70</v>
      </c>
      <c r="O1287" s="23">
        <v>59</v>
      </c>
      <c r="P1287" s="23">
        <v>61.13</v>
      </c>
      <c r="Q1287" s="23">
        <v>39.979999999999997</v>
      </c>
      <c r="R1287" s="23">
        <v>3606.56</v>
      </c>
      <c r="S1287" s="23">
        <v>0.15</v>
      </c>
      <c r="T1287" s="23">
        <v>540.98</v>
      </c>
      <c r="U1287" s="23">
        <v>3065.58</v>
      </c>
      <c r="V1287" s="23">
        <v>2358.9699999999998</v>
      </c>
      <c r="W1287" s="23">
        <v>706.61</v>
      </c>
      <c r="X1287" s="23" t="s">
        <v>32</v>
      </c>
    </row>
    <row r="1288" spans="1:24" x14ac:dyDescent="0.25">
      <c r="A1288" s="20" t="s">
        <v>1810</v>
      </c>
      <c r="B1288" s="19">
        <v>45298</v>
      </c>
      <c r="C1288" s="20" t="s">
        <v>371</v>
      </c>
      <c r="D1288" s="20" t="s">
        <v>159</v>
      </c>
      <c r="E1288" s="20" t="s">
        <v>222</v>
      </c>
      <c r="F1288" s="20" t="s">
        <v>2597</v>
      </c>
      <c r="G1288" s="20" t="s">
        <v>2587</v>
      </c>
      <c r="H1288" s="20" t="s">
        <v>68</v>
      </c>
      <c r="I1288" s="20" t="s">
        <v>53</v>
      </c>
      <c r="J1288" s="20" t="s">
        <v>232</v>
      </c>
      <c r="K1288" s="20" t="s">
        <v>144</v>
      </c>
      <c r="L1288" s="20" t="s">
        <v>2687</v>
      </c>
      <c r="M1288" s="20" t="s">
        <v>61</v>
      </c>
      <c r="N1288" s="20" t="s">
        <v>2578</v>
      </c>
      <c r="O1288" s="20">
        <v>21</v>
      </c>
      <c r="P1288" s="20">
        <v>116.43</v>
      </c>
      <c r="Q1288" s="20">
        <v>82.85</v>
      </c>
      <c r="R1288" s="20">
        <v>2444.9899999999998</v>
      </c>
      <c r="S1288" s="20">
        <v>0.15</v>
      </c>
      <c r="T1288" s="20">
        <v>366.75</v>
      </c>
      <c r="U1288" s="20">
        <v>2078.2399999999998</v>
      </c>
      <c r="V1288" s="20">
        <v>1739.79</v>
      </c>
      <c r="W1288" s="20">
        <v>338.45</v>
      </c>
      <c r="X1288" s="20" t="s">
        <v>45</v>
      </c>
    </row>
    <row r="1289" spans="1:24" x14ac:dyDescent="0.25">
      <c r="A1289" s="23" t="s">
        <v>1811</v>
      </c>
      <c r="B1289" s="22">
        <v>45318</v>
      </c>
      <c r="C1289" s="23" t="s">
        <v>276</v>
      </c>
      <c r="D1289" s="23" t="s">
        <v>221</v>
      </c>
      <c r="E1289" s="23" t="s">
        <v>23</v>
      </c>
      <c r="F1289" s="23" t="s">
        <v>2576</v>
      </c>
      <c r="G1289" s="23" t="s">
        <v>2577</v>
      </c>
      <c r="H1289" s="23" t="s">
        <v>26</v>
      </c>
      <c r="I1289" s="23" t="s">
        <v>88</v>
      </c>
      <c r="J1289" s="23" t="s">
        <v>183</v>
      </c>
      <c r="K1289" s="23" t="s">
        <v>111</v>
      </c>
      <c r="L1289" s="23" t="s">
        <v>2685</v>
      </c>
      <c r="M1289" s="23" t="s">
        <v>153</v>
      </c>
      <c r="N1289" s="23" t="s">
        <v>70</v>
      </c>
      <c r="O1289" s="23">
        <v>28</v>
      </c>
      <c r="P1289" s="23">
        <v>72</v>
      </c>
      <c r="Q1289" s="23">
        <v>43.93</v>
      </c>
      <c r="R1289" s="23">
        <v>2015.89</v>
      </c>
      <c r="S1289" s="23">
        <v>0</v>
      </c>
      <c r="T1289" s="23">
        <v>0</v>
      </c>
      <c r="U1289" s="23">
        <v>2015.89</v>
      </c>
      <c r="V1289" s="23">
        <v>1229.92</v>
      </c>
      <c r="W1289" s="23">
        <v>785.97</v>
      </c>
      <c r="X1289" s="23" t="s">
        <v>32</v>
      </c>
    </row>
    <row r="1290" spans="1:24" x14ac:dyDescent="0.25">
      <c r="A1290" s="20" t="s">
        <v>1812</v>
      </c>
      <c r="B1290" s="19">
        <v>45308</v>
      </c>
      <c r="C1290" s="20" t="s">
        <v>526</v>
      </c>
      <c r="D1290" s="20" t="s">
        <v>159</v>
      </c>
      <c r="E1290" s="20" t="s">
        <v>93</v>
      </c>
      <c r="F1290" s="20" t="s">
        <v>2585</v>
      </c>
      <c r="G1290" s="20" t="s">
        <v>2586</v>
      </c>
      <c r="H1290" s="20" t="s">
        <v>96</v>
      </c>
      <c r="I1290" s="20" t="s">
        <v>53</v>
      </c>
      <c r="J1290" s="20" t="s">
        <v>143</v>
      </c>
      <c r="K1290" s="20" t="s">
        <v>111</v>
      </c>
      <c r="L1290" s="20" t="s">
        <v>2685</v>
      </c>
      <c r="M1290" s="20" t="s">
        <v>30</v>
      </c>
      <c r="N1290" s="20" t="s">
        <v>70</v>
      </c>
      <c r="O1290" s="20">
        <v>8</v>
      </c>
      <c r="P1290" s="20">
        <v>52.7</v>
      </c>
      <c r="Q1290" s="20">
        <v>34.090000000000003</v>
      </c>
      <c r="R1290" s="20">
        <v>421.57</v>
      </c>
      <c r="S1290" s="20">
        <v>0.05</v>
      </c>
      <c r="T1290" s="20">
        <v>21.08</v>
      </c>
      <c r="U1290" s="20">
        <v>400.49</v>
      </c>
      <c r="V1290" s="20">
        <v>272.73</v>
      </c>
      <c r="W1290" s="20">
        <v>127.76</v>
      </c>
      <c r="X1290" s="20" t="s">
        <v>45</v>
      </c>
    </row>
    <row r="1291" spans="1:24" x14ac:dyDescent="0.25">
      <c r="A1291" s="23" t="s">
        <v>1813</v>
      </c>
      <c r="B1291" s="22">
        <v>45630</v>
      </c>
      <c r="C1291" s="23" t="s">
        <v>47</v>
      </c>
      <c r="D1291" s="23" t="s">
        <v>48</v>
      </c>
      <c r="E1291" s="23" t="s">
        <v>109</v>
      </c>
      <c r="F1291" s="23" t="s">
        <v>110</v>
      </c>
      <c r="G1291" s="23" t="s">
        <v>2584</v>
      </c>
      <c r="H1291" s="23" t="s">
        <v>81</v>
      </c>
      <c r="I1291" s="23" t="s">
        <v>53</v>
      </c>
      <c r="J1291" s="23" t="s">
        <v>122</v>
      </c>
      <c r="K1291" s="23" t="s">
        <v>253</v>
      </c>
      <c r="L1291" s="23" t="s">
        <v>2694</v>
      </c>
      <c r="M1291" s="23" t="s">
        <v>30</v>
      </c>
      <c r="N1291" s="23" t="s">
        <v>75</v>
      </c>
      <c r="O1291" s="23">
        <v>34</v>
      </c>
      <c r="P1291" s="23">
        <v>117.3</v>
      </c>
      <c r="Q1291" s="23">
        <v>75.31</v>
      </c>
      <c r="R1291" s="23">
        <v>3988.09</v>
      </c>
      <c r="S1291" s="23">
        <v>0</v>
      </c>
      <c r="T1291" s="23">
        <v>0</v>
      </c>
      <c r="U1291" s="23">
        <v>3988.09</v>
      </c>
      <c r="V1291" s="23">
        <v>2560.5300000000002</v>
      </c>
      <c r="W1291" s="23">
        <v>1427.56</v>
      </c>
      <c r="X1291" s="23" t="s">
        <v>45</v>
      </c>
    </row>
    <row r="1292" spans="1:24" x14ac:dyDescent="0.25">
      <c r="A1292" s="20" t="s">
        <v>1814</v>
      </c>
      <c r="B1292" s="19">
        <v>45350</v>
      </c>
      <c r="C1292" s="20" t="s">
        <v>410</v>
      </c>
      <c r="D1292" s="20" t="s">
        <v>149</v>
      </c>
      <c r="E1292" s="20" t="s">
        <v>132</v>
      </c>
      <c r="F1292" s="20" t="s">
        <v>133</v>
      </c>
      <c r="G1292" s="20" t="s">
        <v>2581</v>
      </c>
      <c r="H1292" s="20" t="s">
        <v>134</v>
      </c>
      <c r="I1292" s="20" t="s">
        <v>27</v>
      </c>
      <c r="J1292" s="20" t="s">
        <v>106</v>
      </c>
      <c r="K1292" s="20" t="s">
        <v>152</v>
      </c>
      <c r="L1292" s="20" t="s">
        <v>2688</v>
      </c>
      <c r="M1292" s="20" t="s">
        <v>61</v>
      </c>
      <c r="N1292" s="20" t="s">
        <v>84</v>
      </c>
      <c r="O1292" s="20">
        <v>14</v>
      </c>
      <c r="P1292" s="20">
        <v>56.42</v>
      </c>
      <c r="Q1292" s="20">
        <v>33.44</v>
      </c>
      <c r="R1292" s="20">
        <v>789.93</v>
      </c>
      <c r="S1292" s="20">
        <v>0.1</v>
      </c>
      <c r="T1292" s="20">
        <v>78.989999999999995</v>
      </c>
      <c r="U1292" s="20">
        <v>710.94</v>
      </c>
      <c r="V1292" s="20">
        <v>468.18</v>
      </c>
      <c r="W1292" s="20">
        <v>242.76</v>
      </c>
      <c r="X1292" s="20" t="s">
        <v>32</v>
      </c>
    </row>
    <row r="1293" spans="1:24" x14ac:dyDescent="0.25">
      <c r="A1293" s="23" t="s">
        <v>1815</v>
      </c>
      <c r="B1293" s="22">
        <v>45296</v>
      </c>
      <c r="C1293" s="23" t="s">
        <v>1171</v>
      </c>
      <c r="D1293" s="23" t="s">
        <v>35</v>
      </c>
      <c r="E1293" s="23" t="s">
        <v>141</v>
      </c>
      <c r="F1293" s="23" t="s">
        <v>2590</v>
      </c>
      <c r="G1293" s="23" t="s">
        <v>2577</v>
      </c>
      <c r="H1293" s="23" t="s">
        <v>26</v>
      </c>
      <c r="I1293" s="23" t="s">
        <v>27</v>
      </c>
      <c r="J1293" s="23" t="s">
        <v>106</v>
      </c>
      <c r="K1293" s="23" t="s">
        <v>74</v>
      </c>
      <c r="L1293" s="23" t="s">
        <v>2682</v>
      </c>
      <c r="M1293" s="23" t="s">
        <v>61</v>
      </c>
      <c r="N1293" s="23" t="s">
        <v>84</v>
      </c>
      <c r="O1293" s="23">
        <v>46</v>
      </c>
      <c r="P1293" s="23">
        <v>95.66</v>
      </c>
      <c r="Q1293" s="23">
        <v>54.12</v>
      </c>
      <c r="R1293" s="23">
        <v>4400.4399999999996</v>
      </c>
      <c r="S1293" s="23">
        <v>0.05</v>
      </c>
      <c r="T1293" s="23">
        <v>220.02</v>
      </c>
      <c r="U1293" s="23">
        <v>4180.42</v>
      </c>
      <c r="V1293" s="23">
        <v>2489.4499999999998</v>
      </c>
      <c r="W1293" s="23">
        <v>1690.97</v>
      </c>
      <c r="X1293" s="23" t="s">
        <v>45</v>
      </c>
    </row>
    <row r="1294" spans="1:24" x14ac:dyDescent="0.25">
      <c r="A1294" s="20" t="s">
        <v>1816</v>
      </c>
      <c r="B1294" s="19">
        <v>45553</v>
      </c>
      <c r="C1294" s="20" t="s">
        <v>466</v>
      </c>
      <c r="D1294" s="20" t="s">
        <v>221</v>
      </c>
      <c r="E1294" s="20" t="s">
        <v>99</v>
      </c>
      <c r="F1294" s="20" t="s">
        <v>100</v>
      </c>
      <c r="G1294" s="20" t="s">
        <v>2587</v>
      </c>
      <c r="H1294" s="20" t="s">
        <v>102</v>
      </c>
      <c r="I1294" s="20" t="s">
        <v>53</v>
      </c>
      <c r="J1294" s="20" t="s">
        <v>122</v>
      </c>
      <c r="K1294" s="20" t="s">
        <v>170</v>
      </c>
      <c r="L1294" s="20" t="s">
        <v>2671</v>
      </c>
      <c r="M1294" s="20" t="s">
        <v>61</v>
      </c>
      <c r="N1294" s="20" t="s">
        <v>70</v>
      </c>
      <c r="O1294" s="20">
        <v>30</v>
      </c>
      <c r="P1294" s="20">
        <v>65.150000000000006</v>
      </c>
      <c r="Q1294" s="20">
        <v>41.12</v>
      </c>
      <c r="R1294" s="20">
        <v>1954.4</v>
      </c>
      <c r="S1294" s="20">
        <v>0.15</v>
      </c>
      <c r="T1294" s="20">
        <v>293.16000000000003</v>
      </c>
      <c r="U1294" s="20">
        <v>1661.24</v>
      </c>
      <c r="V1294" s="20">
        <v>1233.6199999999999</v>
      </c>
      <c r="W1294" s="20">
        <v>427.61</v>
      </c>
      <c r="X1294" s="20" t="s">
        <v>32</v>
      </c>
    </row>
    <row r="1295" spans="1:24" x14ac:dyDescent="0.25">
      <c r="A1295" s="23" t="s">
        <v>1817</v>
      </c>
      <c r="B1295" s="22">
        <v>45544</v>
      </c>
      <c r="C1295" s="23" t="s">
        <v>859</v>
      </c>
      <c r="D1295" s="23" t="s">
        <v>221</v>
      </c>
      <c r="E1295" s="23" t="s">
        <v>78</v>
      </c>
      <c r="F1295" s="23" t="s">
        <v>2583</v>
      </c>
      <c r="G1295" s="23" t="s">
        <v>2584</v>
      </c>
      <c r="H1295" s="23" t="s">
        <v>81</v>
      </c>
      <c r="I1295" s="23" t="s">
        <v>27</v>
      </c>
      <c r="J1295" s="23" t="s">
        <v>106</v>
      </c>
      <c r="K1295" s="23" t="s">
        <v>69</v>
      </c>
      <c r="L1295" s="23" t="s">
        <v>2681</v>
      </c>
      <c r="M1295" s="23" t="s">
        <v>30</v>
      </c>
      <c r="N1295" s="23" t="s">
        <v>70</v>
      </c>
      <c r="O1295" s="23">
        <v>78</v>
      </c>
      <c r="P1295" s="23">
        <v>141.21</v>
      </c>
      <c r="Q1295" s="23">
        <v>79.45</v>
      </c>
      <c r="R1295" s="23">
        <v>11014</v>
      </c>
      <c r="S1295" s="23">
        <v>0.02</v>
      </c>
      <c r="T1295" s="23">
        <v>220.28</v>
      </c>
      <c r="U1295" s="23">
        <v>10793.72</v>
      </c>
      <c r="V1295" s="23">
        <v>6196.98</v>
      </c>
      <c r="W1295" s="23">
        <v>4596.74</v>
      </c>
      <c r="X1295" s="23" t="s">
        <v>45</v>
      </c>
    </row>
    <row r="1296" spans="1:24" x14ac:dyDescent="0.25">
      <c r="A1296" s="20" t="s">
        <v>1818</v>
      </c>
      <c r="B1296" s="19">
        <v>45621</v>
      </c>
      <c r="C1296" s="20" t="s">
        <v>1265</v>
      </c>
      <c r="D1296" s="20" t="s">
        <v>48</v>
      </c>
      <c r="E1296" s="20" t="s">
        <v>176</v>
      </c>
      <c r="F1296" s="20" t="s">
        <v>2593</v>
      </c>
      <c r="G1296" s="20" t="s">
        <v>2587</v>
      </c>
      <c r="H1296" s="20" t="s">
        <v>39</v>
      </c>
      <c r="I1296" s="20" t="s">
        <v>40</v>
      </c>
      <c r="J1296" s="20" t="s">
        <v>117</v>
      </c>
      <c r="K1296" s="20" t="s">
        <v>111</v>
      </c>
      <c r="L1296" s="20" t="s">
        <v>2685</v>
      </c>
      <c r="M1296" s="20" t="s">
        <v>43</v>
      </c>
      <c r="N1296" s="20" t="s">
        <v>70</v>
      </c>
      <c r="O1296" s="20">
        <v>3</v>
      </c>
      <c r="P1296" s="20">
        <v>111.49</v>
      </c>
      <c r="Q1296" s="20">
        <v>67.38</v>
      </c>
      <c r="R1296" s="20">
        <v>334.46</v>
      </c>
      <c r="S1296" s="20">
        <v>0.1</v>
      </c>
      <c r="T1296" s="20">
        <v>33.450000000000003</v>
      </c>
      <c r="U1296" s="20">
        <v>301.02</v>
      </c>
      <c r="V1296" s="20">
        <v>202.13</v>
      </c>
      <c r="W1296" s="20">
        <v>98.88</v>
      </c>
      <c r="X1296" s="20" t="s">
        <v>32</v>
      </c>
    </row>
    <row r="1297" spans="1:24" x14ac:dyDescent="0.25">
      <c r="A1297" s="23" t="s">
        <v>1819</v>
      </c>
      <c r="B1297" s="22">
        <v>45536</v>
      </c>
      <c r="C1297" s="23" t="s">
        <v>180</v>
      </c>
      <c r="D1297" s="23" t="s">
        <v>163</v>
      </c>
      <c r="E1297" s="23" t="s">
        <v>114</v>
      </c>
      <c r="F1297" s="23" t="s">
        <v>2588</v>
      </c>
      <c r="G1297" s="23" t="s">
        <v>2586</v>
      </c>
      <c r="H1297" s="23" t="s">
        <v>116</v>
      </c>
      <c r="I1297" s="23" t="s">
        <v>40</v>
      </c>
      <c r="J1297" s="23" t="s">
        <v>82</v>
      </c>
      <c r="K1297" s="23" t="s">
        <v>29</v>
      </c>
      <c r="L1297" s="23" t="s">
        <v>2679</v>
      </c>
      <c r="M1297" s="23" t="s">
        <v>30</v>
      </c>
      <c r="N1297" s="23" t="s">
        <v>75</v>
      </c>
      <c r="O1297" s="23">
        <v>70</v>
      </c>
      <c r="P1297" s="23">
        <v>35.56</v>
      </c>
      <c r="Q1297" s="23">
        <v>21.55</v>
      </c>
      <c r="R1297" s="23">
        <v>2489.4</v>
      </c>
      <c r="S1297" s="23">
        <v>0</v>
      </c>
      <c r="T1297" s="23">
        <v>0</v>
      </c>
      <c r="U1297" s="23">
        <v>2489.4</v>
      </c>
      <c r="V1297" s="23">
        <v>1508.82</v>
      </c>
      <c r="W1297" s="23">
        <v>980.59</v>
      </c>
      <c r="X1297" s="23" t="s">
        <v>45</v>
      </c>
    </row>
    <row r="1298" spans="1:24" x14ac:dyDescent="0.25">
      <c r="A1298" s="20" t="s">
        <v>1820</v>
      </c>
      <c r="B1298" s="19">
        <v>45546</v>
      </c>
      <c r="C1298" s="20" t="s">
        <v>64</v>
      </c>
      <c r="D1298" s="20" t="s">
        <v>65</v>
      </c>
      <c r="E1298" s="20" t="s">
        <v>176</v>
      </c>
      <c r="F1298" s="20" t="s">
        <v>2593</v>
      </c>
      <c r="G1298" s="20" t="s">
        <v>2587</v>
      </c>
      <c r="H1298" s="20" t="s">
        <v>39</v>
      </c>
      <c r="I1298" s="20" t="s">
        <v>27</v>
      </c>
      <c r="J1298" s="20" t="s">
        <v>189</v>
      </c>
      <c r="K1298" s="20" t="s">
        <v>170</v>
      </c>
      <c r="L1298" s="20" t="s">
        <v>2671</v>
      </c>
      <c r="M1298" s="20" t="s">
        <v>30</v>
      </c>
      <c r="N1298" s="20" t="s">
        <v>84</v>
      </c>
      <c r="O1298" s="20">
        <v>25</v>
      </c>
      <c r="P1298" s="20">
        <v>98.2</v>
      </c>
      <c r="Q1298" s="20">
        <v>62.5</v>
      </c>
      <c r="R1298" s="20">
        <v>2455.0500000000002</v>
      </c>
      <c r="S1298" s="20">
        <v>0.2</v>
      </c>
      <c r="T1298" s="20">
        <v>491.01</v>
      </c>
      <c r="U1298" s="20">
        <v>1964.04</v>
      </c>
      <c r="V1298" s="20">
        <v>1562.41</v>
      </c>
      <c r="W1298" s="20">
        <v>401.63</v>
      </c>
      <c r="X1298" s="20" t="s">
        <v>129</v>
      </c>
    </row>
    <row r="1299" spans="1:24" x14ac:dyDescent="0.25">
      <c r="A1299" s="23" t="s">
        <v>1821</v>
      </c>
      <c r="B1299" s="22">
        <v>45313</v>
      </c>
      <c r="C1299" s="23" t="s">
        <v>519</v>
      </c>
      <c r="D1299" s="23" t="s">
        <v>121</v>
      </c>
      <c r="E1299" s="23" t="s">
        <v>250</v>
      </c>
      <c r="F1299" s="23" t="s">
        <v>2598</v>
      </c>
      <c r="G1299" s="23" t="s">
        <v>2581</v>
      </c>
      <c r="H1299" s="23" t="s">
        <v>252</v>
      </c>
      <c r="I1299" s="23" t="s">
        <v>53</v>
      </c>
      <c r="J1299" s="23" t="s">
        <v>143</v>
      </c>
      <c r="K1299" s="23" t="s">
        <v>60</v>
      </c>
      <c r="L1299" s="23" t="s">
        <v>2677</v>
      </c>
      <c r="M1299" s="23" t="s">
        <v>153</v>
      </c>
      <c r="N1299" s="23" t="s">
        <v>84</v>
      </c>
      <c r="O1299" s="23">
        <v>29</v>
      </c>
      <c r="P1299" s="23">
        <v>67.36</v>
      </c>
      <c r="Q1299" s="23">
        <v>38.380000000000003</v>
      </c>
      <c r="R1299" s="23">
        <v>1953.48</v>
      </c>
      <c r="S1299" s="23">
        <v>0.02</v>
      </c>
      <c r="T1299" s="23">
        <v>39.07</v>
      </c>
      <c r="U1299" s="23">
        <v>1914.41</v>
      </c>
      <c r="V1299" s="23">
        <v>1112.94</v>
      </c>
      <c r="W1299" s="23">
        <v>801.47</v>
      </c>
      <c r="X1299" s="23" t="s">
        <v>45</v>
      </c>
    </row>
    <row r="1300" spans="1:24" x14ac:dyDescent="0.25">
      <c r="A1300" s="20" t="s">
        <v>1822</v>
      </c>
      <c r="B1300" s="19">
        <v>45582</v>
      </c>
      <c r="C1300" s="20" t="s">
        <v>1744</v>
      </c>
      <c r="D1300" s="20" t="s">
        <v>121</v>
      </c>
      <c r="E1300" s="20" t="s">
        <v>209</v>
      </c>
      <c r="F1300" s="20" t="s">
        <v>2595</v>
      </c>
      <c r="G1300" s="20" t="s">
        <v>2581</v>
      </c>
      <c r="H1300" s="20" t="s">
        <v>116</v>
      </c>
      <c r="I1300" s="20" t="s">
        <v>88</v>
      </c>
      <c r="J1300" s="20" t="s">
        <v>135</v>
      </c>
      <c r="K1300" s="20" t="s">
        <v>42</v>
      </c>
      <c r="L1300" s="20" t="s">
        <v>2680</v>
      </c>
      <c r="M1300" s="20" t="s">
        <v>61</v>
      </c>
      <c r="N1300" s="20" t="s">
        <v>2578</v>
      </c>
      <c r="O1300" s="20">
        <v>23</v>
      </c>
      <c r="P1300" s="20">
        <v>19.3</v>
      </c>
      <c r="Q1300" s="20">
        <v>10.130000000000001</v>
      </c>
      <c r="R1300" s="20">
        <v>443.84</v>
      </c>
      <c r="S1300" s="20">
        <v>0.05</v>
      </c>
      <c r="T1300" s="20">
        <v>22.19</v>
      </c>
      <c r="U1300" s="20">
        <v>421.65</v>
      </c>
      <c r="V1300" s="20">
        <v>233</v>
      </c>
      <c r="W1300" s="20">
        <v>188.64</v>
      </c>
      <c r="X1300" s="20" t="s">
        <v>32</v>
      </c>
    </row>
    <row r="1301" spans="1:24" x14ac:dyDescent="0.25">
      <c r="A1301" s="23" t="s">
        <v>1823</v>
      </c>
      <c r="B1301" s="22">
        <v>45415</v>
      </c>
      <c r="C1301" s="23" t="s">
        <v>693</v>
      </c>
      <c r="D1301" s="23" t="s">
        <v>57</v>
      </c>
      <c r="E1301" s="23" t="s">
        <v>66</v>
      </c>
      <c r="F1301" s="23" t="s">
        <v>2582</v>
      </c>
      <c r="G1301" s="23" t="s">
        <v>2579</v>
      </c>
      <c r="H1301" s="23" t="s">
        <v>68</v>
      </c>
      <c r="I1301" s="23" t="s">
        <v>53</v>
      </c>
      <c r="J1301" s="23" t="s">
        <v>122</v>
      </c>
      <c r="K1301" s="23" t="s">
        <v>111</v>
      </c>
      <c r="L1301" s="23" t="s">
        <v>2685</v>
      </c>
      <c r="M1301" s="23" t="s">
        <v>61</v>
      </c>
      <c r="N1301" s="23" t="s">
        <v>75</v>
      </c>
      <c r="O1301" s="23">
        <v>11</v>
      </c>
      <c r="P1301" s="23">
        <v>165.35</v>
      </c>
      <c r="Q1301" s="23">
        <v>110.17</v>
      </c>
      <c r="R1301" s="23">
        <v>1818.87</v>
      </c>
      <c r="S1301" s="23">
        <v>0.15</v>
      </c>
      <c r="T1301" s="23">
        <v>272.83</v>
      </c>
      <c r="U1301" s="23">
        <v>1546.04</v>
      </c>
      <c r="V1301" s="23">
        <v>1211.9000000000001</v>
      </c>
      <c r="W1301" s="23">
        <v>334.14</v>
      </c>
      <c r="X1301" s="23" t="s">
        <v>45</v>
      </c>
    </row>
    <row r="1302" spans="1:24" x14ac:dyDescent="0.25">
      <c r="A1302" s="20" t="s">
        <v>1824</v>
      </c>
      <c r="B1302" s="19">
        <v>45601</v>
      </c>
      <c r="C1302" s="20" t="s">
        <v>280</v>
      </c>
      <c r="D1302" s="20" t="s">
        <v>35</v>
      </c>
      <c r="E1302" s="20" t="s">
        <v>109</v>
      </c>
      <c r="F1302" s="20" t="s">
        <v>110</v>
      </c>
      <c r="G1302" s="20" t="s">
        <v>2584</v>
      </c>
      <c r="H1302" s="20" t="s">
        <v>81</v>
      </c>
      <c r="I1302" s="20" t="s">
        <v>40</v>
      </c>
      <c r="J1302" s="20" t="s">
        <v>117</v>
      </c>
      <c r="K1302" s="20" t="s">
        <v>29</v>
      </c>
      <c r="L1302" s="20" t="s">
        <v>2679</v>
      </c>
      <c r="M1302" s="20" t="s">
        <v>153</v>
      </c>
      <c r="N1302" s="20" t="s">
        <v>2578</v>
      </c>
      <c r="O1302" s="20">
        <v>20</v>
      </c>
      <c r="P1302" s="20">
        <v>122.97</v>
      </c>
      <c r="Q1302" s="20">
        <v>75.37</v>
      </c>
      <c r="R1302" s="20">
        <v>2459.4</v>
      </c>
      <c r="S1302" s="20">
        <v>0.2</v>
      </c>
      <c r="T1302" s="20">
        <v>491.88</v>
      </c>
      <c r="U1302" s="20">
        <v>1967.52</v>
      </c>
      <c r="V1302" s="20">
        <v>1507.43</v>
      </c>
      <c r="W1302" s="20">
        <v>460.09</v>
      </c>
      <c r="X1302" s="20" t="s">
        <v>45</v>
      </c>
    </row>
    <row r="1303" spans="1:24" x14ac:dyDescent="0.25">
      <c r="A1303" s="23" t="s">
        <v>1825</v>
      </c>
      <c r="B1303" s="22">
        <v>45628</v>
      </c>
      <c r="C1303" s="23" t="s">
        <v>339</v>
      </c>
      <c r="D1303" s="23" t="s">
        <v>221</v>
      </c>
      <c r="E1303" s="23" t="s">
        <v>132</v>
      </c>
      <c r="F1303" s="23" t="s">
        <v>133</v>
      </c>
      <c r="G1303" s="23" t="s">
        <v>2581</v>
      </c>
      <c r="H1303" s="23" t="s">
        <v>134</v>
      </c>
      <c r="I1303" s="23" t="s">
        <v>53</v>
      </c>
      <c r="J1303" s="23" t="s">
        <v>122</v>
      </c>
      <c r="K1303" s="23" t="s">
        <v>265</v>
      </c>
      <c r="L1303" s="23" t="s">
        <v>2663</v>
      </c>
      <c r="M1303" s="23" t="s">
        <v>153</v>
      </c>
      <c r="N1303" s="23" t="s">
        <v>44</v>
      </c>
      <c r="O1303" s="23">
        <v>16</v>
      </c>
      <c r="P1303" s="23">
        <v>56.24</v>
      </c>
      <c r="Q1303" s="23">
        <v>33.119999999999997</v>
      </c>
      <c r="R1303" s="23">
        <v>899.79</v>
      </c>
      <c r="S1303" s="23">
        <v>0.2</v>
      </c>
      <c r="T1303" s="23">
        <v>179.96</v>
      </c>
      <c r="U1303" s="23">
        <v>719.83</v>
      </c>
      <c r="V1303" s="23">
        <v>529.97</v>
      </c>
      <c r="W1303" s="23">
        <v>189.86</v>
      </c>
      <c r="X1303" s="23" t="s">
        <v>45</v>
      </c>
    </row>
    <row r="1304" spans="1:24" x14ac:dyDescent="0.25">
      <c r="A1304" s="20" t="s">
        <v>1826</v>
      </c>
      <c r="B1304" s="19">
        <v>45471</v>
      </c>
      <c r="C1304" s="20" t="s">
        <v>572</v>
      </c>
      <c r="D1304" s="20" t="s">
        <v>57</v>
      </c>
      <c r="E1304" s="20" t="s">
        <v>250</v>
      </c>
      <c r="F1304" s="20" t="s">
        <v>2598</v>
      </c>
      <c r="G1304" s="20" t="s">
        <v>2581</v>
      </c>
      <c r="H1304" s="20" t="s">
        <v>252</v>
      </c>
      <c r="I1304" s="20" t="s">
        <v>88</v>
      </c>
      <c r="J1304" s="20" t="s">
        <v>135</v>
      </c>
      <c r="K1304" s="20" t="s">
        <v>170</v>
      </c>
      <c r="L1304" s="20" t="s">
        <v>2671</v>
      </c>
      <c r="M1304" s="20" t="s">
        <v>61</v>
      </c>
      <c r="N1304" s="20" t="s">
        <v>2578</v>
      </c>
      <c r="O1304" s="20">
        <v>40</v>
      </c>
      <c r="P1304" s="20">
        <v>67.819999999999993</v>
      </c>
      <c r="Q1304" s="20">
        <v>35.409999999999997</v>
      </c>
      <c r="R1304" s="20">
        <v>2712.85</v>
      </c>
      <c r="S1304" s="20">
        <v>0.02</v>
      </c>
      <c r="T1304" s="20">
        <v>54.26</v>
      </c>
      <c r="U1304" s="20">
        <v>2658.59</v>
      </c>
      <c r="V1304" s="20">
        <v>1416.41</v>
      </c>
      <c r="W1304" s="20">
        <v>1242.18</v>
      </c>
      <c r="X1304" s="20" t="s">
        <v>45</v>
      </c>
    </row>
    <row r="1305" spans="1:24" x14ac:dyDescent="0.25">
      <c r="A1305" s="23" t="s">
        <v>1827</v>
      </c>
      <c r="B1305" s="22">
        <v>45644</v>
      </c>
      <c r="C1305" s="23" t="s">
        <v>739</v>
      </c>
      <c r="D1305" s="23" t="s">
        <v>48</v>
      </c>
      <c r="E1305" s="23" t="s">
        <v>23</v>
      </c>
      <c r="F1305" s="23" t="s">
        <v>2576</v>
      </c>
      <c r="G1305" s="23" t="s">
        <v>2577</v>
      </c>
      <c r="H1305" s="23" t="s">
        <v>26</v>
      </c>
      <c r="I1305" s="23" t="s">
        <v>40</v>
      </c>
      <c r="J1305" s="23" t="s">
        <v>117</v>
      </c>
      <c r="K1305" s="23" t="s">
        <v>83</v>
      </c>
      <c r="L1305" s="23" t="s">
        <v>2683</v>
      </c>
      <c r="M1305" s="23" t="s">
        <v>61</v>
      </c>
      <c r="N1305" s="23" t="s">
        <v>70</v>
      </c>
      <c r="O1305" s="23">
        <v>9</v>
      </c>
      <c r="P1305" s="23">
        <v>69.06</v>
      </c>
      <c r="Q1305" s="23">
        <v>47.18</v>
      </c>
      <c r="R1305" s="23">
        <v>621.53</v>
      </c>
      <c r="S1305" s="23">
        <v>0.05</v>
      </c>
      <c r="T1305" s="23">
        <v>31.08</v>
      </c>
      <c r="U1305" s="23">
        <v>584.21</v>
      </c>
      <c r="V1305" s="23">
        <v>424.63</v>
      </c>
      <c r="W1305" s="23">
        <v>165.83</v>
      </c>
      <c r="X1305" s="23" t="s">
        <v>32</v>
      </c>
    </row>
    <row r="1306" spans="1:24" x14ac:dyDescent="0.25">
      <c r="A1306" s="20" t="s">
        <v>1828</v>
      </c>
      <c r="B1306" s="19">
        <v>45504</v>
      </c>
      <c r="C1306" s="20" t="s">
        <v>231</v>
      </c>
      <c r="D1306" s="20" t="s">
        <v>87</v>
      </c>
      <c r="E1306" s="20" t="s">
        <v>23</v>
      </c>
      <c r="F1306" s="20" t="s">
        <v>2576</v>
      </c>
      <c r="G1306" s="20" t="s">
        <v>2577</v>
      </c>
      <c r="H1306" s="20" t="s">
        <v>26</v>
      </c>
      <c r="I1306" s="20" t="s">
        <v>40</v>
      </c>
      <c r="J1306" s="20" t="s">
        <v>289</v>
      </c>
      <c r="K1306" s="20" t="s">
        <v>248</v>
      </c>
      <c r="L1306" s="20" t="s">
        <v>2693</v>
      </c>
      <c r="M1306" s="20" t="s">
        <v>61</v>
      </c>
      <c r="N1306" s="20" t="s">
        <v>2578</v>
      </c>
      <c r="O1306" s="20">
        <v>62</v>
      </c>
      <c r="P1306" s="20">
        <v>73.09</v>
      </c>
      <c r="Q1306" s="20">
        <v>41.28</v>
      </c>
      <c r="R1306" s="20">
        <v>4531.75</v>
      </c>
      <c r="S1306" s="20">
        <v>0.1</v>
      </c>
      <c r="T1306" s="20">
        <v>453.18</v>
      </c>
      <c r="U1306" s="20">
        <v>4078.58</v>
      </c>
      <c r="V1306" s="20">
        <v>2559.29</v>
      </c>
      <c r="W1306" s="20">
        <v>1519.29</v>
      </c>
      <c r="X1306" s="20" t="s">
        <v>45</v>
      </c>
    </row>
    <row r="1307" spans="1:24" x14ac:dyDescent="0.25">
      <c r="A1307" s="23" t="s">
        <v>1829</v>
      </c>
      <c r="B1307" s="22">
        <v>45633</v>
      </c>
      <c r="C1307" s="23" t="s">
        <v>664</v>
      </c>
      <c r="D1307" s="23" t="s">
        <v>125</v>
      </c>
      <c r="E1307" s="23" t="s">
        <v>66</v>
      </c>
      <c r="F1307" s="23" t="s">
        <v>2582</v>
      </c>
      <c r="G1307" s="23" t="s">
        <v>2579</v>
      </c>
      <c r="H1307" s="23" t="s">
        <v>68</v>
      </c>
      <c r="I1307" s="23" t="s">
        <v>58</v>
      </c>
      <c r="J1307" s="23" t="s">
        <v>345</v>
      </c>
      <c r="K1307" s="23" t="s">
        <v>42</v>
      </c>
      <c r="L1307" s="23" t="s">
        <v>2680</v>
      </c>
      <c r="M1307" s="23" t="s">
        <v>61</v>
      </c>
      <c r="N1307" s="23" t="s">
        <v>75</v>
      </c>
      <c r="O1307" s="23">
        <v>34</v>
      </c>
      <c r="P1307" s="23">
        <v>156.79</v>
      </c>
      <c r="Q1307" s="23">
        <v>104.83</v>
      </c>
      <c r="R1307" s="23">
        <v>5330.96</v>
      </c>
      <c r="S1307" s="23">
        <v>0.2</v>
      </c>
      <c r="T1307" s="23">
        <v>1066.19</v>
      </c>
      <c r="U1307" s="23">
        <v>4264.7700000000004</v>
      </c>
      <c r="V1307" s="23">
        <v>3564.21</v>
      </c>
      <c r="W1307" s="23">
        <v>700.55</v>
      </c>
      <c r="X1307" s="23" t="s">
        <v>45</v>
      </c>
    </row>
    <row r="1308" spans="1:24" x14ac:dyDescent="0.25">
      <c r="A1308" s="20" t="s">
        <v>1830</v>
      </c>
      <c r="B1308" s="19">
        <v>45340</v>
      </c>
      <c r="C1308" s="20" t="s">
        <v>1831</v>
      </c>
      <c r="D1308" s="20" t="s">
        <v>256</v>
      </c>
      <c r="E1308" s="20" t="s">
        <v>165</v>
      </c>
      <c r="F1308" s="20" t="s">
        <v>2592</v>
      </c>
      <c r="G1308" s="20" t="s">
        <v>2586</v>
      </c>
      <c r="H1308" s="20" t="s">
        <v>167</v>
      </c>
      <c r="I1308" s="20" t="s">
        <v>40</v>
      </c>
      <c r="J1308" s="20" t="s">
        <v>41</v>
      </c>
      <c r="K1308" s="20" t="s">
        <v>152</v>
      </c>
      <c r="L1308" s="20" t="s">
        <v>2688</v>
      </c>
      <c r="M1308" s="20" t="s">
        <v>153</v>
      </c>
      <c r="N1308" s="20" t="s">
        <v>84</v>
      </c>
      <c r="O1308" s="20">
        <v>76</v>
      </c>
      <c r="P1308" s="20">
        <v>43.27</v>
      </c>
      <c r="Q1308" s="20">
        <v>23.56</v>
      </c>
      <c r="R1308" s="20">
        <v>3288.16</v>
      </c>
      <c r="S1308" s="20">
        <v>0.1</v>
      </c>
      <c r="T1308" s="20">
        <v>328.82</v>
      </c>
      <c r="U1308" s="20">
        <v>2959.34</v>
      </c>
      <c r="V1308" s="20">
        <v>1790.73</v>
      </c>
      <c r="W1308" s="20">
        <v>1168.6099999999999</v>
      </c>
      <c r="X1308" s="20" t="s">
        <v>45</v>
      </c>
    </row>
    <row r="1309" spans="1:24" x14ac:dyDescent="0.25">
      <c r="A1309" s="23" t="s">
        <v>1832</v>
      </c>
      <c r="B1309" s="22">
        <v>45373</v>
      </c>
      <c r="C1309" s="23" t="s">
        <v>517</v>
      </c>
      <c r="D1309" s="23" t="s">
        <v>163</v>
      </c>
      <c r="E1309" s="23" t="s">
        <v>23</v>
      </c>
      <c r="F1309" s="23" t="s">
        <v>2576</v>
      </c>
      <c r="G1309" s="23" t="s">
        <v>2577</v>
      </c>
      <c r="H1309" s="23" t="s">
        <v>26</v>
      </c>
      <c r="I1309" s="23" t="s">
        <v>53</v>
      </c>
      <c r="J1309" s="23" t="s">
        <v>122</v>
      </c>
      <c r="K1309" s="23" t="s">
        <v>42</v>
      </c>
      <c r="L1309" s="23" t="s">
        <v>2680</v>
      </c>
      <c r="M1309" s="23" t="s">
        <v>61</v>
      </c>
      <c r="N1309" s="23" t="s">
        <v>44</v>
      </c>
      <c r="O1309" s="23">
        <v>78</v>
      </c>
      <c r="P1309" s="23">
        <v>75.42</v>
      </c>
      <c r="Q1309" s="23">
        <v>42</v>
      </c>
      <c r="R1309" s="23">
        <v>5883.05</v>
      </c>
      <c r="S1309" s="23">
        <v>0.15</v>
      </c>
      <c r="T1309" s="23">
        <v>882.46</v>
      </c>
      <c r="U1309" s="23">
        <v>5000.59</v>
      </c>
      <c r="V1309" s="23">
        <v>3275.61</v>
      </c>
      <c r="W1309" s="23">
        <v>1724.98</v>
      </c>
      <c r="X1309" s="23" t="s">
        <v>129</v>
      </c>
    </row>
    <row r="1310" spans="1:24" x14ac:dyDescent="0.25">
      <c r="A1310" s="20" t="s">
        <v>1833</v>
      </c>
      <c r="B1310" s="19">
        <v>45481</v>
      </c>
      <c r="C1310" s="20" t="s">
        <v>679</v>
      </c>
      <c r="D1310" s="20" t="s">
        <v>105</v>
      </c>
      <c r="E1310" s="20" t="s">
        <v>78</v>
      </c>
      <c r="F1310" s="20" t="s">
        <v>2583</v>
      </c>
      <c r="G1310" s="20" t="s">
        <v>2584</v>
      </c>
      <c r="H1310" s="20" t="s">
        <v>81</v>
      </c>
      <c r="I1310" s="20" t="s">
        <v>58</v>
      </c>
      <c r="J1310" s="20" t="s">
        <v>73</v>
      </c>
      <c r="K1310" s="20" t="s">
        <v>253</v>
      </c>
      <c r="L1310" s="20" t="s">
        <v>2694</v>
      </c>
      <c r="M1310" s="20" t="s">
        <v>153</v>
      </c>
      <c r="N1310" s="20" t="s">
        <v>70</v>
      </c>
      <c r="O1310" s="20">
        <v>47</v>
      </c>
      <c r="P1310" s="20">
        <v>140.66</v>
      </c>
      <c r="Q1310" s="20">
        <v>78.61</v>
      </c>
      <c r="R1310" s="20">
        <v>6611.23</v>
      </c>
      <c r="S1310" s="20">
        <v>0.02</v>
      </c>
      <c r="T1310" s="20">
        <v>132.22</v>
      </c>
      <c r="U1310" s="20">
        <v>6479</v>
      </c>
      <c r="V1310" s="20">
        <v>3694.84</v>
      </c>
      <c r="W1310" s="20">
        <v>2784.16</v>
      </c>
      <c r="X1310" s="20" t="s">
        <v>129</v>
      </c>
    </row>
    <row r="1311" spans="1:24" x14ac:dyDescent="0.25">
      <c r="A1311" s="23" t="s">
        <v>1834</v>
      </c>
      <c r="B1311" s="22">
        <v>45511</v>
      </c>
      <c r="C1311" s="23" t="s">
        <v>499</v>
      </c>
      <c r="D1311" s="23" t="s">
        <v>87</v>
      </c>
      <c r="E1311" s="23" t="s">
        <v>93</v>
      </c>
      <c r="F1311" s="23" t="s">
        <v>2585</v>
      </c>
      <c r="G1311" s="23" t="s">
        <v>2586</v>
      </c>
      <c r="H1311" s="23" t="s">
        <v>96</v>
      </c>
      <c r="I1311" s="23" t="s">
        <v>27</v>
      </c>
      <c r="J1311" s="23" t="s">
        <v>28</v>
      </c>
      <c r="K1311" s="23" t="s">
        <v>218</v>
      </c>
      <c r="L1311" s="23" t="s">
        <v>2692</v>
      </c>
      <c r="M1311" s="23" t="s">
        <v>43</v>
      </c>
      <c r="N1311" s="23" t="s">
        <v>70</v>
      </c>
      <c r="O1311" s="23">
        <v>6</v>
      </c>
      <c r="P1311" s="23">
        <v>55.5</v>
      </c>
      <c r="Q1311" s="23">
        <v>30.62</v>
      </c>
      <c r="R1311" s="23">
        <v>333.01</v>
      </c>
      <c r="S1311" s="23">
        <v>0.15</v>
      </c>
      <c r="T1311" s="23">
        <v>49.95</v>
      </c>
      <c r="U1311" s="23">
        <v>283.06</v>
      </c>
      <c r="V1311" s="23">
        <v>183.75</v>
      </c>
      <c r="W1311" s="23">
        <v>99.31</v>
      </c>
      <c r="X1311" s="23" t="s">
        <v>32</v>
      </c>
    </row>
    <row r="1312" spans="1:24" x14ac:dyDescent="0.25">
      <c r="A1312" s="20" t="s">
        <v>1835</v>
      </c>
      <c r="B1312" s="19">
        <v>45404</v>
      </c>
      <c r="C1312" s="20" t="s">
        <v>382</v>
      </c>
      <c r="D1312" s="20" t="s">
        <v>22</v>
      </c>
      <c r="E1312" s="20" t="s">
        <v>114</v>
      </c>
      <c r="F1312" s="20" t="s">
        <v>2588</v>
      </c>
      <c r="G1312" s="20" t="s">
        <v>2586</v>
      </c>
      <c r="H1312" s="20" t="s">
        <v>116</v>
      </c>
      <c r="I1312" s="20" t="s">
        <v>88</v>
      </c>
      <c r="J1312" s="20" t="s">
        <v>173</v>
      </c>
      <c r="K1312" s="20" t="s">
        <v>42</v>
      </c>
      <c r="L1312" s="20" t="s">
        <v>2680</v>
      </c>
      <c r="M1312" s="20" t="s">
        <v>43</v>
      </c>
      <c r="N1312" s="20" t="s">
        <v>75</v>
      </c>
      <c r="O1312" s="20">
        <v>15</v>
      </c>
      <c r="P1312" s="20">
        <v>37.08</v>
      </c>
      <c r="Q1312" s="20">
        <v>21.89</v>
      </c>
      <c r="R1312" s="20">
        <v>556.17999999999995</v>
      </c>
      <c r="S1312" s="20">
        <v>0</v>
      </c>
      <c r="T1312" s="20">
        <v>0</v>
      </c>
      <c r="U1312" s="20">
        <v>556.17999999999995</v>
      </c>
      <c r="V1312" s="20">
        <v>328.41</v>
      </c>
      <c r="W1312" s="20">
        <v>227.77</v>
      </c>
      <c r="X1312" s="20" t="s">
        <v>45</v>
      </c>
    </row>
    <row r="1313" spans="1:24" x14ac:dyDescent="0.25">
      <c r="A1313" s="23" t="s">
        <v>1836</v>
      </c>
      <c r="B1313" s="22">
        <v>45564</v>
      </c>
      <c r="C1313" s="23" t="s">
        <v>186</v>
      </c>
      <c r="D1313" s="23" t="s">
        <v>156</v>
      </c>
      <c r="E1313" s="23" t="s">
        <v>109</v>
      </c>
      <c r="F1313" s="23" t="s">
        <v>110</v>
      </c>
      <c r="G1313" s="23" t="s">
        <v>2584</v>
      </c>
      <c r="H1313" s="23" t="s">
        <v>81</v>
      </c>
      <c r="I1313" s="23" t="s">
        <v>88</v>
      </c>
      <c r="J1313" s="23" t="s">
        <v>135</v>
      </c>
      <c r="K1313" s="23" t="s">
        <v>118</v>
      </c>
      <c r="L1313" s="23" t="s">
        <v>2686</v>
      </c>
      <c r="M1313" s="23" t="s">
        <v>153</v>
      </c>
      <c r="N1313" s="23" t="s">
        <v>70</v>
      </c>
      <c r="O1313" s="23">
        <v>7</v>
      </c>
      <c r="P1313" s="23">
        <v>125.15</v>
      </c>
      <c r="Q1313" s="23">
        <v>78.430000000000007</v>
      </c>
      <c r="R1313" s="23">
        <v>876.04</v>
      </c>
      <c r="S1313" s="23">
        <v>0.2</v>
      </c>
      <c r="T1313" s="23">
        <v>175.21</v>
      </c>
      <c r="U1313" s="23">
        <v>700.83</v>
      </c>
      <c r="V1313" s="23">
        <v>549.02</v>
      </c>
      <c r="W1313" s="23">
        <v>151.81</v>
      </c>
      <c r="X1313" s="23" t="s">
        <v>32</v>
      </c>
    </row>
    <row r="1314" spans="1:24" x14ac:dyDescent="0.25">
      <c r="A1314" s="20" t="s">
        <v>1837</v>
      </c>
      <c r="B1314" s="19">
        <v>45462</v>
      </c>
      <c r="C1314" s="20" t="s">
        <v>201</v>
      </c>
      <c r="D1314" s="20" t="s">
        <v>57</v>
      </c>
      <c r="E1314" s="20" t="s">
        <v>250</v>
      </c>
      <c r="F1314" s="20" t="s">
        <v>2598</v>
      </c>
      <c r="G1314" s="20" t="s">
        <v>2581</v>
      </c>
      <c r="H1314" s="20" t="s">
        <v>252</v>
      </c>
      <c r="I1314" s="20" t="s">
        <v>53</v>
      </c>
      <c r="J1314" s="20" t="s">
        <v>54</v>
      </c>
      <c r="K1314" s="20" t="s">
        <v>261</v>
      </c>
      <c r="L1314" s="20" t="s">
        <v>2695</v>
      </c>
      <c r="M1314" s="20" t="s">
        <v>43</v>
      </c>
      <c r="N1314" s="20" t="s">
        <v>75</v>
      </c>
      <c r="O1314" s="20">
        <v>26</v>
      </c>
      <c r="P1314" s="20">
        <v>64.3</v>
      </c>
      <c r="Q1314" s="20">
        <v>37.74</v>
      </c>
      <c r="R1314" s="20">
        <v>1671.81</v>
      </c>
      <c r="S1314" s="20">
        <v>0.2</v>
      </c>
      <c r="T1314" s="20">
        <v>334.36</v>
      </c>
      <c r="U1314" s="20">
        <v>1337.45</v>
      </c>
      <c r="V1314" s="20">
        <v>981.31</v>
      </c>
      <c r="W1314" s="20">
        <v>356.13</v>
      </c>
      <c r="X1314" s="20" t="s">
        <v>45</v>
      </c>
    </row>
    <row r="1315" spans="1:24" x14ac:dyDescent="0.25">
      <c r="A1315" s="23" t="s">
        <v>1838</v>
      </c>
      <c r="B1315" s="22">
        <v>45353</v>
      </c>
      <c r="C1315" s="23" t="s">
        <v>1706</v>
      </c>
      <c r="D1315" s="23" t="s">
        <v>65</v>
      </c>
      <c r="E1315" s="23" t="s">
        <v>165</v>
      </c>
      <c r="F1315" s="23" t="s">
        <v>2592</v>
      </c>
      <c r="G1315" s="23" t="s">
        <v>2586</v>
      </c>
      <c r="H1315" s="23" t="s">
        <v>167</v>
      </c>
      <c r="I1315" s="23" t="s">
        <v>40</v>
      </c>
      <c r="J1315" s="23" t="s">
        <v>289</v>
      </c>
      <c r="K1315" s="23" t="s">
        <v>83</v>
      </c>
      <c r="L1315" s="23" t="s">
        <v>2683</v>
      </c>
      <c r="M1315" s="23" t="s">
        <v>61</v>
      </c>
      <c r="N1315" s="23" t="s">
        <v>2619</v>
      </c>
      <c r="O1315" s="23">
        <v>80</v>
      </c>
      <c r="P1315" s="23">
        <v>41.43</v>
      </c>
      <c r="Q1315" s="23">
        <v>24.72</v>
      </c>
      <c r="R1315" s="23">
        <v>3314.72</v>
      </c>
      <c r="S1315" s="23">
        <v>0</v>
      </c>
      <c r="T1315" s="23">
        <v>0</v>
      </c>
      <c r="U1315" s="23">
        <v>3314.72</v>
      </c>
      <c r="V1315" s="23">
        <v>1977.26</v>
      </c>
      <c r="W1315" s="23">
        <v>1337.46</v>
      </c>
      <c r="X1315" s="23" t="s">
        <v>32</v>
      </c>
    </row>
    <row r="1316" spans="1:24" x14ac:dyDescent="0.25">
      <c r="A1316" s="20" t="s">
        <v>1839</v>
      </c>
      <c r="B1316" s="19">
        <v>45516</v>
      </c>
      <c r="C1316" s="20" t="s">
        <v>1033</v>
      </c>
      <c r="D1316" s="20" t="s">
        <v>105</v>
      </c>
      <c r="E1316" s="20" t="s">
        <v>23</v>
      </c>
      <c r="F1316" s="20" t="s">
        <v>2576</v>
      </c>
      <c r="G1316" s="20" t="s">
        <v>2577</v>
      </c>
      <c r="H1316" s="20" t="s">
        <v>26</v>
      </c>
      <c r="I1316" s="20" t="s">
        <v>58</v>
      </c>
      <c r="J1316" s="20" t="s">
        <v>323</v>
      </c>
      <c r="K1316" s="20" t="s">
        <v>60</v>
      </c>
      <c r="L1316" s="20" t="s">
        <v>2677</v>
      </c>
      <c r="M1316" s="20" t="s">
        <v>43</v>
      </c>
      <c r="N1316" s="20" t="s">
        <v>2578</v>
      </c>
      <c r="O1316" s="20">
        <v>2</v>
      </c>
      <c r="P1316" s="20">
        <v>80.400000000000006</v>
      </c>
      <c r="Q1316" s="20">
        <v>43.62</v>
      </c>
      <c r="R1316" s="20">
        <v>160.81</v>
      </c>
      <c r="S1316" s="20">
        <v>0.02</v>
      </c>
      <c r="T1316" s="20">
        <v>3.22</v>
      </c>
      <c r="U1316" s="20">
        <v>157.59</v>
      </c>
      <c r="V1316" s="20">
        <v>87.24</v>
      </c>
      <c r="W1316" s="20">
        <v>70.349999999999994</v>
      </c>
      <c r="X1316" s="20" t="s">
        <v>45</v>
      </c>
    </row>
    <row r="1317" spans="1:24" x14ac:dyDescent="0.25">
      <c r="A1317" s="23" t="s">
        <v>1840</v>
      </c>
      <c r="B1317" s="22">
        <v>45455</v>
      </c>
      <c r="C1317" s="23" t="s">
        <v>350</v>
      </c>
      <c r="D1317" s="23" t="s">
        <v>22</v>
      </c>
      <c r="E1317" s="23" t="s">
        <v>222</v>
      </c>
      <c r="F1317" s="23" t="s">
        <v>2597</v>
      </c>
      <c r="G1317" s="23" t="s">
        <v>2587</v>
      </c>
      <c r="H1317" s="23" t="s">
        <v>68</v>
      </c>
      <c r="I1317" s="23" t="s">
        <v>88</v>
      </c>
      <c r="J1317" s="23" t="s">
        <v>183</v>
      </c>
      <c r="K1317" s="23" t="s">
        <v>83</v>
      </c>
      <c r="L1317" s="23" t="s">
        <v>2683</v>
      </c>
      <c r="M1317" s="23" t="s">
        <v>30</v>
      </c>
      <c r="N1317" s="23" t="s">
        <v>70</v>
      </c>
      <c r="O1317" s="23">
        <v>22</v>
      </c>
      <c r="P1317" s="23">
        <v>112.55</v>
      </c>
      <c r="Q1317" s="23">
        <v>76.73</v>
      </c>
      <c r="R1317" s="23">
        <v>2476.13</v>
      </c>
      <c r="S1317" s="23">
        <v>0.2</v>
      </c>
      <c r="T1317" s="23">
        <v>495.23</v>
      </c>
      <c r="U1317" s="23">
        <v>1980.9</v>
      </c>
      <c r="V1317" s="23">
        <v>1687.96</v>
      </c>
      <c r="W1317" s="23">
        <v>292.94</v>
      </c>
      <c r="X1317" s="23" t="s">
        <v>45</v>
      </c>
    </row>
    <row r="1318" spans="1:24" x14ac:dyDescent="0.25">
      <c r="A1318" s="20" t="s">
        <v>1841</v>
      </c>
      <c r="B1318" s="19">
        <v>45459</v>
      </c>
      <c r="C1318" s="20" t="s">
        <v>414</v>
      </c>
      <c r="D1318" s="20" t="s">
        <v>22</v>
      </c>
      <c r="E1318" s="20" t="s">
        <v>222</v>
      </c>
      <c r="F1318" s="20" t="s">
        <v>2597</v>
      </c>
      <c r="G1318" s="20" t="s">
        <v>2587</v>
      </c>
      <c r="H1318" s="20" t="s">
        <v>68</v>
      </c>
      <c r="I1318" s="20" t="s">
        <v>88</v>
      </c>
      <c r="J1318" s="20" t="s">
        <v>173</v>
      </c>
      <c r="K1318" s="20" t="s">
        <v>261</v>
      </c>
      <c r="L1318" s="20" t="s">
        <v>2695</v>
      </c>
      <c r="M1318" s="20" t="s">
        <v>30</v>
      </c>
      <c r="N1318" s="20" t="s">
        <v>44</v>
      </c>
      <c r="O1318" s="20">
        <v>21</v>
      </c>
      <c r="P1318" s="20">
        <v>116.28</v>
      </c>
      <c r="Q1318" s="20">
        <v>81.61</v>
      </c>
      <c r="R1318" s="20">
        <v>2441.91</v>
      </c>
      <c r="S1318" s="20">
        <v>0.15</v>
      </c>
      <c r="T1318" s="20">
        <v>366.29</v>
      </c>
      <c r="U1318" s="20">
        <v>2075.62</v>
      </c>
      <c r="V1318" s="20">
        <v>1713.74</v>
      </c>
      <c r="W1318" s="20">
        <v>361.88</v>
      </c>
      <c r="X1318" s="20" t="s">
        <v>129</v>
      </c>
    </row>
    <row r="1319" spans="1:24" x14ac:dyDescent="0.25">
      <c r="A1319" s="23" t="s">
        <v>1842</v>
      </c>
      <c r="B1319" s="22">
        <v>45494</v>
      </c>
      <c r="C1319" s="23" t="s">
        <v>1028</v>
      </c>
      <c r="D1319" s="23" t="s">
        <v>57</v>
      </c>
      <c r="E1319" s="23" t="s">
        <v>141</v>
      </c>
      <c r="F1319" s="23" t="s">
        <v>2590</v>
      </c>
      <c r="G1319" s="23" t="s">
        <v>2577</v>
      </c>
      <c r="H1319" s="23" t="s">
        <v>26</v>
      </c>
      <c r="I1319" s="23" t="s">
        <v>88</v>
      </c>
      <c r="J1319" s="23" t="s">
        <v>183</v>
      </c>
      <c r="K1319" s="23" t="s">
        <v>218</v>
      </c>
      <c r="L1319" s="23" t="s">
        <v>2692</v>
      </c>
      <c r="M1319" s="23" t="s">
        <v>30</v>
      </c>
      <c r="N1319" s="23" t="s">
        <v>84</v>
      </c>
      <c r="O1319" s="23">
        <v>17</v>
      </c>
      <c r="P1319" s="23">
        <v>88.75</v>
      </c>
      <c r="Q1319" s="23">
        <v>55.18</v>
      </c>
      <c r="R1319" s="23">
        <v>1508.67</v>
      </c>
      <c r="S1319" s="23">
        <v>0.2</v>
      </c>
      <c r="T1319" s="23">
        <v>301.73</v>
      </c>
      <c r="U1319" s="23">
        <v>1206.93</v>
      </c>
      <c r="V1319" s="23">
        <v>938.04</v>
      </c>
      <c r="W1319" s="23">
        <v>268.89</v>
      </c>
      <c r="X1319" s="23" t="s">
        <v>45</v>
      </c>
    </row>
    <row r="1320" spans="1:24" x14ac:dyDescent="0.25">
      <c r="A1320" s="20" t="s">
        <v>1843</v>
      </c>
      <c r="B1320" s="19">
        <v>45559</v>
      </c>
      <c r="C1320" s="20" t="s">
        <v>146</v>
      </c>
      <c r="D1320" s="20" t="s">
        <v>105</v>
      </c>
      <c r="E1320" s="20" t="s">
        <v>150</v>
      </c>
      <c r="F1320" s="20" t="s">
        <v>2591</v>
      </c>
      <c r="G1320" s="20" t="s">
        <v>2587</v>
      </c>
      <c r="H1320" s="20" t="s">
        <v>134</v>
      </c>
      <c r="I1320" s="20" t="s">
        <v>88</v>
      </c>
      <c r="J1320" s="20" t="s">
        <v>183</v>
      </c>
      <c r="K1320" s="20" t="s">
        <v>74</v>
      </c>
      <c r="L1320" s="20" t="s">
        <v>2682</v>
      </c>
      <c r="M1320" s="20" t="s">
        <v>153</v>
      </c>
      <c r="N1320" s="20" t="s">
        <v>2578</v>
      </c>
      <c r="O1320" s="20">
        <v>27</v>
      </c>
      <c r="P1320" s="20">
        <v>91.27</v>
      </c>
      <c r="Q1320" s="20">
        <v>50.1</v>
      </c>
      <c r="R1320" s="20">
        <v>2464.33</v>
      </c>
      <c r="S1320" s="20">
        <v>0.15</v>
      </c>
      <c r="T1320" s="20">
        <v>369.65</v>
      </c>
      <c r="U1320" s="20">
        <v>2094.6799999999998</v>
      </c>
      <c r="V1320" s="20">
        <v>1352.65</v>
      </c>
      <c r="W1320" s="20">
        <v>742.03</v>
      </c>
      <c r="X1320" s="20" t="s">
        <v>45</v>
      </c>
    </row>
    <row r="1321" spans="1:24" x14ac:dyDescent="0.25">
      <c r="A1321" s="23" t="s">
        <v>1844</v>
      </c>
      <c r="B1321" s="22">
        <v>45483</v>
      </c>
      <c r="C1321" s="23" t="s">
        <v>1744</v>
      </c>
      <c r="D1321" s="23" t="s">
        <v>121</v>
      </c>
      <c r="E1321" s="23" t="s">
        <v>165</v>
      </c>
      <c r="F1321" s="23" t="s">
        <v>2592</v>
      </c>
      <c r="G1321" s="23" t="s">
        <v>2586</v>
      </c>
      <c r="H1321" s="23" t="s">
        <v>167</v>
      </c>
      <c r="I1321" s="23" t="s">
        <v>88</v>
      </c>
      <c r="J1321" s="23" t="s">
        <v>2112</v>
      </c>
      <c r="K1321" s="23" t="s">
        <v>144</v>
      </c>
      <c r="L1321" s="23" t="s">
        <v>2687</v>
      </c>
      <c r="M1321" s="23" t="s">
        <v>61</v>
      </c>
      <c r="N1321" s="23" t="s">
        <v>75</v>
      </c>
      <c r="O1321" s="23">
        <v>21</v>
      </c>
      <c r="P1321" s="23">
        <v>38.65</v>
      </c>
      <c r="Q1321" s="23">
        <v>24.2</v>
      </c>
      <c r="R1321" s="23">
        <v>811.63</v>
      </c>
      <c r="S1321" s="23">
        <v>0</v>
      </c>
      <c r="T1321" s="23">
        <v>0</v>
      </c>
      <c r="U1321" s="23">
        <v>811.63</v>
      </c>
      <c r="V1321" s="23">
        <v>508.18</v>
      </c>
      <c r="W1321" s="23">
        <v>303.45</v>
      </c>
      <c r="X1321" s="23" t="s">
        <v>32</v>
      </c>
    </row>
    <row r="1322" spans="1:24" x14ac:dyDescent="0.25">
      <c r="A1322" s="20" t="s">
        <v>1845</v>
      </c>
      <c r="B1322" s="19">
        <v>45332</v>
      </c>
      <c r="C1322" s="20" t="s">
        <v>917</v>
      </c>
      <c r="D1322" s="20" t="s">
        <v>57</v>
      </c>
      <c r="E1322" s="20" t="s">
        <v>109</v>
      </c>
      <c r="F1322" s="20" t="s">
        <v>110</v>
      </c>
      <c r="G1322" s="20" t="s">
        <v>2584</v>
      </c>
      <c r="H1322" s="20" t="s">
        <v>81</v>
      </c>
      <c r="I1322" s="20" t="s">
        <v>27</v>
      </c>
      <c r="J1322" s="20" t="s">
        <v>189</v>
      </c>
      <c r="K1322" s="20" t="s">
        <v>265</v>
      </c>
      <c r="L1322" s="20" t="s">
        <v>2663</v>
      </c>
      <c r="M1322" s="20" t="s">
        <v>153</v>
      </c>
      <c r="N1322" s="20" t="s">
        <v>44</v>
      </c>
      <c r="O1322" s="20">
        <v>23</v>
      </c>
      <c r="P1322" s="20">
        <v>128.24</v>
      </c>
      <c r="Q1322" s="20">
        <v>76.97</v>
      </c>
      <c r="R1322" s="20">
        <v>2949.48</v>
      </c>
      <c r="S1322" s="20">
        <v>0.05</v>
      </c>
      <c r="T1322" s="20">
        <v>147.47</v>
      </c>
      <c r="U1322" s="20">
        <v>2802.01</v>
      </c>
      <c r="V1322" s="20">
        <v>1770.4</v>
      </c>
      <c r="W1322" s="20">
        <v>1031.6099999999999</v>
      </c>
      <c r="X1322" s="20" t="s">
        <v>45</v>
      </c>
    </row>
    <row r="1323" spans="1:24" x14ac:dyDescent="0.25">
      <c r="A1323" s="23" t="s">
        <v>1846</v>
      </c>
      <c r="B1323" s="22">
        <v>45579</v>
      </c>
      <c r="C1323" s="23" t="s">
        <v>213</v>
      </c>
      <c r="D1323" s="23" t="s">
        <v>87</v>
      </c>
      <c r="E1323" s="23" t="s">
        <v>216</v>
      </c>
      <c r="F1323" s="23" t="s">
        <v>2596</v>
      </c>
      <c r="G1323" s="23" t="s">
        <v>2579</v>
      </c>
      <c r="H1323" s="23" t="s">
        <v>134</v>
      </c>
      <c r="I1323" s="23" t="s">
        <v>88</v>
      </c>
      <c r="J1323" s="23" t="s">
        <v>173</v>
      </c>
      <c r="K1323" s="23" t="s">
        <v>90</v>
      </c>
      <c r="L1323" s="23" t="s">
        <v>2684</v>
      </c>
      <c r="M1323" s="23" t="s">
        <v>153</v>
      </c>
      <c r="N1323" s="23" t="s">
        <v>84</v>
      </c>
      <c r="O1323" s="23">
        <v>33</v>
      </c>
      <c r="P1323" s="23">
        <v>102.95</v>
      </c>
      <c r="Q1323" s="23">
        <v>65.94</v>
      </c>
      <c r="R1323" s="23">
        <v>3397.2</v>
      </c>
      <c r="S1323" s="23">
        <v>0</v>
      </c>
      <c r="T1323" s="23">
        <v>0</v>
      </c>
      <c r="U1323" s="23">
        <v>3397.2</v>
      </c>
      <c r="V1323" s="23">
        <v>2176.15</v>
      </c>
      <c r="W1323" s="23">
        <v>1221.05</v>
      </c>
      <c r="X1323" s="23" t="s">
        <v>32</v>
      </c>
    </row>
    <row r="1324" spans="1:24" x14ac:dyDescent="0.25">
      <c r="A1324" s="20" t="s">
        <v>1847</v>
      </c>
      <c r="B1324" s="19">
        <v>45448</v>
      </c>
      <c r="C1324" s="20" t="s">
        <v>468</v>
      </c>
      <c r="D1324" s="20" t="s">
        <v>65</v>
      </c>
      <c r="E1324" s="20" t="s">
        <v>222</v>
      </c>
      <c r="F1324" s="20" t="s">
        <v>2597</v>
      </c>
      <c r="G1324" s="20" t="s">
        <v>2587</v>
      </c>
      <c r="H1324" s="20" t="s">
        <v>68</v>
      </c>
      <c r="I1324" s="20" t="s">
        <v>58</v>
      </c>
      <c r="J1324" s="20" t="s">
        <v>59</v>
      </c>
      <c r="K1324" s="20" t="s">
        <v>144</v>
      </c>
      <c r="L1324" s="20" t="s">
        <v>2687</v>
      </c>
      <c r="M1324" s="20" t="s">
        <v>30</v>
      </c>
      <c r="N1324" s="20" t="s">
        <v>84</v>
      </c>
      <c r="O1324" s="20">
        <v>58</v>
      </c>
      <c r="P1324" s="20">
        <v>119.5</v>
      </c>
      <c r="Q1324" s="20">
        <v>72.98</v>
      </c>
      <c r="R1324" s="20">
        <v>6931.24</v>
      </c>
      <c r="S1324" s="20">
        <v>0.15</v>
      </c>
      <c r="T1324" s="20">
        <v>1039.69</v>
      </c>
      <c r="U1324" s="20">
        <v>5891.55</v>
      </c>
      <c r="V1324" s="20">
        <v>4232.8999999999996</v>
      </c>
      <c r="W1324" s="20">
        <v>1658.66</v>
      </c>
      <c r="X1324" s="20" t="s">
        <v>45</v>
      </c>
    </row>
    <row r="1325" spans="1:24" x14ac:dyDescent="0.25">
      <c r="A1325" s="23" t="s">
        <v>1848</v>
      </c>
      <c r="B1325" s="22">
        <v>45326</v>
      </c>
      <c r="C1325" s="23" t="s">
        <v>387</v>
      </c>
      <c r="D1325" s="23" t="s">
        <v>22</v>
      </c>
      <c r="E1325" s="23" t="s">
        <v>209</v>
      </c>
      <c r="F1325" s="23" t="s">
        <v>2595</v>
      </c>
      <c r="G1325" s="23" t="s">
        <v>2581</v>
      </c>
      <c r="H1325" s="23" t="s">
        <v>116</v>
      </c>
      <c r="I1325" s="23" t="s">
        <v>40</v>
      </c>
      <c r="J1325" s="23" t="s">
        <v>117</v>
      </c>
      <c r="K1325" s="23" t="s">
        <v>118</v>
      </c>
      <c r="L1325" s="23" t="s">
        <v>2686</v>
      </c>
      <c r="M1325" s="23" t="s">
        <v>153</v>
      </c>
      <c r="N1325" s="23" t="s">
        <v>84</v>
      </c>
      <c r="O1325" s="23">
        <v>78</v>
      </c>
      <c r="P1325" s="23">
        <v>17.8</v>
      </c>
      <c r="Q1325" s="23">
        <v>10.53</v>
      </c>
      <c r="R1325" s="23">
        <v>1388.27</v>
      </c>
      <c r="S1325" s="23">
        <v>0.1</v>
      </c>
      <c r="T1325" s="23">
        <v>138.83000000000001</v>
      </c>
      <c r="U1325" s="23">
        <v>1249.44</v>
      </c>
      <c r="V1325" s="23">
        <v>821.3</v>
      </c>
      <c r="W1325" s="23">
        <v>428.14</v>
      </c>
      <c r="X1325" s="23" t="s">
        <v>129</v>
      </c>
    </row>
    <row r="1326" spans="1:24" x14ac:dyDescent="0.25">
      <c r="A1326" s="20" t="s">
        <v>1849</v>
      </c>
      <c r="B1326" s="19">
        <v>45579</v>
      </c>
      <c r="C1326" s="20" t="s">
        <v>1394</v>
      </c>
      <c r="D1326" s="20" t="s">
        <v>156</v>
      </c>
      <c r="E1326" s="20" t="s">
        <v>216</v>
      </c>
      <c r="F1326" s="20" t="s">
        <v>2596</v>
      </c>
      <c r="G1326" s="20" t="s">
        <v>2579</v>
      </c>
      <c r="H1326" s="20" t="s">
        <v>134</v>
      </c>
      <c r="I1326" s="20" t="s">
        <v>53</v>
      </c>
      <c r="J1326" s="20" t="s">
        <v>143</v>
      </c>
      <c r="K1326" s="20" t="s">
        <v>83</v>
      </c>
      <c r="L1326" s="20" t="s">
        <v>2683</v>
      </c>
      <c r="M1326" s="20" t="s">
        <v>30</v>
      </c>
      <c r="N1326" s="20" t="s">
        <v>2578</v>
      </c>
      <c r="O1326" s="20">
        <v>42</v>
      </c>
      <c r="P1326" s="20">
        <v>116.87</v>
      </c>
      <c r="Q1326" s="20">
        <v>65.349999999999994</v>
      </c>
      <c r="R1326" s="20">
        <v>4908.3599999999997</v>
      </c>
      <c r="S1326" s="20">
        <v>0.05</v>
      </c>
      <c r="T1326" s="20">
        <v>245.42</v>
      </c>
      <c r="U1326" s="20">
        <v>4662.9399999999996</v>
      </c>
      <c r="V1326" s="20">
        <v>2744.61</v>
      </c>
      <c r="W1326" s="20">
        <v>1918.33</v>
      </c>
      <c r="X1326" s="20" t="s">
        <v>45</v>
      </c>
    </row>
    <row r="1327" spans="1:24" x14ac:dyDescent="0.25">
      <c r="A1327" s="23" t="s">
        <v>1850</v>
      </c>
      <c r="B1327" s="22">
        <v>45380</v>
      </c>
      <c r="C1327" s="23" t="s">
        <v>497</v>
      </c>
      <c r="D1327" s="23" t="s">
        <v>35</v>
      </c>
      <c r="E1327" s="23" t="s">
        <v>209</v>
      </c>
      <c r="F1327" s="23" t="s">
        <v>2595</v>
      </c>
      <c r="G1327" s="23" t="s">
        <v>2581</v>
      </c>
      <c r="H1327" s="23" t="s">
        <v>116</v>
      </c>
      <c r="I1327" s="23" t="s">
        <v>88</v>
      </c>
      <c r="J1327" s="23" t="s">
        <v>2112</v>
      </c>
      <c r="K1327" s="23" t="s">
        <v>144</v>
      </c>
      <c r="L1327" s="23" t="s">
        <v>2687</v>
      </c>
      <c r="M1327" s="23" t="s">
        <v>61</v>
      </c>
      <c r="N1327" s="23" t="s">
        <v>75</v>
      </c>
      <c r="O1327" s="23">
        <v>39</v>
      </c>
      <c r="P1327" s="23">
        <v>19.02</v>
      </c>
      <c r="Q1327" s="23">
        <v>9.9</v>
      </c>
      <c r="R1327" s="23">
        <v>741.76</v>
      </c>
      <c r="S1327" s="23">
        <f>ROUND(Cleaned_Sales!$T1327/Cleaned_Sales!$R1327,2)</f>
        <v>0.05</v>
      </c>
      <c r="T1327" s="23">
        <v>37.090000000000003</v>
      </c>
      <c r="U1327" s="23">
        <v>704.67</v>
      </c>
      <c r="V1327" s="23">
        <v>386.2</v>
      </c>
      <c r="W1327" s="23">
        <v>318.47000000000003</v>
      </c>
      <c r="X1327" s="23" t="s">
        <v>45</v>
      </c>
    </row>
    <row r="1328" spans="1:24" x14ac:dyDescent="0.25">
      <c r="A1328" s="20" t="s">
        <v>1851</v>
      </c>
      <c r="B1328" s="19">
        <v>45325</v>
      </c>
      <c r="C1328" s="20" t="s">
        <v>263</v>
      </c>
      <c r="D1328" s="20" t="s">
        <v>264</v>
      </c>
      <c r="E1328" s="20" t="s">
        <v>36</v>
      </c>
      <c r="F1328" s="20" t="s">
        <v>37</v>
      </c>
      <c r="G1328" s="20" t="s">
        <v>2579</v>
      </c>
      <c r="H1328" s="20" t="s">
        <v>39</v>
      </c>
      <c r="I1328" s="20" t="s">
        <v>27</v>
      </c>
      <c r="J1328" s="20" t="s">
        <v>189</v>
      </c>
      <c r="K1328" s="20" t="s">
        <v>118</v>
      </c>
      <c r="L1328" s="20" t="s">
        <v>2686</v>
      </c>
      <c r="M1328" s="20" t="s">
        <v>153</v>
      </c>
      <c r="N1328" s="20" t="s">
        <v>70</v>
      </c>
      <c r="O1328" s="20">
        <v>11</v>
      </c>
      <c r="P1328" s="24">
        <f>Cleaned_Sales!$R1328/Cleaned_Sales!$O1328</f>
        <v>165.44090909090909</v>
      </c>
      <c r="Q1328" s="20">
        <v>103.1</v>
      </c>
      <c r="R1328" s="20">
        <v>1819.85</v>
      </c>
      <c r="S1328" s="20">
        <v>0</v>
      </c>
      <c r="T1328" s="20">
        <v>0</v>
      </c>
      <c r="U1328" s="20">
        <v>1819.85</v>
      </c>
      <c r="V1328" s="20">
        <v>1134.0899999999999</v>
      </c>
      <c r="W1328" s="20">
        <v>685.76</v>
      </c>
      <c r="X1328" s="20" t="s">
        <v>45</v>
      </c>
    </row>
    <row r="1329" spans="1:24" x14ac:dyDescent="0.25">
      <c r="A1329" s="23" t="s">
        <v>1852</v>
      </c>
      <c r="B1329" s="22">
        <v>45295</v>
      </c>
      <c r="C1329" s="23" t="s">
        <v>255</v>
      </c>
      <c r="D1329" s="23" t="s">
        <v>256</v>
      </c>
      <c r="E1329" s="23" t="s">
        <v>216</v>
      </c>
      <c r="F1329" s="23" t="s">
        <v>2596</v>
      </c>
      <c r="G1329" s="23" t="s">
        <v>2579</v>
      </c>
      <c r="H1329" s="23" t="s">
        <v>134</v>
      </c>
      <c r="I1329" s="23" t="s">
        <v>53</v>
      </c>
      <c r="J1329" s="23" t="s">
        <v>54</v>
      </c>
      <c r="K1329" s="23" t="s">
        <v>90</v>
      </c>
      <c r="L1329" s="23" t="s">
        <v>2684</v>
      </c>
      <c r="M1329" s="23" t="s">
        <v>43</v>
      </c>
      <c r="N1329" s="23" t="s">
        <v>2619</v>
      </c>
      <c r="O1329" s="23">
        <v>22</v>
      </c>
      <c r="P1329" s="23">
        <v>112.53</v>
      </c>
      <c r="Q1329" s="23">
        <v>67.319999999999993</v>
      </c>
      <c r="R1329" s="23">
        <v>2475.7199999999998</v>
      </c>
      <c r="S1329" s="23">
        <v>0.1</v>
      </c>
      <c r="T1329" s="23">
        <v>247.57</v>
      </c>
      <c r="U1329" s="23">
        <v>2600.9699999999998</v>
      </c>
      <c r="V1329" s="23">
        <v>1481.15</v>
      </c>
      <c r="W1329" s="23">
        <v>747</v>
      </c>
      <c r="X1329" s="23" t="s">
        <v>32</v>
      </c>
    </row>
    <row r="1330" spans="1:24" x14ac:dyDescent="0.25">
      <c r="A1330" s="20" t="s">
        <v>1853</v>
      </c>
      <c r="B1330" s="19">
        <v>45361</v>
      </c>
      <c r="C1330" s="20" t="s">
        <v>325</v>
      </c>
      <c r="D1330" s="20" t="s">
        <v>35</v>
      </c>
      <c r="E1330" s="20" t="s">
        <v>187</v>
      </c>
      <c r="F1330" s="20" t="s">
        <v>2594</v>
      </c>
      <c r="G1330" s="20" t="s">
        <v>2577</v>
      </c>
      <c r="H1330" s="20" t="s">
        <v>26</v>
      </c>
      <c r="I1330" s="20" t="s">
        <v>40</v>
      </c>
      <c r="J1330" s="20" t="s">
        <v>82</v>
      </c>
      <c r="K1330" s="20" t="s">
        <v>152</v>
      </c>
      <c r="L1330" s="20" t="s">
        <v>2688</v>
      </c>
      <c r="M1330" s="20" t="s">
        <v>30</v>
      </c>
      <c r="N1330" s="20" t="s">
        <v>44</v>
      </c>
      <c r="O1330" s="20">
        <v>70</v>
      </c>
      <c r="P1330" s="20">
        <v>44.98</v>
      </c>
      <c r="Q1330" s="20">
        <v>27.03</v>
      </c>
      <c r="R1330" s="20">
        <v>3148.51</v>
      </c>
      <c r="S1330" s="20">
        <v>0.02</v>
      </c>
      <c r="T1330" s="20">
        <v>62.97</v>
      </c>
      <c r="U1330" s="20">
        <v>3085.54</v>
      </c>
      <c r="V1330" s="20">
        <v>1892</v>
      </c>
      <c r="W1330" s="20">
        <v>1193.53</v>
      </c>
      <c r="X1330" s="20" t="s">
        <v>45</v>
      </c>
    </row>
    <row r="1331" spans="1:24" x14ac:dyDescent="0.25">
      <c r="A1331" s="23" t="s">
        <v>1854</v>
      </c>
      <c r="B1331" s="22">
        <v>45431</v>
      </c>
      <c r="C1331" s="23" t="s">
        <v>1334</v>
      </c>
      <c r="D1331" s="23" t="s">
        <v>35</v>
      </c>
      <c r="E1331" s="23" t="s">
        <v>222</v>
      </c>
      <c r="F1331" s="23" t="s">
        <v>2597</v>
      </c>
      <c r="G1331" s="23" t="s">
        <v>2587</v>
      </c>
      <c r="H1331" s="23" t="s">
        <v>68</v>
      </c>
      <c r="I1331" s="23" t="s">
        <v>58</v>
      </c>
      <c r="J1331" s="23" t="s">
        <v>59</v>
      </c>
      <c r="K1331" s="23" t="s">
        <v>170</v>
      </c>
      <c r="L1331" s="23" t="s">
        <v>2671</v>
      </c>
      <c r="M1331" s="23" t="s">
        <v>43</v>
      </c>
      <c r="N1331" s="23" t="s">
        <v>2578</v>
      </c>
      <c r="O1331" s="23">
        <v>19</v>
      </c>
      <c r="P1331" s="23">
        <v>128.80000000000001</v>
      </c>
      <c r="Q1331" s="23">
        <v>76.349999999999994</v>
      </c>
      <c r="R1331" s="23">
        <v>2447.11</v>
      </c>
      <c r="S1331" s="23">
        <v>0.02</v>
      </c>
      <c r="T1331" s="23">
        <v>48.94</v>
      </c>
      <c r="U1331" s="23">
        <v>2398.16</v>
      </c>
      <c r="V1331" s="23">
        <v>1450.69</v>
      </c>
      <c r="W1331" s="23">
        <v>947.48</v>
      </c>
      <c r="X1331" s="23" t="s">
        <v>45</v>
      </c>
    </row>
    <row r="1332" spans="1:24" x14ac:dyDescent="0.25">
      <c r="A1332" s="20" t="s">
        <v>1855</v>
      </c>
      <c r="B1332" s="19">
        <v>45633</v>
      </c>
      <c r="C1332" s="20" t="s">
        <v>414</v>
      </c>
      <c r="D1332" s="20" t="s">
        <v>22</v>
      </c>
      <c r="E1332" s="20" t="s">
        <v>126</v>
      </c>
      <c r="F1332" s="20" t="s">
        <v>2589</v>
      </c>
      <c r="G1332" s="20" t="s">
        <v>2586</v>
      </c>
      <c r="H1332" s="20" t="s">
        <v>128</v>
      </c>
      <c r="I1332" s="20" t="s">
        <v>88</v>
      </c>
      <c r="J1332" s="20" t="s">
        <v>173</v>
      </c>
      <c r="K1332" s="20" t="s">
        <v>170</v>
      </c>
      <c r="L1332" s="20" t="s">
        <v>2671</v>
      </c>
      <c r="M1332" s="20" t="s">
        <v>61</v>
      </c>
      <c r="N1332" s="20" t="s">
        <v>84</v>
      </c>
      <c r="O1332" s="20">
        <v>61</v>
      </c>
      <c r="P1332" s="20">
        <v>84.4</v>
      </c>
      <c r="Q1332" s="20">
        <v>52.55</v>
      </c>
      <c r="R1332" s="20">
        <v>5148.29</v>
      </c>
      <c r="S1332" s="20">
        <v>0.1</v>
      </c>
      <c r="T1332" s="20">
        <v>514.83000000000004</v>
      </c>
      <c r="U1332" s="20">
        <v>4633.46</v>
      </c>
      <c r="V1332" s="20">
        <v>3205.61</v>
      </c>
      <c r="W1332" s="20">
        <v>1427.85</v>
      </c>
      <c r="X1332" s="20" t="s">
        <v>45</v>
      </c>
    </row>
    <row r="1333" spans="1:24" x14ac:dyDescent="0.25">
      <c r="A1333" s="23" t="s">
        <v>1856</v>
      </c>
      <c r="B1333" s="22">
        <v>45478</v>
      </c>
      <c r="C1333" s="23" t="s">
        <v>1025</v>
      </c>
      <c r="D1333" s="23" t="s">
        <v>149</v>
      </c>
      <c r="E1333" s="23" t="s">
        <v>99</v>
      </c>
      <c r="F1333" s="23" t="s">
        <v>100</v>
      </c>
      <c r="G1333" s="23" t="s">
        <v>2587</v>
      </c>
      <c r="H1333" s="23" t="s">
        <v>102</v>
      </c>
      <c r="I1333" s="23" t="s">
        <v>53</v>
      </c>
      <c r="J1333" s="23" t="s">
        <v>143</v>
      </c>
      <c r="K1333" s="23" t="s">
        <v>152</v>
      </c>
      <c r="L1333" s="23" t="s">
        <v>2688</v>
      </c>
      <c r="M1333" s="23" t="s">
        <v>61</v>
      </c>
      <c r="N1333" s="23" t="s">
        <v>2578</v>
      </c>
      <c r="O1333" s="23">
        <v>0</v>
      </c>
      <c r="P1333" s="23">
        <v>64.98</v>
      </c>
      <c r="Q1333" s="23">
        <v>42.88</v>
      </c>
      <c r="R1333" s="23">
        <v>2404.33</v>
      </c>
      <c r="S1333" s="23">
        <v>0.1</v>
      </c>
      <c r="T1333" s="23">
        <v>240.43</v>
      </c>
      <c r="U1333" s="23">
        <v>2163.9</v>
      </c>
      <c r="V1333" s="23">
        <v>1586.49</v>
      </c>
      <c r="W1333" s="23">
        <v>577.41</v>
      </c>
      <c r="X1333" s="23" t="s">
        <v>45</v>
      </c>
    </row>
    <row r="1334" spans="1:24" x14ac:dyDescent="0.25">
      <c r="A1334" s="20" t="s">
        <v>1857</v>
      </c>
      <c r="B1334" s="19">
        <v>45478</v>
      </c>
      <c r="C1334" s="20" t="s">
        <v>1858</v>
      </c>
      <c r="D1334" s="20" t="s">
        <v>87</v>
      </c>
      <c r="E1334" s="20" t="s">
        <v>93</v>
      </c>
      <c r="F1334" s="20" t="s">
        <v>2585</v>
      </c>
      <c r="G1334" s="20" t="s">
        <v>2586</v>
      </c>
      <c r="H1334" s="20" t="s">
        <v>96</v>
      </c>
      <c r="I1334" s="20" t="s">
        <v>40</v>
      </c>
      <c r="J1334" s="20" t="s">
        <v>289</v>
      </c>
      <c r="K1334" s="20" t="s">
        <v>83</v>
      </c>
      <c r="L1334" s="20" t="s">
        <v>2683</v>
      </c>
      <c r="M1334" s="20" t="s">
        <v>153</v>
      </c>
      <c r="N1334" s="20" t="s">
        <v>2578</v>
      </c>
      <c r="O1334" s="20">
        <v>51</v>
      </c>
      <c r="P1334" s="20">
        <v>56.18</v>
      </c>
      <c r="Q1334" s="20">
        <v>32.200000000000003</v>
      </c>
      <c r="R1334" s="20">
        <v>2865.14</v>
      </c>
      <c r="S1334" s="20">
        <v>0.02</v>
      </c>
      <c r="T1334" s="20">
        <v>57.3</v>
      </c>
      <c r="U1334" s="20">
        <v>2807.84</v>
      </c>
      <c r="V1334" s="20">
        <v>1642.44</v>
      </c>
      <c r="W1334" s="20">
        <v>1165.4000000000001</v>
      </c>
      <c r="X1334" s="20" t="s">
        <v>45</v>
      </c>
    </row>
    <row r="1335" spans="1:24" x14ac:dyDescent="0.25">
      <c r="A1335" s="23" t="s">
        <v>1859</v>
      </c>
      <c r="B1335" s="22">
        <v>45515</v>
      </c>
      <c r="C1335" s="23" t="s">
        <v>197</v>
      </c>
      <c r="D1335" s="23" t="s">
        <v>159</v>
      </c>
      <c r="E1335" s="23" t="s">
        <v>187</v>
      </c>
      <c r="F1335" s="23" t="s">
        <v>2594</v>
      </c>
      <c r="G1335" s="23" t="s">
        <v>2577</v>
      </c>
      <c r="H1335" s="23" t="s">
        <v>26</v>
      </c>
      <c r="I1335" s="23" t="s">
        <v>40</v>
      </c>
      <c r="J1335" s="23" t="s">
        <v>289</v>
      </c>
      <c r="K1335" s="23" t="s">
        <v>60</v>
      </c>
      <c r="L1335" s="23" t="s">
        <v>2677</v>
      </c>
      <c r="M1335" s="23" t="s">
        <v>30</v>
      </c>
      <c r="N1335" s="23" t="s">
        <v>70</v>
      </c>
      <c r="O1335" s="23">
        <v>22</v>
      </c>
      <c r="P1335" s="23">
        <v>48.15</v>
      </c>
      <c r="Q1335" s="23">
        <v>28.9</v>
      </c>
      <c r="R1335" s="23">
        <v>1059.22</v>
      </c>
      <c r="S1335" s="23">
        <v>0.05</v>
      </c>
      <c r="T1335" s="23">
        <v>52.96</v>
      </c>
      <c r="U1335" s="23">
        <v>1006.26</v>
      </c>
      <c r="V1335" s="23">
        <v>635.87</v>
      </c>
      <c r="W1335" s="23">
        <v>370.39</v>
      </c>
      <c r="X1335" s="23" t="s">
        <v>45</v>
      </c>
    </row>
    <row r="1336" spans="1:24" x14ac:dyDescent="0.25">
      <c r="A1336" s="20" t="s">
        <v>1860</v>
      </c>
      <c r="B1336" s="19">
        <v>45608</v>
      </c>
      <c r="C1336" s="20" t="s">
        <v>1620</v>
      </c>
      <c r="D1336" s="20" t="s">
        <v>359</v>
      </c>
      <c r="E1336" s="20" t="s">
        <v>109</v>
      </c>
      <c r="F1336" s="20" t="s">
        <v>110</v>
      </c>
      <c r="G1336" s="20" t="s">
        <v>2584</v>
      </c>
      <c r="H1336" s="20" t="s">
        <v>81</v>
      </c>
      <c r="I1336" s="20" t="s">
        <v>58</v>
      </c>
      <c r="J1336" s="20" t="s">
        <v>73</v>
      </c>
      <c r="K1336" s="20" t="s">
        <v>144</v>
      </c>
      <c r="L1336" s="20" t="s">
        <v>2687</v>
      </c>
      <c r="M1336" s="20" t="s">
        <v>43</v>
      </c>
      <c r="N1336" s="20" t="s">
        <v>44</v>
      </c>
      <c r="O1336" s="20">
        <v>6</v>
      </c>
      <c r="P1336" s="20">
        <v>124.05</v>
      </c>
      <c r="Q1336" s="20">
        <v>75.7</v>
      </c>
      <c r="R1336" s="20">
        <v>744.28</v>
      </c>
      <c r="S1336" s="20">
        <v>0.05</v>
      </c>
      <c r="T1336" s="20">
        <v>37.21</v>
      </c>
      <c r="U1336" s="20">
        <v>707.06</v>
      </c>
      <c r="V1336" s="20">
        <v>454.2</v>
      </c>
      <c r="W1336" s="20">
        <v>252.86</v>
      </c>
      <c r="X1336" s="20" t="s">
        <v>129</v>
      </c>
    </row>
    <row r="1337" spans="1:24" x14ac:dyDescent="0.25">
      <c r="A1337" s="23" t="s">
        <v>1026</v>
      </c>
      <c r="B1337" s="22">
        <v>45648</v>
      </c>
      <c r="C1337" s="23" t="s">
        <v>361</v>
      </c>
      <c r="D1337" s="23" t="s">
        <v>35</v>
      </c>
      <c r="E1337" s="23" t="s">
        <v>66</v>
      </c>
      <c r="F1337" s="23" t="s">
        <v>2582</v>
      </c>
      <c r="G1337" s="23" t="s">
        <v>2579</v>
      </c>
      <c r="H1337" s="23" t="s">
        <v>68</v>
      </c>
      <c r="I1337" s="23" t="s">
        <v>53</v>
      </c>
      <c r="J1337" s="23" t="s">
        <v>232</v>
      </c>
      <c r="K1337" s="23" t="s">
        <v>178</v>
      </c>
      <c r="L1337" s="23" t="s">
        <v>2689</v>
      </c>
      <c r="M1337" s="23" t="s">
        <v>61</v>
      </c>
      <c r="N1337" s="23" t="s">
        <v>2578</v>
      </c>
      <c r="O1337" s="23">
        <v>78</v>
      </c>
      <c r="P1337" s="23">
        <v>152.91999999999999</v>
      </c>
      <c r="Q1337" s="23">
        <v>111.71</v>
      </c>
      <c r="R1337" s="23">
        <v>11928.08</v>
      </c>
      <c r="S1337" s="23">
        <v>0.2</v>
      </c>
      <c r="T1337" s="23">
        <v>2385.62</v>
      </c>
      <c r="U1337" s="23">
        <v>9542.4599999999991</v>
      </c>
      <c r="V1337" s="23">
        <v>8713.23</v>
      </c>
      <c r="W1337" s="23">
        <v>829.24</v>
      </c>
      <c r="X1337" s="23" t="s">
        <v>45</v>
      </c>
    </row>
    <row r="1338" spans="1:24" x14ac:dyDescent="0.25">
      <c r="A1338" s="20" t="s">
        <v>1861</v>
      </c>
      <c r="B1338" s="19">
        <v>45642</v>
      </c>
      <c r="C1338" s="20" t="s">
        <v>674</v>
      </c>
      <c r="D1338" s="20" t="s">
        <v>264</v>
      </c>
      <c r="E1338" s="20" t="s">
        <v>109</v>
      </c>
      <c r="F1338" s="20" t="s">
        <v>110</v>
      </c>
      <c r="G1338" s="20" t="s">
        <v>2584</v>
      </c>
      <c r="H1338" s="20" t="s">
        <v>81</v>
      </c>
      <c r="I1338" s="20" t="s">
        <v>58</v>
      </c>
      <c r="J1338" s="20" t="s">
        <v>59</v>
      </c>
      <c r="K1338" s="20" t="s">
        <v>248</v>
      </c>
      <c r="L1338" s="20" t="s">
        <v>2693</v>
      </c>
      <c r="M1338" s="20" t="s">
        <v>30</v>
      </c>
      <c r="N1338" s="20" t="s">
        <v>70</v>
      </c>
      <c r="O1338" s="20">
        <v>16</v>
      </c>
      <c r="P1338" s="20">
        <v>134.99</v>
      </c>
      <c r="Q1338" s="20">
        <v>68.650000000000006</v>
      </c>
      <c r="R1338" s="20">
        <v>2159.81</v>
      </c>
      <c r="S1338" s="20">
        <v>0.15</v>
      </c>
      <c r="T1338" s="20">
        <v>323.97000000000003</v>
      </c>
      <c r="U1338" s="20">
        <v>1835.84</v>
      </c>
      <c r="V1338" s="20">
        <v>1098.4100000000001</v>
      </c>
      <c r="W1338" s="20">
        <v>737.43</v>
      </c>
      <c r="X1338" s="20" t="s">
        <v>45</v>
      </c>
    </row>
    <row r="1339" spans="1:24" x14ac:dyDescent="0.25">
      <c r="A1339" s="23" t="s">
        <v>1862</v>
      </c>
      <c r="B1339" s="22">
        <v>45630</v>
      </c>
      <c r="C1339" s="23" t="s">
        <v>399</v>
      </c>
      <c r="D1339" s="23" t="s">
        <v>48</v>
      </c>
      <c r="E1339" s="23" t="s">
        <v>132</v>
      </c>
      <c r="F1339" s="23" t="s">
        <v>133</v>
      </c>
      <c r="G1339" s="23" t="s">
        <v>2581</v>
      </c>
      <c r="H1339" s="23" t="s">
        <v>134</v>
      </c>
      <c r="I1339" s="23" t="s">
        <v>27</v>
      </c>
      <c r="J1339" s="23" t="s">
        <v>189</v>
      </c>
      <c r="K1339" s="23" t="s">
        <v>29</v>
      </c>
      <c r="L1339" s="23" t="s">
        <v>2679</v>
      </c>
      <c r="M1339" s="23" t="s">
        <v>153</v>
      </c>
      <c r="N1339" s="23" t="s">
        <v>70</v>
      </c>
      <c r="O1339" s="23">
        <v>34</v>
      </c>
      <c r="P1339" s="23">
        <v>59.75</v>
      </c>
      <c r="Q1339" s="23">
        <v>35.18</v>
      </c>
      <c r="R1339" s="23">
        <v>2031.49</v>
      </c>
      <c r="S1339" s="23">
        <v>0.02</v>
      </c>
      <c r="T1339" s="23">
        <v>40.630000000000003</v>
      </c>
      <c r="U1339" s="23">
        <v>1990.86</v>
      </c>
      <c r="V1339" s="23">
        <v>1196.02</v>
      </c>
      <c r="W1339" s="23">
        <v>794.83</v>
      </c>
      <c r="X1339" s="23" t="s">
        <v>45</v>
      </c>
    </row>
    <row r="1340" spans="1:24" x14ac:dyDescent="0.25">
      <c r="A1340" s="20" t="s">
        <v>1863</v>
      </c>
      <c r="B1340" s="19">
        <v>45306</v>
      </c>
      <c r="C1340" s="20" t="s">
        <v>688</v>
      </c>
      <c r="D1340" s="20" t="s">
        <v>156</v>
      </c>
      <c r="E1340" s="20" t="s">
        <v>141</v>
      </c>
      <c r="F1340" s="20" t="s">
        <v>2590</v>
      </c>
      <c r="G1340" s="20" t="s">
        <v>2577</v>
      </c>
      <c r="H1340" s="20" t="s">
        <v>26</v>
      </c>
      <c r="I1340" s="20" t="s">
        <v>58</v>
      </c>
      <c r="J1340" s="20" t="s">
        <v>323</v>
      </c>
      <c r="K1340" s="20" t="s">
        <v>111</v>
      </c>
      <c r="L1340" s="20" t="s">
        <v>2685</v>
      </c>
      <c r="M1340" s="20" t="s">
        <v>30</v>
      </c>
      <c r="N1340" s="20" t="s">
        <v>2619</v>
      </c>
      <c r="O1340" s="20">
        <v>44</v>
      </c>
      <c r="P1340" s="20">
        <v>94.9</v>
      </c>
      <c r="Q1340" s="20">
        <v>59.88</v>
      </c>
      <c r="R1340" s="20">
        <v>4175.68</v>
      </c>
      <c r="S1340" s="20">
        <v>0.2</v>
      </c>
      <c r="T1340" s="20">
        <v>835.14</v>
      </c>
      <c r="U1340" s="20">
        <v>3340.55</v>
      </c>
      <c r="V1340" s="20">
        <v>2634.59</v>
      </c>
      <c r="W1340" s="20">
        <v>705.96</v>
      </c>
      <c r="X1340" s="20" t="s">
        <v>45</v>
      </c>
    </row>
    <row r="1341" spans="1:24" x14ac:dyDescent="0.25">
      <c r="A1341" s="23" t="s">
        <v>1864</v>
      </c>
      <c r="B1341" s="22">
        <v>45559</v>
      </c>
      <c r="C1341" s="23" t="s">
        <v>721</v>
      </c>
      <c r="D1341" s="23" t="s">
        <v>359</v>
      </c>
      <c r="E1341" s="23" t="s">
        <v>78</v>
      </c>
      <c r="F1341" s="23" t="s">
        <v>2583</v>
      </c>
      <c r="G1341" s="23" t="s">
        <v>2584</v>
      </c>
      <c r="H1341" s="23" t="s">
        <v>81</v>
      </c>
      <c r="I1341" s="23" t="s">
        <v>40</v>
      </c>
      <c r="J1341" s="23" t="s">
        <v>82</v>
      </c>
      <c r="K1341" s="23" t="s">
        <v>29</v>
      </c>
      <c r="L1341" s="23" t="s">
        <v>2679</v>
      </c>
      <c r="M1341" s="23" t="s">
        <v>30</v>
      </c>
      <c r="N1341" s="23" t="s">
        <v>70</v>
      </c>
      <c r="O1341" s="23">
        <v>51</v>
      </c>
      <c r="P1341" s="23">
        <v>142.72</v>
      </c>
      <c r="Q1341" s="23">
        <v>79.819999999999993</v>
      </c>
      <c r="R1341" s="23">
        <v>7278.56</v>
      </c>
      <c r="S1341" s="23">
        <v>0.02</v>
      </c>
      <c r="T1341" s="23">
        <v>145.57</v>
      </c>
      <c r="U1341" s="23">
        <v>7132.99</v>
      </c>
      <c r="V1341" s="23">
        <v>4070.96</v>
      </c>
      <c r="W1341" s="23">
        <v>3062.03</v>
      </c>
      <c r="X1341" s="23" t="s">
        <v>45</v>
      </c>
    </row>
    <row r="1342" spans="1:24" x14ac:dyDescent="0.25">
      <c r="A1342" s="20" t="s">
        <v>1865</v>
      </c>
      <c r="B1342" s="19">
        <v>45299</v>
      </c>
      <c r="C1342" s="20" t="s">
        <v>537</v>
      </c>
      <c r="D1342" s="20" t="s">
        <v>359</v>
      </c>
      <c r="E1342" s="20" t="s">
        <v>93</v>
      </c>
      <c r="F1342" s="20" t="s">
        <v>2585</v>
      </c>
      <c r="G1342" s="20" t="s">
        <v>2586</v>
      </c>
      <c r="H1342" s="20" t="s">
        <v>96</v>
      </c>
      <c r="I1342" s="20" t="s">
        <v>53</v>
      </c>
      <c r="J1342" s="20" t="s">
        <v>54</v>
      </c>
      <c r="K1342" s="20" t="s">
        <v>60</v>
      </c>
      <c r="L1342" s="20" t="s">
        <v>2677</v>
      </c>
      <c r="M1342" s="20" t="s">
        <v>61</v>
      </c>
      <c r="N1342" s="20" t="s">
        <v>75</v>
      </c>
      <c r="O1342" s="20">
        <v>56</v>
      </c>
      <c r="P1342" s="20">
        <v>53.46</v>
      </c>
      <c r="Q1342" s="20">
        <v>33.090000000000003</v>
      </c>
      <c r="R1342" s="20">
        <v>2993.91</v>
      </c>
      <c r="S1342" s="20">
        <v>0.2</v>
      </c>
      <c r="T1342" s="20">
        <v>598.78</v>
      </c>
      <c r="U1342" s="20">
        <v>2395.12</v>
      </c>
      <c r="V1342" s="20">
        <v>1852.96</v>
      </c>
      <c r="W1342" s="20">
        <v>542.16</v>
      </c>
      <c r="X1342" s="20" t="s">
        <v>45</v>
      </c>
    </row>
    <row r="1343" spans="1:24" x14ac:dyDescent="0.25">
      <c r="A1343" s="23" t="s">
        <v>1866</v>
      </c>
      <c r="B1343" s="22">
        <v>45334</v>
      </c>
      <c r="C1343" s="23" t="s">
        <v>1706</v>
      </c>
      <c r="D1343" s="23" t="s">
        <v>65</v>
      </c>
      <c r="E1343" s="23" t="s">
        <v>209</v>
      </c>
      <c r="F1343" s="23" t="s">
        <v>2595</v>
      </c>
      <c r="G1343" s="23" t="s">
        <v>2581</v>
      </c>
      <c r="H1343" s="23" t="s">
        <v>116</v>
      </c>
      <c r="I1343" s="23" t="s">
        <v>27</v>
      </c>
      <c r="J1343" s="23" t="s">
        <v>189</v>
      </c>
      <c r="K1343" s="23" t="s">
        <v>42</v>
      </c>
      <c r="L1343" s="23" t="s">
        <v>2680</v>
      </c>
      <c r="M1343" s="23" t="s">
        <v>43</v>
      </c>
      <c r="N1343" s="23" t="s">
        <v>70</v>
      </c>
      <c r="O1343" s="23">
        <v>42</v>
      </c>
      <c r="P1343" s="23">
        <v>19.12</v>
      </c>
      <c r="Q1343" s="23">
        <v>10.4</v>
      </c>
      <c r="R1343" s="23">
        <v>803.22</v>
      </c>
      <c r="S1343" s="23">
        <v>0.02</v>
      </c>
      <c r="T1343" s="23">
        <v>16.059999999999999</v>
      </c>
      <c r="U1343" s="23">
        <v>787.16</v>
      </c>
      <c r="V1343" s="23">
        <v>436.8</v>
      </c>
      <c r="W1343" s="23">
        <v>350.36</v>
      </c>
      <c r="X1343" s="23" t="s">
        <v>129</v>
      </c>
    </row>
    <row r="1344" spans="1:24" x14ac:dyDescent="0.25">
      <c r="A1344" s="20" t="s">
        <v>1867</v>
      </c>
      <c r="B1344" s="19">
        <v>45580</v>
      </c>
      <c r="C1344" s="20" t="s">
        <v>1362</v>
      </c>
      <c r="D1344" s="20" t="s">
        <v>57</v>
      </c>
      <c r="E1344" s="20" t="s">
        <v>126</v>
      </c>
      <c r="F1344" s="20" t="s">
        <v>2589</v>
      </c>
      <c r="G1344" s="20" t="s">
        <v>2586</v>
      </c>
      <c r="H1344" s="20" t="s">
        <v>128</v>
      </c>
      <c r="I1344" s="20" t="s">
        <v>58</v>
      </c>
      <c r="J1344" s="20" t="s">
        <v>73</v>
      </c>
      <c r="K1344" s="20" t="s">
        <v>83</v>
      </c>
      <c r="L1344" s="20" t="s">
        <v>2683</v>
      </c>
      <c r="M1344" s="20" t="s">
        <v>61</v>
      </c>
      <c r="N1344" s="20" t="s">
        <v>70</v>
      </c>
      <c r="O1344" s="20">
        <v>14</v>
      </c>
      <c r="P1344" s="20">
        <v>83.25</v>
      </c>
      <c r="Q1344" s="20">
        <v>52.05</v>
      </c>
      <c r="R1344" s="20">
        <v>1165.44</v>
      </c>
      <c r="S1344" s="20">
        <v>0.2</v>
      </c>
      <c r="T1344" s="20">
        <v>233.09</v>
      </c>
      <c r="U1344" s="20">
        <v>932.35</v>
      </c>
      <c r="V1344" s="20">
        <v>728.7</v>
      </c>
      <c r="W1344" s="20">
        <v>203.65</v>
      </c>
      <c r="X1344" s="20" t="s">
        <v>45</v>
      </c>
    </row>
    <row r="1345" spans="1:24" x14ac:dyDescent="0.25">
      <c r="A1345" s="23" t="s">
        <v>1868</v>
      </c>
      <c r="B1345" s="22">
        <v>45402</v>
      </c>
      <c r="C1345" s="23" t="s">
        <v>375</v>
      </c>
      <c r="D1345" s="23" t="s">
        <v>221</v>
      </c>
      <c r="E1345" s="23" t="s">
        <v>165</v>
      </c>
      <c r="F1345" s="23" t="s">
        <v>2592</v>
      </c>
      <c r="G1345" s="23" t="s">
        <v>2586</v>
      </c>
      <c r="H1345" s="23" t="s">
        <v>167</v>
      </c>
      <c r="I1345" s="23" t="s">
        <v>27</v>
      </c>
      <c r="J1345" s="23" t="s">
        <v>28</v>
      </c>
      <c r="K1345" s="23" t="s">
        <v>170</v>
      </c>
      <c r="L1345" s="23" t="s">
        <v>2671</v>
      </c>
      <c r="M1345" s="23" t="s">
        <v>153</v>
      </c>
      <c r="N1345" s="23" t="s">
        <v>75</v>
      </c>
      <c r="O1345" s="23">
        <v>47</v>
      </c>
      <c r="P1345" s="23">
        <v>39.729999999999997</v>
      </c>
      <c r="Q1345" s="23">
        <v>23.05</v>
      </c>
      <c r="R1345" s="23">
        <v>1867.32</v>
      </c>
      <c r="S1345" s="23">
        <v>0</v>
      </c>
      <c r="T1345" s="23">
        <v>0</v>
      </c>
      <c r="U1345" s="23">
        <v>1867.32</v>
      </c>
      <c r="V1345" s="23">
        <v>1083.3699999999999</v>
      </c>
      <c r="W1345" s="23">
        <v>783.95</v>
      </c>
      <c r="X1345" s="23" t="s">
        <v>45</v>
      </c>
    </row>
    <row r="1346" spans="1:24" x14ac:dyDescent="0.25">
      <c r="A1346" s="20" t="s">
        <v>1869</v>
      </c>
      <c r="B1346" s="19">
        <v>45427</v>
      </c>
      <c r="C1346" s="20" t="s">
        <v>337</v>
      </c>
      <c r="D1346" s="20" t="s">
        <v>87</v>
      </c>
      <c r="E1346" s="20" t="s">
        <v>222</v>
      </c>
      <c r="F1346" s="20" t="s">
        <v>2597</v>
      </c>
      <c r="G1346" s="20" t="s">
        <v>2587</v>
      </c>
      <c r="H1346" s="20" t="s">
        <v>68</v>
      </c>
      <c r="I1346" s="20" t="s">
        <v>53</v>
      </c>
      <c r="J1346" s="20" t="s">
        <v>143</v>
      </c>
      <c r="K1346" s="20" t="s">
        <v>29</v>
      </c>
      <c r="L1346" s="20" t="s">
        <v>2679</v>
      </c>
      <c r="M1346" s="20" t="s">
        <v>153</v>
      </c>
      <c r="N1346" s="20" t="s">
        <v>44</v>
      </c>
      <c r="O1346" s="20">
        <v>69</v>
      </c>
      <c r="P1346" s="20">
        <v>116.65</v>
      </c>
      <c r="Q1346" s="20">
        <v>-10</v>
      </c>
      <c r="R1346" s="20">
        <v>8048.69</v>
      </c>
      <c r="S1346" s="20">
        <v>0</v>
      </c>
      <c r="T1346" s="20">
        <v>0</v>
      </c>
      <c r="U1346" s="20">
        <v>8048.69</v>
      </c>
      <c r="V1346" s="20">
        <v>5594.26</v>
      </c>
      <c r="W1346" s="20">
        <v>2454.4299999999998</v>
      </c>
      <c r="X1346" s="20" t="s">
        <v>45</v>
      </c>
    </row>
    <row r="1347" spans="1:24" x14ac:dyDescent="0.25">
      <c r="A1347" s="23" t="s">
        <v>1870</v>
      </c>
      <c r="B1347" s="22">
        <v>45407</v>
      </c>
      <c r="C1347" s="23" t="s">
        <v>278</v>
      </c>
      <c r="D1347" s="23" t="s">
        <v>48</v>
      </c>
      <c r="E1347" s="23" t="s">
        <v>187</v>
      </c>
      <c r="F1347" s="23" t="s">
        <v>2594</v>
      </c>
      <c r="G1347" s="23" t="s">
        <v>2577</v>
      </c>
      <c r="H1347" s="23" t="s">
        <v>26</v>
      </c>
      <c r="I1347" s="23" t="s">
        <v>40</v>
      </c>
      <c r="J1347" s="23" t="s">
        <v>41</v>
      </c>
      <c r="K1347" s="23" t="s">
        <v>261</v>
      </c>
      <c r="L1347" s="23" t="s">
        <v>2695</v>
      </c>
      <c r="M1347" s="23" t="s">
        <v>153</v>
      </c>
      <c r="N1347" s="23" t="s">
        <v>44</v>
      </c>
      <c r="O1347" s="23">
        <v>3</v>
      </c>
      <c r="P1347" s="23">
        <v>46.47</v>
      </c>
      <c r="Q1347" s="23">
        <v>29.01</v>
      </c>
      <c r="R1347" s="23">
        <v>139.41999999999999</v>
      </c>
      <c r="S1347" s="23">
        <v>0.1</v>
      </c>
      <c r="T1347" s="23">
        <v>13.94</v>
      </c>
      <c r="U1347" s="23">
        <v>125.47</v>
      </c>
      <c r="V1347" s="23">
        <v>87.04</v>
      </c>
      <c r="W1347" s="23">
        <v>38.44</v>
      </c>
      <c r="X1347" s="23" t="s">
        <v>45</v>
      </c>
    </row>
    <row r="1348" spans="1:24" x14ac:dyDescent="0.25">
      <c r="A1348" s="20" t="s">
        <v>1871</v>
      </c>
      <c r="B1348" s="19">
        <v>45544</v>
      </c>
      <c r="C1348" s="20" t="s">
        <v>1142</v>
      </c>
      <c r="D1348" s="20" t="s">
        <v>149</v>
      </c>
      <c r="E1348" s="20" t="s">
        <v>99</v>
      </c>
      <c r="F1348" s="20" t="s">
        <v>100</v>
      </c>
      <c r="G1348" s="20" t="s">
        <v>2587</v>
      </c>
      <c r="H1348" s="20" t="s">
        <v>102</v>
      </c>
      <c r="I1348" s="20" t="s">
        <v>53</v>
      </c>
      <c r="J1348" s="20" t="s">
        <v>122</v>
      </c>
      <c r="K1348" s="20" t="s">
        <v>218</v>
      </c>
      <c r="L1348" s="20" t="s">
        <v>2692</v>
      </c>
      <c r="M1348" s="20" t="s">
        <v>61</v>
      </c>
      <c r="N1348" s="20" t="s">
        <v>70</v>
      </c>
      <c r="O1348" s="20">
        <v>24</v>
      </c>
      <c r="P1348" s="20">
        <v>73.930000000000007</v>
      </c>
      <c r="Q1348" s="20">
        <v>40.97</v>
      </c>
      <c r="R1348" s="20">
        <v>1774.4</v>
      </c>
      <c r="S1348" s="20">
        <v>0.15</v>
      </c>
      <c r="T1348" s="20">
        <v>266.16000000000003</v>
      </c>
      <c r="U1348" s="20">
        <v>1508.24</v>
      </c>
      <c r="V1348" s="20">
        <v>983.24</v>
      </c>
      <c r="W1348" s="20">
        <v>525.01</v>
      </c>
      <c r="X1348" s="20" t="s">
        <v>45</v>
      </c>
    </row>
    <row r="1349" spans="1:24" x14ac:dyDescent="0.25">
      <c r="A1349" s="23" t="s">
        <v>1872</v>
      </c>
      <c r="B1349" s="22">
        <v>45532</v>
      </c>
      <c r="C1349" s="23" t="s">
        <v>436</v>
      </c>
      <c r="D1349" s="23" t="s">
        <v>57</v>
      </c>
      <c r="E1349" s="23" t="s">
        <v>141</v>
      </c>
      <c r="F1349" s="23" t="s">
        <v>2590</v>
      </c>
      <c r="G1349" s="23" t="s">
        <v>2577</v>
      </c>
      <c r="H1349" s="23" t="s">
        <v>26</v>
      </c>
      <c r="I1349" s="23" t="s">
        <v>53</v>
      </c>
      <c r="J1349" s="23" t="s">
        <v>54</v>
      </c>
      <c r="K1349" s="23" t="s">
        <v>144</v>
      </c>
      <c r="L1349" s="23" t="s">
        <v>2687</v>
      </c>
      <c r="M1349" s="23" t="s">
        <v>153</v>
      </c>
      <c r="N1349" s="23" t="s">
        <v>70</v>
      </c>
      <c r="O1349" s="23">
        <f>ROUND(Cleaned_Sales!$R1349/Cleaned_Sales!$P1349,0)</f>
        <v>38</v>
      </c>
      <c r="P1349" s="23">
        <v>89.14</v>
      </c>
      <c r="Q1349" s="23">
        <v>56.92</v>
      </c>
      <c r="R1349" s="23">
        <v>3387.33</v>
      </c>
      <c r="S1349" s="23">
        <v>0.15</v>
      </c>
      <c r="T1349" s="23">
        <v>508.1</v>
      </c>
      <c r="U1349" s="23">
        <v>2879.23</v>
      </c>
      <c r="V1349" s="23">
        <v>2163.04</v>
      </c>
      <c r="W1349" s="23">
        <v>716.19</v>
      </c>
      <c r="X1349" s="23" t="s">
        <v>45</v>
      </c>
    </row>
    <row r="1350" spans="1:24" x14ac:dyDescent="0.25">
      <c r="A1350" s="20" t="s">
        <v>1873</v>
      </c>
      <c r="B1350" s="19">
        <v>45438</v>
      </c>
      <c r="C1350" s="20" t="s">
        <v>384</v>
      </c>
      <c r="D1350" s="20" t="s">
        <v>57</v>
      </c>
      <c r="E1350" s="20" t="s">
        <v>99</v>
      </c>
      <c r="F1350" s="20" t="s">
        <v>100</v>
      </c>
      <c r="G1350" s="20" t="s">
        <v>2587</v>
      </c>
      <c r="H1350" s="20" t="s">
        <v>102</v>
      </c>
      <c r="I1350" s="20" t="s">
        <v>88</v>
      </c>
      <c r="J1350" s="20" t="s">
        <v>183</v>
      </c>
      <c r="K1350" s="20" t="s">
        <v>265</v>
      </c>
      <c r="L1350" s="20" t="s">
        <v>2663</v>
      </c>
      <c r="M1350" s="20" t="s">
        <v>30</v>
      </c>
      <c r="N1350" s="20" t="s">
        <v>2578</v>
      </c>
      <c r="O1350" s="20">
        <v>44</v>
      </c>
      <c r="P1350" s="20">
        <v>71.05</v>
      </c>
      <c r="Q1350" s="20">
        <v>37.79</v>
      </c>
      <c r="R1350" s="20">
        <v>3126.16</v>
      </c>
      <c r="S1350" s="20">
        <v>0.05</v>
      </c>
      <c r="T1350" s="20">
        <v>156.31</v>
      </c>
      <c r="U1350" s="20">
        <v>2969.85</v>
      </c>
      <c r="V1350" s="20">
        <v>1662.6</v>
      </c>
      <c r="W1350" s="20">
        <v>1307.24</v>
      </c>
      <c r="X1350" s="20" t="s">
        <v>32</v>
      </c>
    </row>
    <row r="1351" spans="1:24" x14ac:dyDescent="0.25">
      <c r="A1351" s="23" t="s">
        <v>1874</v>
      </c>
      <c r="B1351" s="22">
        <v>45380</v>
      </c>
      <c r="C1351" s="23" t="s">
        <v>915</v>
      </c>
      <c r="D1351" s="23" t="s">
        <v>105</v>
      </c>
      <c r="E1351" s="23" t="s">
        <v>66</v>
      </c>
      <c r="F1351" s="23" t="s">
        <v>2582</v>
      </c>
      <c r="G1351" s="23" t="s">
        <v>2579</v>
      </c>
      <c r="H1351" s="23" t="s">
        <v>68</v>
      </c>
      <c r="I1351" s="23" t="s">
        <v>58</v>
      </c>
      <c r="J1351" s="23" t="s">
        <v>59</v>
      </c>
      <c r="K1351" s="23" t="s">
        <v>83</v>
      </c>
      <c r="L1351" s="23" t="s">
        <v>2683</v>
      </c>
      <c r="M1351" s="23" t="s">
        <v>43</v>
      </c>
      <c r="N1351" s="23" t="s">
        <v>2578</v>
      </c>
      <c r="O1351" s="23">
        <v>2</v>
      </c>
      <c r="P1351" s="23">
        <v>148.18</v>
      </c>
      <c r="Q1351" s="23">
        <v>110.69</v>
      </c>
      <c r="R1351" s="23">
        <v>296.37</v>
      </c>
      <c r="S1351" s="23">
        <v>0.1</v>
      </c>
      <c r="T1351" s="23">
        <v>29.64</v>
      </c>
      <c r="U1351" s="23">
        <v>266.73</v>
      </c>
      <c r="V1351" s="23">
        <v>221.37</v>
      </c>
      <c r="W1351" s="23">
        <v>45.36</v>
      </c>
      <c r="X1351" s="23" t="s">
        <v>45</v>
      </c>
    </row>
    <row r="1352" spans="1:24" x14ac:dyDescent="0.25">
      <c r="A1352" s="20" t="s">
        <v>1875</v>
      </c>
      <c r="B1352" s="19">
        <v>45602</v>
      </c>
      <c r="C1352" s="20" t="s">
        <v>1122</v>
      </c>
      <c r="D1352" s="20" t="s">
        <v>159</v>
      </c>
      <c r="E1352" s="20" t="s">
        <v>176</v>
      </c>
      <c r="F1352" s="20" t="s">
        <v>2593</v>
      </c>
      <c r="G1352" s="20" t="s">
        <v>2587</v>
      </c>
      <c r="H1352" s="20" t="s">
        <v>39</v>
      </c>
      <c r="I1352" s="20" t="s">
        <v>58</v>
      </c>
      <c r="J1352" s="20" t="s">
        <v>59</v>
      </c>
      <c r="K1352" s="20" t="s">
        <v>90</v>
      </c>
      <c r="L1352" s="20" t="s">
        <v>2684</v>
      </c>
      <c r="M1352" s="20" t="s">
        <v>43</v>
      </c>
      <c r="N1352" s="20" t="s">
        <v>75</v>
      </c>
      <c r="O1352" s="20">
        <v>69</v>
      </c>
      <c r="P1352" s="20">
        <v>105.93</v>
      </c>
      <c r="Q1352" s="20">
        <v>65.349999999999994</v>
      </c>
      <c r="R1352" s="20">
        <v>7308.85</v>
      </c>
      <c r="S1352" s="20">
        <v>0.15</v>
      </c>
      <c r="T1352" s="20">
        <v>1096.33</v>
      </c>
      <c r="U1352" s="20">
        <v>6212.53</v>
      </c>
      <c r="V1352" s="20">
        <v>4509.1099999999997</v>
      </c>
      <c r="W1352" s="20">
        <v>1703.42</v>
      </c>
      <c r="X1352" s="20" t="s">
        <v>45</v>
      </c>
    </row>
    <row r="1353" spans="1:24" x14ac:dyDescent="0.25">
      <c r="A1353" s="23" t="s">
        <v>1876</v>
      </c>
      <c r="B1353" s="22">
        <v>45382</v>
      </c>
      <c r="C1353" s="23" t="s">
        <v>293</v>
      </c>
      <c r="D1353" s="23" t="s">
        <v>65</v>
      </c>
      <c r="E1353" s="23" t="s">
        <v>36</v>
      </c>
      <c r="F1353" s="23" t="s">
        <v>37</v>
      </c>
      <c r="G1353" s="23" t="s">
        <v>2579</v>
      </c>
      <c r="H1353" s="23" t="s">
        <v>39</v>
      </c>
      <c r="I1353" s="23" t="s">
        <v>58</v>
      </c>
      <c r="J1353" s="23" t="s">
        <v>345</v>
      </c>
      <c r="K1353" s="23" t="s">
        <v>144</v>
      </c>
      <c r="L1353" s="23" t="s">
        <v>2687</v>
      </c>
      <c r="M1353" s="23" t="s">
        <v>61</v>
      </c>
      <c r="N1353" s="23" t="s">
        <v>44</v>
      </c>
      <c r="O1353" s="23">
        <v>59</v>
      </c>
      <c r="P1353" s="23">
        <v>167.05</v>
      </c>
      <c r="Q1353" s="23">
        <v>101.13</v>
      </c>
      <c r="R1353" s="23">
        <v>9855.86</v>
      </c>
      <c r="S1353" s="23">
        <v>0.1</v>
      </c>
      <c r="T1353" s="23">
        <v>985.59</v>
      </c>
      <c r="U1353" s="23">
        <v>8870.27</v>
      </c>
      <c r="V1353" s="23">
        <v>5966.78</v>
      </c>
      <c r="W1353" s="23">
        <v>2903.5</v>
      </c>
      <c r="X1353" s="23" t="s">
        <v>45</v>
      </c>
    </row>
    <row r="1354" spans="1:24" x14ac:dyDescent="0.25">
      <c r="A1354" s="20" t="s">
        <v>1877</v>
      </c>
      <c r="B1354" s="19">
        <v>45567</v>
      </c>
      <c r="C1354" s="20" t="s">
        <v>715</v>
      </c>
      <c r="D1354" s="20" t="s">
        <v>264</v>
      </c>
      <c r="E1354" s="20" t="s">
        <v>93</v>
      </c>
      <c r="F1354" s="20" t="s">
        <v>2585</v>
      </c>
      <c r="G1354" s="20" t="s">
        <v>2586</v>
      </c>
      <c r="H1354" s="20" t="s">
        <v>96</v>
      </c>
      <c r="I1354" s="20" t="s">
        <v>58</v>
      </c>
      <c r="J1354" s="20" t="s">
        <v>323</v>
      </c>
      <c r="K1354" s="20" t="s">
        <v>74</v>
      </c>
      <c r="L1354" s="20" t="s">
        <v>2682</v>
      </c>
      <c r="M1354" s="20" t="s">
        <v>30</v>
      </c>
      <c r="N1354" s="20" t="s">
        <v>44</v>
      </c>
      <c r="O1354" s="20">
        <v>75</v>
      </c>
      <c r="P1354" s="20">
        <v>55.01</v>
      </c>
      <c r="Q1354" s="20">
        <v>32.92</v>
      </c>
      <c r="R1354" s="20">
        <v>4125.3999999999996</v>
      </c>
      <c r="S1354" s="20">
        <v>0.02</v>
      </c>
      <c r="T1354" s="20">
        <v>82.51</v>
      </c>
      <c r="U1354" s="20">
        <v>4042.89</v>
      </c>
      <c r="V1354" s="20">
        <v>2468.9699999999998</v>
      </c>
      <c r="W1354" s="20">
        <v>1573.92</v>
      </c>
      <c r="X1354" s="20" t="s">
        <v>45</v>
      </c>
    </row>
    <row r="1355" spans="1:24" x14ac:dyDescent="0.25">
      <c r="A1355" s="23" t="s">
        <v>1878</v>
      </c>
      <c r="B1355" s="22">
        <v>45620</v>
      </c>
      <c r="C1355" s="23" t="s">
        <v>1879</v>
      </c>
      <c r="D1355" s="23" t="s">
        <v>57</v>
      </c>
      <c r="E1355" s="23" t="s">
        <v>23</v>
      </c>
      <c r="F1355" s="23" t="s">
        <v>2576</v>
      </c>
      <c r="G1355" s="23" t="s">
        <v>2577</v>
      </c>
      <c r="H1355" s="23" t="s">
        <v>26</v>
      </c>
      <c r="I1355" s="23" t="s">
        <v>40</v>
      </c>
      <c r="J1355" s="23" t="s">
        <v>41</v>
      </c>
      <c r="K1355" s="23" t="s">
        <v>253</v>
      </c>
      <c r="L1355" s="23" t="s">
        <v>2694</v>
      </c>
      <c r="M1355" s="23" t="s">
        <v>43</v>
      </c>
      <c r="N1355" s="23" t="s">
        <v>70</v>
      </c>
      <c r="O1355" s="23">
        <v>41</v>
      </c>
      <c r="P1355" s="23">
        <v>71.97</v>
      </c>
      <c r="Q1355" s="23">
        <v>44.99</v>
      </c>
      <c r="R1355" s="23">
        <v>2950.69</v>
      </c>
      <c r="S1355" s="23">
        <v>0.2</v>
      </c>
      <c r="T1355" s="23">
        <v>590.14</v>
      </c>
      <c r="U1355" s="23">
        <v>2360.5500000000002</v>
      </c>
      <c r="V1355" s="23">
        <v>1844.59</v>
      </c>
      <c r="W1355" s="23">
        <v>515.97</v>
      </c>
      <c r="X1355" s="23" t="s">
        <v>45</v>
      </c>
    </row>
    <row r="1356" spans="1:24" x14ac:dyDescent="0.25">
      <c r="A1356" s="20" t="s">
        <v>1880</v>
      </c>
      <c r="B1356" s="19">
        <v>45518</v>
      </c>
      <c r="C1356" s="20" t="s">
        <v>1881</v>
      </c>
      <c r="D1356" s="20" t="s">
        <v>87</v>
      </c>
      <c r="E1356" s="20" t="s">
        <v>126</v>
      </c>
      <c r="F1356" s="20" t="s">
        <v>2589</v>
      </c>
      <c r="G1356" s="20" t="s">
        <v>2586</v>
      </c>
      <c r="H1356" s="20" t="s">
        <v>128</v>
      </c>
      <c r="I1356" s="20" t="s">
        <v>88</v>
      </c>
      <c r="J1356" s="20" t="s">
        <v>173</v>
      </c>
      <c r="K1356" s="20" t="s">
        <v>253</v>
      </c>
      <c r="L1356" s="20" t="s">
        <v>2694</v>
      </c>
      <c r="M1356" s="20" t="s">
        <v>43</v>
      </c>
      <c r="N1356" s="20" t="s">
        <v>70</v>
      </c>
      <c r="O1356" s="20">
        <v>71</v>
      </c>
      <c r="P1356" s="20">
        <v>86.53</v>
      </c>
      <c r="Q1356" s="20">
        <v>54.38</v>
      </c>
      <c r="R1356" s="20">
        <v>6143.38</v>
      </c>
      <c r="S1356" s="20">
        <v>0</v>
      </c>
      <c r="T1356" s="20">
        <v>0</v>
      </c>
      <c r="U1356" s="20">
        <v>6143.38</v>
      </c>
      <c r="V1356" s="20">
        <v>3860.85</v>
      </c>
      <c r="W1356" s="20">
        <v>2282.5300000000002</v>
      </c>
      <c r="X1356" s="20" t="s">
        <v>45</v>
      </c>
    </row>
    <row r="1357" spans="1:24" x14ac:dyDescent="0.25">
      <c r="A1357" s="23" t="s">
        <v>1882</v>
      </c>
      <c r="B1357" s="22">
        <v>45382</v>
      </c>
      <c r="C1357" s="23" t="s">
        <v>623</v>
      </c>
      <c r="D1357" s="23" t="s">
        <v>156</v>
      </c>
      <c r="E1357" s="23" t="s">
        <v>150</v>
      </c>
      <c r="F1357" s="23" t="s">
        <v>2591</v>
      </c>
      <c r="G1357" s="23" t="s">
        <v>2587</v>
      </c>
      <c r="H1357" s="23" t="s">
        <v>134</v>
      </c>
      <c r="I1357" s="23" t="s">
        <v>27</v>
      </c>
      <c r="J1357" s="23" t="s">
        <v>189</v>
      </c>
      <c r="K1357" s="23" t="s">
        <v>178</v>
      </c>
      <c r="L1357" s="23" t="s">
        <v>2689</v>
      </c>
      <c r="M1357" s="23" t="s">
        <v>61</v>
      </c>
      <c r="N1357" s="23" t="s">
        <v>70</v>
      </c>
      <c r="O1357" s="23">
        <v>38</v>
      </c>
      <c r="P1357" s="23">
        <v>83.31</v>
      </c>
      <c r="Q1357" s="23">
        <v>50.14</v>
      </c>
      <c r="R1357" s="23">
        <v>3165.86</v>
      </c>
      <c r="S1357" s="23">
        <v>0</v>
      </c>
      <c r="T1357" s="23">
        <v>0</v>
      </c>
      <c r="U1357" s="23">
        <v>3165.86</v>
      </c>
      <c r="V1357" s="23">
        <v>1905.28</v>
      </c>
      <c r="W1357" s="23">
        <v>1260.58</v>
      </c>
      <c r="X1357" s="23" t="s">
        <v>129</v>
      </c>
    </row>
    <row r="1358" spans="1:24" x14ac:dyDescent="0.25">
      <c r="A1358" s="20" t="s">
        <v>1883</v>
      </c>
      <c r="B1358" s="19">
        <v>45339</v>
      </c>
      <c r="C1358" s="20" t="s">
        <v>267</v>
      </c>
      <c r="D1358" s="20" t="s">
        <v>65</v>
      </c>
      <c r="E1358" s="20" t="s">
        <v>216</v>
      </c>
      <c r="F1358" s="20" t="s">
        <v>2596</v>
      </c>
      <c r="G1358" s="20" t="s">
        <v>2579</v>
      </c>
      <c r="H1358" s="20" t="s">
        <v>134</v>
      </c>
      <c r="I1358" s="20" t="s">
        <v>40</v>
      </c>
      <c r="J1358" s="20" t="s">
        <v>82</v>
      </c>
      <c r="K1358" s="20" t="s">
        <v>178</v>
      </c>
      <c r="L1358" s="20" t="s">
        <v>2689</v>
      </c>
      <c r="M1358" s="20" t="s">
        <v>43</v>
      </c>
      <c r="N1358" s="20" t="s">
        <v>75</v>
      </c>
      <c r="O1358" s="20">
        <v>78</v>
      </c>
      <c r="P1358" s="20">
        <v>103.42</v>
      </c>
      <c r="Q1358" s="20">
        <v>63.75</v>
      </c>
      <c r="R1358" s="20">
        <v>8066.58</v>
      </c>
      <c r="S1358" s="20">
        <v>0</v>
      </c>
      <c r="T1358" s="20">
        <v>0</v>
      </c>
      <c r="U1358" s="20">
        <v>8066.58</v>
      </c>
      <c r="V1358" s="20">
        <v>4972.16</v>
      </c>
      <c r="W1358" s="20">
        <v>3094.42</v>
      </c>
      <c r="X1358" s="20" t="s">
        <v>129</v>
      </c>
    </row>
    <row r="1359" spans="1:24" x14ac:dyDescent="0.25">
      <c r="A1359" s="23" t="s">
        <v>1884</v>
      </c>
      <c r="B1359" s="22">
        <v>45393</v>
      </c>
      <c r="C1359" s="23" t="s">
        <v>531</v>
      </c>
      <c r="D1359" s="23" t="s">
        <v>264</v>
      </c>
      <c r="E1359" s="23" t="s">
        <v>114</v>
      </c>
      <c r="F1359" s="23" t="s">
        <v>2588</v>
      </c>
      <c r="G1359" s="23" t="s">
        <v>2586</v>
      </c>
      <c r="H1359" s="23" t="s">
        <v>116</v>
      </c>
      <c r="I1359" s="23" t="s">
        <v>27</v>
      </c>
      <c r="J1359" s="23" t="s">
        <v>28</v>
      </c>
      <c r="K1359" s="23" t="s">
        <v>261</v>
      </c>
      <c r="L1359" s="23" t="s">
        <v>2695</v>
      </c>
      <c r="M1359" s="23" t="s">
        <v>61</v>
      </c>
      <c r="N1359" s="23" t="s">
        <v>84</v>
      </c>
      <c r="O1359" s="23">
        <v>37</v>
      </c>
      <c r="P1359" s="23">
        <v>37.61</v>
      </c>
      <c r="Q1359" s="23">
        <v>20.77</v>
      </c>
      <c r="R1359" s="23">
        <v>1391.52</v>
      </c>
      <c r="S1359" s="23">
        <v>0.02</v>
      </c>
      <c r="T1359" s="23">
        <v>27.83</v>
      </c>
      <c r="U1359" s="23">
        <v>1363.69</v>
      </c>
      <c r="V1359" s="23">
        <v>768.61</v>
      </c>
      <c r="W1359" s="23">
        <v>595.08000000000004</v>
      </c>
      <c r="X1359" s="23" t="s">
        <v>32</v>
      </c>
    </row>
    <row r="1360" spans="1:24" x14ac:dyDescent="0.25">
      <c r="A1360" s="20" t="s">
        <v>1885</v>
      </c>
      <c r="B1360" s="19">
        <v>45533</v>
      </c>
      <c r="C1360" s="20" t="s">
        <v>480</v>
      </c>
      <c r="D1360" s="20" t="s">
        <v>22</v>
      </c>
      <c r="E1360" s="20" t="s">
        <v>187</v>
      </c>
      <c r="F1360" s="20" t="s">
        <v>2594</v>
      </c>
      <c r="G1360" s="20" t="s">
        <v>2577</v>
      </c>
      <c r="H1360" s="20" t="s">
        <v>26</v>
      </c>
      <c r="I1360" s="20" t="s">
        <v>27</v>
      </c>
      <c r="J1360" s="20" t="s">
        <v>211</v>
      </c>
      <c r="K1360" s="20" t="s">
        <v>90</v>
      </c>
      <c r="L1360" s="20" t="s">
        <v>2684</v>
      </c>
      <c r="M1360" s="20" t="s">
        <v>61</v>
      </c>
      <c r="N1360" s="20" t="s">
        <v>84</v>
      </c>
      <c r="O1360" s="20">
        <v>53</v>
      </c>
      <c r="P1360" s="20">
        <v>50.85</v>
      </c>
      <c r="Q1360" s="20">
        <v>30.31</v>
      </c>
      <c r="R1360" s="20">
        <v>2694.91</v>
      </c>
      <c r="S1360" s="20">
        <v>0.05</v>
      </c>
      <c r="T1360" s="20">
        <v>134.75</v>
      </c>
      <c r="U1360" s="20">
        <v>2560.17</v>
      </c>
      <c r="V1360" s="20">
        <v>1606.44</v>
      </c>
      <c r="W1360" s="20">
        <v>953.72</v>
      </c>
      <c r="X1360" s="20" t="s">
        <v>32</v>
      </c>
    </row>
    <row r="1361" spans="1:24" x14ac:dyDescent="0.25">
      <c r="A1361" s="23" t="s">
        <v>1886</v>
      </c>
      <c r="B1361" s="22">
        <v>45439</v>
      </c>
      <c r="C1361" s="23" t="s">
        <v>1887</v>
      </c>
      <c r="D1361" s="23" t="s">
        <v>159</v>
      </c>
      <c r="E1361" s="23" t="s">
        <v>176</v>
      </c>
      <c r="F1361" s="23" t="s">
        <v>2593</v>
      </c>
      <c r="G1361" s="23" t="s">
        <v>2587</v>
      </c>
      <c r="H1361" s="23" t="s">
        <v>39</v>
      </c>
      <c r="I1361" s="23" t="s">
        <v>27</v>
      </c>
      <c r="J1361" s="23" t="s">
        <v>28</v>
      </c>
      <c r="K1361" s="23" t="s">
        <v>42</v>
      </c>
      <c r="L1361" s="23" t="s">
        <v>2680</v>
      </c>
      <c r="M1361" s="23" t="s">
        <v>30</v>
      </c>
      <c r="N1361" s="23" t="s">
        <v>75</v>
      </c>
      <c r="O1361" s="23">
        <v>34</v>
      </c>
      <c r="P1361" s="23">
        <v>98.95</v>
      </c>
      <c r="Q1361" s="23">
        <v>58.26</v>
      </c>
      <c r="R1361" s="23">
        <v>3364.17</v>
      </c>
      <c r="S1361" s="23">
        <v>0</v>
      </c>
      <c r="T1361" s="23">
        <v>0</v>
      </c>
      <c r="U1361" s="23">
        <v>3364.17</v>
      </c>
      <c r="V1361" s="23">
        <v>1980.91</v>
      </c>
      <c r="W1361" s="23">
        <v>1383.26</v>
      </c>
      <c r="X1361" s="23" t="s">
        <v>32</v>
      </c>
    </row>
    <row r="1362" spans="1:24" x14ac:dyDescent="0.25">
      <c r="A1362" s="20" t="s">
        <v>1888</v>
      </c>
      <c r="B1362" s="19">
        <v>45481</v>
      </c>
      <c r="C1362" s="20" t="s">
        <v>545</v>
      </c>
      <c r="D1362" s="20" t="s">
        <v>105</v>
      </c>
      <c r="E1362" s="20" t="s">
        <v>209</v>
      </c>
      <c r="F1362" s="20" t="s">
        <v>2595</v>
      </c>
      <c r="G1362" s="20" t="s">
        <v>2581</v>
      </c>
      <c r="H1362" s="20" t="s">
        <v>116</v>
      </c>
      <c r="I1362" s="20" t="s">
        <v>53</v>
      </c>
      <c r="J1362" s="20" t="s">
        <v>122</v>
      </c>
      <c r="K1362" s="20" t="s">
        <v>111</v>
      </c>
      <c r="L1362" s="20" t="s">
        <v>2685</v>
      </c>
      <c r="M1362" s="20" t="s">
        <v>61</v>
      </c>
      <c r="N1362" s="20" t="s">
        <v>2578</v>
      </c>
      <c r="O1362" s="20">
        <v>6</v>
      </c>
      <c r="P1362" s="20">
        <v>17.309999999999999</v>
      </c>
      <c r="Q1362" s="20">
        <v>9.81</v>
      </c>
      <c r="R1362" s="20">
        <v>103.84</v>
      </c>
      <c r="S1362" s="20">
        <v>0.2</v>
      </c>
      <c r="T1362" s="20">
        <v>20.77</v>
      </c>
      <c r="U1362" s="20">
        <v>83.07</v>
      </c>
      <c r="V1362" s="20">
        <v>58.85</v>
      </c>
      <c r="W1362" s="20">
        <v>24.23</v>
      </c>
      <c r="X1362" s="20" t="s">
        <v>45</v>
      </c>
    </row>
    <row r="1363" spans="1:24" x14ac:dyDescent="0.25">
      <c r="A1363" s="23" t="s">
        <v>1889</v>
      </c>
      <c r="B1363" s="22">
        <v>45347</v>
      </c>
      <c r="C1363" s="23" t="s">
        <v>1858</v>
      </c>
      <c r="D1363" s="23" t="s">
        <v>87</v>
      </c>
      <c r="E1363" s="23" t="s">
        <v>165</v>
      </c>
      <c r="F1363" s="23" t="s">
        <v>2592</v>
      </c>
      <c r="G1363" s="23" t="s">
        <v>2586</v>
      </c>
      <c r="H1363" s="23" t="s">
        <v>167</v>
      </c>
      <c r="I1363" s="23" t="s">
        <v>40</v>
      </c>
      <c r="J1363" s="23" t="s">
        <v>117</v>
      </c>
      <c r="K1363" s="23" t="s">
        <v>29</v>
      </c>
      <c r="L1363" s="23" t="s">
        <v>2679</v>
      </c>
      <c r="M1363" s="23" t="s">
        <v>61</v>
      </c>
      <c r="N1363" s="23" t="s">
        <v>44</v>
      </c>
      <c r="O1363" s="23">
        <v>32</v>
      </c>
      <c r="P1363" s="23">
        <v>39.020000000000003</v>
      </c>
      <c r="Q1363" s="23">
        <v>26.46</v>
      </c>
      <c r="R1363" s="23">
        <v>1248.5999999999999</v>
      </c>
      <c r="S1363" s="23">
        <v>0.2</v>
      </c>
      <c r="T1363" s="23">
        <v>249.72</v>
      </c>
      <c r="U1363" s="23">
        <v>998.88</v>
      </c>
      <c r="V1363" s="23">
        <v>846.68</v>
      </c>
      <c r="W1363" s="23">
        <v>152.19999999999999</v>
      </c>
      <c r="X1363" s="23" t="s">
        <v>45</v>
      </c>
    </row>
    <row r="1364" spans="1:24" x14ac:dyDescent="0.25">
      <c r="A1364" s="20" t="s">
        <v>1890</v>
      </c>
      <c r="B1364" s="19">
        <v>45368</v>
      </c>
      <c r="C1364" s="20" t="s">
        <v>213</v>
      </c>
      <c r="D1364" s="20" t="s">
        <v>87</v>
      </c>
      <c r="E1364" s="20" t="s">
        <v>99</v>
      </c>
      <c r="F1364" s="20" t="s">
        <v>100</v>
      </c>
      <c r="G1364" s="20" t="s">
        <v>2587</v>
      </c>
      <c r="H1364" s="20" t="s">
        <v>102</v>
      </c>
      <c r="I1364" s="20" t="s">
        <v>27</v>
      </c>
      <c r="J1364" s="20" t="s">
        <v>28</v>
      </c>
      <c r="K1364" s="20" t="s">
        <v>195</v>
      </c>
      <c r="L1364" s="20" t="s">
        <v>2691</v>
      </c>
      <c r="M1364" s="20" t="s">
        <v>43</v>
      </c>
      <c r="N1364" s="20" t="s">
        <v>44</v>
      </c>
      <c r="O1364" s="20">
        <v>73</v>
      </c>
      <c r="P1364" s="20">
        <v>74.569999999999993</v>
      </c>
      <c r="Q1364" s="20">
        <v>39.29</v>
      </c>
      <c r="R1364" s="20">
        <v>5443.8</v>
      </c>
      <c r="S1364" s="20">
        <v>0.05</v>
      </c>
      <c r="T1364" s="20">
        <v>272.19</v>
      </c>
      <c r="U1364" s="20">
        <v>5171.6099999999997</v>
      </c>
      <c r="V1364" s="20">
        <v>2868.28</v>
      </c>
      <c r="W1364" s="20">
        <v>2303.33</v>
      </c>
      <c r="X1364" s="20" t="s">
        <v>45</v>
      </c>
    </row>
    <row r="1365" spans="1:24" x14ac:dyDescent="0.25">
      <c r="A1365" s="23" t="s">
        <v>1891</v>
      </c>
      <c r="B1365" s="22">
        <v>45476</v>
      </c>
      <c r="C1365" s="23" t="s">
        <v>904</v>
      </c>
      <c r="D1365" s="23" t="s">
        <v>35</v>
      </c>
      <c r="E1365" s="23" t="s">
        <v>114</v>
      </c>
      <c r="F1365" s="23" t="s">
        <v>2588</v>
      </c>
      <c r="G1365" s="23" t="s">
        <v>2586</v>
      </c>
      <c r="H1365" s="23" t="s">
        <v>116</v>
      </c>
      <c r="I1365" s="23" t="s">
        <v>40</v>
      </c>
      <c r="J1365" s="23" t="s">
        <v>41</v>
      </c>
      <c r="K1365" s="23" t="s">
        <v>265</v>
      </c>
      <c r="L1365" s="23" t="s">
        <v>2663</v>
      </c>
      <c r="M1365" s="23" t="s">
        <v>43</v>
      </c>
      <c r="N1365" s="23" t="s">
        <v>2578</v>
      </c>
      <c r="O1365" s="23">
        <v>50</v>
      </c>
      <c r="P1365" s="23">
        <v>33.590000000000003</v>
      </c>
      <c r="Q1365" s="23">
        <v>21.26</v>
      </c>
      <c r="R1365" s="23">
        <v>1679.72</v>
      </c>
      <c r="S1365" s="23">
        <v>0.1</v>
      </c>
      <c r="T1365" s="23">
        <v>167.97</v>
      </c>
      <c r="U1365" s="23">
        <v>1511.75</v>
      </c>
      <c r="V1365" s="23">
        <v>1062.8900000000001</v>
      </c>
      <c r="W1365" s="23">
        <v>448.86</v>
      </c>
      <c r="X1365" s="23" t="s">
        <v>45</v>
      </c>
    </row>
    <row r="1366" spans="1:24" x14ac:dyDescent="0.25">
      <c r="A1366" s="20" t="s">
        <v>1892</v>
      </c>
      <c r="B1366" s="19">
        <v>45626</v>
      </c>
      <c r="C1366" s="20" t="s">
        <v>2619</v>
      </c>
      <c r="D1366" s="20" t="s">
        <v>2619</v>
      </c>
      <c r="E1366" s="20" t="s">
        <v>99</v>
      </c>
      <c r="F1366" s="20" t="s">
        <v>100</v>
      </c>
      <c r="G1366" s="20" t="s">
        <v>2587</v>
      </c>
      <c r="H1366" s="20" t="s">
        <v>102</v>
      </c>
      <c r="I1366" s="20" t="s">
        <v>88</v>
      </c>
      <c r="J1366" s="20" t="s">
        <v>135</v>
      </c>
      <c r="K1366" s="20" t="s">
        <v>2619</v>
      </c>
      <c r="L1366" s="20" t="s">
        <v>2619</v>
      </c>
      <c r="M1366" s="20" t="s">
        <v>153</v>
      </c>
      <c r="N1366" s="20" t="s">
        <v>2578</v>
      </c>
      <c r="O1366" s="20">
        <v>49</v>
      </c>
      <c r="P1366" s="20">
        <v>65.510000000000005</v>
      </c>
      <c r="Q1366" s="20">
        <v>39.32</v>
      </c>
      <c r="R1366" s="20">
        <v>3210.17</v>
      </c>
      <c r="S1366" s="20">
        <v>0.05</v>
      </c>
      <c r="T1366" s="20">
        <v>160.51</v>
      </c>
      <c r="U1366" s="20">
        <v>3049.66</v>
      </c>
      <c r="V1366" s="20">
        <v>1926.45</v>
      </c>
      <c r="W1366" s="20">
        <v>1123.22</v>
      </c>
      <c r="X1366" s="20" t="s">
        <v>45</v>
      </c>
    </row>
    <row r="1367" spans="1:24" x14ac:dyDescent="0.25">
      <c r="A1367" s="23" t="s">
        <v>1893</v>
      </c>
      <c r="B1367" s="22">
        <v>45298</v>
      </c>
      <c r="C1367" s="23" t="s">
        <v>721</v>
      </c>
      <c r="D1367" s="23" t="s">
        <v>359</v>
      </c>
      <c r="E1367" s="23" t="s">
        <v>222</v>
      </c>
      <c r="F1367" s="23" t="s">
        <v>2597</v>
      </c>
      <c r="G1367" s="23" t="s">
        <v>2587</v>
      </c>
      <c r="H1367" s="23" t="s">
        <v>68</v>
      </c>
      <c r="I1367" s="23" t="s">
        <v>58</v>
      </c>
      <c r="J1367" s="23" t="s">
        <v>59</v>
      </c>
      <c r="K1367" s="23" t="s">
        <v>42</v>
      </c>
      <c r="L1367" s="23" t="s">
        <v>2680</v>
      </c>
      <c r="M1367" s="23" t="s">
        <v>61</v>
      </c>
      <c r="N1367" s="23" t="s">
        <v>84</v>
      </c>
      <c r="O1367" s="23">
        <v>68</v>
      </c>
      <c r="P1367" s="23">
        <v>113.34</v>
      </c>
      <c r="Q1367" s="23">
        <v>79.08</v>
      </c>
      <c r="R1367" s="23">
        <v>7707.42</v>
      </c>
      <c r="S1367" s="23">
        <v>0.2</v>
      </c>
      <c r="T1367" s="23">
        <v>1541.48</v>
      </c>
      <c r="U1367" s="23">
        <v>6165.93</v>
      </c>
      <c r="V1367" s="23">
        <v>5377.18</v>
      </c>
      <c r="W1367" s="23">
        <v>788.75</v>
      </c>
      <c r="X1367" s="23" t="s">
        <v>32</v>
      </c>
    </row>
    <row r="1368" spans="1:24" x14ac:dyDescent="0.25">
      <c r="A1368" s="20" t="s">
        <v>1894</v>
      </c>
      <c r="B1368" s="19">
        <v>45445</v>
      </c>
      <c r="C1368" s="20" t="s">
        <v>1706</v>
      </c>
      <c r="D1368" s="20" t="s">
        <v>65</v>
      </c>
      <c r="E1368" s="20" t="s">
        <v>78</v>
      </c>
      <c r="F1368" s="20" t="s">
        <v>2583</v>
      </c>
      <c r="G1368" s="20" t="s">
        <v>2584</v>
      </c>
      <c r="H1368" s="20" t="s">
        <v>81</v>
      </c>
      <c r="I1368" s="20" t="s">
        <v>27</v>
      </c>
      <c r="J1368" s="20" t="s">
        <v>106</v>
      </c>
      <c r="K1368" s="20" t="s">
        <v>144</v>
      </c>
      <c r="L1368" s="20" t="s">
        <v>2687</v>
      </c>
      <c r="M1368" s="20" t="s">
        <v>153</v>
      </c>
      <c r="N1368" s="20" t="s">
        <v>44</v>
      </c>
      <c r="O1368" s="20">
        <v>21</v>
      </c>
      <c r="P1368" s="20">
        <v>143.55000000000001</v>
      </c>
      <c r="Q1368" s="20">
        <v>77.58</v>
      </c>
      <c r="R1368" s="20">
        <v>3014.65</v>
      </c>
      <c r="S1368" s="20">
        <v>0.2</v>
      </c>
      <c r="T1368" s="20">
        <v>602.92999999999995</v>
      </c>
      <c r="U1368" s="20">
        <v>2411.7199999999998</v>
      </c>
      <c r="V1368" s="20">
        <v>1629.13</v>
      </c>
      <c r="W1368" s="20">
        <v>782.59</v>
      </c>
      <c r="X1368" s="20" t="s">
        <v>45</v>
      </c>
    </row>
    <row r="1369" spans="1:24" x14ac:dyDescent="0.25">
      <c r="A1369" s="23" t="s">
        <v>1895</v>
      </c>
      <c r="B1369" s="22">
        <v>45566</v>
      </c>
      <c r="C1369" s="23" t="s">
        <v>961</v>
      </c>
      <c r="D1369" s="23" t="s">
        <v>87</v>
      </c>
      <c r="E1369" s="23" t="s">
        <v>49</v>
      </c>
      <c r="F1369" s="23" t="s">
        <v>2580</v>
      </c>
      <c r="G1369" s="23" t="s">
        <v>2581</v>
      </c>
      <c r="H1369" s="23" t="s">
        <v>52</v>
      </c>
      <c r="I1369" s="23" t="s">
        <v>53</v>
      </c>
      <c r="J1369" s="23" t="s">
        <v>122</v>
      </c>
      <c r="K1369" s="23" t="s">
        <v>29</v>
      </c>
      <c r="L1369" s="23" t="s">
        <v>2679</v>
      </c>
      <c r="M1369" s="23" t="s">
        <v>30</v>
      </c>
      <c r="N1369" s="23" t="s">
        <v>70</v>
      </c>
      <c r="O1369" s="23">
        <v>21</v>
      </c>
      <c r="P1369" s="23">
        <v>25.15</v>
      </c>
      <c r="Q1369" s="23">
        <v>13</v>
      </c>
      <c r="R1369" s="23">
        <v>528.25</v>
      </c>
      <c r="S1369" s="23">
        <v>0.2</v>
      </c>
      <c r="T1369" s="23">
        <v>105.65</v>
      </c>
      <c r="U1369" s="23">
        <v>422.6</v>
      </c>
      <c r="V1369" s="23">
        <v>272.89999999999998</v>
      </c>
      <c r="W1369" s="23">
        <v>149.69999999999999</v>
      </c>
      <c r="X1369" s="23" t="s">
        <v>32</v>
      </c>
    </row>
    <row r="1370" spans="1:24" x14ac:dyDescent="0.25">
      <c r="A1370" s="20" t="s">
        <v>1896</v>
      </c>
      <c r="B1370" s="19">
        <v>45458</v>
      </c>
      <c r="C1370" s="20" t="s">
        <v>636</v>
      </c>
      <c r="D1370" s="20" t="s">
        <v>87</v>
      </c>
      <c r="E1370" s="20" t="s">
        <v>99</v>
      </c>
      <c r="F1370" s="20" t="s">
        <v>100</v>
      </c>
      <c r="G1370" s="20" t="s">
        <v>2587</v>
      </c>
      <c r="H1370" s="20" t="s">
        <v>102</v>
      </c>
      <c r="I1370" s="20" t="s">
        <v>88</v>
      </c>
      <c r="J1370" s="20" t="s">
        <v>173</v>
      </c>
      <c r="K1370" s="20" t="s">
        <v>42</v>
      </c>
      <c r="L1370" s="20" t="s">
        <v>2680</v>
      </c>
      <c r="M1370" s="20" t="s">
        <v>61</v>
      </c>
      <c r="N1370" s="20" t="s">
        <v>2578</v>
      </c>
      <c r="O1370" s="20">
        <v>24</v>
      </c>
      <c r="P1370" s="20">
        <v>67.83</v>
      </c>
      <c r="Q1370" s="20">
        <v>43.11</v>
      </c>
      <c r="R1370" s="20">
        <v>1627.98</v>
      </c>
      <c r="S1370" s="20">
        <v>0.02</v>
      </c>
      <c r="T1370" s="20">
        <v>32.56</v>
      </c>
      <c r="U1370" s="20">
        <v>1595.42</v>
      </c>
      <c r="V1370" s="20">
        <v>1034.76</v>
      </c>
      <c r="W1370" s="20">
        <v>560.66</v>
      </c>
      <c r="X1370" s="20" t="s">
        <v>45</v>
      </c>
    </row>
    <row r="1371" spans="1:24" x14ac:dyDescent="0.25">
      <c r="A1371" s="23" t="s">
        <v>1897</v>
      </c>
      <c r="B1371" s="22">
        <v>45373</v>
      </c>
      <c r="C1371" s="23" t="s">
        <v>428</v>
      </c>
      <c r="D1371" s="23" t="s">
        <v>57</v>
      </c>
      <c r="E1371" s="23" t="s">
        <v>66</v>
      </c>
      <c r="F1371" s="23" t="s">
        <v>2582</v>
      </c>
      <c r="G1371" s="23" t="s">
        <v>2579</v>
      </c>
      <c r="H1371" s="23" t="s">
        <v>68</v>
      </c>
      <c r="I1371" s="23" t="s">
        <v>40</v>
      </c>
      <c r="J1371" s="23" t="s">
        <v>82</v>
      </c>
      <c r="K1371" s="23" t="s">
        <v>184</v>
      </c>
      <c r="L1371" s="23" t="s">
        <v>2690</v>
      </c>
      <c r="M1371" s="23" t="s">
        <v>153</v>
      </c>
      <c r="N1371" s="23" t="s">
        <v>75</v>
      </c>
      <c r="O1371" s="23">
        <v>72</v>
      </c>
      <c r="P1371" s="23">
        <v>170.05</v>
      </c>
      <c r="Q1371" s="23">
        <v>102.66</v>
      </c>
      <c r="R1371" s="23">
        <v>12243.56</v>
      </c>
      <c r="S1371" s="23">
        <v>0.15</v>
      </c>
      <c r="T1371" s="23">
        <v>1836.53</v>
      </c>
      <c r="U1371" s="23">
        <v>10407.030000000001</v>
      </c>
      <c r="V1371" s="23">
        <v>7391.49</v>
      </c>
      <c r="W1371" s="23">
        <v>3015.54</v>
      </c>
      <c r="X1371" s="23" t="s">
        <v>45</v>
      </c>
    </row>
    <row r="1372" spans="1:24" x14ac:dyDescent="0.25">
      <c r="A1372" s="20" t="s">
        <v>1898</v>
      </c>
      <c r="B1372" s="19">
        <v>45514</v>
      </c>
      <c r="C1372" s="20" t="s">
        <v>282</v>
      </c>
      <c r="D1372" s="20" t="s">
        <v>125</v>
      </c>
      <c r="E1372" s="20" t="s">
        <v>209</v>
      </c>
      <c r="F1372" s="20" t="s">
        <v>2595</v>
      </c>
      <c r="G1372" s="20" t="s">
        <v>2581</v>
      </c>
      <c r="H1372" s="20" t="s">
        <v>116</v>
      </c>
      <c r="I1372" s="20" t="s">
        <v>88</v>
      </c>
      <c r="J1372" s="20" t="s">
        <v>183</v>
      </c>
      <c r="K1372" s="20" t="s">
        <v>248</v>
      </c>
      <c r="L1372" s="20" t="s">
        <v>2693</v>
      </c>
      <c r="M1372" s="20" t="s">
        <v>61</v>
      </c>
      <c r="N1372" s="20" t="s">
        <v>75</v>
      </c>
      <c r="O1372" s="20">
        <v>75</v>
      </c>
      <c r="P1372" s="20">
        <v>16.579999999999998</v>
      </c>
      <c r="Q1372" s="20">
        <v>9.89</v>
      </c>
      <c r="R1372" s="20">
        <v>1243.8</v>
      </c>
      <c r="S1372" s="20">
        <v>0.15</v>
      </c>
      <c r="T1372" s="20">
        <v>186.57</v>
      </c>
      <c r="U1372" s="20">
        <v>1057.23</v>
      </c>
      <c r="V1372" s="20">
        <v>742.03</v>
      </c>
      <c r="W1372" s="20">
        <v>315.2</v>
      </c>
      <c r="X1372" s="20" t="s">
        <v>45</v>
      </c>
    </row>
    <row r="1373" spans="1:24" x14ac:dyDescent="0.25">
      <c r="A1373" s="23" t="s">
        <v>1899</v>
      </c>
      <c r="B1373" s="22">
        <v>45395</v>
      </c>
      <c r="C1373" s="23" t="s">
        <v>1805</v>
      </c>
      <c r="D1373" s="23" t="s">
        <v>65</v>
      </c>
      <c r="E1373" s="23" t="s">
        <v>66</v>
      </c>
      <c r="F1373" s="23" t="s">
        <v>2582</v>
      </c>
      <c r="G1373" s="23" t="s">
        <v>2579</v>
      </c>
      <c r="H1373" s="23" t="s">
        <v>68</v>
      </c>
      <c r="I1373" s="23" t="s">
        <v>27</v>
      </c>
      <c r="J1373" s="23" t="s">
        <v>211</v>
      </c>
      <c r="K1373" s="23" t="s">
        <v>69</v>
      </c>
      <c r="L1373" s="23" t="s">
        <v>2681</v>
      </c>
      <c r="M1373" s="23" t="s">
        <v>61</v>
      </c>
      <c r="N1373" s="23" t="s">
        <v>44</v>
      </c>
      <c r="O1373" s="23">
        <v>12</v>
      </c>
      <c r="P1373" s="23">
        <v>158.16999999999999</v>
      </c>
      <c r="Q1373" s="23">
        <v>96.17</v>
      </c>
      <c r="R1373" s="23">
        <v>1898.1</v>
      </c>
      <c r="S1373" s="23">
        <v>0.15</v>
      </c>
      <c r="T1373" s="23">
        <v>284.70999999999998</v>
      </c>
      <c r="U1373" s="23">
        <v>1613.38</v>
      </c>
      <c r="V1373" s="23">
        <v>1153.98</v>
      </c>
      <c r="W1373" s="23">
        <v>459.4</v>
      </c>
      <c r="X1373" s="23" t="s">
        <v>45</v>
      </c>
    </row>
    <row r="1374" spans="1:24" x14ac:dyDescent="0.25">
      <c r="A1374" s="20" t="s">
        <v>1900</v>
      </c>
      <c r="B1374" s="19">
        <v>45392</v>
      </c>
      <c r="C1374" s="20" t="s">
        <v>485</v>
      </c>
      <c r="D1374" s="20" t="s">
        <v>22</v>
      </c>
      <c r="E1374" s="20" t="s">
        <v>23</v>
      </c>
      <c r="F1374" s="20" t="s">
        <v>2576</v>
      </c>
      <c r="G1374" s="20" t="s">
        <v>2577</v>
      </c>
      <c r="H1374" s="20" t="s">
        <v>26</v>
      </c>
      <c r="I1374" s="20" t="s">
        <v>53</v>
      </c>
      <c r="J1374" s="20" t="s">
        <v>122</v>
      </c>
      <c r="K1374" s="20" t="s">
        <v>218</v>
      </c>
      <c r="L1374" s="20" t="s">
        <v>2692</v>
      </c>
      <c r="M1374" s="20" t="s">
        <v>153</v>
      </c>
      <c r="N1374" s="20" t="s">
        <v>2578</v>
      </c>
      <c r="O1374" s="20">
        <v>27</v>
      </c>
      <c r="P1374" s="20">
        <v>69.81</v>
      </c>
      <c r="Q1374" s="20">
        <v>44.58</v>
      </c>
      <c r="R1374" s="20">
        <v>1884.82</v>
      </c>
      <c r="S1374" s="20">
        <v>0.2</v>
      </c>
      <c r="T1374" s="20">
        <v>376.96</v>
      </c>
      <c r="U1374" s="20">
        <v>1507.86</v>
      </c>
      <c r="V1374" s="20">
        <v>1203.6199999999999</v>
      </c>
      <c r="W1374" s="20">
        <v>304.24</v>
      </c>
      <c r="X1374" s="20" t="s">
        <v>129</v>
      </c>
    </row>
    <row r="1375" spans="1:24" x14ac:dyDescent="0.25">
      <c r="A1375" s="23" t="s">
        <v>1901</v>
      </c>
      <c r="B1375" s="22">
        <v>45451</v>
      </c>
      <c r="C1375" s="23" t="s">
        <v>1047</v>
      </c>
      <c r="D1375" s="23" t="s">
        <v>156</v>
      </c>
      <c r="E1375" s="23" t="s">
        <v>66</v>
      </c>
      <c r="F1375" s="23" t="s">
        <v>2582</v>
      </c>
      <c r="G1375" s="23" t="s">
        <v>2579</v>
      </c>
      <c r="H1375" s="23" t="s">
        <v>68</v>
      </c>
      <c r="I1375" s="23" t="s">
        <v>40</v>
      </c>
      <c r="J1375" s="23" t="s">
        <v>117</v>
      </c>
      <c r="K1375" s="23" t="s">
        <v>178</v>
      </c>
      <c r="L1375" s="23" t="s">
        <v>2689</v>
      </c>
      <c r="M1375" s="23" t="s">
        <v>61</v>
      </c>
      <c r="N1375" s="23" t="s">
        <v>70</v>
      </c>
      <c r="O1375" s="23">
        <v>74</v>
      </c>
      <c r="P1375" s="23">
        <v>155.34</v>
      </c>
      <c r="Q1375" s="23">
        <v>97.51</v>
      </c>
      <c r="R1375" s="23">
        <v>11495.23</v>
      </c>
      <c r="S1375" s="23">
        <v>0.2</v>
      </c>
      <c r="T1375" s="23">
        <v>2299.0500000000002</v>
      </c>
      <c r="U1375" s="23">
        <v>9196.18</v>
      </c>
      <c r="V1375" s="23">
        <v>7215.83</v>
      </c>
      <c r="W1375" s="23">
        <v>1980.35</v>
      </c>
      <c r="X1375" s="23" t="s">
        <v>32</v>
      </c>
    </row>
    <row r="1376" spans="1:24" x14ac:dyDescent="0.25">
      <c r="A1376" s="20" t="s">
        <v>1902</v>
      </c>
      <c r="B1376" s="19">
        <v>45373</v>
      </c>
      <c r="C1376" s="20" t="s">
        <v>186</v>
      </c>
      <c r="D1376" s="20" t="s">
        <v>156</v>
      </c>
      <c r="E1376" s="20" t="s">
        <v>78</v>
      </c>
      <c r="F1376" s="20" t="s">
        <v>2583</v>
      </c>
      <c r="G1376" s="20" t="s">
        <v>2584</v>
      </c>
      <c r="H1376" s="20" t="s">
        <v>81</v>
      </c>
      <c r="I1376" s="20" t="s">
        <v>58</v>
      </c>
      <c r="J1376" s="20" t="s">
        <v>59</v>
      </c>
      <c r="K1376" s="20" t="s">
        <v>184</v>
      </c>
      <c r="L1376" s="20" t="s">
        <v>2690</v>
      </c>
      <c r="M1376" s="20" t="s">
        <v>30</v>
      </c>
      <c r="N1376" s="20" t="s">
        <v>84</v>
      </c>
      <c r="O1376" s="20">
        <v>73</v>
      </c>
      <c r="P1376" s="20">
        <v>141.18</v>
      </c>
      <c r="Q1376" s="20">
        <v>82.26</v>
      </c>
      <c r="R1376" s="20">
        <v>10305.85</v>
      </c>
      <c r="S1376" s="20">
        <v>0.2</v>
      </c>
      <c r="T1376" s="20">
        <v>2061.17</v>
      </c>
      <c r="U1376" s="20">
        <v>8244.68</v>
      </c>
      <c r="V1376" s="20">
        <v>6005.32</v>
      </c>
      <c r="W1376" s="20">
        <v>2239.36</v>
      </c>
      <c r="X1376" s="20" t="s">
        <v>45</v>
      </c>
    </row>
    <row r="1377" spans="1:24" x14ac:dyDescent="0.25">
      <c r="A1377" s="23" t="s">
        <v>1903</v>
      </c>
      <c r="B1377" s="22">
        <v>45387</v>
      </c>
      <c r="C1377" s="23" t="s">
        <v>282</v>
      </c>
      <c r="D1377" s="23" t="s">
        <v>125</v>
      </c>
      <c r="E1377" s="23" t="s">
        <v>132</v>
      </c>
      <c r="F1377" s="23" t="s">
        <v>133</v>
      </c>
      <c r="G1377" s="23" t="s">
        <v>2581</v>
      </c>
      <c r="H1377" s="23" t="s">
        <v>134</v>
      </c>
      <c r="I1377" s="23" t="s">
        <v>53</v>
      </c>
      <c r="J1377" s="23" t="s">
        <v>143</v>
      </c>
      <c r="K1377" s="23" t="s">
        <v>218</v>
      </c>
      <c r="L1377" s="23" t="s">
        <v>2692</v>
      </c>
      <c r="M1377" s="23" t="s">
        <v>61</v>
      </c>
      <c r="N1377" s="23" t="s">
        <v>75</v>
      </c>
      <c r="O1377" s="23">
        <v>26</v>
      </c>
      <c r="P1377" s="23">
        <v>59.2</v>
      </c>
      <c r="Q1377" s="23">
        <v>33.9</v>
      </c>
      <c r="R1377" s="23">
        <v>1539.07</v>
      </c>
      <c r="S1377" s="23">
        <v>0</v>
      </c>
      <c r="T1377" s="23">
        <v>0</v>
      </c>
      <c r="U1377" s="23">
        <v>1539.07</v>
      </c>
      <c r="V1377" s="23">
        <v>881.36</v>
      </c>
      <c r="W1377" s="23">
        <v>657.71</v>
      </c>
      <c r="X1377" s="23" t="s">
        <v>45</v>
      </c>
    </row>
    <row r="1378" spans="1:24" x14ac:dyDescent="0.25">
      <c r="A1378" s="20" t="s">
        <v>1904</v>
      </c>
      <c r="B1378" s="19">
        <v>45293</v>
      </c>
      <c r="C1378" s="20" t="s">
        <v>509</v>
      </c>
      <c r="D1378" s="20" t="s">
        <v>264</v>
      </c>
      <c r="E1378" s="20" t="s">
        <v>216</v>
      </c>
      <c r="F1378" s="20" t="s">
        <v>2596</v>
      </c>
      <c r="G1378" s="20" t="s">
        <v>2579</v>
      </c>
      <c r="H1378" s="20" t="s">
        <v>134</v>
      </c>
      <c r="I1378" s="20" t="s">
        <v>88</v>
      </c>
      <c r="J1378" s="20" t="s">
        <v>135</v>
      </c>
      <c r="K1378" s="20" t="s">
        <v>118</v>
      </c>
      <c r="L1378" s="20" t="s">
        <v>2686</v>
      </c>
      <c r="M1378" s="20" t="s">
        <v>153</v>
      </c>
      <c r="N1378" s="20" t="s">
        <v>75</v>
      </c>
      <c r="O1378" s="20">
        <v>15</v>
      </c>
      <c r="P1378" s="20">
        <v>102.67</v>
      </c>
      <c r="Q1378" s="20">
        <v>63.9</v>
      </c>
      <c r="R1378" s="20">
        <v>1540.05</v>
      </c>
      <c r="S1378" s="20">
        <v>0.05</v>
      </c>
      <c r="T1378" s="20">
        <v>77</v>
      </c>
      <c r="U1378" s="20">
        <v>1463.05</v>
      </c>
      <c r="V1378" s="20">
        <v>958.55</v>
      </c>
      <c r="W1378" s="20">
        <v>504.5</v>
      </c>
      <c r="X1378" s="20" t="s">
        <v>45</v>
      </c>
    </row>
    <row r="1379" spans="1:24" x14ac:dyDescent="0.25">
      <c r="A1379" s="23" t="s">
        <v>1905</v>
      </c>
      <c r="B1379" s="22">
        <v>45319</v>
      </c>
      <c r="C1379" s="23" t="s">
        <v>426</v>
      </c>
      <c r="D1379" s="23" t="s">
        <v>57</v>
      </c>
      <c r="E1379" s="23" t="s">
        <v>114</v>
      </c>
      <c r="F1379" s="23" t="s">
        <v>2588</v>
      </c>
      <c r="G1379" s="23" t="s">
        <v>2586</v>
      </c>
      <c r="H1379" s="23" t="s">
        <v>116</v>
      </c>
      <c r="I1379" s="23" t="s">
        <v>58</v>
      </c>
      <c r="J1379" s="23" t="s">
        <v>59</v>
      </c>
      <c r="K1379" s="23" t="s">
        <v>118</v>
      </c>
      <c r="L1379" s="23" t="s">
        <v>2686</v>
      </c>
      <c r="M1379" s="23" t="s">
        <v>30</v>
      </c>
      <c r="N1379" s="23" t="s">
        <v>2619</v>
      </c>
      <c r="O1379" s="23">
        <v>58</v>
      </c>
      <c r="P1379" s="23">
        <v>34.19</v>
      </c>
      <c r="Q1379" s="23">
        <v>21.17</v>
      </c>
      <c r="R1379" s="23">
        <v>1982.8</v>
      </c>
      <c r="S1379" s="23">
        <v>0.1</v>
      </c>
      <c r="T1379" s="23">
        <v>198.28</v>
      </c>
      <c r="U1379" s="23">
        <v>1784.52</v>
      </c>
      <c r="V1379" s="23">
        <v>1227.8699999999999</v>
      </c>
      <c r="W1379" s="23">
        <v>556.64</v>
      </c>
      <c r="X1379" s="23" t="s">
        <v>45</v>
      </c>
    </row>
    <row r="1380" spans="1:24" x14ac:dyDescent="0.25">
      <c r="A1380" s="20" t="s">
        <v>1906</v>
      </c>
      <c r="B1380" s="19">
        <v>45579</v>
      </c>
      <c r="C1380" s="20" t="s">
        <v>651</v>
      </c>
      <c r="D1380" s="20" t="s">
        <v>105</v>
      </c>
      <c r="E1380" s="20" t="s">
        <v>93</v>
      </c>
      <c r="F1380" s="20" t="s">
        <v>2585</v>
      </c>
      <c r="G1380" s="20" t="s">
        <v>2586</v>
      </c>
      <c r="H1380" s="20" t="s">
        <v>96</v>
      </c>
      <c r="I1380" s="20" t="s">
        <v>88</v>
      </c>
      <c r="J1380" s="20" t="s">
        <v>135</v>
      </c>
      <c r="K1380" s="20" t="s">
        <v>111</v>
      </c>
      <c r="L1380" s="20" t="s">
        <v>2685</v>
      </c>
      <c r="M1380" s="20" t="s">
        <v>30</v>
      </c>
      <c r="N1380" s="20" t="s">
        <v>2578</v>
      </c>
      <c r="O1380" s="20">
        <v>65</v>
      </c>
      <c r="P1380" s="20">
        <v>51.78</v>
      </c>
      <c r="Q1380" s="20">
        <v>29.59</v>
      </c>
      <c r="R1380" s="20">
        <v>3365.66</v>
      </c>
      <c r="S1380" s="20">
        <v>0.2</v>
      </c>
      <c r="T1380" s="20">
        <v>673.13</v>
      </c>
      <c r="U1380" s="20">
        <v>2692.53</v>
      </c>
      <c r="V1380" s="20">
        <v>1923.18</v>
      </c>
      <c r="W1380" s="20">
        <v>769.35</v>
      </c>
      <c r="X1380" s="20" t="s">
        <v>129</v>
      </c>
    </row>
    <row r="1381" spans="1:24" x14ac:dyDescent="0.25">
      <c r="A1381" s="23" t="s">
        <v>1907</v>
      </c>
      <c r="B1381" s="22">
        <v>45385</v>
      </c>
      <c r="C1381" s="23" t="s">
        <v>975</v>
      </c>
      <c r="D1381" s="23" t="s">
        <v>105</v>
      </c>
      <c r="E1381" s="23" t="s">
        <v>176</v>
      </c>
      <c r="F1381" s="23" t="s">
        <v>2593</v>
      </c>
      <c r="G1381" s="23" t="s">
        <v>2587</v>
      </c>
      <c r="H1381" s="23" t="s">
        <v>39</v>
      </c>
      <c r="I1381" s="23" t="s">
        <v>88</v>
      </c>
      <c r="J1381" s="23" t="s">
        <v>183</v>
      </c>
      <c r="K1381" s="23" t="s">
        <v>144</v>
      </c>
      <c r="L1381" s="23" t="s">
        <v>2687</v>
      </c>
      <c r="M1381" s="23" t="s">
        <v>30</v>
      </c>
      <c r="N1381" s="23" t="s">
        <v>84</v>
      </c>
      <c r="O1381" s="23">
        <v>13</v>
      </c>
      <c r="P1381" s="23">
        <v>110.94</v>
      </c>
      <c r="Q1381" s="23">
        <v>60.4</v>
      </c>
      <c r="R1381" s="23">
        <v>1442.27</v>
      </c>
      <c r="S1381" s="23">
        <v>0.05</v>
      </c>
      <c r="T1381" s="23">
        <v>72.11</v>
      </c>
      <c r="U1381" s="23">
        <v>1370.15</v>
      </c>
      <c r="V1381" s="23">
        <v>785.19</v>
      </c>
      <c r="W1381" s="23">
        <v>584.96</v>
      </c>
      <c r="X1381" s="23" t="s">
        <v>45</v>
      </c>
    </row>
    <row r="1382" spans="1:24" x14ac:dyDescent="0.25">
      <c r="A1382" s="20" t="s">
        <v>1908</v>
      </c>
      <c r="B1382" s="19">
        <v>45578</v>
      </c>
      <c r="C1382" s="20" t="s">
        <v>636</v>
      </c>
      <c r="D1382" s="20" t="s">
        <v>87</v>
      </c>
      <c r="E1382" s="20" t="s">
        <v>250</v>
      </c>
      <c r="F1382" s="20" t="s">
        <v>2598</v>
      </c>
      <c r="G1382" s="20" t="s">
        <v>2581</v>
      </c>
      <c r="H1382" s="20" t="s">
        <v>252</v>
      </c>
      <c r="I1382" s="20" t="s">
        <v>27</v>
      </c>
      <c r="J1382" s="20" t="s">
        <v>106</v>
      </c>
      <c r="K1382" s="20" t="s">
        <v>195</v>
      </c>
      <c r="L1382" s="20" t="s">
        <v>2691</v>
      </c>
      <c r="M1382" s="20" t="s">
        <v>61</v>
      </c>
      <c r="N1382" s="20" t="s">
        <v>75</v>
      </c>
      <c r="O1382" s="20">
        <v>53</v>
      </c>
      <c r="P1382" s="20">
        <v>59.86</v>
      </c>
      <c r="Q1382" s="20">
        <v>39.92</v>
      </c>
      <c r="R1382" s="20">
        <v>3172.44</v>
      </c>
      <c r="S1382" s="20">
        <v>0.15</v>
      </c>
      <c r="T1382" s="20">
        <v>475.87</v>
      </c>
      <c r="U1382" s="20">
        <v>2696.58</v>
      </c>
      <c r="V1382" s="20">
        <v>2115.65</v>
      </c>
      <c r="W1382" s="20">
        <v>580.91999999999996</v>
      </c>
      <c r="X1382" s="20" t="s">
        <v>45</v>
      </c>
    </row>
    <row r="1383" spans="1:24" x14ac:dyDescent="0.25">
      <c r="A1383" s="23" t="s">
        <v>1909</v>
      </c>
      <c r="B1383" s="22">
        <v>45622</v>
      </c>
      <c r="C1383" s="23" t="s">
        <v>1476</v>
      </c>
      <c r="D1383" s="23" t="s">
        <v>149</v>
      </c>
      <c r="E1383" s="23" t="s">
        <v>176</v>
      </c>
      <c r="F1383" s="23" t="s">
        <v>2593</v>
      </c>
      <c r="G1383" s="23" t="s">
        <v>2587</v>
      </c>
      <c r="H1383" s="23" t="s">
        <v>39</v>
      </c>
      <c r="I1383" s="23" t="s">
        <v>27</v>
      </c>
      <c r="J1383" s="23" t="s">
        <v>28</v>
      </c>
      <c r="K1383" s="23" t="s">
        <v>178</v>
      </c>
      <c r="L1383" s="23" t="s">
        <v>2689</v>
      </c>
      <c r="M1383" s="23" t="s">
        <v>153</v>
      </c>
      <c r="N1383" s="23" t="s">
        <v>84</v>
      </c>
      <c r="O1383" s="23">
        <v>9</v>
      </c>
      <c r="P1383" s="23">
        <v>106.5</v>
      </c>
      <c r="Q1383" s="23">
        <v>64.14</v>
      </c>
      <c r="R1383" s="23">
        <v>958.53</v>
      </c>
      <c r="S1383" s="23">
        <v>0.1</v>
      </c>
      <c r="T1383" s="23">
        <v>95.85</v>
      </c>
      <c r="U1383" s="23">
        <v>862.67</v>
      </c>
      <c r="V1383" s="23">
        <v>577.28</v>
      </c>
      <c r="W1383" s="23">
        <v>285.39999999999998</v>
      </c>
      <c r="X1383" s="23" t="s">
        <v>45</v>
      </c>
    </row>
    <row r="1384" spans="1:24" x14ac:dyDescent="0.25">
      <c r="A1384" s="20" t="s">
        <v>1910</v>
      </c>
      <c r="B1384" s="19">
        <v>45546</v>
      </c>
      <c r="C1384" s="20" t="s">
        <v>757</v>
      </c>
      <c r="D1384" s="20" t="s">
        <v>163</v>
      </c>
      <c r="E1384" s="20" t="s">
        <v>187</v>
      </c>
      <c r="F1384" s="20" t="s">
        <v>2594</v>
      </c>
      <c r="G1384" s="20" t="s">
        <v>2577</v>
      </c>
      <c r="H1384" s="20" t="s">
        <v>26</v>
      </c>
      <c r="I1384" s="20" t="s">
        <v>27</v>
      </c>
      <c r="J1384" s="20" t="s">
        <v>28</v>
      </c>
      <c r="K1384" s="20" t="s">
        <v>170</v>
      </c>
      <c r="L1384" s="20" t="s">
        <v>2671</v>
      </c>
      <c r="M1384" s="20" t="s">
        <v>153</v>
      </c>
      <c r="N1384" s="20" t="s">
        <v>2578</v>
      </c>
      <c r="O1384" s="20">
        <v>20</v>
      </c>
      <c r="P1384" s="20">
        <v>51.65</v>
      </c>
      <c r="Q1384" s="20">
        <v>28.24</v>
      </c>
      <c r="R1384" s="20">
        <v>1033.0899999999999</v>
      </c>
      <c r="S1384" s="20">
        <v>0.02</v>
      </c>
      <c r="T1384" s="20">
        <v>20.66</v>
      </c>
      <c r="U1384" s="20">
        <v>1012.43</v>
      </c>
      <c r="V1384" s="20">
        <v>564.86</v>
      </c>
      <c r="W1384" s="20">
        <v>447.57</v>
      </c>
      <c r="X1384" s="20" t="s">
        <v>129</v>
      </c>
    </row>
    <row r="1385" spans="1:24" x14ac:dyDescent="0.25">
      <c r="A1385" s="23" t="s">
        <v>1911</v>
      </c>
      <c r="B1385" s="22">
        <v>45427</v>
      </c>
      <c r="C1385" s="23" t="s">
        <v>21</v>
      </c>
      <c r="D1385" s="23" t="s">
        <v>22</v>
      </c>
      <c r="E1385" s="23" t="s">
        <v>150</v>
      </c>
      <c r="F1385" s="23" t="s">
        <v>2591</v>
      </c>
      <c r="G1385" s="23" t="s">
        <v>2587</v>
      </c>
      <c r="H1385" s="23" t="s">
        <v>134</v>
      </c>
      <c r="I1385" s="23" t="s">
        <v>53</v>
      </c>
      <c r="J1385" s="23" t="s">
        <v>122</v>
      </c>
      <c r="K1385" s="23" t="s">
        <v>253</v>
      </c>
      <c r="L1385" s="23" t="s">
        <v>2694</v>
      </c>
      <c r="M1385" s="23" t="s">
        <v>61</v>
      </c>
      <c r="N1385" s="23" t="s">
        <v>44</v>
      </c>
      <c r="O1385" s="23">
        <v>70</v>
      </c>
      <c r="P1385" s="23">
        <v>82.03</v>
      </c>
      <c r="Q1385" s="23">
        <v>54.78</v>
      </c>
      <c r="R1385" s="23">
        <v>5742.1</v>
      </c>
      <c r="S1385" s="23">
        <v>0.1</v>
      </c>
      <c r="T1385" s="23">
        <v>574.21</v>
      </c>
      <c r="U1385" s="23">
        <v>5167.8900000000003</v>
      </c>
      <c r="V1385" s="23">
        <v>3834.67</v>
      </c>
      <c r="W1385" s="23">
        <v>1333.22</v>
      </c>
      <c r="X1385" s="23" t="s">
        <v>45</v>
      </c>
    </row>
    <row r="1386" spans="1:24" x14ac:dyDescent="0.25">
      <c r="A1386" s="20" t="s">
        <v>1912</v>
      </c>
      <c r="B1386" s="19">
        <v>45476</v>
      </c>
      <c r="C1386" s="20" t="s">
        <v>497</v>
      </c>
      <c r="D1386" s="20" t="s">
        <v>35</v>
      </c>
      <c r="E1386" s="20" t="s">
        <v>150</v>
      </c>
      <c r="F1386" s="20" t="s">
        <v>2591</v>
      </c>
      <c r="G1386" s="20" t="s">
        <v>2587</v>
      </c>
      <c r="H1386" s="20" t="s">
        <v>134</v>
      </c>
      <c r="I1386" s="20" t="s">
        <v>88</v>
      </c>
      <c r="J1386" s="20" t="s">
        <v>173</v>
      </c>
      <c r="K1386" s="20" t="s">
        <v>111</v>
      </c>
      <c r="L1386" s="20" t="s">
        <v>2685</v>
      </c>
      <c r="M1386" s="20" t="s">
        <v>153</v>
      </c>
      <c r="N1386" s="20" t="s">
        <v>70</v>
      </c>
      <c r="O1386" s="20">
        <v>46</v>
      </c>
      <c r="P1386" s="20">
        <v>80.86</v>
      </c>
      <c r="Q1386" s="20">
        <v>49.74</v>
      </c>
      <c r="R1386" s="20">
        <v>3719.34</v>
      </c>
      <c r="S1386" s="20">
        <v>0.05</v>
      </c>
      <c r="T1386" s="20">
        <v>185.97</v>
      </c>
      <c r="U1386" s="20">
        <v>3533.38</v>
      </c>
      <c r="V1386" s="20">
        <v>2287.9499999999998</v>
      </c>
      <c r="W1386" s="20">
        <v>1245.43</v>
      </c>
      <c r="X1386" s="20" t="s">
        <v>45</v>
      </c>
    </row>
    <row r="1387" spans="1:24" x14ac:dyDescent="0.25">
      <c r="A1387" s="23" t="s">
        <v>1913</v>
      </c>
      <c r="B1387" s="22">
        <v>45390</v>
      </c>
      <c r="C1387" s="23" t="s">
        <v>529</v>
      </c>
      <c r="D1387" s="23" t="s">
        <v>256</v>
      </c>
      <c r="E1387" s="23" t="s">
        <v>109</v>
      </c>
      <c r="F1387" s="23" t="s">
        <v>110</v>
      </c>
      <c r="G1387" s="23" t="s">
        <v>2584</v>
      </c>
      <c r="H1387" s="23" t="s">
        <v>81</v>
      </c>
      <c r="I1387" s="23" t="s">
        <v>27</v>
      </c>
      <c r="J1387" s="23" t="s">
        <v>106</v>
      </c>
      <c r="K1387" s="23" t="s">
        <v>152</v>
      </c>
      <c r="L1387" s="23" t="s">
        <v>2688</v>
      </c>
      <c r="M1387" s="23" t="s">
        <v>61</v>
      </c>
      <c r="N1387" s="23" t="s">
        <v>70</v>
      </c>
      <c r="O1387" s="23">
        <v>19</v>
      </c>
      <c r="P1387" s="23">
        <v>134.97</v>
      </c>
      <c r="Q1387" s="23">
        <v>79.13</v>
      </c>
      <c r="R1387" s="23">
        <v>2564.37</v>
      </c>
      <c r="S1387" s="23">
        <v>0.1</v>
      </c>
      <c r="T1387" s="23">
        <v>256.44</v>
      </c>
      <c r="U1387" s="23">
        <v>2307.9299999999998</v>
      </c>
      <c r="V1387" s="23">
        <v>1503.43</v>
      </c>
      <c r="W1387" s="23">
        <v>804.5</v>
      </c>
      <c r="X1387" s="23" t="s">
        <v>45</v>
      </c>
    </row>
    <row r="1388" spans="1:24" x14ac:dyDescent="0.25">
      <c r="A1388" s="20" t="s">
        <v>1914</v>
      </c>
      <c r="B1388" s="19">
        <v>45342</v>
      </c>
      <c r="C1388" s="20" t="s">
        <v>201</v>
      </c>
      <c r="D1388" s="20" t="s">
        <v>57</v>
      </c>
      <c r="E1388" s="20" t="s">
        <v>250</v>
      </c>
      <c r="F1388" s="20" t="s">
        <v>2598</v>
      </c>
      <c r="G1388" s="20" t="s">
        <v>2581</v>
      </c>
      <c r="H1388" s="20" t="s">
        <v>252</v>
      </c>
      <c r="I1388" s="20" t="s">
        <v>53</v>
      </c>
      <c r="J1388" s="20" t="s">
        <v>143</v>
      </c>
      <c r="K1388" s="20" t="s">
        <v>144</v>
      </c>
      <c r="L1388" s="20" t="s">
        <v>2687</v>
      </c>
      <c r="M1388" s="20" t="s">
        <v>153</v>
      </c>
      <c r="N1388" s="20" t="s">
        <v>84</v>
      </c>
      <c r="O1388" s="20">
        <v>17</v>
      </c>
      <c r="P1388" s="20">
        <v>65.16</v>
      </c>
      <c r="Q1388" s="20">
        <v>35.94</v>
      </c>
      <c r="R1388" s="20">
        <v>1107.6400000000001</v>
      </c>
      <c r="S1388" s="20">
        <v>0.2</v>
      </c>
      <c r="T1388" s="20">
        <v>221.53</v>
      </c>
      <c r="U1388" s="20">
        <v>886.11</v>
      </c>
      <c r="V1388" s="20">
        <v>611</v>
      </c>
      <c r="W1388" s="20">
        <v>275.11</v>
      </c>
      <c r="X1388" s="20" t="s">
        <v>45</v>
      </c>
    </row>
    <row r="1389" spans="1:24" x14ac:dyDescent="0.25">
      <c r="A1389" s="23" t="s">
        <v>1915</v>
      </c>
      <c r="B1389" s="22">
        <v>45643</v>
      </c>
      <c r="C1389" s="23" t="s">
        <v>1426</v>
      </c>
      <c r="D1389" s="23" t="s">
        <v>22</v>
      </c>
      <c r="E1389" s="23" t="s">
        <v>93</v>
      </c>
      <c r="F1389" s="23" t="s">
        <v>2585</v>
      </c>
      <c r="G1389" s="23" t="s">
        <v>2586</v>
      </c>
      <c r="H1389" s="23" t="s">
        <v>96</v>
      </c>
      <c r="I1389" s="23" t="s">
        <v>58</v>
      </c>
      <c r="J1389" s="23" t="s">
        <v>323</v>
      </c>
      <c r="K1389" s="23" t="s">
        <v>69</v>
      </c>
      <c r="L1389" s="23" t="s">
        <v>2681</v>
      </c>
      <c r="M1389" s="23" t="s">
        <v>43</v>
      </c>
      <c r="N1389" s="23" t="s">
        <v>2578</v>
      </c>
      <c r="O1389" s="23">
        <v>76</v>
      </c>
      <c r="P1389" s="23">
        <v>57.71</v>
      </c>
      <c r="Q1389" s="23">
        <v>33.340000000000003</v>
      </c>
      <c r="R1389" s="23">
        <v>4385.8900000000003</v>
      </c>
      <c r="S1389" s="23">
        <v>0.05</v>
      </c>
      <c r="T1389" s="23">
        <v>219.29</v>
      </c>
      <c r="U1389" s="23">
        <v>4166.59</v>
      </c>
      <c r="V1389" s="23">
        <v>2534.06</v>
      </c>
      <c r="W1389" s="23">
        <v>1632.53</v>
      </c>
      <c r="X1389" s="23" t="s">
        <v>45</v>
      </c>
    </row>
    <row r="1390" spans="1:24" x14ac:dyDescent="0.25">
      <c r="A1390" s="20" t="s">
        <v>1916</v>
      </c>
      <c r="B1390" s="19">
        <v>45360</v>
      </c>
      <c r="C1390" s="20" t="s">
        <v>1620</v>
      </c>
      <c r="D1390" s="20" t="s">
        <v>359</v>
      </c>
      <c r="E1390" s="20" t="s">
        <v>209</v>
      </c>
      <c r="F1390" s="20" t="s">
        <v>2595</v>
      </c>
      <c r="G1390" s="20" t="s">
        <v>2581</v>
      </c>
      <c r="H1390" s="20" t="s">
        <v>116</v>
      </c>
      <c r="I1390" s="20" t="s">
        <v>27</v>
      </c>
      <c r="J1390" s="20" t="s">
        <v>211</v>
      </c>
      <c r="K1390" s="20" t="s">
        <v>178</v>
      </c>
      <c r="L1390" s="20" t="s">
        <v>2689</v>
      </c>
      <c r="M1390" s="20" t="s">
        <v>153</v>
      </c>
      <c r="N1390" s="20" t="s">
        <v>70</v>
      </c>
      <c r="O1390" s="20">
        <v>34</v>
      </c>
      <c r="P1390" s="20">
        <v>18.37</v>
      </c>
      <c r="Q1390" s="20">
        <v>10.6</v>
      </c>
      <c r="R1390" s="20">
        <v>624.63</v>
      </c>
      <c r="S1390" s="20">
        <v>0.2</v>
      </c>
      <c r="T1390" s="20">
        <v>124.93</v>
      </c>
      <c r="U1390" s="20">
        <v>499.7</v>
      </c>
      <c r="V1390" s="20">
        <v>360.53</v>
      </c>
      <c r="W1390" s="20">
        <v>139.16999999999999</v>
      </c>
      <c r="X1390" s="20" t="s">
        <v>45</v>
      </c>
    </row>
    <row r="1391" spans="1:24" x14ac:dyDescent="0.25">
      <c r="A1391" s="23" t="s">
        <v>1917</v>
      </c>
      <c r="B1391" s="22">
        <v>45474</v>
      </c>
      <c r="C1391" s="23" t="s">
        <v>341</v>
      </c>
      <c r="D1391" s="23" t="s">
        <v>259</v>
      </c>
      <c r="E1391" s="23" t="s">
        <v>109</v>
      </c>
      <c r="F1391" s="23" t="s">
        <v>110</v>
      </c>
      <c r="G1391" s="23" t="s">
        <v>2584</v>
      </c>
      <c r="H1391" s="23" t="s">
        <v>81</v>
      </c>
      <c r="I1391" s="23" t="s">
        <v>53</v>
      </c>
      <c r="J1391" s="23" t="s">
        <v>143</v>
      </c>
      <c r="K1391" s="23" t="s">
        <v>248</v>
      </c>
      <c r="L1391" s="23" t="s">
        <v>2693</v>
      </c>
      <c r="M1391" s="23" t="s">
        <v>30</v>
      </c>
      <c r="N1391" s="23" t="s">
        <v>75</v>
      </c>
      <c r="O1391" s="23">
        <v>43</v>
      </c>
      <c r="P1391" s="23">
        <v>133.56</v>
      </c>
      <c r="Q1391" s="23">
        <v>70.739999999999995</v>
      </c>
      <c r="R1391" s="23">
        <v>5743.15</v>
      </c>
      <c r="S1391" s="23">
        <v>0</v>
      </c>
      <c r="T1391" s="23">
        <v>0</v>
      </c>
      <c r="U1391" s="23">
        <v>5743.15</v>
      </c>
      <c r="V1391" s="23">
        <v>3041.8</v>
      </c>
      <c r="W1391" s="23">
        <v>2701.36</v>
      </c>
      <c r="X1391" s="23" t="s">
        <v>45</v>
      </c>
    </row>
    <row r="1392" spans="1:24" x14ac:dyDescent="0.25">
      <c r="A1392" s="20" t="s">
        <v>1918</v>
      </c>
      <c r="B1392" s="19">
        <v>45388</v>
      </c>
      <c r="C1392" s="20" t="s">
        <v>859</v>
      </c>
      <c r="D1392" s="20" t="s">
        <v>221</v>
      </c>
      <c r="E1392" s="20" t="s">
        <v>165</v>
      </c>
      <c r="F1392" s="20" t="s">
        <v>2592</v>
      </c>
      <c r="G1392" s="20" t="s">
        <v>2586</v>
      </c>
      <c r="H1392" s="20" t="s">
        <v>167</v>
      </c>
      <c r="I1392" s="20" t="s">
        <v>53</v>
      </c>
      <c r="J1392" s="20" t="s">
        <v>54</v>
      </c>
      <c r="K1392" s="20" t="s">
        <v>42</v>
      </c>
      <c r="L1392" s="20" t="s">
        <v>2680</v>
      </c>
      <c r="M1392" s="20" t="s">
        <v>43</v>
      </c>
      <c r="N1392" s="20" t="s">
        <v>44</v>
      </c>
      <c r="O1392" s="20">
        <v>1</v>
      </c>
      <c r="P1392" s="20">
        <v>42.83</v>
      </c>
      <c r="Q1392" s="20">
        <v>24.64</v>
      </c>
      <c r="R1392" s="20">
        <v>42.83</v>
      </c>
      <c r="S1392" s="20">
        <v>0.2</v>
      </c>
      <c r="T1392" s="20">
        <v>8.57</v>
      </c>
      <c r="U1392" s="20">
        <v>34.270000000000003</v>
      </c>
      <c r="V1392" s="20">
        <v>24.64</v>
      </c>
      <c r="W1392" s="20">
        <v>9.6300000000000008</v>
      </c>
      <c r="X1392" s="20" t="s">
        <v>45</v>
      </c>
    </row>
    <row r="1393" spans="1:24" x14ac:dyDescent="0.25">
      <c r="A1393" s="23" t="s">
        <v>1919</v>
      </c>
      <c r="B1393" s="22">
        <v>45482</v>
      </c>
      <c r="C1393" s="23" t="s">
        <v>347</v>
      </c>
      <c r="D1393" s="23" t="s">
        <v>163</v>
      </c>
      <c r="E1393" s="23" t="s">
        <v>49</v>
      </c>
      <c r="F1393" s="23" t="s">
        <v>2580</v>
      </c>
      <c r="G1393" s="23" t="s">
        <v>2581</v>
      </c>
      <c r="H1393" s="23" t="s">
        <v>52</v>
      </c>
      <c r="I1393" s="23" t="s">
        <v>58</v>
      </c>
      <c r="J1393" s="23" t="s">
        <v>73</v>
      </c>
      <c r="K1393" s="23" t="s">
        <v>29</v>
      </c>
      <c r="L1393" s="23" t="s">
        <v>2679</v>
      </c>
      <c r="M1393" s="23" t="s">
        <v>153</v>
      </c>
      <c r="N1393" s="23" t="s">
        <v>2578</v>
      </c>
      <c r="O1393" s="23">
        <v>2</v>
      </c>
      <c r="P1393" s="23">
        <v>26.47</v>
      </c>
      <c r="Q1393" s="23">
        <v>13.16</v>
      </c>
      <c r="R1393" s="23">
        <v>52.94</v>
      </c>
      <c r="S1393" s="23">
        <v>0.05</v>
      </c>
      <c r="T1393" s="23">
        <v>2.65</v>
      </c>
      <c r="U1393" s="23">
        <v>50.29</v>
      </c>
      <c r="V1393" s="23">
        <v>26.33</v>
      </c>
      <c r="W1393" s="23">
        <v>23.96</v>
      </c>
      <c r="X1393" s="23" t="s">
        <v>32</v>
      </c>
    </row>
    <row r="1394" spans="1:24" x14ac:dyDescent="0.25">
      <c r="A1394" s="20" t="s">
        <v>1920</v>
      </c>
      <c r="B1394" s="19">
        <v>45542</v>
      </c>
      <c r="C1394" s="20" t="s">
        <v>365</v>
      </c>
      <c r="D1394" s="20" t="s">
        <v>22</v>
      </c>
      <c r="E1394" s="20" t="s">
        <v>66</v>
      </c>
      <c r="F1394" s="20" t="s">
        <v>2582</v>
      </c>
      <c r="G1394" s="20" t="s">
        <v>2579</v>
      </c>
      <c r="H1394" s="20" t="s">
        <v>68</v>
      </c>
      <c r="I1394" s="20" t="s">
        <v>58</v>
      </c>
      <c r="J1394" s="20" t="s">
        <v>323</v>
      </c>
      <c r="K1394" s="20" t="s">
        <v>261</v>
      </c>
      <c r="L1394" s="20" t="s">
        <v>2695</v>
      </c>
      <c r="M1394" s="20" t="s">
        <v>30</v>
      </c>
      <c r="N1394" s="20" t="s">
        <v>70</v>
      </c>
      <c r="O1394" s="20">
        <v>58</v>
      </c>
      <c r="P1394" s="20">
        <v>148.74</v>
      </c>
      <c r="Q1394" s="20">
        <v>111.23</v>
      </c>
      <c r="R1394" s="20">
        <v>8627.09</v>
      </c>
      <c r="S1394" s="20">
        <v>0.1</v>
      </c>
      <c r="T1394" s="20">
        <v>862.71</v>
      </c>
      <c r="U1394" s="20">
        <v>7764.38</v>
      </c>
      <c r="V1394" s="20">
        <v>6451.28</v>
      </c>
      <c r="W1394" s="20">
        <v>1313.09</v>
      </c>
      <c r="X1394" s="20" t="s">
        <v>45</v>
      </c>
    </row>
    <row r="1395" spans="1:24" x14ac:dyDescent="0.25">
      <c r="A1395" s="23" t="s">
        <v>1921</v>
      </c>
      <c r="B1395" s="22">
        <v>45451</v>
      </c>
      <c r="C1395" s="23" t="s">
        <v>2619</v>
      </c>
      <c r="D1395" s="23" t="s">
        <v>2619</v>
      </c>
      <c r="E1395" s="23" t="s">
        <v>132</v>
      </c>
      <c r="F1395" s="23" t="s">
        <v>133</v>
      </c>
      <c r="G1395" s="23" t="s">
        <v>2581</v>
      </c>
      <c r="H1395" s="23" t="s">
        <v>134</v>
      </c>
      <c r="I1395" s="23" t="s">
        <v>40</v>
      </c>
      <c r="J1395" s="23" t="s">
        <v>82</v>
      </c>
      <c r="K1395" s="23" t="s">
        <v>218</v>
      </c>
      <c r="L1395" s="23" t="s">
        <v>2692</v>
      </c>
      <c r="M1395" s="23" t="s">
        <v>43</v>
      </c>
      <c r="N1395" s="23" t="s">
        <v>84</v>
      </c>
      <c r="O1395" s="23">
        <v>65</v>
      </c>
      <c r="P1395" s="23">
        <v>55.3</v>
      </c>
      <c r="Q1395" s="23">
        <v>35.18</v>
      </c>
      <c r="R1395" s="23">
        <v>3594.42</v>
      </c>
      <c r="S1395" s="23">
        <v>0.1</v>
      </c>
      <c r="T1395" s="23">
        <v>359.44</v>
      </c>
      <c r="U1395" s="23">
        <v>3234.98</v>
      </c>
      <c r="V1395" s="23">
        <v>2286.4</v>
      </c>
      <c r="W1395" s="23">
        <v>948.58</v>
      </c>
      <c r="X1395" s="23" t="s">
        <v>45</v>
      </c>
    </row>
    <row r="1396" spans="1:24" x14ac:dyDescent="0.25">
      <c r="A1396" s="20" t="s">
        <v>1922</v>
      </c>
      <c r="B1396" s="19">
        <v>45645</v>
      </c>
      <c r="C1396" s="20" t="s">
        <v>98</v>
      </c>
      <c r="D1396" s="20" t="s">
        <v>48</v>
      </c>
      <c r="E1396" s="20" t="s">
        <v>78</v>
      </c>
      <c r="F1396" s="20" t="s">
        <v>2583</v>
      </c>
      <c r="G1396" s="20" t="s">
        <v>2584</v>
      </c>
      <c r="H1396" s="20" t="s">
        <v>81</v>
      </c>
      <c r="I1396" s="20" t="s">
        <v>40</v>
      </c>
      <c r="J1396" s="20" t="s">
        <v>289</v>
      </c>
      <c r="K1396" s="20" t="s">
        <v>74</v>
      </c>
      <c r="L1396" s="20" t="s">
        <v>2682</v>
      </c>
      <c r="M1396" s="20" t="s">
        <v>153</v>
      </c>
      <c r="N1396" s="20" t="s">
        <v>2578</v>
      </c>
      <c r="O1396" s="20">
        <v>13</v>
      </c>
      <c r="P1396" s="20">
        <v>139.25</v>
      </c>
      <c r="Q1396" s="20">
        <v>76.430000000000007</v>
      </c>
      <c r="R1396" s="20">
        <v>1810.19</v>
      </c>
      <c r="S1396" s="20">
        <v>0.05</v>
      </c>
      <c r="T1396" s="20">
        <v>90.51</v>
      </c>
      <c r="U1396" s="20">
        <v>1719.68</v>
      </c>
      <c r="V1396" s="20">
        <v>993.63</v>
      </c>
      <c r="W1396" s="20">
        <v>726.05</v>
      </c>
      <c r="X1396" s="20" t="s">
        <v>45</v>
      </c>
    </row>
    <row r="1397" spans="1:24" x14ac:dyDescent="0.25">
      <c r="A1397" s="23" t="s">
        <v>1923</v>
      </c>
      <c r="B1397" s="22">
        <v>45452</v>
      </c>
      <c r="C1397" s="23" t="s">
        <v>258</v>
      </c>
      <c r="D1397" s="23" t="s">
        <v>259</v>
      </c>
      <c r="E1397" s="23" t="s">
        <v>250</v>
      </c>
      <c r="F1397" s="23" t="s">
        <v>2598</v>
      </c>
      <c r="G1397" s="23" t="s">
        <v>2581</v>
      </c>
      <c r="H1397" s="23" t="s">
        <v>252</v>
      </c>
      <c r="I1397" s="23" t="s">
        <v>40</v>
      </c>
      <c r="J1397" s="23" t="s">
        <v>117</v>
      </c>
      <c r="K1397" s="23" t="s">
        <v>195</v>
      </c>
      <c r="L1397" s="23" t="s">
        <v>2691</v>
      </c>
      <c r="M1397" s="23" t="s">
        <v>30</v>
      </c>
      <c r="N1397" s="23" t="s">
        <v>75</v>
      </c>
      <c r="O1397" s="23">
        <v>43</v>
      </c>
      <c r="P1397" s="23">
        <v>66.97</v>
      </c>
      <c r="Q1397" s="23">
        <v>39.07</v>
      </c>
      <c r="R1397" s="23">
        <v>2879.76</v>
      </c>
      <c r="S1397" s="23">
        <v>0.15</v>
      </c>
      <c r="T1397" s="23">
        <v>431.96</v>
      </c>
      <c r="U1397" s="23">
        <v>2447.79</v>
      </c>
      <c r="V1397" s="23">
        <v>1680.15</v>
      </c>
      <c r="W1397" s="23">
        <v>767.65</v>
      </c>
      <c r="X1397" s="23" t="s">
        <v>45</v>
      </c>
    </row>
    <row r="1398" spans="1:24" x14ac:dyDescent="0.25">
      <c r="A1398" s="20" t="s">
        <v>1924</v>
      </c>
      <c r="B1398" s="19">
        <v>45605</v>
      </c>
      <c r="C1398" s="20" t="s">
        <v>98</v>
      </c>
      <c r="D1398" s="20" t="s">
        <v>48</v>
      </c>
      <c r="E1398" s="20" t="s">
        <v>216</v>
      </c>
      <c r="F1398" s="20" t="s">
        <v>2596</v>
      </c>
      <c r="G1398" s="20" t="s">
        <v>2579</v>
      </c>
      <c r="H1398" s="20" t="s">
        <v>134</v>
      </c>
      <c r="I1398" s="20" t="s">
        <v>40</v>
      </c>
      <c r="J1398" s="20" t="s">
        <v>41</v>
      </c>
      <c r="K1398" s="20" t="s">
        <v>253</v>
      </c>
      <c r="L1398" s="20" t="s">
        <v>2694</v>
      </c>
      <c r="M1398" s="20" t="s">
        <v>30</v>
      </c>
      <c r="N1398" s="20" t="s">
        <v>2578</v>
      </c>
      <c r="O1398" s="20">
        <v>44</v>
      </c>
      <c r="P1398" s="20">
        <v>118.47</v>
      </c>
      <c r="Q1398" s="20">
        <v>63.68</v>
      </c>
      <c r="R1398" s="20">
        <v>5212.62</v>
      </c>
      <c r="S1398" s="20">
        <v>0.1</v>
      </c>
      <c r="T1398" s="20">
        <v>521.26</v>
      </c>
      <c r="U1398" s="20">
        <v>4691.3599999999997</v>
      </c>
      <c r="V1398" s="20">
        <v>2801.83</v>
      </c>
      <c r="W1398" s="20">
        <v>1889.53</v>
      </c>
      <c r="X1398" s="20" t="s">
        <v>45</v>
      </c>
    </row>
    <row r="1399" spans="1:24" x14ac:dyDescent="0.25">
      <c r="A1399" s="23" t="s">
        <v>1925</v>
      </c>
      <c r="B1399" s="22">
        <v>45323</v>
      </c>
      <c r="C1399" s="23" t="s">
        <v>358</v>
      </c>
      <c r="D1399" s="23" t="s">
        <v>359</v>
      </c>
      <c r="E1399" s="23" t="s">
        <v>23</v>
      </c>
      <c r="F1399" s="23" t="s">
        <v>2576</v>
      </c>
      <c r="G1399" s="23" t="s">
        <v>2577</v>
      </c>
      <c r="H1399" s="23" t="s">
        <v>26</v>
      </c>
      <c r="I1399" s="23" t="s">
        <v>58</v>
      </c>
      <c r="J1399" s="23" t="s">
        <v>323</v>
      </c>
      <c r="K1399" s="23" t="s">
        <v>118</v>
      </c>
      <c r="L1399" s="23" t="s">
        <v>2686</v>
      </c>
      <c r="M1399" s="23" t="s">
        <v>153</v>
      </c>
      <c r="N1399" s="23" t="s">
        <v>2578</v>
      </c>
      <c r="O1399" s="23">
        <v>38</v>
      </c>
      <c r="P1399" s="23">
        <v>75.45</v>
      </c>
      <c r="Q1399" s="23">
        <v>46.96</v>
      </c>
      <c r="R1399" s="23">
        <v>2867.05</v>
      </c>
      <c r="S1399" s="23">
        <v>0.02</v>
      </c>
      <c r="T1399" s="23">
        <v>57.34</v>
      </c>
      <c r="U1399" s="23">
        <v>2809.71</v>
      </c>
      <c r="V1399" s="23">
        <v>1784.32</v>
      </c>
      <c r="W1399" s="23">
        <v>1025.3900000000001</v>
      </c>
      <c r="X1399" s="23" t="s">
        <v>45</v>
      </c>
    </row>
    <row r="1400" spans="1:24" x14ac:dyDescent="0.25">
      <c r="A1400" s="20" t="s">
        <v>1926</v>
      </c>
      <c r="B1400" s="19">
        <v>45534</v>
      </c>
      <c r="C1400" s="20" t="s">
        <v>653</v>
      </c>
      <c r="D1400" s="20" t="s">
        <v>87</v>
      </c>
      <c r="E1400" s="20" t="s">
        <v>150</v>
      </c>
      <c r="F1400" s="20" t="s">
        <v>2591</v>
      </c>
      <c r="G1400" s="20" t="s">
        <v>2587</v>
      </c>
      <c r="H1400" s="20" t="s">
        <v>134</v>
      </c>
      <c r="I1400" s="20" t="s">
        <v>27</v>
      </c>
      <c r="J1400" s="20" t="s">
        <v>106</v>
      </c>
      <c r="K1400" s="20" t="s">
        <v>195</v>
      </c>
      <c r="L1400" s="20" t="s">
        <v>2691</v>
      </c>
      <c r="M1400" s="20" t="s">
        <v>30</v>
      </c>
      <c r="N1400" s="20" t="s">
        <v>70</v>
      </c>
      <c r="O1400" s="20">
        <v>75</v>
      </c>
      <c r="P1400" s="20">
        <v>84.46</v>
      </c>
      <c r="Q1400" s="20">
        <v>53.97</v>
      </c>
      <c r="R1400" s="20">
        <v>6334.57</v>
      </c>
      <c r="S1400" s="20">
        <v>0</v>
      </c>
      <c r="T1400" s="20">
        <v>0</v>
      </c>
      <c r="U1400" s="20">
        <v>6334.57</v>
      </c>
      <c r="V1400" s="20">
        <v>4048.11</v>
      </c>
      <c r="W1400" s="20">
        <v>2286.4499999999998</v>
      </c>
      <c r="X1400" s="20" t="s">
        <v>45</v>
      </c>
    </row>
    <row r="1401" spans="1:24" x14ac:dyDescent="0.25">
      <c r="A1401" s="23" t="s">
        <v>1927</v>
      </c>
      <c r="B1401" s="22">
        <v>45635</v>
      </c>
      <c r="C1401" s="23" t="s">
        <v>205</v>
      </c>
      <c r="D1401" s="23" t="s">
        <v>22</v>
      </c>
      <c r="E1401" s="23" t="s">
        <v>222</v>
      </c>
      <c r="F1401" s="23" t="s">
        <v>2597</v>
      </c>
      <c r="G1401" s="23" t="s">
        <v>2587</v>
      </c>
      <c r="H1401" s="23" t="s">
        <v>68</v>
      </c>
      <c r="I1401" s="23" t="s">
        <v>40</v>
      </c>
      <c r="J1401" s="23" t="s">
        <v>117</v>
      </c>
      <c r="K1401" s="23" t="s">
        <v>29</v>
      </c>
      <c r="L1401" s="23" t="s">
        <v>2679</v>
      </c>
      <c r="M1401" s="23" t="s">
        <v>30</v>
      </c>
      <c r="N1401" s="23" t="s">
        <v>44</v>
      </c>
      <c r="O1401" s="23">
        <v>57</v>
      </c>
      <c r="P1401" s="23">
        <v>111.09</v>
      </c>
      <c r="Q1401" s="23">
        <v>75.540000000000006</v>
      </c>
      <c r="R1401" s="23">
        <v>6332.37</v>
      </c>
      <c r="S1401" s="23">
        <v>0.2</v>
      </c>
      <c r="T1401" s="23">
        <v>1266.47</v>
      </c>
      <c r="U1401" s="23">
        <v>5065.8999999999996</v>
      </c>
      <c r="V1401" s="23">
        <v>4305.95</v>
      </c>
      <c r="W1401" s="23">
        <v>759.95</v>
      </c>
      <c r="X1401" s="23" t="s">
        <v>45</v>
      </c>
    </row>
    <row r="1402" spans="1:24" x14ac:dyDescent="0.25">
      <c r="A1402" s="20" t="s">
        <v>1928</v>
      </c>
      <c r="B1402" s="19">
        <v>45313</v>
      </c>
      <c r="C1402" s="20" t="s">
        <v>433</v>
      </c>
      <c r="D1402" s="20" t="s">
        <v>22</v>
      </c>
      <c r="E1402" s="20" t="s">
        <v>209</v>
      </c>
      <c r="F1402" s="20" t="s">
        <v>2595</v>
      </c>
      <c r="G1402" s="20" t="s">
        <v>2581</v>
      </c>
      <c r="H1402" s="20" t="s">
        <v>116</v>
      </c>
      <c r="I1402" s="20" t="s">
        <v>27</v>
      </c>
      <c r="J1402" s="20" t="s">
        <v>211</v>
      </c>
      <c r="K1402" s="20" t="s">
        <v>253</v>
      </c>
      <c r="L1402" s="20" t="s">
        <v>2694</v>
      </c>
      <c r="M1402" s="20" t="s">
        <v>43</v>
      </c>
      <c r="N1402" s="20" t="s">
        <v>84</v>
      </c>
      <c r="O1402" s="20">
        <v>61</v>
      </c>
      <c r="P1402" s="20">
        <v>17.53</v>
      </c>
      <c r="Q1402" s="20">
        <v>9.43</v>
      </c>
      <c r="R1402" s="20">
        <v>1069.4000000000001</v>
      </c>
      <c r="S1402" s="20">
        <v>0.05</v>
      </c>
      <c r="T1402" s="20">
        <v>53.47</v>
      </c>
      <c r="U1402" s="20">
        <v>1015.93</v>
      </c>
      <c r="V1402" s="20">
        <v>575.14</v>
      </c>
      <c r="W1402" s="20">
        <v>440.79</v>
      </c>
      <c r="X1402" s="20" t="s">
        <v>45</v>
      </c>
    </row>
    <row r="1403" spans="1:24" x14ac:dyDescent="0.25">
      <c r="A1403" s="23" t="s">
        <v>1929</v>
      </c>
      <c r="B1403" s="22">
        <v>45558</v>
      </c>
      <c r="C1403" s="23" t="s">
        <v>744</v>
      </c>
      <c r="D1403" s="23" t="s">
        <v>65</v>
      </c>
      <c r="E1403" s="23" t="s">
        <v>250</v>
      </c>
      <c r="F1403" s="23" t="s">
        <v>2598</v>
      </c>
      <c r="G1403" s="23" t="s">
        <v>2581</v>
      </c>
      <c r="H1403" s="23" t="s">
        <v>252</v>
      </c>
      <c r="I1403" s="23" t="s">
        <v>40</v>
      </c>
      <c r="J1403" s="23" t="s">
        <v>41</v>
      </c>
      <c r="K1403" s="23" t="s">
        <v>83</v>
      </c>
      <c r="L1403" s="23" t="s">
        <v>2683</v>
      </c>
      <c r="M1403" s="23" t="s">
        <v>43</v>
      </c>
      <c r="N1403" s="23" t="s">
        <v>70</v>
      </c>
      <c r="O1403" s="23">
        <v>44</v>
      </c>
      <c r="P1403" s="23">
        <v>62.02</v>
      </c>
      <c r="Q1403" s="23">
        <v>35.15</v>
      </c>
      <c r="R1403" s="23">
        <v>2728.72</v>
      </c>
      <c r="S1403" s="23">
        <v>0.2</v>
      </c>
      <c r="T1403" s="23">
        <v>545.74</v>
      </c>
      <c r="U1403" s="23">
        <v>1946.54</v>
      </c>
      <c r="V1403" s="23">
        <v>1546.57</v>
      </c>
      <c r="W1403" s="23">
        <v>636.4</v>
      </c>
      <c r="X1403" s="23" t="s">
        <v>45</v>
      </c>
    </row>
    <row r="1404" spans="1:24" x14ac:dyDescent="0.25">
      <c r="A1404" s="20" t="s">
        <v>1930</v>
      </c>
      <c r="B1404" s="19">
        <v>45338</v>
      </c>
      <c r="C1404" s="20" t="s">
        <v>155</v>
      </c>
      <c r="D1404" s="20" t="s">
        <v>156</v>
      </c>
      <c r="E1404" s="20" t="s">
        <v>216</v>
      </c>
      <c r="F1404" s="20" t="s">
        <v>2596</v>
      </c>
      <c r="G1404" s="20" t="s">
        <v>2579</v>
      </c>
      <c r="H1404" s="20" t="s">
        <v>134</v>
      </c>
      <c r="I1404" s="20" t="s">
        <v>27</v>
      </c>
      <c r="J1404" s="20" t="s">
        <v>211</v>
      </c>
      <c r="K1404" s="20" t="s">
        <v>152</v>
      </c>
      <c r="L1404" s="20" t="s">
        <v>2688</v>
      </c>
      <c r="M1404" s="20" t="s">
        <v>43</v>
      </c>
      <c r="N1404" s="20" t="s">
        <v>70</v>
      </c>
      <c r="O1404" s="20">
        <v>28</v>
      </c>
      <c r="P1404" s="20">
        <v>116.9</v>
      </c>
      <c r="Q1404" s="20">
        <v>68.41</v>
      </c>
      <c r="R1404" s="20">
        <v>3273.2</v>
      </c>
      <c r="S1404" s="20">
        <v>0.2</v>
      </c>
      <c r="T1404" s="20">
        <v>654.64</v>
      </c>
      <c r="U1404" s="20">
        <v>2618.56</v>
      </c>
      <c r="V1404" s="20">
        <v>1915.36</v>
      </c>
      <c r="W1404" s="20">
        <v>703.2</v>
      </c>
      <c r="X1404" s="20" t="s">
        <v>45</v>
      </c>
    </row>
    <row r="1405" spans="1:24" x14ac:dyDescent="0.25">
      <c r="A1405" s="23" t="s">
        <v>1931</v>
      </c>
      <c r="B1405" s="22">
        <v>45530</v>
      </c>
      <c r="C1405" s="23" t="s">
        <v>519</v>
      </c>
      <c r="D1405" s="23" t="s">
        <v>121</v>
      </c>
      <c r="E1405" s="23" t="s">
        <v>187</v>
      </c>
      <c r="F1405" s="23" t="s">
        <v>2594</v>
      </c>
      <c r="G1405" s="23" t="s">
        <v>2577</v>
      </c>
      <c r="H1405" s="23" t="s">
        <v>26</v>
      </c>
      <c r="I1405" s="23" t="s">
        <v>27</v>
      </c>
      <c r="J1405" s="23" t="s">
        <v>106</v>
      </c>
      <c r="K1405" s="23" t="s">
        <v>83</v>
      </c>
      <c r="L1405" s="23" t="s">
        <v>2683</v>
      </c>
      <c r="M1405" s="23" t="s">
        <v>43</v>
      </c>
      <c r="N1405" s="23" t="s">
        <v>44</v>
      </c>
      <c r="O1405" s="23">
        <v>20</v>
      </c>
      <c r="P1405" s="23">
        <v>47.99</v>
      </c>
      <c r="Q1405" s="23">
        <v>28.62</v>
      </c>
      <c r="R1405" s="23">
        <v>959.75</v>
      </c>
      <c r="S1405" s="23">
        <v>0</v>
      </c>
      <c r="T1405" s="23">
        <v>0</v>
      </c>
      <c r="U1405" s="23">
        <v>959.75</v>
      </c>
      <c r="V1405" s="23">
        <v>572.48</v>
      </c>
      <c r="W1405" s="23">
        <v>387.27</v>
      </c>
      <c r="X1405" s="23" t="s">
        <v>129</v>
      </c>
    </row>
    <row r="1406" spans="1:24" x14ac:dyDescent="0.25">
      <c r="A1406" s="20" t="s">
        <v>1932</v>
      </c>
      <c r="B1406" s="19">
        <v>45319</v>
      </c>
      <c r="C1406" s="20" t="s">
        <v>404</v>
      </c>
      <c r="D1406" s="20" t="s">
        <v>87</v>
      </c>
      <c r="E1406" s="20" t="s">
        <v>187</v>
      </c>
      <c r="F1406" s="20" t="s">
        <v>2594</v>
      </c>
      <c r="G1406" s="20" t="s">
        <v>2577</v>
      </c>
      <c r="H1406" s="20" t="s">
        <v>26</v>
      </c>
      <c r="I1406" s="20" t="s">
        <v>58</v>
      </c>
      <c r="J1406" s="20" t="s">
        <v>59</v>
      </c>
      <c r="K1406" s="20" t="s">
        <v>144</v>
      </c>
      <c r="L1406" s="20" t="s">
        <v>2687</v>
      </c>
      <c r="M1406" s="20" t="s">
        <v>30</v>
      </c>
      <c r="N1406" s="20" t="s">
        <v>75</v>
      </c>
      <c r="O1406" s="20">
        <v>13</v>
      </c>
      <c r="P1406" s="20">
        <v>51.43</v>
      </c>
      <c r="Q1406" s="20">
        <v>28.54</v>
      </c>
      <c r="R1406" s="20">
        <v>668.6</v>
      </c>
      <c r="S1406" s="20">
        <v>0.15</v>
      </c>
      <c r="T1406" s="20">
        <v>100.29</v>
      </c>
      <c r="U1406" s="20">
        <v>568.30999999999995</v>
      </c>
      <c r="V1406" s="20">
        <v>370.98</v>
      </c>
      <c r="W1406" s="20">
        <v>197.33</v>
      </c>
      <c r="X1406" s="20" t="s">
        <v>45</v>
      </c>
    </row>
    <row r="1407" spans="1:24" x14ac:dyDescent="0.25">
      <c r="A1407" s="23" t="s">
        <v>1933</v>
      </c>
      <c r="B1407" s="22">
        <v>45347</v>
      </c>
      <c r="C1407" s="23" t="s">
        <v>418</v>
      </c>
      <c r="D1407" s="23" t="s">
        <v>159</v>
      </c>
      <c r="E1407" s="23" t="s">
        <v>49</v>
      </c>
      <c r="F1407" s="23" t="s">
        <v>2580</v>
      </c>
      <c r="G1407" s="23" t="s">
        <v>2581</v>
      </c>
      <c r="H1407" s="23" t="s">
        <v>52</v>
      </c>
      <c r="I1407" s="23" t="s">
        <v>88</v>
      </c>
      <c r="J1407" s="23" t="s">
        <v>183</v>
      </c>
      <c r="K1407" s="23" t="s">
        <v>144</v>
      </c>
      <c r="L1407" s="23" t="s">
        <v>2687</v>
      </c>
      <c r="M1407" s="23" t="s">
        <v>61</v>
      </c>
      <c r="N1407" s="23" t="s">
        <v>84</v>
      </c>
      <c r="O1407" s="23">
        <v>57</v>
      </c>
      <c r="P1407" s="23">
        <v>24.99</v>
      </c>
      <c r="Q1407" s="23">
        <v>12.12</v>
      </c>
      <c r="R1407" s="23">
        <v>1424.6</v>
      </c>
      <c r="S1407" s="23">
        <v>0.2</v>
      </c>
      <c r="T1407" s="23">
        <v>284.92</v>
      </c>
      <c r="U1407" s="23">
        <v>1139.68</v>
      </c>
      <c r="V1407" s="23">
        <v>690.86</v>
      </c>
      <c r="W1407" s="23">
        <v>448.83</v>
      </c>
      <c r="X1407" s="23" t="s">
        <v>129</v>
      </c>
    </row>
    <row r="1408" spans="1:24" x14ac:dyDescent="0.25">
      <c r="A1408" s="20" t="s">
        <v>1934</v>
      </c>
      <c r="B1408" s="19">
        <v>45556</v>
      </c>
      <c r="C1408" s="20" t="s">
        <v>1575</v>
      </c>
      <c r="D1408" s="20" t="s">
        <v>57</v>
      </c>
      <c r="E1408" s="20" t="s">
        <v>36</v>
      </c>
      <c r="F1408" s="20" t="s">
        <v>37</v>
      </c>
      <c r="G1408" s="20" t="s">
        <v>2579</v>
      </c>
      <c r="H1408" s="20" t="s">
        <v>39</v>
      </c>
      <c r="I1408" s="20" t="s">
        <v>58</v>
      </c>
      <c r="J1408" s="20" t="s">
        <v>73</v>
      </c>
      <c r="K1408" s="20" t="s">
        <v>2619</v>
      </c>
      <c r="L1408" s="20" t="s">
        <v>2619</v>
      </c>
      <c r="M1408" s="20" t="s">
        <v>61</v>
      </c>
      <c r="N1408" s="20" t="s">
        <v>2578</v>
      </c>
      <c r="O1408" s="20">
        <v>11</v>
      </c>
      <c r="P1408" s="20">
        <v>159.02000000000001</v>
      </c>
      <c r="Q1408" s="20">
        <v>106.87</v>
      </c>
      <c r="R1408" s="20">
        <v>1749.26</v>
      </c>
      <c r="S1408" s="20">
        <v>0.15</v>
      </c>
      <c r="T1408" s="20">
        <v>262.39</v>
      </c>
      <c r="U1408" s="20">
        <v>1486.87</v>
      </c>
      <c r="V1408" s="20">
        <v>1175.6199999999999</v>
      </c>
      <c r="W1408" s="20">
        <v>311.25</v>
      </c>
      <c r="X1408" s="20" t="s">
        <v>129</v>
      </c>
    </row>
    <row r="1409" spans="1:24" x14ac:dyDescent="0.25">
      <c r="A1409" s="23" t="s">
        <v>1935</v>
      </c>
      <c r="B1409" s="22">
        <v>45582</v>
      </c>
      <c r="C1409" s="23" t="s">
        <v>384</v>
      </c>
      <c r="D1409" s="23" t="s">
        <v>57</v>
      </c>
      <c r="E1409" s="23" t="s">
        <v>109</v>
      </c>
      <c r="F1409" s="23" t="s">
        <v>110</v>
      </c>
      <c r="G1409" s="23" t="s">
        <v>2584</v>
      </c>
      <c r="H1409" s="23" t="s">
        <v>81</v>
      </c>
      <c r="I1409" s="23" t="s">
        <v>88</v>
      </c>
      <c r="J1409" s="23" t="s">
        <v>2112</v>
      </c>
      <c r="K1409" s="23" t="s">
        <v>111</v>
      </c>
      <c r="L1409" s="23" t="s">
        <v>2685</v>
      </c>
      <c r="M1409" s="23" t="s">
        <v>30</v>
      </c>
      <c r="N1409" s="23" t="s">
        <v>70</v>
      </c>
      <c r="O1409" s="23">
        <v>11</v>
      </c>
      <c r="P1409" s="23">
        <v>130.15</v>
      </c>
      <c r="Q1409" s="23">
        <v>78.709999999999994</v>
      </c>
      <c r="R1409" s="23">
        <v>1431.6</v>
      </c>
      <c r="S1409" s="23">
        <v>0.02</v>
      </c>
      <c r="T1409" s="23">
        <v>28.63</v>
      </c>
      <c r="U1409" s="23">
        <v>1402.97</v>
      </c>
      <c r="V1409" s="23">
        <v>865.83</v>
      </c>
      <c r="W1409" s="23">
        <v>537.14</v>
      </c>
      <c r="X1409" s="23" t="s">
        <v>32</v>
      </c>
    </row>
    <row r="1410" spans="1:24" x14ac:dyDescent="0.25">
      <c r="A1410" s="20" t="s">
        <v>1936</v>
      </c>
      <c r="B1410" s="19">
        <v>45339</v>
      </c>
      <c r="C1410" s="20" t="s">
        <v>794</v>
      </c>
      <c r="D1410" s="20" t="s">
        <v>65</v>
      </c>
      <c r="E1410" s="20" t="s">
        <v>165</v>
      </c>
      <c r="F1410" s="20" t="s">
        <v>2592</v>
      </c>
      <c r="G1410" s="20" t="s">
        <v>2586</v>
      </c>
      <c r="H1410" s="20" t="s">
        <v>167</v>
      </c>
      <c r="I1410" s="20" t="s">
        <v>27</v>
      </c>
      <c r="J1410" s="20" t="s">
        <v>211</v>
      </c>
      <c r="K1410" s="20" t="s">
        <v>90</v>
      </c>
      <c r="L1410" s="20" t="s">
        <v>2684</v>
      </c>
      <c r="M1410" s="20" t="s">
        <v>61</v>
      </c>
      <c r="N1410" s="20" t="s">
        <v>2578</v>
      </c>
      <c r="O1410" s="20">
        <v>29</v>
      </c>
      <c r="P1410" s="20">
        <v>44.93</v>
      </c>
      <c r="Q1410" s="20">
        <v>23.55</v>
      </c>
      <c r="R1410" s="20">
        <v>1303.1099999999999</v>
      </c>
      <c r="S1410" s="20">
        <v>0</v>
      </c>
      <c r="T1410" s="20">
        <v>0</v>
      </c>
      <c r="U1410" s="20">
        <v>1303.1099999999999</v>
      </c>
      <c r="V1410" s="20">
        <v>682.95</v>
      </c>
      <c r="W1410" s="20">
        <v>620.16</v>
      </c>
      <c r="X1410" s="20" t="s">
        <v>129</v>
      </c>
    </row>
    <row r="1411" spans="1:24" x14ac:dyDescent="0.25">
      <c r="A1411" s="23" t="s">
        <v>1937</v>
      </c>
      <c r="B1411" s="22">
        <v>45461</v>
      </c>
      <c r="C1411" s="23" t="s">
        <v>291</v>
      </c>
      <c r="D1411" s="23" t="s">
        <v>57</v>
      </c>
      <c r="E1411" s="23" t="s">
        <v>216</v>
      </c>
      <c r="F1411" s="23" t="s">
        <v>2596</v>
      </c>
      <c r="G1411" s="23" t="s">
        <v>2579</v>
      </c>
      <c r="H1411" s="23" t="s">
        <v>134</v>
      </c>
      <c r="I1411" s="23" t="s">
        <v>88</v>
      </c>
      <c r="J1411" s="23" t="s">
        <v>135</v>
      </c>
      <c r="K1411" s="23" t="s">
        <v>144</v>
      </c>
      <c r="L1411" s="23" t="s">
        <v>2687</v>
      </c>
      <c r="M1411" s="23" t="s">
        <v>43</v>
      </c>
      <c r="N1411" s="23" t="s">
        <v>84</v>
      </c>
      <c r="O1411" s="23">
        <v>49</v>
      </c>
      <c r="P1411" s="23">
        <v>101.65</v>
      </c>
      <c r="Q1411" s="23">
        <v>63.09</v>
      </c>
      <c r="R1411" s="23">
        <v>4981.0600000000004</v>
      </c>
      <c r="S1411" s="23">
        <v>0.02</v>
      </c>
      <c r="T1411" s="23">
        <v>99.62</v>
      </c>
      <c r="U1411" s="23">
        <v>4881.4399999999996</v>
      </c>
      <c r="V1411" s="23">
        <v>3091.36</v>
      </c>
      <c r="W1411" s="23">
        <v>1790.08</v>
      </c>
      <c r="X1411" s="23" t="s">
        <v>45</v>
      </c>
    </row>
    <row r="1412" spans="1:24" x14ac:dyDescent="0.25">
      <c r="A1412" s="20" t="s">
        <v>1938</v>
      </c>
      <c r="B1412" s="19">
        <v>45368</v>
      </c>
      <c r="C1412" s="20" t="s">
        <v>961</v>
      </c>
      <c r="D1412" s="20" t="s">
        <v>87</v>
      </c>
      <c r="E1412" s="20" t="s">
        <v>36</v>
      </c>
      <c r="F1412" s="20" t="s">
        <v>37</v>
      </c>
      <c r="G1412" s="20" t="s">
        <v>2579</v>
      </c>
      <c r="H1412" s="20" t="s">
        <v>39</v>
      </c>
      <c r="I1412" s="20" t="s">
        <v>58</v>
      </c>
      <c r="J1412" s="20" t="s">
        <v>73</v>
      </c>
      <c r="K1412" s="20" t="s">
        <v>261</v>
      </c>
      <c r="L1412" s="20" t="s">
        <v>2695</v>
      </c>
      <c r="M1412" s="20" t="s">
        <v>61</v>
      </c>
      <c r="N1412" s="20" t="s">
        <v>75</v>
      </c>
      <c r="O1412" s="20">
        <v>38</v>
      </c>
      <c r="P1412" s="20">
        <v>171.3</v>
      </c>
      <c r="Q1412" s="20">
        <v>91.3</v>
      </c>
      <c r="R1412" s="20">
        <v>6509.49</v>
      </c>
      <c r="S1412" s="20">
        <v>0.02</v>
      </c>
      <c r="T1412" s="20">
        <v>130.19</v>
      </c>
      <c r="U1412" s="20">
        <v>6379.3</v>
      </c>
      <c r="V1412" s="20">
        <v>3469.31</v>
      </c>
      <c r="W1412" s="20">
        <v>2909.98</v>
      </c>
      <c r="X1412" s="20" t="s">
        <v>45</v>
      </c>
    </row>
    <row r="1413" spans="1:24" x14ac:dyDescent="0.25">
      <c r="A1413" s="23" t="s">
        <v>1939</v>
      </c>
      <c r="B1413" s="22">
        <v>45504</v>
      </c>
      <c r="C1413" s="23" t="s">
        <v>1887</v>
      </c>
      <c r="D1413" s="23" t="s">
        <v>159</v>
      </c>
      <c r="E1413" s="23" t="s">
        <v>209</v>
      </c>
      <c r="F1413" s="23" t="s">
        <v>2595</v>
      </c>
      <c r="G1413" s="23" t="s">
        <v>2581</v>
      </c>
      <c r="H1413" s="23" t="s">
        <v>116</v>
      </c>
      <c r="I1413" s="23" t="s">
        <v>88</v>
      </c>
      <c r="J1413" s="23" t="s">
        <v>173</v>
      </c>
      <c r="K1413" s="23" t="s">
        <v>178</v>
      </c>
      <c r="L1413" s="23" t="s">
        <v>2689</v>
      </c>
      <c r="M1413" s="23" t="s">
        <v>43</v>
      </c>
      <c r="N1413" s="23" t="s">
        <v>75</v>
      </c>
      <c r="O1413" s="23">
        <v>10</v>
      </c>
      <c r="P1413" s="23">
        <v>17.760000000000002</v>
      </c>
      <c r="Q1413" s="23">
        <v>9.4600000000000009</v>
      </c>
      <c r="R1413" s="23">
        <v>177.62</v>
      </c>
      <c r="S1413" s="23">
        <v>0.1</v>
      </c>
      <c r="T1413" s="23">
        <v>17.760000000000002</v>
      </c>
      <c r="U1413" s="23">
        <v>159.85</v>
      </c>
      <c r="V1413" s="23">
        <v>94.56</v>
      </c>
      <c r="W1413" s="23">
        <v>65.290000000000006</v>
      </c>
      <c r="X1413" s="23" t="s">
        <v>32</v>
      </c>
    </row>
    <row r="1414" spans="1:24" x14ac:dyDescent="0.25">
      <c r="A1414" s="20" t="s">
        <v>1940</v>
      </c>
      <c r="B1414" s="19">
        <v>45437</v>
      </c>
      <c r="C1414" s="20" t="s">
        <v>1134</v>
      </c>
      <c r="D1414" s="20" t="s">
        <v>159</v>
      </c>
      <c r="E1414" s="20" t="s">
        <v>78</v>
      </c>
      <c r="F1414" s="20" t="s">
        <v>2583</v>
      </c>
      <c r="G1414" s="20" t="s">
        <v>2584</v>
      </c>
      <c r="H1414" s="20" t="s">
        <v>81</v>
      </c>
      <c r="I1414" s="20" t="s">
        <v>27</v>
      </c>
      <c r="J1414" s="20" t="s">
        <v>28</v>
      </c>
      <c r="K1414" s="20" t="s">
        <v>261</v>
      </c>
      <c r="L1414" s="20" t="s">
        <v>2695</v>
      </c>
      <c r="M1414" s="20" t="s">
        <v>61</v>
      </c>
      <c r="N1414" s="20" t="s">
        <v>44</v>
      </c>
      <c r="O1414" s="20">
        <v>24</v>
      </c>
      <c r="P1414" s="20">
        <v>141.80000000000001</v>
      </c>
      <c r="Q1414" s="20">
        <v>0</v>
      </c>
      <c r="R1414" s="20">
        <v>3403.1</v>
      </c>
      <c r="S1414" s="20">
        <v>0.02</v>
      </c>
      <c r="T1414" s="20">
        <v>68.06</v>
      </c>
      <c r="U1414" s="20">
        <v>3335.04</v>
      </c>
      <c r="V1414" s="20">
        <v>1978.58</v>
      </c>
      <c r="W1414" s="20">
        <v>1356.46</v>
      </c>
      <c r="X1414" s="20" t="s">
        <v>45</v>
      </c>
    </row>
    <row r="1415" spans="1:24" x14ac:dyDescent="0.25">
      <c r="A1415" s="23" t="s">
        <v>1941</v>
      </c>
      <c r="B1415" s="22">
        <v>45456</v>
      </c>
      <c r="C1415" s="23" t="s">
        <v>1881</v>
      </c>
      <c r="D1415" s="23" t="s">
        <v>87</v>
      </c>
      <c r="E1415" s="23" t="s">
        <v>132</v>
      </c>
      <c r="F1415" s="23" t="s">
        <v>133</v>
      </c>
      <c r="G1415" s="23" t="s">
        <v>2581</v>
      </c>
      <c r="H1415" s="23" t="s">
        <v>134</v>
      </c>
      <c r="I1415" s="23" t="s">
        <v>53</v>
      </c>
      <c r="J1415" s="23" t="s">
        <v>232</v>
      </c>
      <c r="K1415" s="23" t="s">
        <v>253</v>
      </c>
      <c r="L1415" s="23" t="s">
        <v>2694</v>
      </c>
      <c r="M1415" s="23" t="s">
        <v>547</v>
      </c>
      <c r="N1415" s="23" t="s">
        <v>75</v>
      </c>
      <c r="O1415" s="23">
        <v>3</v>
      </c>
      <c r="P1415" s="23">
        <v>64.010000000000005</v>
      </c>
      <c r="Q1415" s="23">
        <v>32.020000000000003</v>
      </c>
      <c r="R1415" s="23">
        <v>192.02</v>
      </c>
      <c r="S1415" s="23">
        <v>0.02</v>
      </c>
      <c r="T1415" s="23">
        <v>3.84</v>
      </c>
      <c r="U1415" s="23">
        <v>188.18</v>
      </c>
      <c r="V1415" s="23">
        <v>96.07</v>
      </c>
      <c r="W1415" s="23">
        <v>92.11</v>
      </c>
      <c r="X1415" s="23" t="s">
        <v>45</v>
      </c>
    </row>
    <row r="1416" spans="1:24" x14ac:dyDescent="0.25">
      <c r="A1416" s="20" t="s">
        <v>1942</v>
      </c>
      <c r="B1416" s="19">
        <v>45455</v>
      </c>
      <c r="C1416" s="20" t="s">
        <v>314</v>
      </c>
      <c r="D1416" s="20" t="s">
        <v>163</v>
      </c>
      <c r="E1416" s="20" t="s">
        <v>209</v>
      </c>
      <c r="F1416" s="20" t="s">
        <v>2595</v>
      </c>
      <c r="G1416" s="20" t="s">
        <v>2581</v>
      </c>
      <c r="H1416" s="20" t="s">
        <v>116</v>
      </c>
      <c r="I1416" s="20" t="s">
        <v>58</v>
      </c>
      <c r="J1416" s="20" t="s">
        <v>59</v>
      </c>
      <c r="K1416" s="20" t="s">
        <v>248</v>
      </c>
      <c r="L1416" s="20" t="s">
        <v>2693</v>
      </c>
      <c r="M1416" s="20" t="s">
        <v>30</v>
      </c>
      <c r="N1416" s="20" t="s">
        <v>75</v>
      </c>
      <c r="O1416" s="20">
        <v>45</v>
      </c>
      <c r="P1416" s="20">
        <v>18.89</v>
      </c>
      <c r="Q1416" s="20">
        <v>10.72</v>
      </c>
      <c r="R1416" s="20">
        <v>849.95</v>
      </c>
      <c r="S1416" s="20">
        <v>0.1</v>
      </c>
      <c r="T1416" s="20">
        <v>84.99</v>
      </c>
      <c r="U1416" s="20">
        <v>764.95</v>
      </c>
      <c r="V1416" s="20">
        <v>482.23</v>
      </c>
      <c r="W1416" s="20">
        <v>282.72000000000003</v>
      </c>
      <c r="X1416" s="20" t="s">
        <v>32</v>
      </c>
    </row>
    <row r="1417" spans="1:24" x14ac:dyDescent="0.25">
      <c r="A1417" s="23" t="s">
        <v>1943</v>
      </c>
      <c r="B1417" s="22">
        <v>45541</v>
      </c>
      <c r="C1417" s="23" t="s">
        <v>220</v>
      </c>
      <c r="D1417" s="23" t="s">
        <v>221</v>
      </c>
      <c r="E1417" s="23" t="s">
        <v>49</v>
      </c>
      <c r="F1417" s="23" t="s">
        <v>2580</v>
      </c>
      <c r="G1417" s="23" t="s">
        <v>2581</v>
      </c>
      <c r="H1417" s="23" t="s">
        <v>52</v>
      </c>
      <c r="I1417" s="23" t="s">
        <v>53</v>
      </c>
      <c r="J1417" s="23" t="s">
        <v>122</v>
      </c>
      <c r="K1417" s="23" t="s">
        <v>74</v>
      </c>
      <c r="L1417" s="23" t="s">
        <v>2682</v>
      </c>
      <c r="M1417" s="23" t="s">
        <v>153</v>
      </c>
      <c r="N1417" s="23" t="s">
        <v>70</v>
      </c>
      <c r="O1417" s="23">
        <v>7</v>
      </c>
      <c r="P1417" s="23">
        <v>23.84</v>
      </c>
      <c r="Q1417" s="23">
        <v>12.73</v>
      </c>
      <c r="R1417" s="23">
        <v>166.85</v>
      </c>
      <c r="S1417" s="23">
        <v>0.15</v>
      </c>
      <c r="T1417" s="23">
        <v>25.03</v>
      </c>
      <c r="U1417" s="23">
        <v>141.82</v>
      </c>
      <c r="V1417" s="23">
        <v>89.09</v>
      </c>
      <c r="W1417" s="23">
        <v>52.73</v>
      </c>
      <c r="X1417" s="23" t="s">
        <v>32</v>
      </c>
    </row>
    <row r="1418" spans="1:24" x14ac:dyDescent="0.25">
      <c r="A1418" s="20" t="s">
        <v>1944</v>
      </c>
      <c r="B1418" s="19">
        <v>45489</v>
      </c>
      <c r="C1418" s="20" t="s">
        <v>732</v>
      </c>
      <c r="D1418" s="20" t="s">
        <v>35</v>
      </c>
      <c r="E1418" s="20" t="s">
        <v>150</v>
      </c>
      <c r="F1418" s="20" t="s">
        <v>2591</v>
      </c>
      <c r="G1418" s="20" t="s">
        <v>2587</v>
      </c>
      <c r="H1418" s="20" t="s">
        <v>134</v>
      </c>
      <c r="I1418" s="20" t="s">
        <v>53</v>
      </c>
      <c r="J1418" s="20" t="s">
        <v>143</v>
      </c>
      <c r="K1418" s="20" t="s">
        <v>74</v>
      </c>
      <c r="L1418" s="20" t="s">
        <v>2682</v>
      </c>
      <c r="M1418" s="20" t="s">
        <v>153</v>
      </c>
      <c r="N1418" s="20" t="s">
        <v>44</v>
      </c>
      <c r="O1418" s="20">
        <v>49</v>
      </c>
      <c r="P1418" s="20">
        <v>82.17</v>
      </c>
      <c r="Q1418" s="20">
        <v>49.91</v>
      </c>
      <c r="R1418" s="20">
        <v>4026.49</v>
      </c>
      <c r="S1418" s="20">
        <v>0.15</v>
      </c>
      <c r="T1418" s="20">
        <v>603.97</v>
      </c>
      <c r="U1418" s="20">
        <v>3422.51</v>
      </c>
      <c r="V1418" s="20">
        <v>2445.5700000000002</v>
      </c>
      <c r="W1418" s="20">
        <v>976.95</v>
      </c>
      <c r="X1418" s="20" t="s">
        <v>45</v>
      </c>
    </row>
    <row r="1419" spans="1:24" x14ac:dyDescent="0.25">
      <c r="A1419" s="23" t="s">
        <v>1945</v>
      </c>
      <c r="B1419" s="22">
        <v>45513</v>
      </c>
      <c r="C1419" s="23" t="s">
        <v>1380</v>
      </c>
      <c r="D1419" s="23" t="s">
        <v>121</v>
      </c>
      <c r="E1419" s="23" t="s">
        <v>36</v>
      </c>
      <c r="F1419" s="23" t="s">
        <v>37</v>
      </c>
      <c r="G1419" s="23" t="s">
        <v>2579</v>
      </c>
      <c r="H1419" s="23" t="s">
        <v>39</v>
      </c>
      <c r="I1419" s="23" t="s">
        <v>40</v>
      </c>
      <c r="J1419" s="23" t="s">
        <v>117</v>
      </c>
      <c r="K1419" s="23" t="s">
        <v>178</v>
      </c>
      <c r="L1419" s="23" t="s">
        <v>2689</v>
      </c>
      <c r="M1419" s="23" t="s">
        <v>61</v>
      </c>
      <c r="N1419" s="23" t="s">
        <v>44</v>
      </c>
      <c r="O1419" s="23">
        <v>32</v>
      </c>
      <c r="P1419" s="23">
        <v>165.16</v>
      </c>
      <c r="Q1419" s="23">
        <v>100.77</v>
      </c>
      <c r="R1419" s="23">
        <v>5284.97</v>
      </c>
      <c r="S1419" s="23">
        <v>0.1</v>
      </c>
      <c r="T1419" s="23">
        <v>528.5</v>
      </c>
      <c r="U1419" s="23">
        <v>4756.4799999999996</v>
      </c>
      <c r="V1419" s="23">
        <v>3224.49</v>
      </c>
      <c r="W1419" s="23">
        <v>1531.98</v>
      </c>
      <c r="X1419" s="23" t="s">
        <v>32</v>
      </c>
    </row>
    <row r="1420" spans="1:24" x14ac:dyDescent="0.25">
      <c r="A1420" s="20" t="s">
        <v>1946</v>
      </c>
      <c r="B1420" s="19">
        <v>45457</v>
      </c>
      <c r="C1420" s="20" t="s">
        <v>354</v>
      </c>
      <c r="D1420" s="20" t="s">
        <v>163</v>
      </c>
      <c r="E1420" s="20" t="s">
        <v>165</v>
      </c>
      <c r="F1420" s="20" t="s">
        <v>2592</v>
      </c>
      <c r="G1420" s="20" t="s">
        <v>2586</v>
      </c>
      <c r="H1420" s="20" t="s">
        <v>167</v>
      </c>
      <c r="I1420" s="20" t="s">
        <v>58</v>
      </c>
      <c r="J1420" s="20" t="s">
        <v>323</v>
      </c>
      <c r="K1420" s="20" t="s">
        <v>261</v>
      </c>
      <c r="L1420" s="20" t="s">
        <v>2695</v>
      </c>
      <c r="M1420" s="20" t="s">
        <v>43</v>
      </c>
      <c r="N1420" s="20" t="s">
        <v>75</v>
      </c>
      <c r="O1420" s="20">
        <v>38</v>
      </c>
      <c r="P1420" s="20">
        <v>44.72</v>
      </c>
      <c r="Q1420" s="20">
        <v>24.39</v>
      </c>
      <c r="R1420" s="20">
        <v>1699.21</v>
      </c>
      <c r="S1420" s="20">
        <v>0.05</v>
      </c>
      <c r="T1420" s="20">
        <v>84.96</v>
      </c>
      <c r="U1420" s="20">
        <v>1614.25</v>
      </c>
      <c r="V1420" s="20">
        <v>926.93</v>
      </c>
      <c r="W1420" s="20">
        <v>687.31</v>
      </c>
      <c r="X1420" s="20" t="s">
        <v>45</v>
      </c>
    </row>
    <row r="1421" spans="1:24" x14ac:dyDescent="0.25">
      <c r="A1421" s="23" t="s">
        <v>1947</v>
      </c>
      <c r="B1421" s="22">
        <v>45432</v>
      </c>
      <c r="C1421" s="23" t="s">
        <v>239</v>
      </c>
      <c r="D1421" s="23" t="s">
        <v>65</v>
      </c>
      <c r="E1421" s="23" t="s">
        <v>222</v>
      </c>
      <c r="F1421" s="23" t="s">
        <v>2597</v>
      </c>
      <c r="G1421" s="23" t="s">
        <v>2587</v>
      </c>
      <c r="H1421" s="23" t="s">
        <v>68</v>
      </c>
      <c r="I1421" s="23" t="s">
        <v>88</v>
      </c>
      <c r="J1421" s="23" t="s">
        <v>183</v>
      </c>
      <c r="K1421" s="23" t="s">
        <v>29</v>
      </c>
      <c r="L1421" s="23" t="s">
        <v>2679</v>
      </c>
      <c r="M1421" s="23" t="s">
        <v>153</v>
      </c>
      <c r="N1421" s="23" t="s">
        <v>2578</v>
      </c>
      <c r="O1421" s="23">
        <v>62</v>
      </c>
      <c r="P1421" s="23">
        <v>121.15</v>
      </c>
      <c r="Q1421" s="23">
        <v>78.34</v>
      </c>
      <c r="R1421" s="23">
        <v>7511.13</v>
      </c>
      <c r="S1421" s="23">
        <v>0.02</v>
      </c>
      <c r="T1421" s="23">
        <v>150.22</v>
      </c>
      <c r="U1421" s="23">
        <v>7360.91</v>
      </c>
      <c r="V1421" s="23">
        <v>4857.2</v>
      </c>
      <c r="W1421" s="23">
        <v>2503.71</v>
      </c>
      <c r="X1421" s="23" t="s">
        <v>129</v>
      </c>
    </row>
    <row r="1422" spans="1:24" x14ac:dyDescent="0.25">
      <c r="A1422" s="20" t="s">
        <v>1948</v>
      </c>
      <c r="B1422" s="19">
        <v>45436</v>
      </c>
      <c r="C1422" s="20" t="s">
        <v>696</v>
      </c>
      <c r="D1422" s="20" t="s">
        <v>105</v>
      </c>
      <c r="E1422" s="20" t="s">
        <v>176</v>
      </c>
      <c r="F1422" s="20" t="s">
        <v>2593</v>
      </c>
      <c r="G1422" s="20" t="s">
        <v>2587</v>
      </c>
      <c r="H1422" s="20" t="s">
        <v>39</v>
      </c>
      <c r="I1422" s="20" t="s">
        <v>88</v>
      </c>
      <c r="J1422" s="20" t="s">
        <v>135</v>
      </c>
      <c r="K1422" s="20" t="s">
        <v>265</v>
      </c>
      <c r="L1422" s="20" t="s">
        <v>2663</v>
      </c>
      <c r="M1422" s="20" t="s">
        <v>61</v>
      </c>
      <c r="N1422" s="20" t="s">
        <v>70</v>
      </c>
      <c r="O1422" s="20">
        <v>17</v>
      </c>
      <c r="P1422" s="20">
        <v>112</v>
      </c>
      <c r="Q1422" s="20">
        <v>62.3</v>
      </c>
      <c r="R1422" s="20">
        <v>1903.99</v>
      </c>
      <c r="S1422" s="20">
        <v>0.02</v>
      </c>
      <c r="T1422" s="20">
        <v>38.08</v>
      </c>
      <c r="U1422" s="20">
        <v>1865.91</v>
      </c>
      <c r="V1422" s="20">
        <v>1059.17</v>
      </c>
      <c r="W1422" s="20">
        <v>806.74</v>
      </c>
      <c r="X1422" s="20" t="s">
        <v>45</v>
      </c>
    </row>
    <row r="1423" spans="1:24" x14ac:dyDescent="0.25">
      <c r="A1423" s="23" t="s">
        <v>1268</v>
      </c>
      <c r="B1423" s="22">
        <v>45656</v>
      </c>
      <c r="C1423" s="23" t="s">
        <v>1075</v>
      </c>
      <c r="D1423" s="23" t="s">
        <v>65</v>
      </c>
      <c r="E1423" s="23" t="s">
        <v>216</v>
      </c>
      <c r="F1423" s="23" t="s">
        <v>2596</v>
      </c>
      <c r="G1423" s="23" t="s">
        <v>2579</v>
      </c>
      <c r="H1423" s="23" t="s">
        <v>134</v>
      </c>
      <c r="I1423" s="23" t="s">
        <v>58</v>
      </c>
      <c r="J1423" s="23" t="s">
        <v>59</v>
      </c>
      <c r="K1423" s="23" t="s">
        <v>184</v>
      </c>
      <c r="L1423" s="23" t="s">
        <v>2690</v>
      </c>
      <c r="M1423" s="23" t="s">
        <v>43</v>
      </c>
      <c r="N1423" s="23" t="s">
        <v>2619</v>
      </c>
      <c r="O1423" s="23">
        <v>11</v>
      </c>
      <c r="P1423" s="23">
        <v>107.04</v>
      </c>
      <c r="Q1423" s="23">
        <v>70.81</v>
      </c>
      <c r="R1423" s="23">
        <v>1177.3900000000001</v>
      </c>
      <c r="S1423" s="23">
        <v>1.25</v>
      </c>
      <c r="T1423" s="23">
        <v>58.87</v>
      </c>
      <c r="U1423" s="23">
        <v>1118.52</v>
      </c>
      <c r="V1423" s="23">
        <v>778.87</v>
      </c>
      <c r="W1423" s="23">
        <v>339.66</v>
      </c>
      <c r="X1423" s="23" t="s">
        <v>32</v>
      </c>
    </row>
    <row r="1424" spans="1:24" x14ac:dyDescent="0.25">
      <c r="A1424" s="20" t="s">
        <v>1949</v>
      </c>
      <c r="B1424" s="19">
        <v>45470</v>
      </c>
      <c r="C1424" s="20" t="s">
        <v>146</v>
      </c>
      <c r="D1424" s="20" t="s">
        <v>105</v>
      </c>
      <c r="E1424" s="20" t="s">
        <v>126</v>
      </c>
      <c r="F1424" s="20" t="s">
        <v>2589</v>
      </c>
      <c r="G1424" s="20" t="s">
        <v>2586</v>
      </c>
      <c r="H1424" s="20" t="s">
        <v>128</v>
      </c>
      <c r="I1424" s="20" t="s">
        <v>40</v>
      </c>
      <c r="J1424" s="20" t="s">
        <v>82</v>
      </c>
      <c r="K1424" s="20" t="s">
        <v>74</v>
      </c>
      <c r="L1424" s="20" t="s">
        <v>2682</v>
      </c>
      <c r="M1424" s="20" t="s">
        <v>153</v>
      </c>
      <c r="N1424" s="20" t="s">
        <v>75</v>
      </c>
      <c r="O1424" s="20">
        <v>27</v>
      </c>
      <c r="P1424" s="20">
        <v>93.48</v>
      </c>
      <c r="Q1424" s="20">
        <v>52.94</v>
      </c>
      <c r="R1424" s="20">
        <v>2523.9499999999998</v>
      </c>
      <c r="S1424" s="20">
        <v>0.2</v>
      </c>
      <c r="T1424" s="20">
        <v>504.79</v>
      </c>
      <c r="U1424" s="20">
        <v>2019.16</v>
      </c>
      <c r="V1424" s="20">
        <v>1429.3</v>
      </c>
      <c r="W1424" s="20">
        <v>589.86</v>
      </c>
      <c r="X1424" s="20" t="s">
        <v>45</v>
      </c>
    </row>
    <row r="1425" spans="1:24" x14ac:dyDescent="0.25">
      <c r="A1425" s="23" t="s">
        <v>1950</v>
      </c>
      <c r="B1425" s="22">
        <v>45399</v>
      </c>
      <c r="C1425" s="23" t="s">
        <v>594</v>
      </c>
      <c r="D1425" s="23" t="s">
        <v>105</v>
      </c>
      <c r="E1425" s="23" t="s">
        <v>250</v>
      </c>
      <c r="F1425" s="23" t="s">
        <v>2598</v>
      </c>
      <c r="G1425" s="23" t="s">
        <v>2581</v>
      </c>
      <c r="H1425" s="23" t="s">
        <v>252</v>
      </c>
      <c r="I1425" s="23" t="s">
        <v>58</v>
      </c>
      <c r="J1425" s="23" t="s">
        <v>323</v>
      </c>
      <c r="K1425" s="23" t="s">
        <v>90</v>
      </c>
      <c r="L1425" s="23" t="s">
        <v>2684</v>
      </c>
      <c r="M1425" s="23" t="s">
        <v>43</v>
      </c>
      <c r="N1425" s="23" t="s">
        <v>70</v>
      </c>
      <c r="O1425" s="23">
        <v>17</v>
      </c>
      <c r="P1425" s="23">
        <v>61.5</v>
      </c>
      <c r="Q1425" s="23">
        <v>37.340000000000003</v>
      </c>
      <c r="R1425" s="23">
        <v>1045.51</v>
      </c>
      <c r="S1425" s="23">
        <v>0</v>
      </c>
      <c r="T1425" s="23">
        <v>0</v>
      </c>
      <c r="U1425" s="23">
        <v>1045.51</v>
      </c>
      <c r="V1425" s="23">
        <v>634.74</v>
      </c>
      <c r="W1425" s="23">
        <v>410.77</v>
      </c>
      <c r="X1425" s="23" t="s">
        <v>45</v>
      </c>
    </row>
    <row r="1426" spans="1:24" x14ac:dyDescent="0.25">
      <c r="A1426" s="20" t="s">
        <v>1951</v>
      </c>
      <c r="B1426" s="19">
        <v>45486</v>
      </c>
      <c r="C1426" s="20" t="s">
        <v>229</v>
      </c>
      <c r="D1426" s="20" t="s">
        <v>87</v>
      </c>
      <c r="E1426" s="20" t="s">
        <v>132</v>
      </c>
      <c r="F1426" s="20" t="s">
        <v>133</v>
      </c>
      <c r="G1426" s="20" t="s">
        <v>2581</v>
      </c>
      <c r="H1426" s="20" t="s">
        <v>134</v>
      </c>
      <c r="I1426" s="20" t="s">
        <v>27</v>
      </c>
      <c r="J1426" s="20" t="s">
        <v>106</v>
      </c>
      <c r="K1426" s="20" t="s">
        <v>111</v>
      </c>
      <c r="L1426" s="20" t="s">
        <v>2685</v>
      </c>
      <c r="M1426" s="20" t="s">
        <v>30</v>
      </c>
      <c r="N1426" s="20" t="s">
        <v>70</v>
      </c>
      <c r="O1426" s="20">
        <v>61</v>
      </c>
      <c r="P1426" s="20">
        <v>61.27</v>
      </c>
      <c r="Q1426" s="20">
        <v>32.130000000000003</v>
      </c>
      <c r="R1426" s="20">
        <v>3737.53</v>
      </c>
      <c r="S1426" s="20">
        <v>0</v>
      </c>
      <c r="T1426" s="20">
        <v>0</v>
      </c>
      <c r="U1426" s="20">
        <v>3737.53</v>
      </c>
      <c r="V1426" s="20">
        <v>1960.01</v>
      </c>
      <c r="W1426" s="20">
        <v>1777.52</v>
      </c>
      <c r="X1426" s="20" t="s">
        <v>45</v>
      </c>
    </row>
    <row r="1427" spans="1:24" x14ac:dyDescent="0.25">
      <c r="A1427" s="23" t="s">
        <v>1952</v>
      </c>
      <c r="B1427" s="22">
        <v>45464</v>
      </c>
      <c r="C1427" s="23" t="s">
        <v>545</v>
      </c>
      <c r="D1427" s="23" t="s">
        <v>105</v>
      </c>
      <c r="E1427" s="23" t="s">
        <v>187</v>
      </c>
      <c r="F1427" s="23" t="s">
        <v>2594</v>
      </c>
      <c r="G1427" s="23" t="s">
        <v>2577</v>
      </c>
      <c r="H1427" s="23" t="s">
        <v>26</v>
      </c>
      <c r="I1427" s="23" t="s">
        <v>40</v>
      </c>
      <c r="J1427" s="23" t="s">
        <v>41</v>
      </c>
      <c r="K1427" s="23" t="s">
        <v>118</v>
      </c>
      <c r="L1427" s="23" t="s">
        <v>2686</v>
      </c>
      <c r="M1427" s="23" t="s">
        <v>30</v>
      </c>
      <c r="N1427" s="23" t="s">
        <v>84</v>
      </c>
      <c r="O1427" s="23">
        <v>20</v>
      </c>
      <c r="P1427" s="23">
        <v>47.37</v>
      </c>
      <c r="Q1427" s="23">
        <v>27.22</v>
      </c>
      <c r="R1427" s="23">
        <v>947.35</v>
      </c>
      <c r="S1427" s="23">
        <v>0.1</v>
      </c>
      <c r="T1427" s="23">
        <v>94.74</v>
      </c>
      <c r="U1427" s="23">
        <v>852.62</v>
      </c>
      <c r="V1427" s="23">
        <v>544.4</v>
      </c>
      <c r="W1427" s="23">
        <v>308.22000000000003</v>
      </c>
      <c r="X1427" s="23" t="s">
        <v>32</v>
      </c>
    </row>
    <row r="1428" spans="1:24" x14ac:dyDescent="0.25">
      <c r="A1428" s="20" t="s">
        <v>1953</v>
      </c>
      <c r="B1428" s="19">
        <v>45655</v>
      </c>
      <c r="C1428" s="20" t="s">
        <v>384</v>
      </c>
      <c r="D1428" s="20" t="s">
        <v>57</v>
      </c>
      <c r="E1428" s="20" t="s">
        <v>36</v>
      </c>
      <c r="F1428" s="20" t="s">
        <v>37</v>
      </c>
      <c r="G1428" s="20" t="s">
        <v>2579</v>
      </c>
      <c r="H1428" s="20" t="s">
        <v>39</v>
      </c>
      <c r="I1428" s="20" t="s">
        <v>58</v>
      </c>
      <c r="J1428" s="20" t="s">
        <v>323</v>
      </c>
      <c r="K1428" s="20" t="s">
        <v>195</v>
      </c>
      <c r="L1428" s="20" t="s">
        <v>2691</v>
      </c>
      <c r="M1428" s="20" t="s">
        <v>61</v>
      </c>
      <c r="N1428" s="20" t="s">
        <v>75</v>
      </c>
      <c r="O1428" s="20">
        <v>39</v>
      </c>
      <c r="P1428" s="20">
        <v>161.28</v>
      </c>
      <c r="Q1428" s="20">
        <v>100.47</v>
      </c>
      <c r="R1428" s="20">
        <v>6290.07</v>
      </c>
      <c r="S1428" s="20">
        <v>0</v>
      </c>
      <c r="T1428" s="20">
        <v>0</v>
      </c>
      <c r="U1428" s="20">
        <v>6290.07</v>
      </c>
      <c r="V1428" s="20">
        <v>3918.42</v>
      </c>
      <c r="W1428" s="20">
        <v>2371.65</v>
      </c>
      <c r="X1428" s="20" t="s">
        <v>129</v>
      </c>
    </row>
    <row r="1429" spans="1:24" x14ac:dyDescent="0.25">
      <c r="A1429" s="23" t="s">
        <v>1954</v>
      </c>
      <c r="B1429" s="22">
        <v>45303</v>
      </c>
      <c r="C1429" s="23" t="s">
        <v>917</v>
      </c>
      <c r="D1429" s="23" t="s">
        <v>57</v>
      </c>
      <c r="E1429" s="23" t="s">
        <v>250</v>
      </c>
      <c r="F1429" s="23" t="s">
        <v>2598</v>
      </c>
      <c r="G1429" s="23" t="s">
        <v>2581</v>
      </c>
      <c r="H1429" s="23" t="s">
        <v>252</v>
      </c>
      <c r="I1429" s="23" t="s">
        <v>88</v>
      </c>
      <c r="J1429" s="23" t="s">
        <v>2112</v>
      </c>
      <c r="K1429" s="23" t="s">
        <v>170</v>
      </c>
      <c r="L1429" s="23" t="s">
        <v>2671</v>
      </c>
      <c r="M1429" s="23" t="s">
        <v>61</v>
      </c>
      <c r="N1429" s="23" t="s">
        <v>2578</v>
      </c>
      <c r="O1429" s="23">
        <v>23</v>
      </c>
      <c r="P1429" s="23">
        <v>63.04</v>
      </c>
      <c r="Q1429" s="23">
        <v>38.04</v>
      </c>
      <c r="R1429" s="23">
        <v>1449.99</v>
      </c>
      <c r="S1429" s="23">
        <v>0.05</v>
      </c>
      <c r="T1429" s="23">
        <v>72.5</v>
      </c>
      <c r="U1429" s="23">
        <v>1377.49</v>
      </c>
      <c r="V1429" s="23">
        <v>874.86</v>
      </c>
      <c r="W1429" s="23">
        <v>502.63</v>
      </c>
      <c r="X1429" s="23" t="s">
        <v>129</v>
      </c>
    </row>
    <row r="1430" spans="1:24" x14ac:dyDescent="0.25">
      <c r="A1430" s="20" t="s">
        <v>1955</v>
      </c>
      <c r="B1430" s="19">
        <v>45316</v>
      </c>
      <c r="C1430" s="20" t="s">
        <v>155</v>
      </c>
      <c r="D1430" s="20" t="s">
        <v>156</v>
      </c>
      <c r="E1430" s="20" t="s">
        <v>250</v>
      </c>
      <c r="F1430" s="20" t="s">
        <v>2598</v>
      </c>
      <c r="G1430" s="20" t="s">
        <v>2581</v>
      </c>
      <c r="H1430" s="20" t="s">
        <v>252</v>
      </c>
      <c r="I1430" s="20" t="s">
        <v>58</v>
      </c>
      <c r="J1430" s="20" t="s">
        <v>345</v>
      </c>
      <c r="K1430" s="20" t="s">
        <v>152</v>
      </c>
      <c r="L1430" s="20" t="s">
        <v>2688</v>
      </c>
      <c r="M1430" s="20" t="s">
        <v>30</v>
      </c>
      <c r="N1430" s="20" t="s">
        <v>70</v>
      </c>
      <c r="O1430" s="20">
        <v>31</v>
      </c>
      <c r="P1430" s="20">
        <v>61.43</v>
      </c>
      <c r="Q1430" s="20">
        <v>36.479999999999997</v>
      </c>
      <c r="R1430" s="20">
        <v>1904.24</v>
      </c>
      <c r="S1430" s="20">
        <v>0.1</v>
      </c>
      <c r="T1430" s="20">
        <v>190.42</v>
      </c>
      <c r="U1430" s="20">
        <v>1713.81</v>
      </c>
      <c r="V1430" s="20">
        <v>1130.93</v>
      </c>
      <c r="W1430" s="20">
        <v>582.89</v>
      </c>
      <c r="X1430" s="20" t="s">
        <v>45</v>
      </c>
    </row>
    <row r="1431" spans="1:24" x14ac:dyDescent="0.25">
      <c r="A1431" s="23" t="s">
        <v>1956</v>
      </c>
      <c r="B1431" s="22">
        <v>45511</v>
      </c>
      <c r="C1431" s="23" t="s">
        <v>506</v>
      </c>
      <c r="D1431" s="23" t="s">
        <v>264</v>
      </c>
      <c r="E1431" s="23" t="s">
        <v>66</v>
      </c>
      <c r="F1431" s="23" t="s">
        <v>2582</v>
      </c>
      <c r="G1431" s="23" t="s">
        <v>2579</v>
      </c>
      <c r="H1431" s="23" t="s">
        <v>68</v>
      </c>
      <c r="I1431" s="23" t="s">
        <v>58</v>
      </c>
      <c r="J1431" s="23" t="s">
        <v>323</v>
      </c>
      <c r="K1431" s="23" t="s">
        <v>118</v>
      </c>
      <c r="L1431" s="23" t="s">
        <v>2686</v>
      </c>
      <c r="M1431" s="23" t="s">
        <v>61</v>
      </c>
      <c r="N1431" s="23" t="s">
        <v>84</v>
      </c>
      <c r="O1431" s="23">
        <v>32</v>
      </c>
      <c r="P1431" s="23">
        <v>151.04</v>
      </c>
      <c r="Q1431" s="23">
        <v>107.95</v>
      </c>
      <c r="R1431" s="23">
        <v>4833.42</v>
      </c>
      <c r="S1431" s="23">
        <v>25</v>
      </c>
      <c r="T1431" s="23">
        <v>725.01</v>
      </c>
      <c r="U1431" s="23">
        <v>4108.41</v>
      </c>
      <c r="V1431" s="23">
        <v>3454.43</v>
      </c>
      <c r="W1431" s="23">
        <v>653.98</v>
      </c>
      <c r="X1431" s="23" t="s">
        <v>45</v>
      </c>
    </row>
    <row r="1432" spans="1:24" x14ac:dyDescent="0.25">
      <c r="A1432" s="20" t="s">
        <v>1957</v>
      </c>
      <c r="B1432" s="19">
        <v>45301</v>
      </c>
      <c r="C1432" s="20" t="s">
        <v>208</v>
      </c>
      <c r="D1432" s="20" t="s">
        <v>35</v>
      </c>
      <c r="E1432" s="20" t="s">
        <v>109</v>
      </c>
      <c r="F1432" s="20" t="s">
        <v>110</v>
      </c>
      <c r="G1432" s="20" t="s">
        <v>2584</v>
      </c>
      <c r="H1432" s="20" t="s">
        <v>81</v>
      </c>
      <c r="I1432" s="20" t="s">
        <v>88</v>
      </c>
      <c r="J1432" s="20" t="s">
        <v>183</v>
      </c>
      <c r="K1432" s="20" t="s">
        <v>144</v>
      </c>
      <c r="L1432" s="20" t="s">
        <v>2687</v>
      </c>
      <c r="M1432" s="20" t="s">
        <v>61</v>
      </c>
      <c r="N1432" s="20" t="s">
        <v>84</v>
      </c>
      <c r="O1432" s="20">
        <v>80</v>
      </c>
      <c r="P1432" s="20">
        <v>117.11</v>
      </c>
      <c r="Q1432" s="20">
        <v>70.709999999999994</v>
      </c>
      <c r="R1432" s="20">
        <v>9368.5499999999993</v>
      </c>
      <c r="S1432" s="20">
        <v>0</v>
      </c>
      <c r="T1432" s="20">
        <v>0</v>
      </c>
      <c r="U1432" s="20">
        <v>9368.5499999999993</v>
      </c>
      <c r="V1432" s="20">
        <v>5657.02</v>
      </c>
      <c r="W1432" s="20">
        <v>3711.53</v>
      </c>
      <c r="X1432" s="20" t="s">
        <v>45</v>
      </c>
    </row>
    <row r="1433" spans="1:24" x14ac:dyDescent="0.25">
      <c r="A1433" s="23" t="s">
        <v>1958</v>
      </c>
      <c r="B1433" s="22">
        <v>45612</v>
      </c>
      <c r="C1433" s="23" t="s">
        <v>21</v>
      </c>
      <c r="D1433" s="23" t="s">
        <v>22</v>
      </c>
      <c r="E1433" s="23" t="s">
        <v>78</v>
      </c>
      <c r="F1433" s="23" t="s">
        <v>2583</v>
      </c>
      <c r="G1433" s="23" t="s">
        <v>2584</v>
      </c>
      <c r="H1433" s="23" t="s">
        <v>81</v>
      </c>
      <c r="I1433" s="23" t="s">
        <v>58</v>
      </c>
      <c r="J1433" s="23" t="s">
        <v>323</v>
      </c>
      <c r="K1433" s="23" t="s">
        <v>69</v>
      </c>
      <c r="L1433" s="23" t="s">
        <v>2681</v>
      </c>
      <c r="M1433" s="23" t="s">
        <v>30</v>
      </c>
      <c r="N1433" s="23" t="s">
        <v>70</v>
      </c>
      <c r="O1433" s="23">
        <v>64</v>
      </c>
      <c r="P1433" s="23">
        <v>129.81</v>
      </c>
      <c r="Q1433" s="23">
        <v>75.790000000000006</v>
      </c>
      <c r="R1433" s="23">
        <v>8308.0300000000007</v>
      </c>
      <c r="S1433" s="23">
        <v>0.15</v>
      </c>
      <c r="T1433" s="23">
        <v>1246.2</v>
      </c>
      <c r="U1433" s="23">
        <v>7061.82</v>
      </c>
      <c r="V1433" s="23">
        <v>4850.3</v>
      </c>
      <c r="W1433" s="23">
        <v>2211.52</v>
      </c>
      <c r="X1433" s="23" t="s">
        <v>45</v>
      </c>
    </row>
    <row r="1434" spans="1:24" x14ac:dyDescent="0.25">
      <c r="A1434" s="20" t="s">
        <v>1959</v>
      </c>
      <c r="B1434" s="19">
        <v>45624</v>
      </c>
      <c r="C1434" s="20" t="s">
        <v>524</v>
      </c>
      <c r="D1434" s="20" t="s">
        <v>125</v>
      </c>
      <c r="E1434" s="20" t="s">
        <v>150</v>
      </c>
      <c r="F1434" s="20" t="s">
        <v>2591</v>
      </c>
      <c r="G1434" s="20" t="s">
        <v>2587</v>
      </c>
      <c r="H1434" s="20" t="s">
        <v>134</v>
      </c>
      <c r="I1434" s="20" t="s">
        <v>53</v>
      </c>
      <c r="J1434" s="20" t="s">
        <v>122</v>
      </c>
      <c r="K1434" s="20" t="s">
        <v>152</v>
      </c>
      <c r="L1434" s="20" t="s">
        <v>2688</v>
      </c>
      <c r="M1434" s="20" t="s">
        <v>153</v>
      </c>
      <c r="N1434" s="20" t="s">
        <v>75</v>
      </c>
      <c r="O1434" s="20">
        <v>41</v>
      </c>
      <c r="P1434" s="20">
        <v>80.56</v>
      </c>
      <c r="Q1434" s="20">
        <v>54.24</v>
      </c>
      <c r="R1434" s="20">
        <v>3302.87</v>
      </c>
      <c r="S1434" s="20">
        <v>0.02</v>
      </c>
      <c r="T1434" s="20">
        <v>66.06</v>
      </c>
      <c r="U1434" s="20">
        <v>3236.82</v>
      </c>
      <c r="V1434" s="20">
        <v>2223.7399999999998</v>
      </c>
      <c r="W1434" s="20">
        <v>1013.07</v>
      </c>
      <c r="X1434" s="20" t="s">
        <v>129</v>
      </c>
    </row>
    <row r="1435" spans="1:24" x14ac:dyDescent="0.25">
      <c r="A1435" s="23" t="s">
        <v>1960</v>
      </c>
      <c r="B1435" s="22">
        <v>45332</v>
      </c>
      <c r="C1435" s="23" t="s">
        <v>137</v>
      </c>
      <c r="D1435" s="23" t="s">
        <v>22</v>
      </c>
      <c r="E1435" s="23" t="s">
        <v>132</v>
      </c>
      <c r="F1435" s="23" t="s">
        <v>133</v>
      </c>
      <c r="G1435" s="23" t="s">
        <v>2581</v>
      </c>
      <c r="H1435" s="23" t="s">
        <v>134</v>
      </c>
      <c r="I1435" s="23" t="s">
        <v>58</v>
      </c>
      <c r="J1435" s="23" t="s">
        <v>59</v>
      </c>
      <c r="K1435" s="23" t="s">
        <v>69</v>
      </c>
      <c r="L1435" s="23" t="s">
        <v>2681</v>
      </c>
      <c r="M1435" s="23" t="s">
        <v>61</v>
      </c>
      <c r="N1435" s="23" t="s">
        <v>70</v>
      </c>
      <c r="O1435" s="23">
        <v>47</v>
      </c>
      <c r="P1435" s="23">
        <v>59.07</v>
      </c>
      <c r="Q1435" s="23">
        <v>35.82</v>
      </c>
      <c r="R1435" s="23">
        <v>2776.33</v>
      </c>
      <c r="S1435" s="23">
        <v>0.1</v>
      </c>
      <c r="T1435" s="23">
        <v>277.63</v>
      </c>
      <c r="U1435" s="23">
        <v>2498.69</v>
      </c>
      <c r="V1435" s="23">
        <v>1683.31</v>
      </c>
      <c r="W1435" s="23">
        <v>815.39</v>
      </c>
      <c r="X1435" s="23" t="s">
        <v>32</v>
      </c>
    </row>
    <row r="1436" spans="1:24" x14ac:dyDescent="0.25">
      <c r="A1436" s="20" t="s">
        <v>1961</v>
      </c>
      <c r="B1436" s="19">
        <v>45534</v>
      </c>
      <c r="C1436" s="20" t="s">
        <v>172</v>
      </c>
      <c r="D1436" s="20" t="s">
        <v>22</v>
      </c>
      <c r="E1436" s="20" t="s">
        <v>114</v>
      </c>
      <c r="F1436" s="20" t="s">
        <v>2588</v>
      </c>
      <c r="G1436" s="20" t="s">
        <v>2586</v>
      </c>
      <c r="H1436" s="20" t="s">
        <v>116</v>
      </c>
      <c r="I1436" s="20" t="s">
        <v>58</v>
      </c>
      <c r="J1436" s="20" t="s">
        <v>73</v>
      </c>
      <c r="K1436" s="20" t="s">
        <v>170</v>
      </c>
      <c r="L1436" s="20" t="s">
        <v>2671</v>
      </c>
      <c r="M1436" s="20" t="s">
        <v>30</v>
      </c>
      <c r="N1436" s="20" t="s">
        <v>84</v>
      </c>
      <c r="O1436" s="20">
        <v>28</v>
      </c>
      <c r="P1436" s="20">
        <v>37.72</v>
      </c>
      <c r="Q1436" s="20">
        <v>21.91</v>
      </c>
      <c r="R1436" s="20">
        <v>1056.05</v>
      </c>
      <c r="S1436" s="20">
        <v>0</v>
      </c>
      <c r="T1436" s="20">
        <v>0</v>
      </c>
      <c r="U1436" s="20">
        <v>1056.05</v>
      </c>
      <c r="V1436" s="20">
        <v>613.59</v>
      </c>
      <c r="W1436" s="20">
        <v>442.46</v>
      </c>
      <c r="X1436" s="20" t="s">
        <v>45</v>
      </c>
    </row>
    <row r="1437" spans="1:24" x14ac:dyDescent="0.25">
      <c r="A1437" s="23" t="s">
        <v>1962</v>
      </c>
      <c r="B1437" s="22">
        <v>45298</v>
      </c>
      <c r="C1437" s="23" t="s">
        <v>197</v>
      </c>
      <c r="D1437" s="23" t="s">
        <v>159</v>
      </c>
      <c r="E1437" s="23" t="s">
        <v>250</v>
      </c>
      <c r="F1437" s="23" t="s">
        <v>2598</v>
      </c>
      <c r="G1437" s="23" t="s">
        <v>2581</v>
      </c>
      <c r="H1437" s="23" t="s">
        <v>252</v>
      </c>
      <c r="I1437" s="23" t="s">
        <v>40</v>
      </c>
      <c r="J1437" s="23" t="s">
        <v>117</v>
      </c>
      <c r="K1437" s="23" t="s">
        <v>265</v>
      </c>
      <c r="L1437" s="23" t="s">
        <v>2663</v>
      </c>
      <c r="M1437" s="23" t="s">
        <v>30</v>
      </c>
      <c r="N1437" s="23" t="s">
        <v>70</v>
      </c>
      <c r="O1437" s="23">
        <v>27</v>
      </c>
      <c r="P1437" s="23">
        <v>60.18</v>
      </c>
      <c r="Q1437" s="23">
        <v>38.590000000000003</v>
      </c>
      <c r="R1437" s="23">
        <v>1624.99</v>
      </c>
      <c r="S1437" s="23">
        <v>0.2</v>
      </c>
      <c r="T1437" s="23">
        <v>325</v>
      </c>
      <c r="U1437" s="23">
        <v>1299.99</v>
      </c>
      <c r="V1437" s="23">
        <v>1041.8</v>
      </c>
      <c r="W1437" s="23">
        <v>258.19</v>
      </c>
      <c r="X1437" s="23" t="s">
        <v>45</v>
      </c>
    </row>
    <row r="1438" spans="1:24" x14ac:dyDescent="0.25">
      <c r="A1438" s="20" t="s">
        <v>1963</v>
      </c>
      <c r="B1438" s="19">
        <v>45419</v>
      </c>
      <c r="C1438" s="20" t="s">
        <v>701</v>
      </c>
      <c r="D1438" s="20" t="s">
        <v>48</v>
      </c>
      <c r="E1438" s="20" t="s">
        <v>109</v>
      </c>
      <c r="F1438" s="20" t="s">
        <v>110</v>
      </c>
      <c r="G1438" s="20" t="s">
        <v>2584</v>
      </c>
      <c r="H1438" s="20" t="s">
        <v>81</v>
      </c>
      <c r="I1438" s="20" t="s">
        <v>58</v>
      </c>
      <c r="J1438" s="20" t="s">
        <v>345</v>
      </c>
      <c r="K1438" s="20" t="s">
        <v>218</v>
      </c>
      <c r="L1438" s="20" t="s">
        <v>2692</v>
      </c>
      <c r="M1438" s="20" t="s">
        <v>153</v>
      </c>
      <c r="N1438" s="20" t="s">
        <v>2578</v>
      </c>
      <c r="O1438" s="20">
        <v>29</v>
      </c>
      <c r="P1438" s="20">
        <v>128.55000000000001</v>
      </c>
      <c r="Q1438" s="20">
        <v>71.77</v>
      </c>
      <c r="R1438" s="20">
        <v>3727.97</v>
      </c>
      <c r="S1438" s="20">
        <v>0.05</v>
      </c>
      <c r="T1438" s="20">
        <v>186.4</v>
      </c>
      <c r="U1438" s="20">
        <v>3541.58</v>
      </c>
      <c r="V1438" s="20">
        <v>2081.4</v>
      </c>
      <c r="W1438" s="20">
        <v>1460.17</v>
      </c>
      <c r="X1438" s="20" t="s">
        <v>129</v>
      </c>
    </row>
    <row r="1439" spans="1:24" x14ac:dyDescent="0.25">
      <c r="A1439" s="23" t="s">
        <v>1964</v>
      </c>
      <c r="B1439" s="22">
        <v>45364</v>
      </c>
      <c r="C1439" s="23" t="s">
        <v>339</v>
      </c>
      <c r="D1439" s="23" t="s">
        <v>221</v>
      </c>
      <c r="E1439" s="23" t="s">
        <v>209</v>
      </c>
      <c r="F1439" s="23" t="s">
        <v>2595</v>
      </c>
      <c r="G1439" s="23" t="s">
        <v>2581</v>
      </c>
      <c r="H1439" s="23" t="s">
        <v>116</v>
      </c>
      <c r="I1439" s="23" t="s">
        <v>88</v>
      </c>
      <c r="J1439" s="23" t="s">
        <v>183</v>
      </c>
      <c r="K1439" s="23" t="s">
        <v>170</v>
      </c>
      <c r="L1439" s="23" t="s">
        <v>2671</v>
      </c>
      <c r="M1439" s="23" t="s">
        <v>30</v>
      </c>
      <c r="N1439" s="23" t="s">
        <v>75</v>
      </c>
      <c r="O1439" s="23">
        <v>11</v>
      </c>
      <c r="P1439" s="23">
        <v>17.13</v>
      </c>
      <c r="Q1439" s="23">
        <v>10.1</v>
      </c>
      <c r="R1439" s="23">
        <v>188.44</v>
      </c>
      <c r="S1439" s="23">
        <v>0.02</v>
      </c>
      <c r="T1439" s="23">
        <v>3.77</v>
      </c>
      <c r="U1439" s="23">
        <v>184.67</v>
      </c>
      <c r="V1439" s="23">
        <v>111.15</v>
      </c>
      <c r="W1439" s="23">
        <v>73.52</v>
      </c>
      <c r="X1439" s="23" t="s">
        <v>45</v>
      </c>
    </row>
    <row r="1440" spans="1:24" x14ac:dyDescent="0.25">
      <c r="A1440" s="20" t="s">
        <v>1965</v>
      </c>
      <c r="B1440" s="19">
        <v>45351</v>
      </c>
      <c r="C1440" s="20" t="s">
        <v>897</v>
      </c>
      <c r="D1440" s="20" t="s">
        <v>65</v>
      </c>
      <c r="E1440" s="20" t="s">
        <v>209</v>
      </c>
      <c r="F1440" s="20" t="s">
        <v>2595</v>
      </c>
      <c r="G1440" s="20" t="s">
        <v>2581</v>
      </c>
      <c r="H1440" s="20" t="s">
        <v>116</v>
      </c>
      <c r="I1440" s="20" t="s">
        <v>27</v>
      </c>
      <c r="J1440" s="20" t="s">
        <v>211</v>
      </c>
      <c r="K1440" s="20" t="s">
        <v>184</v>
      </c>
      <c r="L1440" s="20" t="s">
        <v>2690</v>
      </c>
      <c r="M1440" s="20" t="s">
        <v>30</v>
      </c>
      <c r="N1440" s="20" t="s">
        <v>2578</v>
      </c>
      <c r="O1440" s="20">
        <v>2</v>
      </c>
      <c r="P1440" s="20">
        <v>17.079999999999998</v>
      </c>
      <c r="Q1440" s="20">
        <v>10.29</v>
      </c>
      <c r="R1440" s="20">
        <v>34.159999999999997</v>
      </c>
      <c r="S1440" s="20">
        <v>0.02</v>
      </c>
      <c r="T1440" s="20">
        <v>0.68</v>
      </c>
      <c r="U1440" s="20">
        <v>33.479999999999997</v>
      </c>
      <c r="V1440" s="20">
        <v>20.58</v>
      </c>
      <c r="W1440" s="20">
        <v>12.9</v>
      </c>
      <c r="X1440" s="20" t="s">
        <v>129</v>
      </c>
    </row>
    <row r="1441" spans="1:24" x14ac:dyDescent="0.25">
      <c r="A1441" s="23" t="s">
        <v>1966</v>
      </c>
      <c r="B1441" s="22">
        <v>45348</v>
      </c>
      <c r="C1441" s="23" t="s">
        <v>1380</v>
      </c>
      <c r="D1441" s="23" t="s">
        <v>121</v>
      </c>
      <c r="E1441" s="23" t="s">
        <v>222</v>
      </c>
      <c r="F1441" s="23" t="s">
        <v>2597</v>
      </c>
      <c r="G1441" s="23" t="s">
        <v>2587</v>
      </c>
      <c r="H1441" s="23" t="s">
        <v>68</v>
      </c>
      <c r="I1441" s="23" t="s">
        <v>40</v>
      </c>
      <c r="J1441" s="23" t="s">
        <v>289</v>
      </c>
      <c r="K1441" s="23" t="s">
        <v>144</v>
      </c>
      <c r="L1441" s="23" t="s">
        <v>2687</v>
      </c>
      <c r="M1441" s="23" t="s">
        <v>61</v>
      </c>
      <c r="N1441" s="23" t="s">
        <v>44</v>
      </c>
      <c r="O1441" s="23">
        <v>59</v>
      </c>
      <c r="P1441" s="23">
        <v>117.34</v>
      </c>
      <c r="Q1441" s="23">
        <v>82.49</v>
      </c>
      <c r="R1441" s="23">
        <v>6923</v>
      </c>
      <c r="S1441" s="23">
        <v>0</v>
      </c>
      <c r="T1441" s="23">
        <v>0</v>
      </c>
      <c r="U1441" s="23">
        <v>6923</v>
      </c>
      <c r="V1441" s="23">
        <v>4866.92</v>
      </c>
      <c r="W1441" s="23">
        <v>2056.0700000000002</v>
      </c>
      <c r="X1441" s="23" t="s">
        <v>45</v>
      </c>
    </row>
    <row r="1442" spans="1:24" x14ac:dyDescent="0.25">
      <c r="A1442" s="20" t="s">
        <v>1967</v>
      </c>
      <c r="B1442" s="19">
        <v>45514</v>
      </c>
      <c r="C1442" s="20" t="s">
        <v>148</v>
      </c>
      <c r="D1442" s="20" t="s">
        <v>149</v>
      </c>
      <c r="E1442" s="20" t="s">
        <v>78</v>
      </c>
      <c r="F1442" s="20" t="s">
        <v>2583</v>
      </c>
      <c r="G1442" s="20" t="s">
        <v>2584</v>
      </c>
      <c r="H1442" s="20" t="s">
        <v>81</v>
      </c>
      <c r="I1442" s="20" t="s">
        <v>40</v>
      </c>
      <c r="J1442" s="20" t="s">
        <v>41</v>
      </c>
      <c r="K1442" s="20" t="s">
        <v>74</v>
      </c>
      <c r="L1442" s="20" t="s">
        <v>2682</v>
      </c>
      <c r="M1442" s="20" t="s">
        <v>153</v>
      </c>
      <c r="N1442" s="20" t="s">
        <v>2578</v>
      </c>
      <c r="O1442" s="20">
        <v>55</v>
      </c>
      <c r="P1442" s="20">
        <v>136.68</v>
      </c>
      <c r="Q1442" s="20">
        <v>76.77</v>
      </c>
      <c r="R1442" s="20">
        <v>7517.2</v>
      </c>
      <c r="S1442" s="20">
        <v>0</v>
      </c>
      <c r="T1442" s="20">
        <v>0</v>
      </c>
      <c r="U1442" s="20">
        <v>7517.2</v>
      </c>
      <c r="V1442" s="20">
        <v>4222.3900000000003</v>
      </c>
      <c r="W1442" s="20">
        <v>3294.81</v>
      </c>
      <c r="X1442" s="20" t="s">
        <v>129</v>
      </c>
    </row>
    <row r="1443" spans="1:24" x14ac:dyDescent="0.25">
      <c r="A1443" s="23" t="s">
        <v>1968</v>
      </c>
      <c r="B1443" s="22">
        <v>45482</v>
      </c>
      <c r="C1443" s="23" t="s">
        <v>98</v>
      </c>
      <c r="D1443" s="23" t="s">
        <v>48</v>
      </c>
      <c r="E1443" s="23" t="s">
        <v>126</v>
      </c>
      <c r="F1443" s="23" t="s">
        <v>2589</v>
      </c>
      <c r="G1443" s="23" t="s">
        <v>2586</v>
      </c>
      <c r="H1443" s="23" t="s">
        <v>128</v>
      </c>
      <c r="I1443" s="23" t="s">
        <v>40</v>
      </c>
      <c r="J1443" s="23" t="s">
        <v>289</v>
      </c>
      <c r="K1443" s="23" t="s">
        <v>42</v>
      </c>
      <c r="L1443" s="23" t="s">
        <v>2680</v>
      </c>
      <c r="M1443" s="23" t="s">
        <v>43</v>
      </c>
      <c r="N1443" s="23" t="s">
        <v>2619</v>
      </c>
      <c r="O1443" s="23">
        <v>73</v>
      </c>
      <c r="P1443" s="23">
        <v>93.77</v>
      </c>
      <c r="Q1443" s="23">
        <v>52.04</v>
      </c>
      <c r="R1443" s="23">
        <v>6845.2</v>
      </c>
      <c r="S1443" s="23">
        <v>0.1</v>
      </c>
      <c r="T1443" s="23">
        <v>684.52</v>
      </c>
      <c r="U1443" s="23">
        <v>6160.68</v>
      </c>
      <c r="V1443" s="23">
        <v>3798.76</v>
      </c>
      <c r="W1443" s="23">
        <v>2361.92</v>
      </c>
      <c r="X1443" s="23" t="s">
        <v>129</v>
      </c>
    </row>
    <row r="1444" spans="1:24" x14ac:dyDescent="0.25">
      <c r="A1444" s="20" t="s">
        <v>1969</v>
      </c>
      <c r="B1444" s="19">
        <v>45304</v>
      </c>
      <c r="C1444" s="20" t="s">
        <v>387</v>
      </c>
      <c r="D1444" s="20" t="s">
        <v>22</v>
      </c>
      <c r="E1444" s="20" t="s">
        <v>150</v>
      </c>
      <c r="F1444" s="20" t="s">
        <v>2591</v>
      </c>
      <c r="G1444" s="20" t="s">
        <v>2587</v>
      </c>
      <c r="H1444" s="20" t="s">
        <v>134</v>
      </c>
      <c r="I1444" s="20" t="s">
        <v>58</v>
      </c>
      <c r="J1444" s="20" t="s">
        <v>59</v>
      </c>
      <c r="K1444" s="20" t="s">
        <v>118</v>
      </c>
      <c r="L1444" s="20" t="s">
        <v>2686</v>
      </c>
      <c r="M1444" s="20" t="s">
        <v>153</v>
      </c>
      <c r="N1444" s="20" t="s">
        <v>70</v>
      </c>
      <c r="O1444" s="20">
        <v>30</v>
      </c>
      <c r="P1444" s="20">
        <v>83.16</v>
      </c>
      <c r="Q1444" s="20">
        <v>48.7</v>
      </c>
      <c r="R1444" s="20">
        <v>2494.75</v>
      </c>
      <c r="S1444" s="20">
        <v>0.2</v>
      </c>
      <c r="T1444" s="20">
        <v>498.95</v>
      </c>
      <c r="U1444" s="20">
        <v>1995.8</v>
      </c>
      <c r="V1444" s="20">
        <v>1460.94</v>
      </c>
      <c r="W1444" s="20">
        <v>534.86</v>
      </c>
      <c r="X1444" s="20" t="s">
        <v>45</v>
      </c>
    </row>
    <row r="1445" spans="1:24" x14ac:dyDescent="0.25">
      <c r="A1445" s="23" t="s">
        <v>1970</v>
      </c>
      <c r="B1445" s="22">
        <v>45397</v>
      </c>
      <c r="C1445" s="23" t="s">
        <v>363</v>
      </c>
      <c r="D1445" s="23" t="s">
        <v>87</v>
      </c>
      <c r="E1445" s="23" t="s">
        <v>150</v>
      </c>
      <c r="F1445" s="23" t="s">
        <v>2591</v>
      </c>
      <c r="G1445" s="23" t="s">
        <v>2587</v>
      </c>
      <c r="H1445" s="23" t="s">
        <v>134</v>
      </c>
      <c r="I1445" s="23" t="s">
        <v>40</v>
      </c>
      <c r="J1445" s="23" t="s">
        <v>41</v>
      </c>
      <c r="K1445" s="23" t="s">
        <v>90</v>
      </c>
      <c r="L1445" s="23" t="s">
        <v>2684</v>
      </c>
      <c r="M1445" s="23" t="s">
        <v>43</v>
      </c>
      <c r="N1445" s="23" t="s">
        <v>44</v>
      </c>
      <c r="O1445" s="23">
        <v>51</v>
      </c>
      <c r="P1445" s="23">
        <v>85.66</v>
      </c>
      <c r="Q1445" s="23">
        <v>49.27</v>
      </c>
      <c r="R1445" s="23">
        <v>4368.8900000000003</v>
      </c>
      <c r="S1445" s="23">
        <v>0</v>
      </c>
      <c r="T1445" s="23">
        <v>0</v>
      </c>
      <c r="U1445" s="23">
        <v>4368.8900000000003</v>
      </c>
      <c r="V1445" s="23">
        <v>2512.62</v>
      </c>
      <c r="W1445" s="23">
        <v>1856.27</v>
      </c>
      <c r="X1445" s="23" t="s">
        <v>45</v>
      </c>
    </row>
    <row r="1446" spans="1:24" x14ac:dyDescent="0.25">
      <c r="A1446" s="20" t="s">
        <v>1971</v>
      </c>
      <c r="B1446" s="19">
        <v>45484</v>
      </c>
      <c r="C1446" s="20" t="s">
        <v>1310</v>
      </c>
      <c r="D1446" s="20" t="s">
        <v>264</v>
      </c>
      <c r="E1446" s="20" t="s">
        <v>99</v>
      </c>
      <c r="F1446" s="20" t="s">
        <v>100</v>
      </c>
      <c r="G1446" s="20" t="s">
        <v>2587</v>
      </c>
      <c r="H1446" s="20" t="s">
        <v>102</v>
      </c>
      <c r="I1446" s="20" t="s">
        <v>40</v>
      </c>
      <c r="J1446" s="20" t="s">
        <v>41</v>
      </c>
      <c r="K1446" s="20" t="s">
        <v>29</v>
      </c>
      <c r="L1446" s="20" t="s">
        <v>2679</v>
      </c>
      <c r="M1446" s="20" t="s">
        <v>30</v>
      </c>
      <c r="N1446" s="20" t="s">
        <v>2578</v>
      </c>
      <c r="O1446" s="20">
        <v>71</v>
      </c>
      <c r="P1446" s="20">
        <v>67.97</v>
      </c>
      <c r="Q1446" s="20">
        <v>41.83</v>
      </c>
      <c r="R1446" s="20">
        <v>4825.87</v>
      </c>
      <c r="S1446" s="20">
        <v>0.2</v>
      </c>
      <c r="T1446" s="20">
        <v>965.17</v>
      </c>
      <c r="U1446" s="20">
        <v>3860.7</v>
      </c>
      <c r="V1446" s="20">
        <v>2969.64</v>
      </c>
      <c r="W1446" s="20">
        <v>891.06</v>
      </c>
      <c r="X1446" s="20" t="s">
        <v>45</v>
      </c>
    </row>
    <row r="1447" spans="1:24" x14ac:dyDescent="0.25">
      <c r="A1447" s="23" t="s">
        <v>1972</v>
      </c>
      <c r="B1447" s="22">
        <v>45311</v>
      </c>
      <c r="C1447" s="23" t="s">
        <v>526</v>
      </c>
      <c r="D1447" s="23" t="s">
        <v>159</v>
      </c>
      <c r="E1447" s="23" t="s">
        <v>109</v>
      </c>
      <c r="F1447" s="23" t="s">
        <v>110</v>
      </c>
      <c r="G1447" s="23" t="s">
        <v>2584</v>
      </c>
      <c r="H1447" s="23" t="s">
        <v>81</v>
      </c>
      <c r="I1447" s="23" t="s">
        <v>53</v>
      </c>
      <c r="J1447" s="23" t="s">
        <v>122</v>
      </c>
      <c r="K1447" s="23" t="s">
        <v>60</v>
      </c>
      <c r="L1447" s="23" t="s">
        <v>2677</v>
      </c>
      <c r="M1447" s="23" t="s">
        <v>30</v>
      </c>
      <c r="N1447" s="23" t="s">
        <v>70</v>
      </c>
      <c r="O1447" s="23">
        <v>23</v>
      </c>
      <c r="P1447" s="23">
        <v>124.43</v>
      </c>
      <c r="Q1447" s="23">
        <v>72.959999999999994</v>
      </c>
      <c r="R1447" s="23">
        <v>2861.93</v>
      </c>
      <c r="S1447" s="23">
        <v>0.05</v>
      </c>
      <c r="T1447" s="23">
        <v>143.1</v>
      </c>
      <c r="U1447" s="23">
        <v>2718.83</v>
      </c>
      <c r="V1447" s="23">
        <v>1677.99</v>
      </c>
      <c r="W1447" s="23">
        <v>1040.8399999999999</v>
      </c>
      <c r="X1447" s="23" t="s">
        <v>45</v>
      </c>
    </row>
    <row r="1448" spans="1:24" x14ac:dyDescent="0.25">
      <c r="A1448" s="20" t="s">
        <v>1973</v>
      </c>
      <c r="B1448" s="19">
        <v>45498</v>
      </c>
      <c r="C1448" s="20" t="s">
        <v>1265</v>
      </c>
      <c r="D1448" s="20" t="s">
        <v>48</v>
      </c>
      <c r="E1448" s="20" t="s">
        <v>150</v>
      </c>
      <c r="F1448" s="20" t="s">
        <v>2591</v>
      </c>
      <c r="G1448" s="20" t="s">
        <v>2587</v>
      </c>
      <c r="H1448" s="20" t="s">
        <v>134</v>
      </c>
      <c r="I1448" s="20" t="s">
        <v>53</v>
      </c>
      <c r="J1448" s="20" t="s">
        <v>54</v>
      </c>
      <c r="K1448" s="20" t="s">
        <v>265</v>
      </c>
      <c r="L1448" s="20" t="s">
        <v>2663</v>
      </c>
      <c r="M1448" s="20" t="s">
        <v>30</v>
      </c>
      <c r="N1448" s="20" t="s">
        <v>44</v>
      </c>
      <c r="O1448" s="20">
        <v>5</v>
      </c>
      <c r="P1448" s="20">
        <v>79.180000000000007</v>
      </c>
      <c r="Q1448" s="20">
        <v>54.71</v>
      </c>
      <c r="R1448" s="20">
        <v>395.92</v>
      </c>
      <c r="S1448" s="20">
        <v>0.2</v>
      </c>
      <c r="T1448" s="20">
        <v>79.180000000000007</v>
      </c>
      <c r="U1448" s="20">
        <v>316.73</v>
      </c>
      <c r="V1448" s="20">
        <v>273.57</v>
      </c>
      <c r="W1448" s="20">
        <v>43.17</v>
      </c>
      <c r="X1448" s="20" t="s">
        <v>45</v>
      </c>
    </row>
    <row r="1449" spans="1:24" x14ac:dyDescent="0.25">
      <c r="A1449" s="23" t="s">
        <v>1974</v>
      </c>
      <c r="B1449" s="22">
        <v>45391</v>
      </c>
      <c r="C1449" s="23" t="s">
        <v>301</v>
      </c>
      <c r="D1449" s="23" t="s">
        <v>259</v>
      </c>
      <c r="E1449" s="23" t="s">
        <v>141</v>
      </c>
      <c r="F1449" s="23" t="s">
        <v>2590</v>
      </c>
      <c r="G1449" s="23" t="s">
        <v>2577</v>
      </c>
      <c r="H1449" s="23" t="s">
        <v>26</v>
      </c>
      <c r="I1449" s="23" t="s">
        <v>40</v>
      </c>
      <c r="J1449" s="23" t="s">
        <v>41</v>
      </c>
      <c r="K1449" s="23" t="s">
        <v>218</v>
      </c>
      <c r="L1449" s="23" t="s">
        <v>2692</v>
      </c>
      <c r="M1449" s="23" t="s">
        <v>153</v>
      </c>
      <c r="N1449" s="23" t="s">
        <v>84</v>
      </c>
      <c r="O1449" s="23">
        <v>14</v>
      </c>
      <c r="P1449" s="23">
        <v>93.14</v>
      </c>
      <c r="Q1449" s="23">
        <v>62.31</v>
      </c>
      <c r="R1449" s="23">
        <v>1303.8900000000001</v>
      </c>
      <c r="S1449" s="23">
        <v>0.02</v>
      </c>
      <c r="T1449" s="23">
        <v>26.08</v>
      </c>
      <c r="U1449" s="23">
        <v>1277.82</v>
      </c>
      <c r="V1449" s="23">
        <v>872.29</v>
      </c>
      <c r="W1449" s="23">
        <v>405.52</v>
      </c>
      <c r="X1449" s="23" t="s">
        <v>32</v>
      </c>
    </row>
    <row r="1450" spans="1:24" x14ac:dyDescent="0.25">
      <c r="A1450" s="20" t="s">
        <v>1975</v>
      </c>
      <c r="B1450" s="19">
        <v>45621</v>
      </c>
      <c r="C1450" s="20" t="s">
        <v>378</v>
      </c>
      <c r="D1450" s="20" t="s">
        <v>159</v>
      </c>
      <c r="E1450" s="20" t="s">
        <v>114</v>
      </c>
      <c r="F1450" s="20" t="s">
        <v>2588</v>
      </c>
      <c r="G1450" s="20" t="s">
        <v>2586</v>
      </c>
      <c r="H1450" s="20" t="s">
        <v>116</v>
      </c>
      <c r="I1450" s="20" t="s">
        <v>58</v>
      </c>
      <c r="J1450" s="20" t="s">
        <v>59</v>
      </c>
      <c r="K1450" s="20" t="s">
        <v>265</v>
      </c>
      <c r="L1450" s="20" t="s">
        <v>2663</v>
      </c>
      <c r="M1450" s="20" t="s">
        <v>43</v>
      </c>
      <c r="N1450" s="20" t="s">
        <v>70</v>
      </c>
      <c r="O1450" s="20">
        <v>4</v>
      </c>
      <c r="P1450" s="20">
        <v>32.43</v>
      </c>
      <c r="Q1450" s="20">
        <v>20.73</v>
      </c>
      <c r="R1450" s="20">
        <v>129.74</v>
      </c>
      <c r="S1450" s="20">
        <v>0.02</v>
      </c>
      <c r="T1450" s="20">
        <v>2.59</v>
      </c>
      <c r="U1450" s="20">
        <v>127.14</v>
      </c>
      <c r="V1450" s="20">
        <v>82.91</v>
      </c>
      <c r="W1450" s="20">
        <v>44.23</v>
      </c>
      <c r="X1450" s="20" t="s">
        <v>45</v>
      </c>
    </row>
    <row r="1451" spans="1:24" x14ac:dyDescent="0.25">
      <c r="A1451" s="23" t="s">
        <v>1976</v>
      </c>
      <c r="B1451" s="22">
        <v>45544</v>
      </c>
      <c r="C1451" s="23" t="s">
        <v>456</v>
      </c>
      <c r="D1451" s="23" t="s">
        <v>22</v>
      </c>
      <c r="E1451" s="23" t="s">
        <v>49</v>
      </c>
      <c r="F1451" s="23" t="s">
        <v>2580</v>
      </c>
      <c r="G1451" s="23" t="s">
        <v>2581</v>
      </c>
      <c r="H1451" s="23" t="s">
        <v>52</v>
      </c>
      <c r="I1451" s="23" t="s">
        <v>88</v>
      </c>
      <c r="J1451" s="23" t="s">
        <v>135</v>
      </c>
      <c r="K1451" s="23" t="s">
        <v>178</v>
      </c>
      <c r="L1451" s="23" t="s">
        <v>2689</v>
      </c>
      <c r="M1451" s="23" t="s">
        <v>43</v>
      </c>
      <c r="N1451" s="23" t="s">
        <v>2578</v>
      </c>
      <c r="O1451" s="23">
        <v>49</v>
      </c>
      <c r="P1451" s="23">
        <v>26.27</v>
      </c>
      <c r="Q1451" s="23">
        <v>12.5</v>
      </c>
      <c r="R1451" s="23">
        <v>1287.1500000000001</v>
      </c>
      <c r="S1451" s="23">
        <v>0.05</v>
      </c>
      <c r="T1451" s="23">
        <v>64.36</v>
      </c>
      <c r="U1451" s="23">
        <v>1222.79</v>
      </c>
      <c r="V1451" s="23">
        <v>612.33000000000004</v>
      </c>
      <c r="W1451" s="23">
        <v>610.46</v>
      </c>
      <c r="X1451" s="23" t="s">
        <v>32</v>
      </c>
    </row>
    <row r="1452" spans="1:24" x14ac:dyDescent="0.25">
      <c r="A1452" s="20" t="s">
        <v>1977</v>
      </c>
      <c r="B1452" s="19">
        <v>45606</v>
      </c>
      <c r="C1452" s="20" t="s">
        <v>535</v>
      </c>
      <c r="D1452" s="20" t="s">
        <v>221</v>
      </c>
      <c r="E1452" s="20" t="s">
        <v>66</v>
      </c>
      <c r="F1452" s="20" t="s">
        <v>2582</v>
      </c>
      <c r="G1452" s="20" t="s">
        <v>2579</v>
      </c>
      <c r="H1452" s="20" t="s">
        <v>68</v>
      </c>
      <c r="I1452" s="20" t="s">
        <v>27</v>
      </c>
      <c r="J1452" s="20" t="s">
        <v>211</v>
      </c>
      <c r="K1452" s="20" t="s">
        <v>184</v>
      </c>
      <c r="L1452" s="20" t="s">
        <v>2690</v>
      </c>
      <c r="M1452" s="20" t="s">
        <v>153</v>
      </c>
      <c r="N1452" s="20" t="s">
        <v>44</v>
      </c>
      <c r="O1452" s="20">
        <v>1</v>
      </c>
      <c r="P1452" s="20">
        <v>150.69999999999999</v>
      </c>
      <c r="Q1452" s="20">
        <v>110.66</v>
      </c>
      <c r="R1452" s="20">
        <v>150.69999999999999</v>
      </c>
      <c r="S1452" s="20">
        <v>0.15</v>
      </c>
      <c r="T1452" s="20">
        <v>22.61</v>
      </c>
      <c r="U1452" s="20">
        <v>128.1</v>
      </c>
      <c r="V1452" s="20">
        <v>110.66</v>
      </c>
      <c r="W1452" s="20">
        <v>17.440000000000001</v>
      </c>
      <c r="X1452" s="20" t="s">
        <v>45</v>
      </c>
    </row>
    <row r="1453" spans="1:24" x14ac:dyDescent="0.25">
      <c r="A1453" s="23" t="s">
        <v>1978</v>
      </c>
      <c r="B1453" s="22">
        <v>45562</v>
      </c>
      <c r="C1453" s="23" t="s">
        <v>1261</v>
      </c>
      <c r="D1453" s="23" t="s">
        <v>393</v>
      </c>
      <c r="E1453" s="23" t="s">
        <v>132</v>
      </c>
      <c r="F1453" s="23" t="s">
        <v>133</v>
      </c>
      <c r="G1453" s="23" t="s">
        <v>2581</v>
      </c>
      <c r="H1453" s="23" t="s">
        <v>134</v>
      </c>
      <c r="I1453" s="23" t="s">
        <v>27</v>
      </c>
      <c r="J1453" s="23" t="s">
        <v>211</v>
      </c>
      <c r="K1453" s="23" t="s">
        <v>90</v>
      </c>
      <c r="L1453" s="23" t="s">
        <v>2684</v>
      </c>
      <c r="M1453" s="23" t="s">
        <v>43</v>
      </c>
      <c r="N1453" s="23" t="s">
        <v>44</v>
      </c>
      <c r="O1453" s="23">
        <v>47</v>
      </c>
      <c r="P1453" s="23">
        <v>56.01</v>
      </c>
      <c r="Q1453" s="23">
        <v>35.090000000000003</v>
      </c>
      <c r="R1453" s="23">
        <v>2632.35</v>
      </c>
      <c r="S1453" s="23">
        <v>0</v>
      </c>
      <c r="T1453" s="23">
        <v>0</v>
      </c>
      <c r="U1453" s="23">
        <v>2632.35</v>
      </c>
      <c r="V1453" s="23">
        <v>1649.38</v>
      </c>
      <c r="W1453" s="23">
        <v>982.97</v>
      </c>
      <c r="X1453" s="23" t="s">
        <v>32</v>
      </c>
    </row>
    <row r="1454" spans="1:24" x14ac:dyDescent="0.25">
      <c r="A1454" s="20" t="s">
        <v>1979</v>
      </c>
      <c r="B1454" s="19">
        <v>45502</v>
      </c>
      <c r="C1454" s="20" t="s">
        <v>696</v>
      </c>
      <c r="D1454" s="20" t="s">
        <v>105</v>
      </c>
      <c r="E1454" s="20" t="s">
        <v>165</v>
      </c>
      <c r="F1454" s="20" t="s">
        <v>2592</v>
      </c>
      <c r="G1454" s="20" t="s">
        <v>2586</v>
      </c>
      <c r="H1454" s="20" t="s">
        <v>167</v>
      </c>
      <c r="I1454" s="20" t="s">
        <v>53</v>
      </c>
      <c r="J1454" s="20" t="s">
        <v>54</v>
      </c>
      <c r="K1454" s="20" t="s">
        <v>42</v>
      </c>
      <c r="L1454" s="20" t="s">
        <v>2680</v>
      </c>
      <c r="M1454" s="20" t="s">
        <v>153</v>
      </c>
      <c r="N1454" s="20" t="s">
        <v>75</v>
      </c>
      <c r="O1454" s="20">
        <v>12</v>
      </c>
      <c r="P1454" s="20">
        <v>42.77</v>
      </c>
      <c r="Q1454" s="20">
        <v>26.1</v>
      </c>
      <c r="R1454" s="20">
        <v>513.27</v>
      </c>
      <c r="S1454" s="20">
        <v>0</v>
      </c>
      <c r="T1454" s="20">
        <v>0</v>
      </c>
      <c r="U1454" s="20">
        <v>513.27</v>
      </c>
      <c r="V1454" s="20">
        <v>313.18</v>
      </c>
      <c r="W1454" s="20">
        <v>200.09</v>
      </c>
      <c r="X1454" s="20" t="s">
        <v>45</v>
      </c>
    </row>
    <row r="1455" spans="1:24" x14ac:dyDescent="0.25">
      <c r="A1455" s="23" t="s">
        <v>1980</v>
      </c>
      <c r="B1455" s="22">
        <v>45601</v>
      </c>
      <c r="C1455" s="23" t="s">
        <v>864</v>
      </c>
      <c r="D1455" s="23" t="s">
        <v>22</v>
      </c>
      <c r="E1455" s="23" t="s">
        <v>36</v>
      </c>
      <c r="F1455" s="23" t="s">
        <v>37</v>
      </c>
      <c r="G1455" s="23" t="s">
        <v>2579</v>
      </c>
      <c r="H1455" s="23" t="s">
        <v>39</v>
      </c>
      <c r="I1455" s="23" t="s">
        <v>58</v>
      </c>
      <c r="J1455" s="23" t="s">
        <v>2619</v>
      </c>
      <c r="K1455" s="23" t="s">
        <v>261</v>
      </c>
      <c r="L1455" s="23" t="s">
        <v>2695</v>
      </c>
      <c r="M1455" s="23" t="s">
        <v>61</v>
      </c>
      <c r="N1455" s="23" t="s">
        <v>2578</v>
      </c>
      <c r="O1455" s="23">
        <v>28</v>
      </c>
      <c r="P1455" s="23">
        <v>167.12</v>
      </c>
      <c r="Q1455" s="23">
        <v>93.28</v>
      </c>
      <c r="R1455" s="23">
        <v>4679.4799999999996</v>
      </c>
      <c r="S1455" s="23">
        <v>0.02</v>
      </c>
      <c r="T1455" s="23">
        <v>93.59</v>
      </c>
      <c r="U1455" s="23">
        <v>4585.8900000000003</v>
      </c>
      <c r="V1455" s="23">
        <v>2611.98</v>
      </c>
      <c r="W1455" s="23">
        <v>1973.92</v>
      </c>
      <c r="X1455" s="23" t="s">
        <v>32</v>
      </c>
    </row>
    <row r="1456" spans="1:24" x14ac:dyDescent="0.25">
      <c r="A1456" s="20" t="s">
        <v>1981</v>
      </c>
      <c r="B1456" s="19">
        <v>45466</v>
      </c>
      <c r="C1456" s="20" t="s">
        <v>464</v>
      </c>
      <c r="D1456" s="20" t="s">
        <v>105</v>
      </c>
      <c r="E1456" s="20" t="s">
        <v>209</v>
      </c>
      <c r="F1456" s="20" t="s">
        <v>2595</v>
      </c>
      <c r="G1456" s="20" t="s">
        <v>2581</v>
      </c>
      <c r="H1456" s="20" t="s">
        <v>116</v>
      </c>
      <c r="I1456" s="20" t="s">
        <v>53</v>
      </c>
      <c r="J1456" s="20" t="s">
        <v>143</v>
      </c>
      <c r="K1456" s="20" t="s">
        <v>60</v>
      </c>
      <c r="L1456" s="20" t="s">
        <v>2677</v>
      </c>
      <c r="M1456" s="20" t="s">
        <v>43</v>
      </c>
      <c r="N1456" s="20" t="s">
        <v>70</v>
      </c>
      <c r="O1456" s="20">
        <v>27</v>
      </c>
      <c r="P1456" s="20">
        <v>17.29</v>
      </c>
      <c r="Q1456" s="20">
        <v>9.2200000000000006</v>
      </c>
      <c r="R1456" s="20">
        <v>466.81</v>
      </c>
      <c r="S1456" s="20">
        <v>0.1</v>
      </c>
      <c r="T1456" s="20">
        <v>46.68</v>
      </c>
      <c r="U1456" s="20">
        <v>420.13</v>
      </c>
      <c r="V1456" s="20">
        <v>248.83</v>
      </c>
      <c r="W1456" s="20">
        <v>171.3</v>
      </c>
      <c r="X1456" s="20" t="s">
        <v>45</v>
      </c>
    </row>
    <row r="1457" spans="1:24" x14ac:dyDescent="0.25">
      <c r="A1457" s="23" t="s">
        <v>1982</v>
      </c>
      <c r="B1457" s="22">
        <v>45651</v>
      </c>
      <c r="C1457" s="23" t="s">
        <v>511</v>
      </c>
      <c r="D1457" s="23" t="s">
        <v>163</v>
      </c>
      <c r="E1457" s="23" t="s">
        <v>99</v>
      </c>
      <c r="F1457" s="23" t="s">
        <v>100</v>
      </c>
      <c r="G1457" s="23" t="s">
        <v>2587</v>
      </c>
      <c r="H1457" s="23" t="s">
        <v>102</v>
      </c>
      <c r="I1457" s="23" t="s">
        <v>53</v>
      </c>
      <c r="J1457" s="23" t="s">
        <v>232</v>
      </c>
      <c r="K1457" s="23" t="s">
        <v>170</v>
      </c>
      <c r="L1457" s="23" t="s">
        <v>2671</v>
      </c>
      <c r="M1457" s="23" t="s">
        <v>61</v>
      </c>
      <c r="N1457" s="23" t="s">
        <v>70</v>
      </c>
      <c r="O1457" s="23">
        <v>12</v>
      </c>
      <c r="P1457" s="23">
        <v>74.89</v>
      </c>
      <c r="Q1457" s="23">
        <v>38.06</v>
      </c>
      <c r="R1457" s="23">
        <v>898.71</v>
      </c>
      <c r="S1457" s="23">
        <v>0.02</v>
      </c>
      <c r="T1457" s="23">
        <v>17.97</v>
      </c>
      <c r="U1457" s="23">
        <v>880.73</v>
      </c>
      <c r="V1457" s="23">
        <v>456.75</v>
      </c>
      <c r="W1457" s="23">
        <v>423.98</v>
      </c>
      <c r="X1457" s="23" t="s">
        <v>45</v>
      </c>
    </row>
    <row r="1458" spans="1:24" x14ac:dyDescent="0.25">
      <c r="A1458" s="20" t="s">
        <v>1983</v>
      </c>
      <c r="B1458" s="19">
        <v>45388</v>
      </c>
      <c r="C1458" s="20" t="s">
        <v>643</v>
      </c>
      <c r="D1458" s="20" t="s">
        <v>359</v>
      </c>
      <c r="E1458" s="20" t="s">
        <v>109</v>
      </c>
      <c r="F1458" s="20" t="s">
        <v>110</v>
      </c>
      <c r="G1458" s="20" t="s">
        <v>2584</v>
      </c>
      <c r="H1458" s="20" t="s">
        <v>81</v>
      </c>
      <c r="I1458" s="20" t="s">
        <v>53</v>
      </c>
      <c r="J1458" s="20" t="s">
        <v>54</v>
      </c>
      <c r="K1458" s="20" t="s">
        <v>195</v>
      </c>
      <c r="L1458" s="20" t="s">
        <v>2691</v>
      </c>
      <c r="M1458" s="20" t="s">
        <v>30</v>
      </c>
      <c r="N1458" s="20" t="s">
        <v>70</v>
      </c>
      <c r="O1458" s="20">
        <v>31</v>
      </c>
      <c r="P1458" s="20">
        <v>131.34</v>
      </c>
      <c r="Q1458" s="20">
        <v>74.650000000000006</v>
      </c>
      <c r="R1458" s="20">
        <v>4071.68</v>
      </c>
      <c r="S1458" s="20">
        <v>0.15</v>
      </c>
      <c r="T1458" s="20">
        <v>610.75</v>
      </c>
      <c r="U1458" s="20">
        <v>3460.93</v>
      </c>
      <c r="V1458" s="20">
        <v>2314.2600000000002</v>
      </c>
      <c r="W1458" s="20">
        <v>1146.67</v>
      </c>
      <c r="X1458" s="20" t="s">
        <v>45</v>
      </c>
    </row>
    <row r="1459" spans="1:24" x14ac:dyDescent="0.25">
      <c r="A1459" s="23" t="s">
        <v>1984</v>
      </c>
      <c r="B1459" s="22">
        <v>45587</v>
      </c>
      <c r="C1459" s="23" t="s">
        <v>344</v>
      </c>
      <c r="D1459" s="23" t="s">
        <v>87</v>
      </c>
      <c r="E1459" s="23" t="s">
        <v>176</v>
      </c>
      <c r="F1459" s="23" t="s">
        <v>2593</v>
      </c>
      <c r="G1459" s="23" t="s">
        <v>2587</v>
      </c>
      <c r="H1459" s="23" t="s">
        <v>39</v>
      </c>
      <c r="I1459" s="23" t="s">
        <v>27</v>
      </c>
      <c r="J1459" s="23" t="s">
        <v>189</v>
      </c>
      <c r="K1459" s="23" t="s">
        <v>60</v>
      </c>
      <c r="L1459" s="23" t="s">
        <v>2677</v>
      </c>
      <c r="M1459" s="23" t="s">
        <v>43</v>
      </c>
      <c r="N1459" s="23" t="s">
        <v>84</v>
      </c>
      <c r="O1459" s="23">
        <v>55</v>
      </c>
      <c r="P1459" s="23">
        <v>102.44</v>
      </c>
      <c r="Q1459" s="23">
        <v>67.03</v>
      </c>
      <c r="R1459" s="23">
        <v>5633.95</v>
      </c>
      <c r="S1459" s="23">
        <v>0.2</v>
      </c>
      <c r="T1459" s="23">
        <v>1126.79</v>
      </c>
      <c r="U1459" s="23">
        <v>4507.16</v>
      </c>
      <c r="V1459" s="23">
        <v>3686.67</v>
      </c>
      <c r="W1459" s="23">
        <v>820.49</v>
      </c>
      <c r="X1459" s="23" t="s">
        <v>45</v>
      </c>
    </row>
    <row r="1460" spans="1:24" x14ac:dyDescent="0.25">
      <c r="A1460" s="20" t="s">
        <v>1985</v>
      </c>
      <c r="B1460" s="19">
        <v>45592</v>
      </c>
      <c r="C1460" s="20" t="s">
        <v>953</v>
      </c>
      <c r="D1460" s="20" t="s">
        <v>221</v>
      </c>
      <c r="E1460" s="20" t="s">
        <v>114</v>
      </c>
      <c r="F1460" s="20" t="s">
        <v>2588</v>
      </c>
      <c r="G1460" s="20" t="s">
        <v>2586</v>
      </c>
      <c r="H1460" s="20" t="s">
        <v>116</v>
      </c>
      <c r="I1460" s="20" t="s">
        <v>40</v>
      </c>
      <c r="J1460" s="20" t="s">
        <v>289</v>
      </c>
      <c r="K1460" s="20" t="s">
        <v>74</v>
      </c>
      <c r="L1460" s="20" t="s">
        <v>2682</v>
      </c>
      <c r="M1460" s="20" t="s">
        <v>153</v>
      </c>
      <c r="N1460" s="20" t="s">
        <v>2578</v>
      </c>
      <c r="O1460" s="20">
        <v>53</v>
      </c>
      <c r="P1460" s="20">
        <v>36.79</v>
      </c>
      <c r="Q1460" s="20">
        <v>21.14</v>
      </c>
      <c r="R1460" s="20">
        <v>1949.7</v>
      </c>
      <c r="S1460" s="20">
        <v>0.05</v>
      </c>
      <c r="T1460" s="20">
        <v>97.48</v>
      </c>
      <c r="U1460" s="20">
        <v>1852.21</v>
      </c>
      <c r="V1460" s="20">
        <v>1120.26</v>
      </c>
      <c r="W1460" s="20">
        <v>731.95</v>
      </c>
      <c r="X1460" s="20" t="s">
        <v>45</v>
      </c>
    </row>
    <row r="1461" spans="1:24" x14ac:dyDescent="0.25">
      <c r="A1461" s="23" t="s">
        <v>1986</v>
      </c>
      <c r="B1461" s="22">
        <v>45596</v>
      </c>
      <c r="C1461" s="23" t="s">
        <v>904</v>
      </c>
      <c r="D1461" s="23" t="s">
        <v>35</v>
      </c>
      <c r="E1461" s="23" t="s">
        <v>216</v>
      </c>
      <c r="F1461" s="23" t="s">
        <v>2596</v>
      </c>
      <c r="G1461" s="23" t="s">
        <v>2579</v>
      </c>
      <c r="H1461" s="23" t="s">
        <v>134</v>
      </c>
      <c r="I1461" s="23" t="s">
        <v>53</v>
      </c>
      <c r="J1461" s="23" t="s">
        <v>232</v>
      </c>
      <c r="K1461" s="23" t="s">
        <v>184</v>
      </c>
      <c r="L1461" s="23" t="s">
        <v>2690</v>
      </c>
      <c r="M1461" s="23" t="s">
        <v>30</v>
      </c>
      <c r="N1461" s="23" t="s">
        <v>70</v>
      </c>
      <c r="O1461" s="23">
        <v>36</v>
      </c>
      <c r="P1461" s="23">
        <v>112.7</v>
      </c>
      <c r="Q1461" s="23">
        <v>71.7</v>
      </c>
      <c r="R1461" s="23">
        <v>4057.04</v>
      </c>
      <c r="S1461" s="23">
        <v>0.15</v>
      </c>
      <c r="T1461" s="23">
        <v>608.55999999999995</v>
      </c>
      <c r="U1461" s="23">
        <v>3448.49</v>
      </c>
      <c r="V1461" s="23">
        <v>2581.15</v>
      </c>
      <c r="W1461" s="23">
        <v>867.34</v>
      </c>
      <c r="X1461" s="23" t="s">
        <v>129</v>
      </c>
    </row>
    <row r="1462" spans="1:24" x14ac:dyDescent="0.25">
      <c r="A1462" s="20" t="s">
        <v>1987</v>
      </c>
      <c r="B1462" s="19">
        <v>45454</v>
      </c>
      <c r="C1462" s="20" t="s">
        <v>721</v>
      </c>
      <c r="D1462" s="20" t="s">
        <v>359</v>
      </c>
      <c r="E1462" s="20" t="s">
        <v>66</v>
      </c>
      <c r="F1462" s="20" t="s">
        <v>2582</v>
      </c>
      <c r="G1462" s="20" t="s">
        <v>2579</v>
      </c>
      <c r="H1462" s="20" t="s">
        <v>68</v>
      </c>
      <c r="I1462" s="20" t="s">
        <v>58</v>
      </c>
      <c r="J1462" s="20" t="s">
        <v>59</v>
      </c>
      <c r="K1462" s="20" t="s">
        <v>69</v>
      </c>
      <c r="L1462" s="20" t="s">
        <v>2681</v>
      </c>
      <c r="M1462" s="20" t="s">
        <v>43</v>
      </c>
      <c r="N1462" s="20" t="s">
        <v>75</v>
      </c>
      <c r="O1462" s="20">
        <f>ROUND(Cleaned_Sales!$R1462/Cleaned_Sales!$P1462,0)</f>
        <v>16</v>
      </c>
      <c r="P1462" s="20">
        <v>169.49</v>
      </c>
      <c r="Q1462" s="20">
        <v>106.19</v>
      </c>
      <c r="R1462" s="20">
        <v>2711.77</v>
      </c>
      <c r="S1462" s="20">
        <v>0.02</v>
      </c>
      <c r="T1462" s="20">
        <v>54.24</v>
      </c>
      <c r="U1462" s="20">
        <v>2657.53</v>
      </c>
      <c r="V1462" s="20">
        <v>1698.99</v>
      </c>
      <c r="W1462" s="20">
        <v>958.54</v>
      </c>
      <c r="X1462" s="20" t="s">
        <v>45</v>
      </c>
    </row>
    <row r="1463" spans="1:24" x14ac:dyDescent="0.25">
      <c r="A1463" s="23" t="s">
        <v>1988</v>
      </c>
      <c r="B1463" s="22">
        <v>45349</v>
      </c>
      <c r="C1463" s="23" t="s">
        <v>1831</v>
      </c>
      <c r="D1463" s="23" t="s">
        <v>256</v>
      </c>
      <c r="E1463" s="23" t="s">
        <v>209</v>
      </c>
      <c r="F1463" s="23" t="s">
        <v>2595</v>
      </c>
      <c r="G1463" s="23" t="s">
        <v>2581</v>
      </c>
      <c r="H1463" s="23" t="s">
        <v>116</v>
      </c>
      <c r="I1463" s="23" t="s">
        <v>40</v>
      </c>
      <c r="J1463" s="23" t="s">
        <v>82</v>
      </c>
      <c r="K1463" s="23" t="s">
        <v>42</v>
      </c>
      <c r="L1463" s="23" t="s">
        <v>2680</v>
      </c>
      <c r="M1463" s="23" t="s">
        <v>30</v>
      </c>
      <c r="N1463" s="23" t="s">
        <v>70</v>
      </c>
      <c r="O1463" s="23">
        <v>57</v>
      </c>
      <c r="P1463" s="23">
        <v>17.600000000000001</v>
      </c>
      <c r="Q1463" s="23">
        <v>9.6300000000000008</v>
      </c>
      <c r="R1463" s="23">
        <v>1003.06</v>
      </c>
      <c r="S1463" s="23">
        <v>0.2</v>
      </c>
      <c r="T1463" s="23">
        <v>200.61</v>
      </c>
      <c r="U1463" s="23">
        <v>802.44</v>
      </c>
      <c r="V1463" s="23">
        <v>549.05999999999995</v>
      </c>
      <c r="W1463" s="23">
        <v>253.38</v>
      </c>
      <c r="X1463" s="23" t="s">
        <v>45</v>
      </c>
    </row>
    <row r="1464" spans="1:24" x14ac:dyDescent="0.25">
      <c r="A1464" s="20" t="s">
        <v>1989</v>
      </c>
      <c r="B1464" s="19">
        <v>45636</v>
      </c>
      <c r="C1464" s="20" t="s">
        <v>975</v>
      </c>
      <c r="D1464" s="20" t="s">
        <v>105</v>
      </c>
      <c r="E1464" s="20" t="s">
        <v>99</v>
      </c>
      <c r="F1464" s="20" t="s">
        <v>100</v>
      </c>
      <c r="G1464" s="20" t="s">
        <v>2587</v>
      </c>
      <c r="H1464" s="20" t="s">
        <v>102</v>
      </c>
      <c r="I1464" s="20" t="s">
        <v>88</v>
      </c>
      <c r="J1464" s="20" t="s">
        <v>135</v>
      </c>
      <c r="K1464" s="20" t="s">
        <v>178</v>
      </c>
      <c r="L1464" s="20" t="s">
        <v>2689</v>
      </c>
      <c r="M1464" s="20" t="s">
        <v>30</v>
      </c>
      <c r="N1464" s="20" t="s">
        <v>75</v>
      </c>
      <c r="O1464" s="20">
        <v>14</v>
      </c>
      <c r="P1464" s="20">
        <v>66.3</v>
      </c>
      <c r="Q1464" s="20">
        <v>41.13</v>
      </c>
      <c r="R1464" s="20">
        <v>928.22</v>
      </c>
      <c r="S1464" s="20">
        <v>0.02</v>
      </c>
      <c r="T1464" s="20">
        <v>18.559999999999999</v>
      </c>
      <c r="U1464" s="20">
        <v>909.65</v>
      </c>
      <c r="V1464" s="20">
        <v>575.82000000000005</v>
      </c>
      <c r="W1464" s="20">
        <v>333.84</v>
      </c>
      <c r="X1464" s="20" t="s">
        <v>32</v>
      </c>
    </row>
    <row r="1465" spans="1:24" x14ac:dyDescent="0.25">
      <c r="A1465" s="23" t="s">
        <v>1990</v>
      </c>
      <c r="B1465" s="22">
        <v>45462</v>
      </c>
      <c r="C1465" s="23" t="s">
        <v>608</v>
      </c>
      <c r="D1465" s="23" t="s">
        <v>22</v>
      </c>
      <c r="E1465" s="23" t="s">
        <v>165</v>
      </c>
      <c r="F1465" s="23" t="s">
        <v>2592</v>
      </c>
      <c r="G1465" s="23" t="s">
        <v>2586</v>
      </c>
      <c r="H1465" s="23" t="s">
        <v>167</v>
      </c>
      <c r="I1465" s="23" t="s">
        <v>40</v>
      </c>
      <c r="J1465" s="23" t="s">
        <v>41</v>
      </c>
      <c r="K1465" s="23" t="s">
        <v>248</v>
      </c>
      <c r="L1465" s="23" t="s">
        <v>2693</v>
      </c>
      <c r="M1465" s="23" t="s">
        <v>30</v>
      </c>
      <c r="N1465" s="23" t="s">
        <v>75</v>
      </c>
      <c r="O1465" s="23">
        <v>49</v>
      </c>
      <c r="P1465" s="23">
        <v>43.69</v>
      </c>
      <c r="Q1465" s="23">
        <v>23.5</v>
      </c>
      <c r="R1465" s="23">
        <v>2140.5700000000002</v>
      </c>
      <c r="S1465" s="23">
        <v>0.05</v>
      </c>
      <c r="T1465" s="23">
        <v>107.03</v>
      </c>
      <c r="U1465" s="23">
        <v>2033.54</v>
      </c>
      <c r="V1465" s="23">
        <v>1151.5999999999999</v>
      </c>
      <c r="W1465" s="23">
        <v>881.95</v>
      </c>
      <c r="X1465" s="23" t="s">
        <v>45</v>
      </c>
    </row>
    <row r="1466" spans="1:24" x14ac:dyDescent="0.25">
      <c r="A1466" s="20" t="s">
        <v>1991</v>
      </c>
      <c r="B1466" s="19">
        <v>45326</v>
      </c>
      <c r="C1466" s="20" t="s">
        <v>737</v>
      </c>
      <c r="D1466" s="20" t="s">
        <v>22</v>
      </c>
      <c r="E1466" s="20" t="s">
        <v>176</v>
      </c>
      <c r="F1466" s="20" t="s">
        <v>2593</v>
      </c>
      <c r="G1466" s="20" t="s">
        <v>2587</v>
      </c>
      <c r="H1466" s="20" t="s">
        <v>39</v>
      </c>
      <c r="I1466" s="20" t="s">
        <v>27</v>
      </c>
      <c r="J1466" s="20" t="s">
        <v>211</v>
      </c>
      <c r="K1466" s="20" t="s">
        <v>69</v>
      </c>
      <c r="L1466" s="20" t="s">
        <v>2681</v>
      </c>
      <c r="M1466" s="20" t="s">
        <v>30</v>
      </c>
      <c r="N1466" s="20" t="s">
        <v>75</v>
      </c>
      <c r="O1466" s="20">
        <v>59</v>
      </c>
      <c r="P1466" s="20">
        <v>106.85</v>
      </c>
      <c r="Q1466" s="20">
        <v>59.32</v>
      </c>
      <c r="R1466" s="20">
        <v>6304.26</v>
      </c>
      <c r="S1466" s="20">
        <v>0.02</v>
      </c>
      <c r="T1466" s="20">
        <v>126.09</v>
      </c>
      <c r="U1466" s="20">
        <v>6178.17</v>
      </c>
      <c r="V1466" s="20">
        <v>3500.14</v>
      </c>
      <c r="W1466" s="20">
        <v>2678.03</v>
      </c>
      <c r="X1466" s="20" t="s">
        <v>129</v>
      </c>
    </row>
    <row r="1467" spans="1:24" x14ac:dyDescent="0.25">
      <c r="A1467" s="23" t="s">
        <v>1992</v>
      </c>
      <c r="B1467" s="22">
        <v>45313</v>
      </c>
      <c r="C1467" s="23" t="s">
        <v>1013</v>
      </c>
      <c r="D1467" s="23" t="s">
        <v>48</v>
      </c>
      <c r="E1467" s="23" t="s">
        <v>216</v>
      </c>
      <c r="F1467" s="23" t="s">
        <v>2596</v>
      </c>
      <c r="G1467" s="23" t="s">
        <v>2579</v>
      </c>
      <c r="H1467" s="23" t="s">
        <v>134</v>
      </c>
      <c r="I1467" s="23" t="s">
        <v>88</v>
      </c>
      <c r="J1467" s="23" t="s">
        <v>2112</v>
      </c>
      <c r="K1467" s="23" t="s">
        <v>248</v>
      </c>
      <c r="L1467" s="23" t="s">
        <v>2693</v>
      </c>
      <c r="M1467" s="23" t="s">
        <v>153</v>
      </c>
      <c r="N1467" s="23" t="s">
        <v>2578</v>
      </c>
      <c r="O1467" s="23">
        <v>46</v>
      </c>
      <c r="P1467" s="23">
        <v>114.26</v>
      </c>
      <c r="Q1467" s="23">
        <v>70.739999999999995</v>
      </c>
      <c r="R1467" s="23">
        <v>5255.84</v>
      </c>
      <c r="S1467" s="23">
        <v>0.1</v>
      </c>
      <c r="T1467" s="23">
        <v>525.58000000000004</v>
      </c>
      <c r="U1467" s="23">
        <v>4730.26</v>
      </c>
      <c r="V1467" s="23">
        <v>3253.82</v>
      </c>
      <c r="W1467" s="23">
        <v>1476.44</v>
      </c>
      <c r="X1467" s="23" t="s">
        <v>45</v>
      </c>
    </row>
    <row r="1468" spans="1:24" x14ac:dyDescent="0.25">
      <c r="A1468" s="20" t="s">
        <v>1993</v>
      </c>
      <c r="B1468" s="19">
        <v>45528</v>
      </c>
      <c r="C1468" s="20" t="s">
        <v>180</v>
      </c>
      <c r="D1468" s="20" t="s">
        <v>163</v>
      </c>
      <c r="E1468" s="20" t="s">
        <v>216</v>
      </c>
      <c r="F1468" s="20" t="s">
        <v>2596</v>
      </c>
      <c r="G1468" s="20" t="s">
        <v>2579</v>
      </c>
      <c r="H1468" s="20" t="s">
        <v>134</v>
      </c>
      <c r="I1468" s="20" t="s">
        <v>58</v>
      </c>
      <c r="J1468" s="20" t="s">
        <v>73</v>
      </c>
      <c r="K1468" s="20" t="s">
        <v>74</v>
      </c>
      <c r="L1468" s="20" t="s">
        <v>2682</v>
      </c>
      <c r="M1468" s="20" t="s">
        <v>30</v>
      </c>
      <c r="N1468" s="20" t="s">
        <v>75</v>
      </c>
      <c r="O1468" s="20">
        <v>37</v>
      </c>
      <c r="P1468" s="20">
        <v>110.29</v>
      </c>
      <c r="Q1468" s="20">
        <v>65.099999999999994</v>
      </c>
      <c r="R1468" s="20">
        <v>4080.61</v>
      </c>
      <c r="S1468" s="20">
        <v>0.1</v>
      </c>
      <c r="T1468" s="20">
        <v>408.06</v>
      </c>
      <c r="U1468" s="20">
        <v>3672.55</v>
      </c>
      <c r="V1468" s="20">
        <v>2408.7800000000002</v>
      </c>
      <c r="W1468" s="20">
        <v>1263.78</v>
      </c>
      <c r="X1468" s="20" t="s">
        <v>45</v>
      </c>
    </row>
    <row r="1469" spans="1:24" x14ac:dyDescent="0.25">
      <c r="A1469" s="23" t="s">
        <v>1994</v>
      </c>
      <c r="B1469" s="22">
        <v>45408</v>
      </c>
      <c r="C1469" s="23" t="s">
        <v>72</v>
      </c>
      <c r="D1469" s="23" t="s">
        <v>48</v>
      </c>
      <c r="E1469" s="23" t="s">
        <v>209</v>
      </c>
      <c r="F1469" s="23" t="s">
        <v>2595</v>
      </c>
      <c r="G1469" s="23" t="s">
        <v>2581</v>
      </c>
      <c r="H1469" s="23" t="s">
        <v>116</v>
      </c>
      <c r="I1469" s="23" t="s">
        <v>40</v>
      </c>
      <c r="J1469" s="23" t="s">
        <v>289</v>
      </c>
      <c r="K1469" s="23" t="s">
        <v>60</v>
      </c>
      <c r="L1469" s="23" t="s">
        <v>2677</v>
      </c>
      <c r="M1469" s="23" t="s">
        <v>43</v>
      </c>
      <c r="N1469" s="23" t="s">
        <v>70</v>
      </c>
      <c r="O1469" s="23">
        <v>68</v>
      </c>
      <c r="P1469" s="23">
        <v>18.13</v>
      </c>
      <c r="Q1469" s="23">
        <v>9.81</v>
      </c>
      <c r="R1469" s="23">
        <v>1233.1400000000001</v>
      </c>
      <c r="S1469" s="23">
        <v>0.15</v>
      </c>
      <c r="T1469" s="23">
        <v>184.97</v>
      </c>
      <c r="U1469" s="23">
        <v>1048.17</v>
      </c>
      <c r="V1469" s="23">
        <v>666.99</v>
      </c>
      <c r="W1469" s="23">
        <v>381.18</v>
      </c>
      <c r="X1469" s="23" t="s">
        <v>45</v>
      </c>
    </row>
    <row r="1470" spans="1:24" x14ac:dyDescent="0.25">
      <c r="A1470" s="20" t="s">
        <v>1995</v>
      </c>
      <c r="B1470" s="19">
        <v>45368</v>
      </c>
      <c r="C1470" s="20" t="s">
        <v>970</v>
      </c>
      <c r="D1470" s="20" t="s">
        <v>159</v>
      </c>
      <c r="E1470" s="20" t="s">
        <v>209</v>
      </c>
      <c r="F1470" s="20" t="s">
        <v>2595</v>
      </c>
      <c r="G1470" s="20" t="s">
        <v>2581</v>
      </c>
      <c r="H1470" s="20" t="s">
        <v>116</v>
      </c>
      <c r="I1470" s="20" t="s">
        <v>40</v>
      </c>
      <c r="J1470" s="20" t="s">
        <v>289</v>
      </c>
      <c r="K1470" s="20" t="s">
        <v>118</v>
      </c>
      <c r="L1470" s="20" t="s">
        <v>2686</v>
      </c>
      <c r="M1470" s="20" t="s">
        <v>153</v>
      </c>
      <c r="N1470" s="20" t="s">
        <v>75</v>
      </c>
      <c r="O1470" s="20">
        <v>14</v>
      </c>
      <c r="P1470" s="20">
        <v>17.329999999999998</v>
      </c>
      <c r="Q1470" s="20">
        <v>9.36</v>
      </c>
      <c r="R1470" s="20">
        <v>242.67</v>
      </c>
      <c r="S1470" s="20">
        <v>0.05</v>
      </c>
      <c r="T1470" s="20">
        <v>12.13</v>
      </c>
      <c r="U1470" s="20">
        <v>230.54</v>
      </c>
      <c r="V1470" s="20">
        <v>131.06</v>
      </c>
      <c r="W1470" s="20">
        <v>99.47</v>
      </c>
      <c r="X1470" s="20" t="s">
        <v>45</v>
      </c>
    </row>
    <row r="1471" spans="1:24" x14ac:dyDescent="0.25">
      <c r="A1471" s="23" t="s">
        <v>1996</v>
      </c>
      <c r="B1471" s="22">
        <v>45497</v>
      </c>
      <c r="C1471" s="23" t="s">
        <v>509</v>
      </c>
      <c r="D1471" s="23" t="s">
        <v>264</v>
      </c>
      <c r="E1471" s="23" t="s">
        <v>222</v>
      </c>
      <c r="F1471" s="23" t="s">
        <v>2597</v>
      </c>
      <c r="G1471" s="23" t="s">
        <v>2587</v>
      </c>
      <c r="H1471" s="23" t="s">
        <v>68</v>
      </c>
      <c r="I1471" s="23" t="s">
        <v>58</v>
      </c>
      <c r="J1471" s="23" t="s">
        <v>59</v>
      </c>
      <c r="K1471" s="23" t="s">
        <v>178</v>
      </c>
      <c r="L1471" s="23" t="s">
        <v>2689</v>
      </c>
      <c r="M1471" s="23" t="s">
        <v>43</v>
      </c>
      <c r="N1471" s="23" t="s">
        <v>75</v>
      </c>
      <c r="O1471" s="23">
        <v>22</v>
      </c>
      <c r="P1471" s="23">
        <v>122.06</v>
      </c>
      <c r="Q1471" s="23">
        <v>78.58</v>
      </c>
      <c r="R1471" s="23">
        <v>2685.24</v>
      </c>
      <c r="S1471" s="23">
        <v>0.1</v>
      </c>
      <c r="T1471" s="23">
        <v>268.52</v>
      </c>
      <c r="U1471" s="23">
        <v>2416.71</v>
      </c>
      <c r="V1471" s="23">
        <v>1728.82</v>
      </c>
      <c r="W1471" s="23">
        <v>687.89</v>
      </c>
      <c r="X1471" s="23" t="s">
        <v>32</v>
      </c>
    </row>
    <row r="1472" spans="1:24" x14ac:dyDescent="0.25">
      <c r="A1472" s="20" t="s">
        <v>1997</v>
      </c>
      <c r="B1472" s="19">
        <v>45303</v>
      </c>
      <c r="C1472" s="20" t="s">
        <v>155</v>
      </c>
      <c r="D1472" s="20" t="s">
        <v>156</v>
      </c>
      <c r="E1472" s="20" t="s">
        <v>66</v>
      </c>
      <c r="F1472" s="20" t="s">
        <v>2582</v>
      </c>
      <c r="G1472" s="20" t="s">
        <v>2579</v>
      </c>
      <c r="H1472" s="20" t="s">
        <v>68</v>
      </c>
      <c r="I1472" s="20" t="s">
        <v>40</v>
      </c>
      <c r="J1472" s="20" t="s">
        <v>289</v>
      </c>
      <c r="K1472" s="20" t="s">
        <v>69</v>
      </c>
      <c r="L1472" s="20" t="s">
        <v>2681</v>
      </c>
      <c r="M1472" s="20" t="s">
        <v>153</v>
      </c>
      <c r="N1472" s="20" t="s">
        <v>75</v>
      </c>
      <c r="O1472" s="20">
        <v>74</v>
      </c>
      <c r="P1472" s="20">
        <v>168.34</v>
      </c>
      <c r="Q1472" s="20">
        <v>97.82</v>
      </c>
      <c r="R1472" s="20">
        <v>12457.23</v>
      </c>
      <c r="S1472" s="20">
        <v>0.05</v>
      </c>
      <c r="T1472" s="20">
        <v>622.86</v>
      </c>
      <c r="U1472" s="20">
        <v>11834.37</v>
      </c>
      <c r="V1472" s="20">
        <v>7239.01</v>
      </c>
      <c r="W1472" s="20">
        <v>4595.3599999999997</v>
      </c>
      <c r="X1472" s="20" t="s">
        <v>45</v>
      </c>
    </row>
    <row r="1473" spans="1:24" x14ac:dyDescent="0.25">
      <c r="A1473" s="23" t="s">
        <v>1998</v>
      </c>
      <c r="B1473" s="22">
        <v>45656</v>
      </c>
      <c r="C1473" s="23" t="s">
        <v>220</v>
      </c>
      <c r="D1473" s="23" t="s">
        <v>221</v>
      </c>
      <c r="E1473" s="23" t="s">
        <v>109</v>
      </c>
      <c r="F1473" s="23" t="s">
        <v>110</v>
      </c>
      <c r="G1473" s="23" t="s">
        <v>2584</v>
      </c>
      <c r="H1473" s="23" t="s">
        <v>81</v>
      </c>
      <c r="I1473" s="23" t="s">
        <v>88</v>
      </c>
      <c r="J1473" s="23" t="s">
        <v>183</v>
      </c>
      <c r="K1473" s="23" t="s">
        <v>184</v>
      </c>
      <c r="L1473" s="23" t="s">
        <v>2690</v>
      </c>
      <c r="M1473" s="23" t="s">
        <v>61</v>
      </c>
      <c r="N1473" s="23" t="s">
        <v>75</v>
      </c>
      <c r="O1473" s="23">
        <v>19</v>
      </c>
      <c r="P1473" s="23">
        <v>120.31</v>
      </c>
      <c r="Q1473" s="23">
        <v>75.2</v>
      </c>
      <c r="R1473" s="23">
        <v>2285.8200000000002</v>
      </c>
      <c r="S1473" s="23">
        <v>0.05</v>
      </c>
      <c r="T1473" s="23">
        <v>114.29</v>
      </c>
      <c r="U1473" s="23">
        <v>2171.5300000000002</v>
      </c>
      <c r="V1473" s="23">
        <v>1428.85</v>
      </c>
      <c r="W1473" s="23">
        <v>742.69</v>
      </c>
      <c r="X1473" s="23" t="s">
        <v>129</v>
      </c>
    </row>
    <row r="1474" spans="1:24" x14ac:dyDescent="0.25">
      <c r="A1474" s="20" t="s">
        <v>1999</v>
      </c>
      <c r="B1474" s="19">
        <v>45621</v>
      </c>
      <c r="C1474" s="20" t="s">
        <v>365</v>
      </c>
      <c r="D1474" s="20" t="s">
        <v>22</v>
      </c>
      <c r="E1474" s="20" t="s">
        <v>99</v>
      </c>
      <c r="F1474" s="20" t="s">
        <v>100</v>
      </c>
      <c r="G1474" s="20" t="s">
        <v>2587</v>
      </c>
      <c r="H1474" s="20" t="s">
        <v>102</v>
      </c>
      <c r="I1474" s="20" t="s">
        <v>40</v>
      </c>
      <c r="J1474" s="20" t="s">
        <v>289</v>
      </c>
      <c r="K1474" s="20" t="s">
        <v>152</v>
      </c>
      <c r="L1474" s="20" t="s">
        <v>2688</v>
      </c>
      <c r="M1474" s="20" t="s">
        <v>30</v>
      </c>
      <c r="N1474" s="20" t="s">
        <v>2578</v>
      </c>
      <c r="O1474" s="20">
        <v>52</v>
      </c>
      <c r="P1474" s="20">
        <v>73.849999999999994</v>
      </c>
      <c r="Q1474" s="20">
        <v>43.01</v>
      </c>
      <c r="R1474" s="20">
        <v>3840.44</v>
      </c>
      <c r="S1474" s="20">
        <v>0.05</v>
      </c>
      <c r="T1474" s="20">
        <v>192.02</v>
      </c>
      <c r="U1474" s="20">
        <v>3648.42</v>
      </c>
      <c r="V1474" s="20">
        <v>2236.27</v>
      </c>
      <c r="W1474" s="20">
        <v>1412.15</v>
      </c>
      <c r="X1474" s="20" t="s">
        <v>32</v>
      </c>
    </row>
    <row r="1475" spans="1:24" x14ac:dyDescent="0.25">
      <c r="A1475" s="23" t="s">
        <v>2000</v>
      </c>
      <c r="B1475" s="22">
        <v>45294</v>
      </c>
      <c r="C1475" s="23" t="s">
        <v>1122</v>
      </c>
      <c r="D1475" s="23" t="s">
        <v>159</v>
      </c>
      <c r="E1475" s="23" t="s">
        <v>141</v>
      </c>
      <c r="F1475" s="23" t="s">
        <v>2590</v>
      </c>
      <c r="G1475" s="23" t="s">
        <v>2577</v>
      </c>
      <c r="H1475" s="23" t="s">
        <v>26</v>
      </c>
      <c r="I1475" s="23" t="s">
        <v>40</v>
      </c>
      <c r="J1475" s="23" t="s">
        <v>82</v>
      </c>
      <c r="K1475" s="23" t="s">
        <v>253</v>
      </c>
      <c r="L1475" s="23" t="s">
        <v>2694</v>
      </c>
      <c r="M1475" s="23" t="s">
        <v>30</v>
      </c>
      <c r="N1475" s="23" t="s">
        <v>44</v>
      </c>
      <c r="O1475" s="23">
        <v>35</v>
      </c>
      <c r="P1475" s="23">
        <v>91.8</v>
      </c>
      <c r="Q1475" s="23">
        <v>61.71</v>
      </c>
      <c r="R1475" s="23">
        <v>3212.88</v>
      </c>
      <c r="S1475" s="23">
        <v>0.2</v>
      </c>
      <c r="T1475" s="23">
        <v>642.58000000000004</v>
      </c>
      <c r="U1475" s="23">
        <v>2570.3000000000002</v>
      </c>
      <c r="V1475" s="23">
        <v>2159.9499999999998</v>
      </c>
      <c r="W1475" s="23">
        <v>410.36</v>
      </c>
      <c r="X1475" s="23" t="s">
        <v>45</v>
      </c>
    </row>
    <row r="1476" spans="1:24" x14ac:dyDescent="0.25">
      <c r="A1476" s="20" t="s">
        <v>2001</v>
      </c>
      <c r="B1476" s="19">
        <v>45363</v>
      </c>
      <c r="C1476" s="20" t="s">
        <v>866</v>
      </c>
      <c r="D1476" s="20" t="s">
        <v>156</v>
      </c>
      <c r="E1476" s="20" t="s">
        <v>187</v>
      </c>
      <c r="F1476" s="20" t="s">
        <v>2594</v>
      </c>
      <c r="G1476" s="20" t="s">
        <v>2577</v>
      </c>
      <c r="H1476" s="20" t="s">
        <v>26</v>
      </c>
      <c r="I1476" s="20" t="s">
        <v>40</v>
      </c>
      <c r="J1476" s="20" t="s">
        <v>117</v>
      </c>
      <c r="K1476" s="20" t="s">
        <v>170</v>
      </c>
      <c r="L1476" s="20" t="s">
        <v>2671</v>
      </c>
      <c r="M1476" s="20" t="s">
        <v>61</v>
      </c>
      <c r="N1476" s="20" t="s">
        <v>84</v>
      </c>
      <c r="O1476" s="20">
        <v>19</v>
      </c>
      <c r="P1476" s="20">
        <v>50.48</v>
      </c>
      <c r="Q1476" s="20">
        <v>30.41</v>
      </c>
      <c r="R1476" s="20">
        <v>959.06</v>
      </c>
      <c r="S1476" s="20">
        <v>0.15</v>
      </c>
      <c r="T1476" s="20">
        <v>143.86000000000001</v>
      </c>
      <c r="U1476" s="20">
        <v>815.2</v>
      </c>
      <c r="V1476" s="20">
        <v>577.79999999999995</v>
      </c>
      <c r="W1476" s="20">
        <v>237.41</v>
      </c>
      <c r="X1476" s="20" t="s">
        <v>32</v>
      </c>
    </row>
    <row r="1477" spans="1:24" x14ac:dyDescent="0.25">
      <c r="A1477" s="23" t="s">
        <v>2002</v>
      </c>
      <c r="B1477" s="22">
        <v>45461</v>
      </c>
      <c r="C1477" s="23" t="s">
        <v>475</v>
      </c>
      <c r="D1477" s="23" t="s">
        <v>57</v>
      </c>
      <c r="E1477" s="23" t="s">
        <v>99</v>
      </c>
      <c r="F1477" s="23" t="s">
        <v>100</v>
      </c>
      <c r="G1477" s="23" t="s">
        <v>2587</v>
      </c>
      <c r="H1477" s="23" t="s">
        <v>102</v>
      </c>
      <c r="I1477" s="23" t="s">
        <v>88</v>
      </c>
      <c r="J1477" s="23" t="s">
        <v>2112</v>
      </c>
      <c r="K1477" s="23" t="s">
        <v>170</v>
      </c>
      <c r="L1477" s="23" t="s">
        <v>2671</v>
      </c>
      <c r="M1477" s="23" t="s">
        <v>153</v>
      </c>
      <c r="N1477" s="23" t="s">
        <v>44</v>
      </c>
      <c r="O1477" s="23">
        <v>73</v>
      </c>
      <c r="P1477" s="23">
        <v>67.900000000000006</v>
      </c>
      <c r="Q1477" s="23">
        <v>42.01</v>
      </c>
      <c r="R1477" s="23">
        <v>4956.93</v>
      </c>
      <c r="S1477" s="23">
        <v>0</v>
      </c>
      <c r="T1477" s="23">
        <v>0</v>
      </c>
      <c r="U1477" s="23">
        <v>4956.93</v>
      </c>
      <c r="V1477" s="23">
        <v>3066.91</v>
      </c>
      <c r="W1477" s="23">
        <v>1890.02</v>
      </c>
      <c r="X1477" s="23" t="s">
        <v>32</v>
      </c>
    </row>
    <row r="1478" spans="1:24" x14ac:dyDescent="0.25">
      <c r="A1478" s="20" t="s">
        <v>2003</v>
      </c>
      <c r="B1478" s="19">
        <v>45507</v>
      </c>
      <c r="C1478" s="20" t="s">
        <v>1171</v>
      </c>
      <c r="D1478" s="20" t="s">
        <v>35</v>
      </c>
      <c r="E1478" s="20" t="s">
        <v>176</v>
      </c>
      <c r="F1478" s="20" t="s">
        <v>2593</v>
      </c>
      <c r="G1478" s="20" t="s">
        <v>2587</v>
      </c>
      <c r="H1478" s="20" t="s">
        <v>39</v>
      </c>
      <c r="I1478" s="20" t="s">
        <v>27</v>
      </c>
      <c r="J1478" s="20" t="s">
        <v>106</v>
      </c>
      <c r="K1478" s="20" t="s">
        <v>74</v>
      </c>
      <c r="L1478" s="20" t="s">
        <v>2682</v>
      </c>
      <c r="M1478" s="20" t="s">
        <v>43</v>
      </c>
      <c r="N1478" s="20" t="s">
        <v>2578</v>
      </c>
      <c r="O1478" s="20">
        <v>23</v>
      </c>
      <c r="P1478" s="20">
        <v>108.23</v>
      </c>
      <c r="Q1478" s="20">
        <v>59.32</v>
      </c>
      <c r="R1478" s="20">
        <v>2489.39</v>
      </c>
      <c r="S1478" s="20">
        <v>0.02</v>
      </c>
      <c r="T1478" s="20">
        <v>49.79</v>
      </c>
      <c r="U1478" s="20">
        <v>2439.61</v>
      </c>
      <c r="V1478" s="20">
        <v>1364.25</v>
      </c>
      <c r="W1478" s="20">
        <v>1075.3599999999999</v>
      </c>
      <c r="X1478" s="20" t="s">
        <v>45</v>
      </c>
    </row>
    <row r="1479" spans="1:24" x14ac:dyDescent="0.25">
      <c r="A1479" s="23" t="s">
        <v>2004</v>
      </c>
      <c r="B1479" s="22">
        <v>45412</v>
      </c>
      <c r="C1479" s="23" t="s">
        <v>506</v>
      </c>
      <c r="D1479" s="23" t="s">
        <v>264</v>
      </c>
      <c r="E1479" s="23" t="s">
        <v>150</v>
      </c>
      <c r="F1479" s="23" t="s">
        <v>2591</v>
      </c>
      <c r="G1479" s="23" t="s">
        <v>2587</v>
      </c>
      <c r="H1479" s="23" t="s">
        <v>134</v>
      </c>
      <c r="I1479" s="23" t="s">
        <v>27</v>
      </c>
      <c r="J1479" s="23" t="s">
        <v>28</v>
      </c>
      <c r="K1479" s="23" t="s">
        <v>69</v>
      </c>
      <c r="L1479" s="23" t="s">
        <v>2681</v>
      </c>
      <c r="M1479" s="23" t="s">
        <v>385</v>
      </c>
      <c r="N1479" s="23" t="s">
        <v>2578</v>
      </c>
      <c r="O1479" s="23">
        <v>33</v>
      </c>
      <c r="P1479" s="23">
        <v>78.62</v>
      </c>
      <c r="Q1479" s="23">
        <v>49.06</v>
      </c>
      <c r="R1479" s="23">
        <v>2594.59</v>
      </c>
      <c r="S1479" s="23">
        <v>0.2</v>
      </c>
      <c r="T1479" s="23">
        <v>518.91999999999996</v>
      </c>
      <c r="U1479" s="23">
        <v>2075.6799999999998</v>
      </c>
      <c r="V1479" s="23">
        <v>1618.98</v>
      </c>
      <c r="W1479" s="23">
        <v>456.69</v>
      </c>
      <c r="X1479" s="23" t="s">
        <v>45</v>
      </c>
    </row>
    <row r="1480" spans="1:24" x14ac:dyDescent="0.25">
      <c r="A1480" s="20" t="s">
        <v>2005</v>
      </c>
      <c r="B1480" s="19">
        <v>45450</v>
      </c>
      <c r="C1480" s="20" t="s">
        <v>717</v>
      </c>
      <c r="D1480" s="20" t="s">
        <v>35</v>
      </c>
      <c r="E1480" s="20" t="s">
        <v>114</v>
      </c>
      <c r="F1480" s="20" t="s">
        <v>2588</v>
      </c>
      <c r="G1480" s="20" t="s">
        <v>2586</v>
      </c>
      <c r="H1480" s="20" t="s">
        <v>116</v>
      </c>
      <c r="I1480" s="20" t="s">
        <v>53</v>
      </c>
      <c r="J1480" s="20" t="s">
        <v>54</v>
      </c>
      <c r="K1480" s="20" t="s">
        <v>144</v>
      </c>
      <c r="L1480" s="20" t="s">
        <v>2687</v>
      </c>
      <c r="M1480" s="20" t="s">
        <v>43</v>
      </c>
      <c r="N1480" s="20" t="s">
        <v>75</v>
      </c>
      <c r="O1480" s="20">
        <v>58</v>
      </c>
      <c r="P1480" s="20">
        <v>33.69</v>
      </c>
      <c r="Q1480" s="20">
        <v>19.760000000000002</v>
      </c>
      <c r="R1480" s="20">
        <v>1953.87</v>
      </c>
      <c r="S1480" s="20">
        <v>0.05</v>
      </c>
      <c r="T1480" s="20">
        <v>97.69</v>
      </c>
      <c r="U1480" s="20">
        <v>1856.17</v>
      </c>
      <c r="V1480" s="20">
        <v>1145.8</v>
      </c>
      <c r="W1480" s="20">
        <v>710.37</v>
      </c>
      <c r="X1480" s="20" t="s">
        <v>45</v>
      </c>
    </row>
    <row r="1481" spans="1:24" x14ac:dyDescent="0.25">
      <c r="A1481" s="23" t="s">
        <v>2006</v>
      </c>
      <c r="B1481" s="22">
        <v>45572</v>
      </c>
      <c r="C1481" s="23" t="s">
        <v>509</v>
      </c>
      <c r="D1481" s="23" t="s">
        <v>264</v>
      </c>
      <c r="E1481" s="23" t="s">
        <v>114</v>
      </c>
      <c r="F1481" s="23" t="s">
        <v>2588</v>
      </c>
      <c r="G1481" s="23" t="s">
        <v>2586</v>
      </c>
      <c r="H1481" s="23" t="s">
        <v>116</v>
      </c>
      <c r="I1481" s="23" t="s">
        <v>88</v>
      </c>
      <c r="J1481" s="23" t="s">
        <v>2112</v>
      </c>
      <c r="K1481" s="23" t="s">
        <v>195</v>
      </c>
      <c r="L1481" s="23" t="s">
        <v>2691</v>
      </c>
      <c r="M1481" s="23" t="s">
        <v>30</v>
      </c>
      <c r="N1481" s="23" t="s">
        <v>70</v>
      </c>
      <c r="O1481" s="23">
        <v>43</v>
      </c>
      <c r="P1481" s="23">
        <v>34.85</v>
      </c>
      <c r="Q1481" s="23">
        <v>19.47</v>
      </c>
      <c r="R1481" s="23">
        <v>1498.38</v>
      </c>
      <c r="S1481" s="23">
        <v>0.2</v>
      </c>
      <c r="T1481" s="23">
        <v>299.68</v>
      </c>
      <c r="U1481" s="23">
        <v>1198.7</v>
      </c>
      <c r="V1481" s="23">
        <v>837.36</v>
      </c>
      <c r="W1481" s="23">
        <v>361.35</v>
      </c>
      <c r="X1481" s="23" t="s">
        <v>32</v>
      </c>
    </row>
    <row r="1482" spans="1:24" x14ac:dyDescent="0.25">
      <c r="A1482" s="20" t="s">
        <v>2007</v>
      </c>
      <c r="B1482" s="19">
        <v>45611</v>
      </c>
      <c r="C1482" s="20" t="s">
        <v>823</v>
      </c>
      <c r="D1482" s="20" t="s">
        <v>87</v>
      </c>
      <c r="E1482" s="20" t="s">
        <v>23</v>
      </c>
      <c r="F1482" s="20" t="s">
        <v>2576</v>
      </c>
      <c r="G1482" s="20" t="s">
        <v>2577</v>
      </c>
      <c r="H1482" s="20" t="s">
        <v>26</v>
      </c>
      <c r="I1482" s="20" t="s">
        <v>27</v>
      </c>
      <c r="J1482" s="20" t="s">
        <v>211</v>
      </c>
      <c r="K1482" s="20" t="s">
        <v>170</v>
      </c>
      <c r="L1482" s="20" t="s">
        <v>2671</v>
      </c>
      <c r="M1482" s="20" t="s">
        <v>61</v>
      </c>
      <c r="N1482" s="20" t="s">
        <v>44</v>
      </c>
      <c r="O1482" s="20">
        <v>26</v>
      </c>
      <c r="P1482" s="20">
        <v>69.95</v>
      </c>
      <c r="Q1482" s="20">
        <v>42.17</v>
      </c>
      <c r="R1482" s="20">
        <v>1818.64</v>
      </c>
      <c r="S1482" s="20">
        <v>0</v>
      </c>
      <c r="T1482" s="20">
        <v>0</v>
      </c>
      <c r="U1482" s="20">
        <v>1818.64</v>
      </c>
      <c r="V1482" s="20">
        <v>1096.32</v>
      </c>
      <c r="W1482" s="20">
        <v>722.32</v>
      </c>
      <c r="X1482" s="20" t="s">
        <v>45</v>
      </c>
    </row>
    <row r="1483" spans="1:24" x14ac:dyDescent="0.25">
      <c r="A1483" s="23" t="s">
        <v>2008</v>
      </c>
      <c r="B1483" s="22">
        <v>45540</v>
      </c>
      <c r="C1483" s="23" t="s">
        <v>931</v>
      </c>
      <c r="D1483" s="23" t="s">
        <v>105</v>
      </c>
      <c r="E1483" s="23" t="s">
        <v>93</v>
      </c>
      <c r="F1483" s="23" t="s">
        <v>2585</v>
      </c>
      <c r="G1483" s="23" t="s">
        <v>2586</v>
      </c>
      <c r="H1483" s="23" t="s">
        <v>96</v>
      </c>
      <c r="I1483" s="23" t="s">
        <v>40</v>
      </c>
      <c r="J1483" s="23" t="s">
        <v>41</v>
      </c>
      <c r="K1483" s="23" t="s">
        <v>74</v>
      </c>
      <c r="L1483" s="23" t="s">
        <v>2682</v>
      </c>
      <c r="M1483" s="23" t="s">
        <v>43</v>
      </c>
      <c r="N1483" s="23" t="s">
        <v>75</v>
      </c>
      <c r="O1483" s="23">
        <v>59</v>
      </c>
      <c r="P1483" s="23">
        <v>52.59</v>
      </c>
      <c r="Q1483" s="23">
        <v>31.26</v>
      </c>
      <c r="R1483" s="23">
        <v>3103.08</v>
      </c>
      <c r="S1483" s="23">
        <v>0.02</v>
      </c>
      <c r="T1483" s="23">
        <v>62.06</v>
      </c>
      <c r="U1483" s="23">
        <v>3041.02</v>
      </c>
      <c r="V1483" s="23">
        <v>1844.2</v>
      </c>
      <c r="W1483" s="23">
        <v>1196.82</v>
      </c>
      <c r="X1483" s="23" t="s">
        <v>45</v>
      </c>
    </row>
    <row r="1484" spans="1:24" x14ac:dyDescent="0.25">
      <c r="A1484" s="20" t="s">
        <v>2009</v>
      </c>
      <c r="B1484" s="19">
        <v>45560</v>
      </c>
      <c r="C1484" s="20" t="s">
        <v>2619</v>
      </c>
      <c r="D1484" s="20" t="s">
        <v>2619</v>
      </c>
      <c r="E1484" s="20" t="s">
        <v>165</v>
      </c>
      <c r="F1484" s="20" t="s">
        <v>2592</v>
      </c>
      <c r="G1484" s="20" t="s">
        <v>2586</v>
      </c>
      <c r="H1484" s="20" t="s">
        <v>167</v>
      </c>
      <c r="I1484" s="20" t="s">
        <v>53</v>
      </c>
      <c r="J1484" s="20" t="s">
        <v>232</v>
      </c>
      <c r="K1484" s="20" t="s">
        <v>152</v>
      </c>
      <c r="L1484" s="20" t="s">
        <v>2688</v>
      </c>
      <c r="M1484" s="20" t="s">
        <v>153</v>
      </c>
      <c r="N1484" s="20" t="s">
        <v>84</v>
      </c>
      <c r="O1484" s="20">
        <v>64</v>
      </c>
      <c r="P1484" s="20">
        <v>44.99</v>
      </c>
      <c r="Q1484" s="20">
        <v>24.9</v>
      </c>
      <c r="R1484" s="20">
        <v>2879.07</v>
      </c>
      <c r="S1484" s="20">
        <v>0.15</v>
      </c>
      <c r="T1484" s="20">
        <v>431.86</v>
      </c>
      <c r="U1484" s="20">
        <v>2447.21</v>
      </c>
      <c r="V1484" s="20">
        <v>1593.4</v>
      </c>
      <c r="W1484" s="20">
        <v>853.81</v>
      </c>
      <c r="X1484" s="20" t="s">
        <v>45</v>
      </c>
    </row>
    <row r="1485" spans="1:24" x14ac:dyDescent="0.25">
      <c r="A1485" s="23" t="s">
        <v>2010</v>
      </c>
      <c r="B1485" s="22">
        <v>45346</v>
      </c>
      <c r="C1485" s="23" t="s">
        <v>649</v>
      </c>
      <c r="D1485" s="23" t="s">
        <v>87</v>
      </c>
      <c r="E1485" s="23" t="s">
        <v>132</v>
      </c>
      <c r="F1485" s="23" t="s">
        <v>133</v>
      </c>
      <c r="G1485" s="23" t="s">
        <v>2581</v>
      </c>
      <c r="H1485" s="23" t="s">
        <v>134</v>
      </c>
      <c r="I1485" s="23" t="s">
        <v>88</v>
      </c>
      <c r="J1485" s="23" t="s">
        <v>173</v>
      </c>
      <c r="K1485" s="23" t="s">
        <v>152</v>
      </c>
      <c r="L1485" s="23" t="s">
        <v>2688</v>
      </c>
      <c r="M1485" s="23" t="s">
        <v>61</v>
      </c>
      <c r="N1485" s="23" t="s">
        <v>70</v>
      </c>
      <c r="O1485" s="23">
        <v>15</v>
      </c>
      <c r="P1485" s="23">
        <v>58.97</v>
      </c>
      <c r="Q1485" s="23">
        <v>33.89</v>
      </c>
      <c r="R1485" s="23">
        <v>884.52</v>
      </c>
      <c r="S1485" s="23">
        <v>0.1</v>
      </c>
      <c r="T1485" s="23">
        <v>88.45</v>
      </c>
      <c r="U1485" s="23">
        <v>796.07</v>
      </c>
      <c r="V1485" s="23">
        <v>508.36</v>
      </c>
      <c r="W1485" s="23">
        <v>287.7</v>
      </c>
      <c r="X1485" s="23" t="s">
        <v>45</v>
      </c>
    </row>
    <row r="1486" spans="1:24" x14ac:dyDescent="0.25">
      <c r="A1486" s="20" t="s">
        <v>2011</v>
      </c>
      <c r="B1486" s="19">
        <v>45421</v>
      </c>
      <c r="C1486" s="20" t="s">
        <v>487</v>
      </c>
      <c r="D1486" s="20" t="s">
        <v>156</v>
      </c>
      <c r="E1486" s="20" t="s">
        <v>99</v>
      </c>
      <c r="F1486" s="20" t="s">
        <v>100</v>
      </c>
      <c r="G1486" s="20" t="s">
        <v>2587</v>
      </c>
      <c r="H1486" s="20" t="s">
        <v>102</v>
      </c>
      <c r="I1486" s="20" t="s">
        <v>53</v>
      </c>
      <c r="J1486" s="20" t="s">
        <v>143</v>
      </c>
      <c r="K1486" s="20" t="s">
        <v>184</v>
      </c>
      <c r="L1486" s="20" t="s">
        <v>2690</v>
      </c>
      <c r="M1486" s="20" t="s">
        <v>61</v>
      </c>
      <c r="N1486" s="20" t="s">
        <v>2578</v>
      </c>
      <c r="O1486" s="20">
        <v>75</v>
      </c>
      <c r="P1486" s="20">
        <v>67.510000000000005</v>
      </c>
      <c r="Q1486" s="20">
        <v>39.53</v>
      </c>
      <c r="R1486" s="20">
        <v>5063.3999999999996</v>
      </c>
      <c r="S1486" s="20">
        <v>0</v>
      </c>
      <c r="T1486" s="20">
        <v>0</v>
      </c>
      <c r="U1486" s="20">
        <v>5063.3999999999996</v>
      </c>
      <c r="V1486" s="20">
        <v>2964.95</v>
      </c>
      <c r="W1486" s="20">
        <v>2098.4499999999998</v>
      </c>
      <c r="X1486" s="20" t="s">
        <v>45</v>
      </c>
    </row>
    <row r="1487" spans="1:24" x14ac:dyDescent="0.25">
      <c r="A1487" s="23" t="s">
        <v>2012</v>
      </c>
      <c r="B1487" s="22">
        <v>45551</v>
      </c>
      <c r="C1487" s="23" t="s">
        <v>182</v>
      </c>
      <c r="D1487" s="23" t="s">
        <v>35</v>
      </c>
      <c r="E1487" s="23" t="s">
        <v>250</v>
      </c>
      <c r="F1487" s="23" t="s">
        <v>2598</v>
      </c>
      <c r="G1487" s="23" t="s">
        <v>2581</v>
      </c>
      <c r="H1487" s="23" t="s">
        <v>252</v>
      </c>
      <c r="I1487" s="23" t="s">
        <v>40</v>
      </c>
      <c r="J1487" s="23" t="s">
        <v>82</v>
      </c>
      <c r="K1487" s="23" t="s">
        <v>253</v>
      </c>
      <c r="L1487" s="23" t="s">
        <v>2694</v>
      </c>
      <c r="M1487" s="23" t="s">
        <v>61</v>
      </c>
      <c r="N1487" s="23" t="s">
        <v>70</v>
      </c>
      <c r="O1487" s="23">
        <v>48</v>
      </c>
      <c r="P1487" s="23">
        <v>60.06</v>
      </c>
      <c r="Q1487" s="23">
        <v>37.69</v>
      </c>
      <c r="R1487" s="23">
        <v>2882.87</v>
      </c>
      <c r="S1487" s="23">
        <v>0.1</v>
      </c>
      <c r="T1487" s="23">
        <v>288.29000000000002</v>
      </c>
      <c r="U1487" s="23">
        <v>2594.58</v>
      </c>
      <c r="V1487" s="23">
        <v>1809.13</v>
      </c>
      <c r="W1487" s="23">
        <v>785.45</v>
      </c>
      <c r="X1487" s="23" t="s">
        <v>45</v>
      </c>
    </row>
    <row r="1488" spans="1:24" x14ac:dyDescent="0.25">
      <c r="A1488" s="20" t="s">
        <v>1085</v>
      </c>
      <c r="B1488" s="19">
        <v>45488</v>
      </c>
      <c r="C1488" s="20" t="s">
        <v>314</v>
      </c>
      <c r="D1488" s="20" t="s">
        <v>163</v>
      </c>
      <c r="E1488" s="20" t="s">
        <v>49</v>
      </c>
      <c r="F1488" s="20" t="s">
        <v>2580</v>
      </c>
      <c r="G1488" s="20" t="s">
        <v>2581</v>
      </c>
      <c r="H1488" s="20" t="s">
        <v>52</v>
      </c>
      <c r="I1488" s="20" t="s">
        <v>27</v>
      </c>
      <c r="J1488" s="20" t="s">
        <v>106</v>
      </c>
      <c r="K1488" s="20" t="s">
        <v>218</v>
      </c>
      <c r="L1488" s="20" t="s">
        <v>2692</v>
      </c>
      <c r="M1488" s="20" t="s">
        <v>153</v>
      </c>
      <c r="N1488" s="20" t="s">
        <v>2578</v>
      </c>
      <c r="O1488" s="20">
        <v>24</v>
      </c>
      <c r="P1488" s="20">
        <v>25.75</v>
      </c>
      <c r="Q1488" s="20">
        <v>13.46</v>
      </c>
      <c r="R1488" s="20">
        <v>618.02</v>
      </c>
      <c r="S1488" s="20">
        <v>0.1</v>
      </c>
      <c r="T1488" s="20">
        <v>61.8</v>
      </c>
      <c r="U1488" s="20">
        <v>556.22</v>
      </c>
      <c r="V1488" s="20">
        <v>323.12</v>
      </c>
      <c r="W1488" s="20">
        <v>233.1</v>
      </c>
      <c r="X1488" s="20" t="s">
        <v>129</v>
      </c>
    </row>
    <row r="1489" spans="1:24" x14ac:dyDescent="0.25">
      <c r="A1489" s="23" t="s">
        <v>2013</v>
      </c>
      <c r="B1489" s="22">
        <v>45519</v>
      </c>
      <c r="C1489" s="23" t="s">
        <v>723</v>
      </c>
      <c r="D1489" s="23" t="s">
        <v>156</v>
      </c>
      <c r="E1489" s="23" t="s">
        <v>176</v>
      </c>
      <c r="F1489" s="23" t="s">
        <v>2593</v>
      </c>
      <c r="G1489" s="23" t="s">
        <v>2587</v>
      </c>
      <c r="H1489" s="23" t="s">
        <v>39</v>
      </c>
      <c r="I1489" s="23" t="s">
        <v>58</v>
      </c>
      <c r="J1489" s="23" t="s">
        <v>323</v>
      </c>
      <c r="K1489" s="23" t="s">
        <v>2619</v>
      </c>
      <c r="L1489" s="23" t="s">
        <v>2619</v>
      </c>
      <c r="M1489" s="23" t="s">
        <v>61</v>
      </c>
      <c r="N1489" s="23" t="s">
        <v>44</v>
      </c>
      <c r="O1489" s="23">
        <v>39</v>
      </c>
      <c r="P1489" s="23">
        <v>110.08</v>
      </c>
      <c r="Q1489" s="23">
        <v>63.73</v>
      </c>
      <c r="R1489" s="23">
        <v>4293.25</v>
      </c>
      <c r="S1489" s="23">
        <v>0.05</v>
      </c>
      <c r="T1489" s="23">
        <v>214.66</v>
      </c>
      <c r="U1489" s="23">
        <v>4078.59</v>
      </c>
      <c r="V1489" s="23">
        <v>2485.3200000000002</v>
      </c>
      <c r="W1489" s="23">
        <v>1593.27</v>
      </c>
      <c r="X1489" s="23" t="s">
        <v>45</v>
      </c>
    </row>
    <row r="1490" spans="1:24" x14ac:dyDescent="0.25">
      <c r="A1490" s="20" t="s">
        <v>2014</v>
      </c>
      <c r="B1490" s="19">
        <v>45506</v>
      </c>
      <c r="C1490" s="20" t="s">
        <v>447</v>
      </c>
      <c r="D1490" s="20" t="s">
        <v>48</v>
      </c>
      <c r="E1490" s="20" t="s">
        <v>114</v>
      </c>
      <c r="F1490" s="20" t="s">
        <v>2588</v>
      </c>
      <c r="G1490" s="20" t="s">
        <v>2586</v>
      </c>
      <c r="H1490" s="20" t="s">
        <v>116</v>
      </c>
      <c r="I1490" s="20" t="s">
        <v>40</v>
      </c>
      <c r="J1490" s="20" t="s">
        <v>289</v>
      </c>
      <c r="K1490" s="20" t="s">
        <v>218</v>
      </c>
      <c r="L1490" s="20" t="s">
        <v>2692</v>
      </c>
      <c r="M1490" s="20" t="s">
        <v>153</v>
      </c>
      <c r="N1490" s="20" t="s">
        <v>84</v>
      </c>
      <c r="O1490" s="20">
        <v>52</v>
      </c>
      <c r="P1490" s="20">
        <v>33.5</v>
      </c>
      <c r="Q1490" s="20">
        <v>20.63</v>
      </c>
      <c r="R1490" s="20">
        <v>1741.94</v>
      </c>
      <c r="S1490" s="20">
        <v>0.2</v>
      </c>
      <c r="T1490" s="20">
        <v>348.39</v>
      </c>
      <c r="U1490" s="20">
        <v>1393.55</v>
      </c>
      <c r="V1490" s="20">
        <v>1072.94</v>
      </c>
      <c r="W1490" s="20">
        <v>320.62</v>
      </c>
      <c r="X1490" s="20" t="s">
        <v>45</v>
      </c>
    </row>
    <row r="1491" spans="1:24" x14ac:dyDescent="0.25">
      <c r="A1491" s="23" t="s">
        <v>2015</v>
      </c>
      <c r="B1491" s="22">
        <v>45366</v>
      </c>
      <c r="C1491" s="23" t="s">
        <v>309</v>
      </c>
      <c r="D1491" s="23" t="s">
        <v>65</v>
      </c>
      <c r="E1491" s="23" t="s">
        <v>132</v>
      </c>
      <c r="F1491" s="23" t="s">
        <v>133</v>
      </c>
      <c r="G1491" s="23" t="s">
        <v>2581</v>
      </c>
      <c r="H1491" s="23" t="s">
        <v>134</v>
      </c>
      <c r="I1491" s="23" t="s">
        <v>27</v>
      </c>
      <c r="J1491" s="23" t="s">
        <v>106</v>
      </c>
      <c r="K1491" s="23" t="s">
        <v>144</v>
      </c>
      <c r="L1491" s="23" t="s">
        <v>2687</v>
      </c>
      <c r="M1491" s="23" t="s">
        <v>43</v>
      </c>
      <c r="N1491" s="23" t="s">
        <v>70</v>
      </c>
      <c r="O1491" s="23">
        <v>17</v>
      </c>
      <c r="P1491" s="23">
        <v>60.74</v>
      </c>
      <c r="Q1491" s="23">
        <v>33.96</v>
      </c>
      <c r="R1491" s="23">
        <v>1032.55</v>
      </c>
      <c r="S1491" s="23">
        <v>0.15</v>
      </c>
      <c r="T1491" s="23">
        <v>154.88</v>
      </c>
      <c r="U1491" s="23">
        <v>877.67</v>
      </c>
      <c r="V1491" s="23">
        <v>577.30999999999995</v>
      </c>
      <c r="W1491" s="23">
        <v>300.36</v>
      </c>
      <c r="X1491" s="23" t="s">
        <v>45</v>
      </c>
    </row>
    <row r="1492" spans="1:24" x14ac:dyDescent="0.25">
      <c r="A1492" s="20" t="s">
        <v>2016</v>
      </c>
      <c r="B1492" s="19">
        <v>45646</v>
      </c>
      <c r="C1492" s="20" t="s">
        <v>776</v>
      </c>
      <c r="D1492" s="20" t="s">
        <v>57</v>
      </c>
      <c r="E1492" s="20" t="s">
        <v>99</v>
      </c>
      <c r="F1492" s="20" t="s">
        <v>100</v>
      </c>
      <c r="G1492" s="20" t="s">
        <v>2587</v>
      </c>
      <c r="H1492" s="20" t="s">
        <v>102</v>
      </c>
      <c r="I1492" s="20" t="s">
        <v>53</v>
      </c>
      <c r="J1492" s="20" t="s">
        <v>143</v>
      </c>
      <c r="K1492" s="20" t="s">
        <v>178</v>
      </c>
      <c r="L1492" s="20" t="s">
        <v>2689</v>
      </c>
      <c r="M1492" s="20" t="s">
        <v>30</v>
      </c>
      <c r="N1492" s="20" t="s">
        <v>70</v>
      </c>
      <c r="O1492" s="20">
        <v>20</v>
      </c>
      <c r="P1492" s="20">
        <v>65.88</v>
      </c>
      <c r="Q1492" s="20">
        <v>43.4</v>
      </c>
      <c r="R1492" s="20">
        <v>1317.5</v>
      </c>
      <c r="S1492" s="20">
        <v>0.02</v>
      </c>
      <c r="T1492" s="20">
        <v>26.35</v>
      </c>
      <c r="U1492" s="20">
        <v>1291.1500000000001</v>
      </c>
      <c r="V1492" s="20">
        <v>867.93</v>
      </c>
      <c r="W1492" s="20">
        <v>423.23</v>
      </c>
      <c r="X1492" s="20" t="s">
        <v>45</v>
      </c>
    </row>
    <row r="1493" spans="1:24" x14ac:dyDescent="0.25">
      <c r="A1493" s="23" t="s">
        <v>2017</v>
      </c>
      <c r="B1493" s="22">
        <v>45317</v>
      </c>
      <c r="C1493" s="23" t="s">
        <v>1586</v>
      </c>
      <c r="D1493" s="23" t="s">
        <v>221</v>
      </c>
      <c r="E1493" s="23" t="s">
        <v>216</v>
      </c>
      <c r="F1493" s="23" t="s">
        <v>2596</v>
      </c>
      <c r="G1493" s="23" t="s">
        <v>2579</v>
      </c>
      <c r="H1493" s="23" t="s">
        <v>134</v>
      </c>
      <c r="I1493" s="23" t="s">
        <v>58</v>
      </c>
      <c r="J1493" s="23" t="s">
        <v>323</v>
      </c>
      <c r="K1493" s="23" t="s">
        <v>152</v>
      </c>
      <c r="L1493" s="23" t="s">
        <v>2688</v>
      </c>
      <c r="M1493" s="23" t="s">
        <v>153</v>
      </c>
      <c r="N1493" s="23" t="s">
        <v>75</v>
      </c>
      <c r="O1493" s="23">
        <v>52</v>
      </c>
      <c r="P1493" s="23">
        <v>115.59</v>
      </c>
      <c r="Q1493" s="23">
        <v>62.93</v>
      </c>
      <c r="R1493" s="23">
        <v>6010.88</v>
      </c>
      <c r="S1493" s="23">
        <v>0.15</v>
      </c>
      <c r="T1493" s="23">
        <v>901.63</v>
      </c>
      <c r="U1493" s="23">
        <v>5109.25</v>
      </c>
      <c r="V1493" s="23">
        <v>3272.29</v>
      </c>
      <c r="W1493" s="23">
        <v>1836.96</v>
      </c>
      <c r="X1493" s="23" t="s">
        <v>45</v>
      </c>
    </row>
    <row r="1494" spans="1:24" x14ac:dyDescent="0.25">
      <c r="A1494" s="20" t="s">
        <v>2018</v>
      </c>
      <c r="B1494" s="19">
        <v>45431</v>
      </c>
      <c r="C1494" s="20" t="s">
        <v>276</v>
      </c>
      <c r="D1494" s="20" t="s">
        <v>221</v>
      </c>
      <c r="E1494" s="20" t="s">
        <v>93</v>
      </c>
      <c r="F1494" s="20" t="s">
        <v>2585</v>
      </c>
      <c r="G1494" s="20" t="s">
        <v>2586</v>
      </c>
      <c r="H1494" s="20" t="s">
        <v>96</v>
      </c>
      <c r="I1494" s="20" t="s">
        <v>53</v>
      </c>
      <c r="J1494" s="20" t="s">
        <v>143</v>
      </c>
      <c r="K1494" s="20" t="s">
        <v>74</v>
      </c>
      <c r="L1494" s="20" t="s">
        <v>2682</v>
      </c>
      <c r="M1494" s="20" t="s">
        <v>153</v>
      </c>
      <c r="N1494" s="20" t="s">
        <v>2578</v>
      </c>
      <c r="O1494" s="20">
        <v>47</v>
      </c>
      <c r="P1494" s="20">
        <v>59.16</v>
      </c>
      <c r="Q1494" s="20">
        <v>33.33</v>
      </c>
      <c r="R1494" s="20">
        <v>2780.66</v>
      </c>
      <c r="S1494" s="20">
        <v>0.02</v>
      </c>
      <c r="T1494" s="20">
        <v>55.61</v>
      </c>
      <c r="U1494" s="20">
        <v>2725.05</v>
      </c>
      <c r="V1494" s="20">
        <v>1566.4</v>
      </c>
      <c r="W1494" s="20">
        <v>1158.6600000000001</v>
      </c>
      <c r="X1494" s="20" t="s">
        <v>45</v>
      </c>
    </row>
    <row r="1495" spans="1:24" x14ac:dyDescent="0.25">
      <c r="A1495" s="23" t="s">
        <v>2019</v>
      </c>
      <c r="B1495" s="22">
        <v>45644</v>
      </c>
      <c r="C1495" s="23" t="s">
        <v>800</v>
      </c>
      <c r="D1495" s="23" t="s">
        <v>264</v>
      </c>
      <c r="E1495" s="23" t="s">
        <v>216</v>
      </c>
      <c r="F1495" s="23" t="s">
        <v>2596</v>
      </c>
      <c r="G1495" s="23" t="s">
        <v>2579</v>
      </c>
      <c r="H1495" s="23" t="s">
        <v>134</v>
      </c>
      <c r="I1495" s="23" t="s">
        <v>58</v>
      </c>
      <c r="J1495" s="23" t="s">
        <v>345</v>
      </c>
      <c r="K1495" s="23" t="s">
        <v>90</v>
      </c>
      <c r="L1495" s="23" t="s">
        <v>2684</v>
      </c>
      <c r="M1495" s="23" t="s">
        <v>43</v>
      </c>
      <c r="N1495" s="23" t="s">
        <v>84</v>
      </c>
      <c r="O1495" s="23">
        <v>7</v>
      </c>
      <c r="P1495" s="23">
        <v>107.4</v>
      </c>
      <c r="Q1495" s="23">
        <v>70.66</v>
      </c>
      <c r="R1495" s="23">
        <v>751.81</v>
      </c>
      <c r="S1495" s="23">
        <v>0.05</v>
      </c>
      <c r="T1495" s="23">
        <v>37.590000000000003</v>
      </c>
      <c r="U1495" s="23">
        <v>714.22</v>
      </c>
      <c r="V1495" s="23">
        <v>494.62</v>
      </c>
      <c r="W1495" s="23">
        <v>219.6</v>
      </c>
      <c r="X1495" s="23" t="s">
        <v>45</v>
      </c>
    </row>
    <row r="1496" spans="1:24" x14ac:dyDescent="0.25">
      <c r="A1496" s="20" t="s">
        <v>2020</v>
      </c>
      <c r="B1496" s="19">
        <v>45424</v>
      </c>
      <c r="C1496" s="20" t="s">
        <v>569</v>
      </c>
      <c r="D1496" s="20" t="s">
        <v>121</v>
      </c>
      <c r="E1496" s="20" t="s">
        <v>93</v>
      </c>
      <c r="F1496" s="20" t="s">
        <v>2585</v>
      </c>
      <c r="G1496" s="20" t="s">
        <v>2586</v>
      </c>
      <c r="H1496" s="20" t="s">
        <v>96</v>
      </c>
      <c r="I1496" s="20" t="s">
        <v>27</v>
      </c>
      <c r="J1496" s="20" t="s">
        <v>28</v>
      </c>
      <c r="K1496" s="20" t="s">
        <v>261</v>
      </c>
      <c r="L1496" s="20" t="s">
        <v>2695</v>
      </c>
      <c r="M1496" s="20" t="s">
        <v>61</v>
      </c>
      <c r="N1496" s="20" t="s">
        <v>70</v>
      </c>
      <c r="O1496" s="20">
        <v>73</v>
      </c>
      <c r="P1496" s="20">
        <v>55.89</v>
      </c>
      <c r="Q1496" s="20">
        <v>32.08</v>
      </c>
      <c r="R1496" s="20">
        <v>4079.62</v>
      </c>
      <c r="S1496" s="20">
        <v>0.02</v>
      </c>
      <c r="T1496" s="20">
        <v>81.59</v>
      </c>
      <c r="U1496" s="20">
        <v>3998.03</v>
      </c>
      <c r="V1496" s="20">
        <v>2341.86</v>
      </c>
      <c r="W1496" s="20">
        <v>1656.17</v>
      </c>
      <c r="X1496" s="20" t="s">
        <v>129</v>
      </c>
    </row>
    <row r="1497" spans="1:24" x14ac:dyDescent="0.25">
      <c r="A1497" s="23" t="s">
        <v>2021</v>
      </c>
      <c r="B1497" s="22">
        <v>45629</v>
      </c>
      <c r="C1497" s="23" t="s">
        <v>900</v>
      </c>
      <c r="D1497" s="23" t="s">
        <v>22</v>
      </c>
      <c r="E1497" s="23" t="s">
        <v>250</v>
      </c>
      <c r="F1497" s="23" t="s">
        <v>2598</v>
      </c>
      <c r="G1497" s="23" t="s">
        <v>2581</v>
      </c>
      <c r="H1497" s="23" t="s">
        <v>252</v>
      </c>
      <c r="I1497" s="23" t="s">
        <v>40</v>
      </c>
      <c r="J1497" s="23" t="s">
        <v>117</v>
      </c>
      <c r="K1497" s="23" t="s">
        <v>170</v>
      </c>
      <c r="L1497" s="23" t="s">
        <v>2671</v>
      </c>
      <c r="M1497" s="23" t="s">
        <v>43</v>
      </c>
      <c r="N1497" s="23" t="s">
        <v>2578</v>
      </c>
      <c r="O1497" s="23">
        <v>67</v>
      </c>
      <c r="P1497" s="25">
        <f>Cleaned_Sales!$R1497/Cleaned_Sales!$O1497</f>
        <v>66.512985074626869</v>
      </c>
      <c r="Q1497" s="23">
        <v>36.04</v>
      </c>
      <c r="R1497" s="23">
        <v>4456.37</v>
      </c>
      <c r="S1497" s="23">
        <v>0.05</v>
      </c>
      <c r="T1497" s="23">
        <v>222.82</v>
      </c>
      <c r="U1497" s="23">
        <v>4233.55</v>
      </c>
      <c r="V1497" s="23">
        <v>2414.4699999999998</v>
      </c>
      <c r="W1497" s="23">
        <v>1819.08</v>
      </c>
      <c r="X1497" s="23" t="s">
        <v>45</v>
      </c>
    </row>
    <row r="1498" spans="1:24" x14ac:dyDescent="0.25">
      <c r="A1498" s="20" t="s">
        <v>2022</v>
      </c>
      <c r="B1498" s="19">
        <v>45642</v>
      </c>
      <c r="C1498" s="20" t="s">
        <v>414</v>
      </c>
      <c r="D1498" s="20" t="s">
        <v>22</v>
      </c>
      <c r="E1498" s="20" t="s">
        <v>132</v>
      </c>
      <c r="F1498" s="20" t="s">
        <v>133</v>
      </c>
      <c r="G1498" s="20" t="s">
        <v>2581</v>
      </c>
      <c r="H1498" s="20" t="s">
        <v>134</v>
      </c>
      <c r="I1498" s="20" t="s">
        <v>40</v>
      </c>
      <c r="J1498" s="20" t="s">
        <v>41</v>
      </c>
      <c r="K1498" s="20" t="s">
        <v>118</v>
      </c>
      <c r="L1498" s="20" t="s">
        <v>2686</v>
      </c>
      <c r="M1498" s="20" t="s">
        <v>153</v>
      </c>
      <c r="N1498" s="20" t="s">
        <v>70</v>
      </c>
      <c r="O1498" s="20">
        <v>11</v>
      </c>
      <c r="P1498" s="20">
        <v>60.46</v>
      </c>
      <c r="Q1498" s="20">
        <v>35.729999999999997</v>
      </c>
      <c r="R1498" s="20">
        <v>665.03</v>
      </c>
      <c r="S1498" s="20">
        <v>0.15</v>
      </c>
      <c r="T1498" s="20">
        <v>99.75</v>
      </c>
      <c r="U1498" s="20">
        <v>565.27</v>
      </c>
      <c r="V1498" s="20">
        <v>392.99</v>
      </c>
      <c r="W1498" s="20">
        <v>172.28</v>
      </c>
      <c r="X1498" s="20" t="s">
        <v>45</v>
      </c>
    </row>
    <row r="1499" spans="1:24" x14ac:dyDescent="0.25">
      <c r="A1499" s="23" t="s">
        <v>2023</v>
      </c>
      <c r="B1499" s="22">
        <v>45462</v>
      </c>
      <c r="C1499" s="23" t="s">
        <v>497</v>
      </c>
      <c r="D1499" s="23" t="s">
        <v>35</v>
      </c>
      <c r="E1499" s="23" t="s">
        <v>49</v>
      </c>
      <c r="F1499" s="23" t="s">
        <v>2580</v>
      </c>
      <c r="G1499" s="23" t="s">
        <v>2581</v>
      </c>
      <c r="H1499" s="23" t="s">
        <v>52</v>
      </c>
      <c r="I1499" s="23" t="s">
        <v>88</v>
      </c>
      <c r="J1499" s="23" t="s">
        <v>183</v>
      </c>
      <c r="K1499" s="23" t="s">
        <v>42</v>
      </c>
      <c r="L1499" s="23" t="s">
        <v>2680</v>
      </c>
      <c r="M1499" s="23" t="s">
        <v>153</v>
      </c>
      <c r="N1499" s="23" t="s">
        <v>44</v>
      </c>
      <c r="O1499" s="23">
        <v>71</v>
      </c>
      <c r="P1499" s="23">
        <v>26.86</v>
      </c>
      <c r="Q1499" s="23">
        <v>12.78</v>
      </c>
      <c r="R1499" s="23">
        <v>1907.27</v>
      </c>
      <c r="S1499" s="23">
        <v>0.15</v>
      </c>
      <c r="T1499" s="23">
        <v>286.08999999999997</v>
      </c>
      <c r="U1499" s="23">
        <v>1621.18</v>
      </c>
      <c r="V1499" s="23">
        <v>907.52</v>
      </c>
      <c r="W1499" s="23">
        <v>713.66</v>
      </c>
      <c r="X1499" s="23" t="s">
        <v>129</v>
      </c>
    </row>
    <row r="1500" spans="1:24" x14ac:dyDescent="0.25">
      <c r="A1500" s="20" t="s">
        <v>2024</v>
      </c>
      <c r="B1500" s="19">
        <v>45463</v>
      </c>
      <c r="C1500" s="20" t="s">
        <v>1334</v>
      </c>
      <c r="D1500" s="20" t="s">
        <v>35</v>
      </c>
      <c r="E1500" s="20" t="s">
        <v>114</v>
      </c>
      <c r="F1500" s="20" t="s">
        <v>2588</v>
      </c>
      <c r="G1500" s="20" t="s">
        <v>2586</v>
      </c>
      <c r="H1500" s="20" t="s">
        <v>116</v>
      </c>
      <c r="I1500" s="20" t="s">
        <v>40</v>
      </c>
      <c r="J1500" s="20" t="s">
        <v>41</v>
      </c>
      <c r="K1500" s="20" t="s">
        <v>60</v>
      </c>
      <c r="L1500" s="20" t="s">
        <v>2677</v>
      </c>
      <c r="M1500" s="20" t="s">
        <v>30</v>
      </c>
      <c r="N1500" s="20" t="s">
        <v>75</v>
      </c>
      <c r="O1500" s="20">
        <v>9</v>
      </c>
      <c r="P1500" s="20">
        <v>36.090000000000003</v>
      </c>
      <c r="Q1500" s="20">
        <v>22.21</v>
      </c>
      <c r="R1500" s="20">
        <v>324.83</v>
      </c>
      <c r="S1500" s="20">
        <v>0</v>
      </c>
      <c r="T1500" s="20">
        <v>0</v>
      </c>
      <c r="U1500" s="20">
        <v>324.83</v>
      </c>
      <c r="V1500" s="20">
        <v>199.89</v>
      </c>
      <c r="W1500" s="20">
        <v>124.94</v>
      </c>
      <c r="X1500" s="20" t="s">
        <v>129</v>
      </c>
    </row>
    <row r="1501" spans="1:24" x14ac:dyDescent="0.25">
      <c r="A1501" s="23" t="s">
        <v>2025</v>
      </c>
      <c r="B1501" s="22">
        <v>45321</v>
      </c>
      <c r="C1501" s="23" t="s">
        <v>194</v>
      </c>
      <c r="D1501" s="23" t="s">
        <v>163</v>
      </c>
      <c r="E1501" s="23" t="s">
        <v>93</v>
      </c>
      <c r="F1501" s="23" t="s">
        <v>2585</v>
      </c>
      <c r="G1501" s="23" t="s">
        <v>2586</v>
      </c>
      <c r="H1501" s="23" t="s">
        <v>96</v>
      </c>
      <c r="I1501" s="23" t="s">
        <v>40</v>
      </c>
      <c r="J1501" s="23" t="s">
        <v>41</v>
      </c>
      <c r="K1501" s="23" t="s">
        <v>83</v>
      </c>
      <c r="L1501" s="23" t="s">
        <v>2683</v>
      </c>
      <c r="M1501" s="23" t="s">
        <v>61</v>
      </c>
      <c r="N1501" s="23" t="s">
        <v>70</v>
      </c>
      <c r="O1501" s="23">
        <v>77</v>
      </c>
      <c r="P1501" s="23">
        <v>54.46</v>
      </c>
      <c r="Q1501" s="23">
        <v>31.37</v>
      </c>
      <c r="R1501" s="23">
        <v>4193.76</v>
      </c>
      <c r="S1501" s="23">
        <v>0.1</v>
      </c>
      <c r="T1501" s="23">
        <v>419.38</v>
      </c>
      <c r="U1501" s="23">
        <v>3774.38</v>
      </c>
      <c r="V1501" s="23">
        <v>2415.4899999999998</v>
      </c>
      <c r="W1501" s="23">
        <v>1358.9</v>
      </c>
      <c r="X1501" s="23" t="s">
        <v>129</v>
      </c>
    </row>
    <row r="1502" spans="1:24" x14ac:dyDescent="0.25">
      <c r="A1502" s="20" t="s">
        <v>2026</v>
      </c>
      <c r="B1502" s="19">
        <v>45470</v>
      </c>
      <c r="C1502" s="20" t="s">
        <v>418</v>
      </c>
      <c r="D1502" s="20" t="s">
        <v>159</v>
      </c>
      <c r="E1502" s="20" t="s">
        <v>216</v>
      </c>
      <c r="F1502" s="20" t="s">
        <v>2596</v>
      </c>
      <c r="G1502" s="20" t="s">
        <v>2579</v>
      </c>
      <c r="H1502" s="20" t="s">
        <v>134</v>
      </c>
      <c r="I1502" s="20" t="s">
        <v>40</v>
      </c>
      <c r="J1502" s="20" t="s">
        <v>82</v>
      </c>
      <c r="K1502" s="20" t="s">
        <v>248</v>
      </c>
      <c r="L1502" s="20" t="s">
        <v>2693</v>
      </c>
      <c r="M1502" s="20" t="s">
        <v>153</v>
      </c>
      <c r="N1502" s="20" t="s">
        <v>70</v>
      </c>
      <c r="O1502" s="20">
        <v>61</v>
      </c>
      <c r="P1502" s="20">
        <v>116.15</v>
      </c>
      <c r="Q1502" s="20">
        <v>64.290000000000006</v>
      </c>
      <c r="R1502" s="20">
        <v>7085.38</v>
      </c>
      <c r="S1502" s="20">
        <v>0</v>
      </c>
      <c r="T1502" s="20">
        <v>0</v>
      </c>
      <c r="U1502" s="20">
        <v>7085.38</v>
      </c>
      <c r="V1502" s="20">
        <v>3921.79</v>
      </c>
      <c r="W1502" s="20">
        <v>3163.6</v>
      </c>
      <c r="X1502" s="20" t="s">
        <v>45</v>
      </c>
    </row>
    <row r="1503" spans="1:24" x14ac:dyDescent="0.25">
      <c r="A1503" s="23" t="s">
        <v>2027</v>
      </c>
      <c r="B1503" s="22">
        <v>45645</v>
      </c>
      <c r="C1503" s="23" t="s">
        <v>297</v>
      </c>
      <c r="D1503" s="23" t="s">
        <v>87</v>
      </c>
      <c r="E1503" s="23" t="s">
        <v>209</v>
      </c>
      <c r="F1503" s="23" t="s">
        <v>2595</v>
      </c>
      <c r="G1503" s="23" t="s">
        <v>2581</v>
      </c>
      <c r="H1503" s="23" t="s">
        <v>116</v>
      </c>
      <c r="I1503" s="23" t="s">
        <v>27</v>
      </c>
      <c r="J1503" s="23" t="s">
        <v>211</v>
      </c>
      <c r="K1503" s="23" t="s">
        <v>218</v>
      </c>
      <c r="L1503" s="23" t="s">
        <v>2692</v>
      </c>
      <c r="M1503" s="23" t="s">
        <v>30</v>
      </c>
      <c r="N1503" s="23" t="s">
        <v>84</v>
      </c>
      <c r="O1503" s="23">
        <v>43</v>
      </c>
      <c r="P1503" s="23">
        <v>16.79</v>
      </c>
      <c r="Q1503" s="23">
        <v>10.63</v>
      </c>
      <c r="R1503" s="23">
        <v>722</v>
      </c>
      <c r="S1503" s="23">
        <v>0.15</v>
      </c>
      <c r="T1503" s="23">
        <v>108.3</v>
      </c>
      <c r="U1503" s="23">
        <v>613.70000000000005</v>
      </c>
      <c r="V1503" s="23">
        <v>457.16</v>
      </c>
      <c r="W1503" s="23">
        <v>156.54</v>
      </c>
      <c r="X1503" s="23" t="s">
        <v>129</v>
      </c>
    </row>
    <row r="1504" spans="1:24" x14ac:dyDescent="0.25">
      <c r="A1504" s="20" t="s">
        <v>2028</v>
      </c>
      <c r="B1504" s="19">
        <v>45589</v>
      </c>
      <c r="C1504" s="20" t="s">
        <v>408</v>
      </c>
      <c r="D1504" s="20" t="s">
        <v>65</v>
      </c>
      <c r="E1504" s="20" t="s">
        <v>66</v>
      </c>
      <c r="F1504" s="20" t="s">
        <v>2582</v>
      </c>
      <c r="G1504" s="20" t="s">
        <v>2579</v>
      </c>
      <c r="H1504" s="20" t="s">
        <v>68</v>
      </c>
      <c r="I1504" s="20" t="s">
        <v>88</v>
      </c>
      <c r="J1504" s="20" t="s">
        <v>183</v>
      </c>
      <c r="K1504" s="20" t="s">
        <v>248</v>
      </c>
      <c r="L1504" s="20" t="s">
        <v>2693</v>
      </c>
      <c r="M1504" s="20" t="s">
        <v>61</v>
      </c>
      <c r="N1504" s="20" t="s">
        <v>44</v>
      </c>
      <c r="O1504" s="20">
        <v>7</v>
      </c>
      <c r="P1504" s="20">
        <v>168.14</v>
      </c>
      <c r="Q1504" s="20">
        <v>99.23</v>
      </c>
      <c r="R1504" s="20">
        <v>1176.95</v>
      </c>
      <c r="S1504" s="20">
        <v>0.2</v>
      </c>
      <c r="T1504" s="20">
        <v>235.39</v>
      </c>
      <c r="U1504" s="20">
        <v>941.56</v>
      </c>
      <c r="V1504" s="20">
        <v>694.63</v>
      </c>
      <c r="W1504" s="20">
        <v>246.93</v>
      </c>
      <c r="X1504" s="20" t="s">
        <v>45</v>
      </c>
    </row>
    <row r="1505" spans="1:24" x14ac:dyDescent="0.25">
      <c r="A1505" s="23" t="s">
        <v>2029</v>
      </c>
      <c r="B1505" s="22">
        <v>45399</v>
      </c>
      <c r="C1505" s="23" t="s">
        <v>485</v>
      </c>
      <c r="D1505" s="23" t="s">
        <v>22</v>
      </c>
      <c r="E1505" s="23" t="s">
        <v>165</v>
      </c>
      <c r="F1505" s="23" t="s">
        <v>2592</v>
      </c>
      <c r="G1505" s="23" t="s">
        <v>2586</v>
      </c>
      <c r="H1505" s="23" t="s">
        <v>167</v>
      </c>
      <c r="I1505" s="23" t="s">
        <v>58</v>
      </c>
      <c r="J1505" s="23" t="s">
        <v>73</v>
      </c>
      <c r="K1505" s="23" t="s">
        <v>83</v>
      </c>
      <c r="L1505" s="23" t="s">
        <v>2683</v>
      </c>
      <c r="M1505" s="23" t="s">
        <v>153</v>
      </c>
      <c r="N1505" s="23" t="s">
        <v>2578</v>
      </c>
      <c r="O1505" s="23">
        <v>79</v>
      </c>
      <c r="P1505" s="23">
        <v>39.24</v>
      </c>
      <c r="Q1505" s="23">
        <v>26.02</v>
      </c>
      <c r="R1505" s="23">
        <v>3099.87</v>
      </c>
      <c r="S1505" s="23">
        <v>0.15</v>
      </c>
      <c r="T1505" s="23">
        <v>464.98</v>
      </c>
      <c r="U1505" s="23">
        <v>2634.89</v>
      </c>
      <c r="V1505" s="23">
        <v>2055.67</v>
      </c>
      <c r="W1505" s="23">
        <v>579.23</v>
      </c>
      <c r="X1505" s="23" t="s">
        <v>45</v>
      </c>
    </row>
    <row r="1506" spans="1:24" x14ac:dyDescent="0.25">
      <c r="A1506" s="20" t="s">
        <v>2030</v>
      </c>
      <c r="B1506" s="19">
        <v>45411</v>
      </c>
      <c r="C1506" s="20" t="s">
        <v>723</v>
      </c>
      <c r="D1506" s="20" t="s">
        <v>156</v>
      </c>
      <c r="E1506" s="20" t="s">
        <v>250</v>
      </c>
      <c r="F1506" s="20" t="s">
        <v>2598</v>
      </c>
      <c r="G1506" s="20" t="s">
        <v>2581</v>
      </c>
      <c r="H1506" s="20" t="s">
        <v>252</v>
      </c>
      <c r="I1506" s="20" t="s">
        <v>88</v>
      </c>
      <c r="J1506" s="20" t="s">
        <v>135</v>
      </c>
      <c r="K1506" s="20" t="s">
        <v>248</v>
      </c>
      <c r="L1506" s="20" t="s">
        <v>2693</v>
      </c>
      <c r="M1506" s="20" t="s">
        <v>30</v>
      </c>
      <c r="N1506" s="20" t="s">
        <v>84</v>
      </c>
      <c r="O1506" s="20">
        <v>67</v>
      </c>
      <c r="P1506" s="20">
        <v>65.28</v>
      </c>
      <c r="Q1506" s="20">
        <v>37.549999999999997</v>
      </c>
      <c r="R1506" s="20">
        <v>4373.84</v>
      </c>
      <c r="S1506" s="20">
        <v>0.15</v>
      </c>
      <c r="T1506" s="20">
        <v>656.08</v>
      </c>
      <c r="U1506" s="20">
        <v>3717.77</v>
      </c>
      <c r="V1506" s="20">
        <v>2515.89</v>
      </c>
      <c r="W1506" s="20">
        <v>1201.8800000000001</v>
      </c>
      <c r="X1506" s="20" t="s">
        <v>45</v>
      </c>
    </row>
    <row r="1507" spans="1:24" x14ac:dyDescent="0.25">
      <c r="A1507" s="23" t="s">
        <v>2031</v>
      </c>
      <c r="B1507" s="22">
        <v>45339</v>
      </c>
      <c r="C1507" s="23" t="s">
        <v>517</v>
      </c>
      <c r="D1507" s="23" t="s">
        <v>163</v>
      </c>
      <c r="E1507" s="23" t="s">
        <v>222</v>
      </c>
      <c r="F1507" s="23" t="s">
        <v>2597</v>
      </c>
      <c r="G1507" s="23" t="s">
        <v>2587</v>
      </c>
      <c r="H1507" s="23" t="s">
        <v>68</v>
      </c>
      <c r="I1507" s="23" t="s">
        <v>58</v>
      </c>
      <c r="J1507" s="23" t="s">
        <v>59</v>
      </c>
      <c r="K1507" s="23" t="s">
        <v>195</v>
      </c>
      <c r="L1507" s="23" t="s">
        <v>2691</v>
      </c>
      <c r="M1507" s="23" t="s">
        <v>61</v>
      </c>
      <c r="N1507" s="23" t="s">
        <v>75</v>
      </c>
      <c r="O1507" s="23">
        <v>31</v>
      </c>
      <c r="P1507" s="23">
        <v>125.01</v>
      </c>
      <c r="Q1507" s="23">
        <v>78.760000000000005</v>
      </c>
      <c r="R1507" s="23">
        <v>3875.22</v>
      </c>
      <c r="S1507" s="23">
        <v>0.2</v>
      </c>
      <c r="T1507" s="23">
        <v>775.04</v>
      </c>
      <c r="U1507" s="23">
        <v>3100.18</v>
      </c>
      <c r="V1507" s="23">
        <v>2441.71</v>
      </c>
      <c r="W1507" s="23">
        <v>658.47</v>
      </c>
      <c r="X1507" s="23" t="s">
        <v>45</v>
      </c>
    </row>
    <row r="1508" spans="1:24" x14ac:dyDescent="0.25">
      <c r="A1508" s="20" t="s">
        <v>2032</v>
      </c>
      <c r="B1508" s="19">
        <v>45526</v>
      </c>
      <c r="C1508" s="20" t="s">
        <v>1122</v>
      </c>
      <c r="D1508" s="20" t="s">
        <v>159</v>
      </c>
      <c r="E1508" s="20" t="s">
        <v>126</v>
      </c>
      <c r="F1508" s="20" t="s">
        <v>2589</v>
      </c>
      <c r="G1508" s="20" t="s">
        <v>2586</v>
      </c>
      <c r="H1508" s="20" t="s">
        <v>128</v>
      </c>
      <c r="I1508" s="20" t="s">
        <v>27</v>
      </c>
      <c r="J1508" s="20" t="s">
        <v>106</v>
      </c>
      <c r="K1508" s="20" t="s">
        <v>253</v>
      </c>
      <c r="L1508" s="20" t="s">
        <v>2694</v>
      </c>
      <c r="M1508" s="20" t="s">
        <v>153</v>
      </c>
      <c r="N1508" s="20" t="s">
        <v>2578</v>
      </c>
      <c r="O1508" s="20">
        <v>34</v>
      </c>
      <c r="P1508" s="20">
        <v>91.13</v>
      </c>
      <c r="Q1508" s="20">
        <v>50.01</v>
      </c>
      <c r="R1508" s="20">
        <v>3098.33</v>
      </c>
      <c r="S1508" s="20">
        <v>0.02</v>
      </c>
      <c r="T1508" s="20">
        <v>61.97</v>
      </c>
      <c r="U1508" s="20">
        <v>3036.37</v>
      </c>
      <c r="V1508" s="20">
        <v>1700.21</v>
      </c>
      <c r="W1508" s="20">
        <v>1336.16</v>
      </c>
      <c r="X1508" s="20" t="s">
        <v>45</v>
      </c>
    </row>
    <row r="1509" spans="1:24" x14ac:dyDescent="0.25">
      <c r="A1509" s="23" t="s">
        <v>2033</v>
      </c>
      <c r="B1509" s="22">
        <v>45372</v>
      </c>
      <c r="C1509" s="23" t="s">
        <v>263</v>
      </c>
      <c r="D1509" s="23" t="s">
        <v>264</v>
      </c>
      <c r="E1509" s="23" t="s">
        <v>176</v>
      </c>
      <c r="F1509" s="23" t="s">
        <v>2593</v>
      </c>
      <c r="G1509" s="23" t="s">
        <v>2587</v>
      </c>
      <c r="H1509" s="23" t="s">
        <v>39</v>
      </c>
      <c r="I1509" s="23" t="s">
        <v>53</v>
      </c>
      <c r="J1509" s="23" t="s">
        <v>122</v>
      </c>
      <c r="K1509" s="23" t="s">
        <v>69</v>
      </c>
      <c r="L1509" s="23" t="s">
        <v>2681</v>
      </c>
      <c r="M1509" s="23" t="s">
        <v>61</v>
      </c>
      <c r="N1509" s="23" t="s">
        <v>84</v>
      </c>
      <c r="O1509" s="23">
        <v>43</v>
      </c>
      <c r="P1509" s="23">
        <v>109.24</v>
      </c>
      <c r="Q1509" s="23">
        <v>63.32</v>
      </c>
      <c r="R1509" s="23">
        <v>4697.33</v>
      </c>
      <c r="S1509" s="23">
        <v>0.05</v>
      </c>
      <c r="T1509" s="23">
        <v>234.87</v>
      </c>
      <c r="U1509" s="23">
        <v>4462.47</v>
      </c>
      <c r="V1509" s="23">
        <v>2722.56</v>
      </c>
      <c r="W1509" s="23">
        <v>1739.9</v>
      </c>
      <c r="X1509" s="23" t="s">
        <v>45</v>
      </c>
    </row>
    <row r="1510" spans="1:24" x14ac:dyDescent="0.25">
      <c r="A1510" s="20" t="s">
        <v>2034</v>
      </c>
      <c r="B1510" s="19">
        <v>45430</v>
      </c>
      <c r="C1510" s="20" t="s">
        <v>215</v>
      </c>
      <c r="D1510" s="20" t="s">
        <v>105</v>
      </c>
      <c r="E1510" s="20" t="s">
        <v>93</v>
      </c>
      <c r="F1510" s="20" t="s">
        <v>2585</v>
      </c>
      <c r="G1510" s="20" t="s">
        <v>2586</v>
      </c>
      <c r="H1510" s="20" t="s">
        <v>96</v>
      </c>
      <c r="I1510" s="20" t="s">
        <v>58</v>
      </c>
      <c r="J1510" s="20" t="s">
        <v>323</v>
      </c>
      <c r="K1510" s="20" t="s">
        <v>69</v>
      </c>
      <c r="L1510" s="20" t="s">
        <v>2681</v>
      </c>
      <c r="M1510" s="20" t="s">
        <v>43</v>
      </c>
      <c r="N1510" s="20" t="s">
        <v>70</v>
      </c>
      <c r="O1510" s="20">
        <v>7</v>
      </c>
      <c r="P1510" s="20">
        <v>54.63</v>
      </c>
      <c r="Q1510" s="20">
        <v>31.91</v>
      </c>
      <c r="R1510" s="20">
        <v>382.42</v>
      </c>
      <c r="S1510" s="20">
        <v>0.2</v>
      </c>
      <c r="T1510" s="20">
        <v>76.48</v>
      </c>
      <c r="U1510" s="20">
        <v>305.94</v>
      </c>
      <c r="V1510" s="20">
        <v>223.39</v>
      </c>
      <c r="W1510" s="20">
        <v>82.55</v>
      </c>
      <c r="X1510" s="20" t="s">
        <v>129</v>
      </c>
    </row>
    <row r="1511" spans="1:24" x14ac:dyDescent="0.25">
      <c r="A1511" s="23" t="s">
        <v>2035</v>
      </c>
      <c r="B1511" s="22">
        <v>45295</v>
      </c>
      <c r="C1511" s="23" t="s">
        <v>208</v>
      </c>
      <c r="D1511" s="23" t="s">
        <v>35</v>
      </c>
      <c r="E1511" s="23" t="s">
        <v>126</v>
      </c>
      <c r="F1511" s="23" t="s">
        <v>2589</v>
      </c>
      <c r="G1511" s="23" t="s">
        <v>2586</v>
      </c>
      <c r="H1511" s="23" t="s">
        <v>128</v>
      </c>
      <c r="I1511" s="23" t="s">
        <v>58</v>
      </c>
      <c r="J1511" s="23" t="s">
        <v>323</v>
      </c>
      <c r="K1511" s="23" t="s">
        <v>178</v>
      </c>
      <c r="L1511" s="23" t="s">
        <v>2689</v>
      </c>
      <c r="M1511" s="23" t="s">
        <v>61</v>
      </c>
      <c r="N1511" s="23" t="s">
        <v>44</v>
      </c>
      <c r="O1511" s="23">
        <v>19</v>
      </c>
      <c r="P1511" s="23">
        <v>82.97</v>
      </c>
      <c r="Q1511" s="23">
        <v>50.81</v>
      </c>
      <c r="R1511" s="23">
        <v>1576.52</v>
      </c>
      <c r="S1511" s="23">
        <v>0.1</v>
      </c>
      <c r="T1511" s="23">
        <v>157.65</v>
      </c>
      <c r="U1511" s="23">
        <v>1418.86</v>
      </c>
      <c r="V1511" s="23">
        <v>965.3</v>
      </c>
      <c r="W1511" s="23">
        <v>453.56</v>
      </c>
      <c r="X1511" s="23" t="s">
        <v>45</v>
      </c>
    </row>
    <row r="1512" spans="1:24" x14ac:dyDescent="0.25">
      <c r="A1512" s="20" t="s">
        <v>2036</v>
      </c>
      <c r="B1512" s="19">
        <v>45442</v>
      </c>
      <c r="C1512" s="20" t="s">
        <v>1112</v>
      </c>
      <c r="D1512" s="20" t="s">
        <v>159</v>
      </c>
      <c r="E1512" s="20" t="s">
        <v>99</v>
      </c>
      <c r="F1512" s="20" t="s">
        <v>100</v>
      </c>
      <c r="G1512" s="20" t="s">
        <v>2587</v>
      </c>
      <c r="H1512" s="20" t="s">
        <v>102</v>
      </c>
      <c r="I1512" s="20" t="s">
        <v>88</v>
      </c>
      <c r="J1512" s="20" t="s">
        <v>2112</v>
      </c>
      <c r="K1512" s="20" t="s">
        <v>83</v>
      </c>
      <c r="L1512" s="20" t="s">
        <v>2683</v>
      </c>
      <c r="M1512" s="20" t="s">
        <v>43</v>
      </c>
      <c r="N1512" s="20" t="s">
        <v>70</v>
      </c>
      <c r="O1512" s="20">
        <v>73</v>
      </c>
      <c r="P1512" s="20">
        <v>73.430000000000007</v>
      </c>
      <c r="Q1512" s="20">
        <v>41.33</v>
      </c>
      <c r="R1512" s="20">
        <v>5360.18</v>
      </c>
      <c r="S1512" s="20">
        <v>0.1</v>
      </c>
      <c r="T1512" s="20">
        <v>536.02</v>
      </c>
      <c r="U1512" s="20">
        <v>4824.16</v>
      </c>
      <c r="V1512" s="20">
        <v>3017.05</v>
      </c>
      <c r="W1512" s="20">
        <v>1807.11</v>
      </c>
      <c r="X1512" s="20" t="s">
        <v>129</v>
      </c>
    </row>
    <row r="1513" spans="1:24" x14ac:dyDescent="0.25">
      <c r="A1513" s="23" t="s">
        <v>2037</v>
      </c>
      <c r="B1513" s="22">
        <v>45294</v>
      </c>
      <c r="C1513" s="23" t="s">
        <v>1724</v>
      </c>
      <c r="D1513" s="23" t="s">
        <v>121</v>
      </c>
      <c r="E1513" s="23" t="s">
        <v>93</v>
      </c>
      <c r="F1513" s="23" t="s">
        <v>2585</v>
      </c>
      <c r="G1513" s="23" t="s">
        <v>2586</v>
      </c>
      <c r="H1513" s="23" t="s">
        <v>96</v>
      </c>
      <c r="I1513" s="23" t="s">
        <v>53</v>
      </c>
      <c r="J1513" s="23" t="s">
        <v>143</v>
      </c>
      <c r="K1513" s="23" t="s">
        <v>69</v>
      </c>
      <c r="L1513" s="23" t="s">
        <v>2681</v>
      </c>
      <c r="M1513" s="23" t="s">
        <v>43</v>
      </c>
      <c r="N1513" s="23" t="s">
        <v>44</v>
      </c>
      <c r="O1513" s="23">
        <v>40</v>
      </c>
      <c r="P1513" s="23">
        <v>55.36</v>
      </c>
      <c r="Q1513" s="23">
        <v>30.23</v>
      </c>
      <c r="R1513" s="23">
        <v>2214.58</v>
      </c>
      <c r="S1513" s="23">
        <v>0.2</v>
      </c>
      <c r="T1513" s="23">
        <v>442.92</v>
      </c>
      <c r="U1513" s="23">
        <v>1771.66</v>
      </c>
      <c r="V1513" s="23">
        <v>1209.17</v>
      </c>
      <c r="W1513" s="23">
        <v>562.49</v>
      </c>
      <c r="X1513" s="23" t="s">
        <v>45</v>
      </c>
    </row>
    <row r="1514" spans="1:24" x14ac:dyDescent="0.25">
      <c r="A1514" s="20" t="s">
        <v>2038</v>
      </c>
      <c r="B1514" s="19">
        <v>45433</v>
      </c>
      <c r="C1514" s="20" t="s">
        <v>855</v>
      </c>
      <c r="D1514" s="20" t="s">
        <v>156</v>
      </c>
      <c r="E1514" s="20" t="s">
        <v>93</v>
      </c>
      <c r="F1514" s="20" t="s">
        <v>2585</v>
      </c>
      <c r="G1514" s="20" t="s">
        <v>2586</v>
      </c>
      <c r="H1514" s="20" t="s">
        <v>96</v>
      </c>
      <c r="I1514" s="20" t="s">
        <v>53</v>
      </c>
      <c r="J1514" s="20" t="s">
        <v>122</v>
      </c>
      <c r="K1514" s="20" t="s">
        <v>74</v>
      </c>
      <c r="L1514" s="20" t="s">
        <v>2682</v>
      </c>
      <c r="M1514" s="20" t="s">
        <v>61</v>
      </c>
      <c r="N1514" s="20" t="s">
        <v>84</v>
      </c>
      <c r="O1514" s="20">
        <v>2</v>
      </c>
      <c r="P1514" s="20">
        <v>56.49</v>
      </c>
      <c r="Q1514" s="20">
        <v>33.69</v>
      </c>
      <c r="R1514" s="20">
        <v>112.98</v>
      </c>
      <c r="S1514" s="20">
        <v>0.02</v>
      </c>
      <c r="T1514" s="20">
        <v>2.2599999999999998</v>
      </c>
      <c r="U1514" s="20">
        <v>110.72</v>
      </c>
      <c r="V1514" s="20">
        <v>67.37</v>
      </c>
      <c r="W1514" s="20">
        <v>43.35</v>
      </c>
      <c r="X1514" s="20" t="s">
        <v>129</v>
      </c>
    </row>
    <row r="1515" spans="1:24" x14ac:dyDescent="0.25">
      <c r="A1515" s="23" t="s">
        <v>2039</v>
      </c>
      <c r="B1515" s="22">
        <v>45485</v>
      </c>
      <c r="C1515" s="23" t="s">
        <v>475</v>
      </c>
      <c r="D1515" s="23" t="s">
        <v>57</v>
      </c>
      <c r="E1515" s="23" t="s">
        <v>126</v>
      </c>
      <c r="F1515" s="23" t="s">
        <v>2589</v>
      </c>
      <c r="G1515" s="23" t="s">
        <v>2586</v>
      </c>
      <c r="H1515" s="23" t="s">
        <v>128</v>
      </c>
      <c r="I1515" s="23" t="s">
        <v>40</v>
      </c>
      <c r="J1515" s="23" t="s">
        <v>117</v>
      </c>
      <c r="K1515" s="23" t="s">
        <v>152</v>
      </c>
      <c r="L1515" s="23" t="s">
        <v>2688</v>
      </c>
      <c r="M1515" s="23" t="s">
        <v>153</v>
      </c>
      <c r="N1515" s="23" t="s">
        <v>44</v>
      </c>
      <c r="O1515" s="23">
        <v>11</v>
      </c>
      <c r="P1515" s="23">
        <v>91.46</v>
      </c>
      <c r="Q1515" s="23">
        <v>54.76</v>
      </c>
      <c r="R1515" s="23">
        <v>1006.02</v>
      </c>
      <c r="S1515" s="23">
        <v>0.15</v>
      </c>
      <c r="T1515" s="23">
        <v>150.9</v>
      </c>
      <c r="U1515" s="23">
        <v>855.11</v>
      </c>
      <c r="V1515" s="23">
        <v>602.41</v>
      </c>
      <c r="W1515" s="23">
        <v>252.71</v>
      </c>
      <c r="X1515" s="23" t="s">
        <v>45</v>
      </c>
    </row>
    <row r="1516" spans="1:24" x14ac:dyDescent="0.25">
      <c r="A1516" s="20" t="s">
        <v>2040</v>
      </c>
      <c r="B1516" s="19">
        <v>45304</v>
      </c>
      <c r="C1516" s="20" t="s">
        <v>282</v>
      </c>
      <c r="D1516" s="20" t="s">
        <v>125</v>
      </c>
      <c r="E1516" s="20" t="s">
        <v>93</v>
      </c>
      <c r="F1516" s="20" t="s">
        <v>2585</v>
      </c>
      <c r="G1516" s="20" t="s">
        <v>2586</v>
      </c>
      <c r="H1516" s="20" t="s">
        <v>96</v>
      </c>
      <c r="I1516" s="20" t="s">
        <v>27</v>
      </c>
      <c r="J1516" s="20" t="s">
        <v>28</v>
      </c>
      <c r="K1516" s="20" t="s">
        <v>60</v>
      </c>
      <c r="L1516" s="20" t="s">
        <v>2677</v>
      </c>
      <c r="M1516" s="20" t="s">
        <v>153</v>
      </c>
      <c r="N1516" s="20" t="s">
        <v>84</v>
      </c>
      <c r="O1516" s="20">
        <v>30</v>
      </c>
      <c r="P1516" s="20">
        <v>54.56</v>
      </c>
      <c r="Q1516" s="20">
        <v>33.42</v>
      </c>
      <c r="R1516" s="20">
        <v>1636.73</v>
      </c>
      <c r="S1516" s="20">
        <v>0.1</v>
      </c>
      <c r="T1516" s="20">
        <v>163.66999999999999</v>
      </c>
      <c r="U1516" s="20">
        <v>1473.06</v>
      </c>
      <c r="V1516" s="20">
        <v>1002.5</v>
      </c>
      <c r="W1516" s="20">
        <v>470.56</v>
      </c>
      <c r="X1516" s="20" t="s">
        <v>45</v>
      </c>
    </row>
    <row r="1517" spans="1:24" x14ac:dyDescent="0.25">
      <c r="A1517" s="23" t="s">
        <v>2041</v>
      </c>
      <c r="B1517" s="22">
        <v>45334</v>
      </c>
      <c r="C1517" s="23" t="s">
        <v>615</v>
      </c>
      <c r="D1517" s="23" t="s">
        <v>264</v>
      </c>
      <c r="E1517" s="23" t="s">
        <v>23</v>
      </c>
      <c r="F1517" s="23" t="s">
        <v>2576</v>
      </c>
      <c r="G1517" s="23" t="s">
        <v>2577</v>
      </c>
      <c r="H1517" s="23" t="s">
        <v>26</v>
      </c>
      <c r="I1517" s="23" t="s">
        <v>40</v>
      </c>
      <c r="J1517" s="23" t="s">
        <v>117</v>
      </c>
      <c r="K1517" s="23" t="s">
        <v>60</v>
      </c>
      <c r="L1517" s="23" t="s">
        <v>2677</v>
      </c>
      <c r="M1517" s="23" t="s">
        <v>43</v>
      </c>
      <c r="N1517" s="23" t="s">
        <v>70</v>
      </c>
      <c r="O1517" s="23">
        <v>55</v>
      </c>
      <c r="P1517" s="23">
        <v>71.790000000000006</v>
      </c>
      <c r="Q1517" s="23">
        <v>41.39</v>
      </c>
      <c r="R1517" s="23">
        <v>3948.45</v>
      </c>
      <c r="S1517" s="23">
        <v>0.05</v>
      </c>
      <c r="T1517" s="23">
        <v>197.42</v>
      </c>
      <c r="U1517" s="23">
        <v>3751.03</v>
      </c>
      <c r="V1517" s="23">
        <v>2276.61</v>
      </c>
      <c r="W1517" s="23">
        <v>1474.42</v>
      </c>
      <c r="X1517" s="23" t="s">
        <v>45</v>
      </c>
    </row>
    <row r="1518" spans="1:24" x14ac:dyDescent="0.25">
      <c r="A1518" s="20" t="s">
        <v>2042</v>
      </c>
      <c r="B1518" s="19">
        <v>45590</v>
      </c>
      <c r="C1518" s="20" t="s">
        <v>229</v>
      </c>
      <c r="D1518" s="20" t="s">
        <v>87</v>
      </c>
      <c r="E1518" s="20" t="s">
        <v>126</v>
      </c>
      <c r="F1518" s="20" t="s">
        <v>2589</v>
      </c>
      <c r="G1518" s="20" t="s">
        <v>2586</v>
      </c>
      <c r="H1518" s="20" t="s">
        <v>128</v>
      </c>
      <c r="I1518" s="20" t="s">
        <v>40</v>
      </c>
      <c r="J1518" s="20" t="s">
        <v>82</v>
      </c>
      <c r="K1518" s="20" t="s">
        <v>111</v>
      </c>
      <c r="L1518" s="20" t="s">
        <v>2685</v>
      </c>
      <c r="M1518" s="20" t="s">
        <v>43</v>
      </c>
      <c r="N1518" s="20" t="s">
        <v>84</v>
      </c>
      <c r="O1518" s="20">
        <f>ROUND(Cleaned_Sales!$R1518/Cleaned_Sales!$P1518,0)</f>
        <v>52</v>
      </c>
      <c r="P1518" s="20">
        <v>88.77</v>
      </c>
      <c r="Q1518" s="20">
        <v>51.08</v>
      </c>
      <c r="R1518" s="20">
        <v>4616.22</v>
      </c>
      <c r="S1518" s="20">
        <v>0.15</v>
      </c>
      <c r="T1518" s="20">
        <v>692.43</v>
      </c>
      <c r="U1518" s="20">
        <v>3923.78</v>
      </c>
      <c r="V1518" s="20">
        <v>2656.08</v>
      </c>
      <c r="W1518" s="20">
        <v>1267.7</v>
      </c>
      <c r="X1518" s="20" t="s">
        <v>129</v>
      </c>
    </row>
    <row r="1519" spans="1:24" x14ac:dyDescent="0.25">
      <c r="A1519" s="23" t="s">
        <v>2043</v>
      </c>
      <c r="B1519" s="22">
        <v>45546</v>
      </c>
      <c r="C1519" s="23" t="s">
        <v>623</v>
      </c>
      <c r="D1519" s="23" t="s">
        <v>156</v>
      </c>
      <c r="E1519" s="23" t="s">
        <v>23</v>
      </c>
      <c r="F1519" s="23" t="s">
        <v>2576</v>
      </c>
      <c r="G1519" s="23" t="s">
        <v>2577</v>
      </c>
      <c r="H1519" s="23" t="s">
        <v>26</v>
      </c>
      <c r="I1519" s="23" t="s">
        <v>40</v>
      </c>
      <c r="J1519" s="23" t="s">
        <v>117</v>
      </c>
      <c r="K1519" s="23" t="s">
        <v>253</v>
      </c>
      <c r="L1519" s="23" t="s">
        <v>2694</v>
      </c>
      <c r="M1519" s="23" t="s">
        <v>153</v>
      </c>
      <c r="N1519" s="23" t="s">
        <v>70</v>
      </c>
      <c r="O1519" s="23">
        <v>75</v>
      </c>
      <c r="P1519" s="23">
        <v>70.98</v>
      </c>
      <c r="Q1519" s="23">
        <v>40.49</v>
      </c>
      <c r="R1519" s="23">
        <v>5323.76</v>
      </c>
      <c r="S1519" s="23">
        <v>0.02</v>
      </c>
      <c r="T1519" s="23">
        <v>106.48</v>
      </c>
      <c r="U1519" s="23">
        <v>5217.28</v>
      </c>
      <c r="V1519" s="23">
        <v>3037.05</v>
      </c>
      <c r="W1519" s="23">
        <v>2180.23</v>
      </c>
      <c r="X1519" s="23" t="s">
        <v>45</v>
      </c>
    </row>
    <row r="1520" spans="1:24" x14ac:dyDescent="0.25">
      <c r="A1520" s="20" t="s">
        <v>2044</v>
      </c>
      <c r="B1520" s="19">
        <v>45576</v>
      </c>
      <c r="C1520" s="20" t="s">
        <v>162</v>
      </c>
      <c r="D1520" s="20" t="s">
        <v>163</v>
      </c>
      <c r="E1520" s="20" t="s">
        <v>150</v>
      </c>
      <c r="F1520" s="20" t="s">
        <v>2591</v>
      </c>
      <c r="G1520" s="20" t="s">
        <v>2587</v>
      </c>
      <c r="H1520" s="20" t="s">
        <v>134</v>
      </c>
      <c r="I1520" s="20" t="s">
        <v>27</v>
      </c>
      <c r="J1520" s="20" t="s">
        <v>28</v>
      </c>
      <c r="K1520" s="20" t="s">
        <v>265</v>
      </c>
      <c r="L1520" s="20" t="s">
        <v>2663</v>
      </c>
      <c r="M1520" s="20" t="s">
        <v>30</v>
      </c>
      <c r="N1520" s="20" t="s">
        <v>84</v>
      </c>
      <c r="O1520" s="20">
        <v>69</v>
      </c>
      <c r="P1520" s="20">
        <v>80.709999999999994</v>
      </c>
      <c r="Q1520" s="20">
        <v>49.71</v>
      </c>
      <c r="R1520" s="20">
        <v>5569.06</v>
      </c>
      <c r="S1520" s="20">
        <v>0.1</v>
      </c>
      <c r="T1520" s="20">
        <v>556.91</v>
      </c>
      <c r="U1520" s="20">
        <v>5012.1499999999996</v>
      </c>
      <c r="V1520" s="20">
        <v>3430.1</v>
      </c>
      <c r="W1520" s="20">
        <v>1582.05</v>
      </c>
      <c r="X1520" s="20" t="s">
        <v>129</v>
      </c>
    </row>
    <row r="1521" spans="1:24" x14ac:dyDescent="0.25">
      <c r="A1521" s="23" t="s">
        <v>2045</v>
      </c>
      <c r="B1521" s="22">
        <v>45624</v>
      </c>
      <c r="C1521" s="23" t="s">
        <v>757</v>
      </c>
      <c r="D1521" s="23" t="s">
        <v>163</v>
      </c>
      <c r="E1521" s="23" t="s">
        <v>126</v>
      </c>
      <c r="F1521" s="23" t="s">
        <v>2589</v>
      </c>
      <c r="G1521" s="23" t="s">
        <v>2586</v>
      </c>
      <c r="H1521" s="23" t="s">
        <v>128</v>
      </c>
      <c r="I1521" s="23" t="s">
        <v>27</v>
      </c>
      <c r="J1521" s="23" t="s">
        <v>189</v>
      </c>
      <c r="K1521" s="23" t="s">
        <v>261</v>
      </c>
      <c r="L1521" s="23" t="s">
        <v>2695</v>
      </c>
      <c r="M1521" s="23" t="s">
        <v>153</v>
      </c>
      <c r="N1521" s="23" t="s">
        <v>44</v>
      </c>
      <c r="O1521" s="23">
        <v>42</v>
      </c>
      <c r="P1521" s="23">
        <v>92.2</v>
      </c>
      <c r="Q1521" s="23">
        <v>50.78</v>
      </c>
      <c r="R1521" s="23">
        <v>3872.38</v>
      </c>
      <c r="S1521" s="23">
        <v>0</v>
      </c>
      <c r="T1521" s="23">
        <v>0</v>
      </c>
      <c r="U1521" s="23">
        <v>3872.38</v>
      </c>
      <c r="V1521" s="23">
        <v>2132.75</v>
      </c>
      <c r="W1521" s="23">
        <v>1739.63</v>
      </c>
      <c r="X1521" s="23" t="s">
        <v>32</v>
      </c>
    </row>
    <row r="1522" spans="1:24" x14ac:dyDescent="0.25">
      <c r="A1522" s="20" t="s">
        <v>2046</v>
      </c>
      <c r="B1522" s="19">
        <v>45597</v>
      </c>
      <c r="C1522" s="20" t="s">
        <v>664</v>
      </c>
      <c r="D1522" s="20" t="s">
        <v>125</v>
      </c>
      <c r="E1522" s="20" t="s">
        <v>187</v>
      </c>
      <c r="F1522" s="20" t="s">
        <v>2594</v>
      </c>
      <c r="G1522" s="20" t="s">
        <v>2577</v>
      </c>
      <c r="H1522" s="20" t="s">
        <v>26</v>
      </c>
      <c r="I1522" s="20" t="s">
        <v>40</v>
      </c>
      <c r="J1522" s="20" t="s">
        <v>117</v>
      </c>
      <c r="K1522" s="20" t="s">
        <v>218</v>
      </c>
      <c r="L1522" s="20" t="s">
        <v>2692</v>
      </c>
      <c r="M1522" s="20" t="s">
        <v>43</v>
      </c>
      <c r="N1522" s="20" t="s">
        <v>44</v>
      </c>
      <c r="O1522" s="20">
        <v>6</v>
      </c>
      <c r="P1522" s="20">
        <v>46.25</v>
      </c>
      <c r="Q1522" s="20">
        <v>30.2</v>
      </c>
      <c r="R1522" s="20">
        <v>277.49</v>
      </c>
      <c r="S1522" s="20">
        <v>0</v>
      </c>
      <c r="T1522" s="20">
        <v>0</v>
      </c>
      <c r="U1522" s="20">
        <v>277.49</v>
      </c>
      <c r="V1522" s="20">
        <v>181.22</v>
      </c>
      <c r="W1522" s="20">
        <v>96.27</v>
      </c>
      <c r="X1522" s="20" t="s">
        <v>45</v>
      </c>
    </row>
    <row r="1523" spans="1:24" x14ac:dyDescent="0.25">
      <c r="A1523" s="23" t="s">
        <v>2047</v>
      </c>
      <c r="B1523" s="22">
        <v>45565</v>
      </c>
      <c r="C1523" s="23" t="s">
        <v>108</v>
      </c>
      <c r="D1523" s="23" t="s">
        <v>105</v>
      </c>
      <c r="E1523" s="23" t="s">
        <v>93</v>
      </c>
      <c r="F1523" s="23" t="s">
        <v>2585</v>
      </c>
      <c r="G1523" s="23" t="s">
        <v>2586</v>
      </c>
      <c r="H1523" s="23" t="s">
        <v>96</v>
      </c>
      <c r="I1523" s="23" t="s">
        <v>53</v>
      </c>
      <c r="J1523" s="23" t="s">
        <v>143</v>
      </c>
      <c r="K1523" s="23" t="s">
        <v>170</v>
      </c>
      <c r="L1523" s="23" t="s">
        <v>2671</v>
      </c>
      <c r="M1523" s="23" t="s">
        <v>43</v>
      </c>
      <c r="N1523" s="23" t="s">
        <v>2578</v>
      </c>
      <c r="O1523" s="23">
        <v>68</v>
      </c>
      <c r="P1523" s="23">
        <v>51.49</v>
      </c>
      <c r="Q1523" s="23">
        <v>30.67</v>
      </c>
      <c r="R1523" s="23">
        <v>3501.02</v>
      </c>
      <c r="S1523" s="23">
        <v>0</v>
      </c>
      <c r="T1523" s="23">
        <v>0</v>
      </c>
      <c r="U1523" s="23">
        <v>3501.02</v>
      </c>
      <c r="V1523" s="23">
        <v>2085.4299999999998</v>
      </c>
      <c r="W1523" s="23">
        <v>1415.59</v>
      </c>
      <c r="X1523" s="23" t="s">
        <v>45</v>
      </c>
    </row>
    <row r="1524" spans="1:24" x14ac:dyDescent="0.25">
      <c r="A1524" s="20" t="s">
        <v>2048</v>
      </c>
      <c r="B1524" s="19">
        <v>45485</v>
      </c>
      <c r="C1524" s="20" t="s">
        <v>776</v>
      </c>
      <c r="D1524" s="20" t="s">
        <v>57</v>
      </c>
      <c r="E1524" s="20" t="s">
        <v>222</v>
      </c>
      <c r="F1524" s="20" t="s">
        <v>2597</v>
      </c>
      <c r="G1524" s="20" t="s">
        <v>2587</v>
      </c>
      <c r="H1524" s="20" t="s">
        <v>68</v>
      </c>
      <c r="I1524" s="20" t="s">
        <v>27</v>
      </c>
      <c r="J1524" s="20" t="s">
        <v>189</v>
      </c>
      <c r="K1524" s="20" t="s">
        <v>60</v>
      </c>
      <c r="L1524" s="20" t="s">
        <v>2677</v>
      </c>
      <c r="M1524" s="20" t="s">
        <v>43</v>
      </c>
      <c r="N1524" s="20" t="s">
        <v>70</v>
      </c>
      <c r="O1524" s="20">
        <v>41</v>
      </c>
      <c r="P1524" s="20">
        <v>125.57</v>
      </c>
      <c r="Q1524" s="20">
        <v>75.56</v>
      </c>
      <c r="R1524" s="20">
        <v>5148.3100000000004</v>
      </c>
      <c r="S1524" s="20">
        <v>0.2</v>
      </c>
      <c r="T1524" s="20">
        <v>1029.6600000000001</v>
      </c>
      <c r="U1524" s="20">
        <v>4118.6499999999996</v>
      </c>
      <c r="V1524" s="20">
        <v>3098.06</v>
      </c>
      <c r="W1524" s="20">
        <v>1020.59</v>
      </c>
      <c r="X1524" s="20" t="s">
        <v>45</v>
      </c>
    </row>
    <row r="1525" spans="1:24" x14ac:dyDescent="0.25">
      <c r="A1525" s="23" t="s">
        <v>2049</v>
      </c>
      <c r="B1525" s="22">
        <v>45599</v>
      </c>
      <c r="C1525" s="23" t="s">
        <v>2619</v>
      </c>
      <c r="D1525" s="23" t="s">
        <v>2619</v>
      </c>
      <c r="E1525" s="23" t="s">
        <v>99</v>
      </c>
      <c r="F1525" s="23" t="s">
        <v>100</v>
      </c>
      <c r="G1525" s="23" t="s">
        <v>2587</v>
      </c>
      <c r="H1525" s="23" t="s">
        <v>102</v>
      </c>
      <c r="I1525" s="23" t="s">
        <v>58</v>
      </c>
      <c r="J1525" s="23" t="s">
        <v>323</v>
      </c>
      <c r="K1525" s="23" t="s">
        <v>60</v>
      </c>
      <c r="L1525" s="23" t="s">
        <v>2677</v>
      </c>
      <c r="M1525" s="23" t="s">
        <v>30</v>
      </c>
      <c r="N1525" s="23" t="s">
        <v>2578</v>
      </c>
      <c r="O1525" s="23">
        <v>55</v>
      </c>
      <c r="P1525" s="23">
        <v>71.209999999999994</v>
      </c>
      <c r="Q1525" s="23">
        <v>39.56</v>
      </c>
      <c r="R1525" s="23">
        <v>3916.72</v>
      </c>
      <c r="S1525" s="23">
        <v>0.15</v>
      </c>
      <c r="T1525" s="23">
        <v>587.51</v>
      </c>
      <c r="U1525" s="23">
        <v>3329.22</v>
      </c>
      <c r="V1525" s="23">
        <v>2176</v>
      </c>
      <c r="W1525" s="23">
        <v>1153.21</v>
      </c>
      <c r="X1525" s="23" t="s">
        <v>32</v>
      </c>
    </row>
    <row r="1526" spans="1:24" x14ac:dyDescent="0.25">
      <c r="A1526" s="20" t="s">
        <v>2050</v>
      </c>
      <c r="B1526" s="19">
        <v>45450</v>
      </c>
      <c r="C1526" s="20" t="s">
        <v>693</v>
      </c>
      <c r="D1526" s="20" t="s">
        <v>57</v>
      </c>
      <c r="E1526" s="20" t="s">
        <v>66</v>
      </c>
      <c r="F1526" s="20" t="s">
        <v>2582</v>
      </c>
      <c r="G1526" s="20" t="s">
        <v>2579</v>
      </c>
      <c r="H1526" s="20" t="s">
        <v>68</v>
      </c>
      <c r="I1526" s="20" t="s">
        <v>53</v>
      </c>
      <c r="J1526" s="20" t="s">
        <v>143</v>
      </c>
      <c r="K1526" s="20" t="s">
        <v>60</v>
      </c>
      <c r="L1526" s="20" t="s">
        <v>2677</v>
      </c>
      <c r="M1526" s="20" t="s">
        <v>43</v>
      </c>
      <c r="N1526" s="20" t="s">
        <v>75</v>
      </c>
      <c r="O1526" s="20">
        <v>23</v>
      </c>
      <c r="P1526" s="20">
        <v>160.09</v>
      </c>
      <c r="Q1526" s="20">
        <v>107.17</v>
      </c>
      <c r="R1526" s="20">
        <v>3682.01</v>
      </c>
      <c r="S1526" s="20">
        <v>0</v>
      </c>
      <c r="T1526" s="20">
        <v>0</v>
      </c>
      <c r="U1526" s="20">
        <v>3682.01</v>
      </c>
      <c r="V1526" s="20">
        <v>2464.87</v>
      </c>
      <c r="W1526" s="20">
        <v>1217.1400000000001</v>
      </c>
      <c r="X1526" s="20" t="s">
        <v>45</v>
      </c>
    </row>
    <row r="1527" spans="1:24" x14ac:dyDescent="0.25">
      <c r="A1527" s="23" t="s">
        <v>2051</v>
      </c>
      <c r="B1527" s="22">
        <v>45655</v>
      </c>
      <c r="C1527" s="23" t="s">
        <v>948</v>
      </c>
      <c r="D1527" s="23" t="s">
        <v>87</v>
      </c>
      <c r="E1527" s="23" t="s">
        <v>126</v>
      </c>
      <c r="F1527" s="23" t="s">
        <v>2589</v>
      </c>
      <c r="G1527" s="23" t="s">
        <v>2586</v>
      </c>
      <c r="H1527" s="23" t="s">
        <v>128</v>
      </c>
      <c r="I1527" s="23" t="s">
        <v>53</v>
      </c>
      <c r="J1527" s="23" t="s">
        <v>232</v>
      </c>
      <c r="K1527" s="23" t="s">
        <v>74</v>
      </c>
      <c r="L1527" s="23" t="s">
        <v>2682</v>
      </c>
      <c r="M1527" s="23" t="s">
        <v>43</v>
      </c>
      <c r="N1527" s="23" t="s">
        <v>70</v>
      </c>
      <c r="O1527" s="23">
        <v>63</v>
      </c>
      <c r="P1527" s="23">
        <v>93.56</v>
      </c>
      <c r="Q1527" s="23">
        <v>52.78</v>
      </c>
      <c r="R1527" s="23">
        <v>5894.48</v>
      </c>
      <c r="S1527" s="23">
        <v>0.05</v>
      </c>
      <c r="T1527" s="23">
        <v>294.72000000000003</v>
      </c>
      <c r="U1527" s="23">
        <v>5599.76</v>
      </c>
      <c r="V1527" s="23">
        <v>3325.01</v>
      </c>
      <c r="W1527" s="23">
        <v>2274.75</v>
      </c>
      <c r="X1527" s="23" t="s">
        <v>129</v>
      </c>
    </row>
    <row r="1528" spans="1:24" x14ac:dyDescent="0.25">
      <c r="A1528" s="20" t="s">
        <v>2052</v>
      </c>
      <c r="B1528" s="19">
        <v>45462</v>
      </c>
      <c r="C1528" s="20" t="s">
        <v>243</v>
      </c>
      <c r="D1528" s="20" t="s">
        <v>35</v>
      </c>
      <c r="E1528" s="20" t="s">
        <v>93</v>
      </c>
      <c r="F1528" s="20" t="s">
        <v>2585</v>
      </c>
      <c r="G1528" s="20" t="s">
        <v>2586</v>
      </c>
      <c r="H1528" s="20" t="s">
        <v>96</v>
      </c>
      <c r="I1528" s="20" t="s">
        <v>27</v>
      </c>
      <c r="J1528" s="20" t="s">
        <v>106</v>
      </c>
      <c r="K1528" s="20" t="s">
        <v>184</v>
      </c>
      <c r="L1528" s="20" t="s">
        <v>2690</v>
      </c>
      <c r="M1528" s="20" t="s">
        <v>30</v>
      </c>
      <c r="N1528" s="20" t="s">
        <v>2578</v>
      </c>
      <c r="O1528" s="20">
        <v>41</v>
      </c>
      <c r="P1528" s="20">
        <v>58.98</v>
      </c>
      <c r="Q1528" s="20">
        <v>31.11</v>
      </c>
      <c r="R1528" s="20">
        <v>2418.38</v>
      </c>
      <c r="S1528" s="20">
        <v>0.15</v>
      </c>
      <c r="T1528" s="20">
        <v>362.76</v>
      </c>
      <c r="U1528" s="20">
        <v>2055.62</v>
      </c>
      <c r="V1528" s="20">
        <v>1275.6300000000001</v>
      </c>
      <c r="W1528" s="20">
        <v>779.99</v>
      </c>
      <c r="X1528" s="20" t="s">
        <v>45</v>
      </c>
    </row>
    <row r="1529" spans="1:24" x14ac:dyDescent="0.25">
      <c r="A1529" s="23" t="s">
        <v>2053</v>
      </c>
      <c r="B1529" s="22">
        <v>45569</v>
      </c>
      <c r="C1529" s="23" t="s">
        <v>263</v>
      </c>
      <c r="D1529" s="23" t="s">
        <v>264</v>
      </c>
      <c r="E1529" s="23" t="s">
        <v>49</v>
      </c>
      <c r="F1529" s="23" t="s">
        <v>2580</v>
      </c>
      <c r="G1529" s="23" t="s">
        <v>2581</v>
      </c>
      <c r="H1529" s="23" t="s">
        <v>52</v>
      </c>
      <c r="I1529" s="23" t="s">
        <v>27</v>
      </c>
      <c r="J1529" s="23" t="s">
        <v>28</v>
      </c>
      <c r="K1529" s="23" t="s">
        <v>83</v>
      </c>
      <c r="L1529" s="23" t="s">
        <v>2683</v>
      </c>
      <c r="M1529" s="23" t="s">
        <v>43</v>
      </c>
      <c r="N1529" s="23" t="s">
        <v>2578</v>
      </c>
      <c r="O1529" s="23">
        <v>45</v>
      </c>
      <c r="P1529" s="23">
        <v>24.85</v>
      </c>
      <c r="Q1529" s="23">
        <v>13.51</v>
      </c>
      <c r="R1529" s="23">
        <v>1118.26</v>
      </c>
      <c r="S1529" s="23">
        <v>0.2</v>
      </c>
      <c r="T1529" s="23">
        <v>223.65</v>
      </c>
      <c r="U1529" s="23">
        <v>894.6</v>
      </c>
      <c r="V1529" s="23">
        <v>608.16</v>
      </c>
      <c r="W1529" s="23">
        <v>286.44</v>
      </c>
      <c r="X1529" s="23" t="s">
        <v>129</v>
      </c>
    </row>
    <row r="1530" spans="1:24" x14ac:dyDescent="0.25">
      <c r="A1530" s="20" t="s">
        <v>2054</v>
      </c>
      <c r="B1530" s="19">
        <v>45450</v>
      </c>
      <c r="C1530" s="20" t="s">
        <v>938</v>
      </c>
      <c r="D1530" s="20" t="s">
        <v>156</v>
      </c>
      <c r="E1530" s="20" t="s">
        <v>78</v>
      </c>
      <c r="F1530" s="20" t="s">
        <v>2583</v>
      </c>
      <c r="G1530" s="20" t="s">
        <v>2584</v>
      </c>
      <c r="H1530" s="20" t="s">
        <v>81</v>
      </c>
      <c r="I1530" s="20" t="s">
        <v>27</v>
      </c>
      <c r="J1530" s="20" t="s">
        <v>106</v>
      </c>
      <c r="K1530" s="20" t="s">
        <v>184</v>
      </c>
      <c r="L1530" s="20" t="s">
        <v>2690</v>
      </c>
      <c r="M1530" s="20" t="s">
        <v>61</v>
      </c>
      <c r="N1530" s="20" t="s">
        <v>75</v>
      </c>
      <c r="O1530" s="20">
        <v>24</v>
      </c>
      <c r="P1530" s="20">
        <v>142.75</v>
      </c>
      <c r="Q1530" s="20">
        <v>76.56</v>
      </c>
      <c r="R1530" s="20">
        <v>3426.07</v>
      </c>
      <c r="S1530" s="20">
        <v>0.02</v>
      </c>
      <c r="T1530" s="20">
        <v>68.52</v>
      </c>
      <c r="U1530" s="20">
        <v>3357.54</v>
      </c>
      <c r="V1530" s="20">
        <v>1837.43</v>
      </c>
      <c r="W1530" s="20">
        <v>1520.11</v>
      </c>
      <c r="X1530" s="20" t="s">
        <v>45</v>
      </c>
    </row>
    <row r="1531" spans="1:24" x14ac:dyDescent="0.25">
      <c r="A1531" s="23" t="s">
        <v>2055</v>
      </c>
      <c r="B1531" s="22">
        <v>45384</v>
      </c>
      <c r="C1531" s="23" t="s">
        <v>86</v>
      </c>
      <c r="D1531" s="23" t="s">
        <v>87</v>
      </c>
      <c r="E1531" s="23" t="s">
        <v>114</v>
      </c>
      <c r="F1531" s="23" t="s">
        <v>2588</v>
      </c>
      <c r="G1531" s="23" t="s">
        <v>2586</v>
      </c>
      <c r="H1531" s="23" t="s">
        <v>116</v>
      </c>
      <c r="I1531" s="23" t="s">
        <v>88</v>
      </c>
      <c r="J1531" s="23" t="s">
        <v>135</v>
      </c>
      <c r="K1531" s="23" t="s">
        <v>29</v>
      </c>
      <c r="L1531" s="23" t="s">
        <v>2679</v>
      </c>
      <c r="M1531" s="23" t="s">
        <v>61</v>
      </c>
      <c r="N1531" s="23" t="s">
        <v>84</v>
      </c>
      <c r="O1531" s="23">
        <v>37</v>
      </c>
      <c r="P1531" s="23">
        <v>33.43</v>
      </c>
      <c r="Q1531" s="23">
        <v>19.440000000000001</v>
      </c>
      <c r="R1531" s="23">
        <v>1236.79</v>
      </c>
      <c r="S1531" s="23">
        <v>0</v>
      </c>
      <c r="T1531" s="23">
        <v>0</v>
      </c>
      <c r="U1531" s="23">
        <v>1236.79</v>
      </c>
      <c r="V1531" s="23">
        <v>719.41</v>
      </c>
      <c r="W1531" s="23">
        <v>517.39</v>
      </c>
      <c r="X1531" s="23" t="s">
        <v>45</v>
      </c>
    </row>
    <row r="1532" spans="1:24" x14ac:dyDescent="0.25">
      <c r="A1532" s="20" t="s">
        <v>2056</v>
      </c>
      <c r="B1532" s="19">
        <v>45528</v>
      </c>
      <c r="C1532" s="20" t="s">
        <v>458</v>
      </c>
      <c r="D1532" s="20" t="s">
        <v>163</v>
      </c>
      <c r="E1532" s="20" t="s">
        <v>141</v>
      </c>
      <c r="F1532" s="20" t="s">
        <v>2590</v>
      </c>
      <c r="G1532" s="20" t="s">
        <v>2577</v>
      </c>
      <c r="H1532" s="20" t="s">
        <v>26</v>
      </c>
      <c r="I1532" s="20" t="s">
        <v>88</v>
      </c>
      <c r="J1532" s="20" t="s">
        <v>183</v>
      </c>
      <c r="K1532" s="20" t="s">
        <v>265</v>
      </c>
      <c r="L1532" s="20" t="s">
        <v>2663</v>
      </c>
      <c r="M1532" s="20" t="s">
        <v>43</v>
      </c>
      <c r="N1532" s="20" t="s">
        <v>2578</v>
      </c>
      <c r="O1532" s="20">
        <v>62</v>
      </c>
      <c r="P1532" s="20">
        <v>89.17</v>
      </c>
      <c r="Q1532" s="20">
        <v>62.23</v>
      </c>
      <c r="R1532" s="20">
        <v>5528.25</v>
      </c>
      <c r="S1532" s="20">
        <v>0.15</v>
      </c>
      <c r="T1532" s="20">
        <v>829.24</v>
      </c>
      <c r="U1532" s="20">
        <v>4699.01</v>
      </c>
      <c r="V1532" s="20">
        <v>3858.32</v>
      </c>
      <c r="W1532" s="20">
        <v>840.69</v>
      </c>
      <c r="X1532" s="20" t="s">
        <v>129</v>
      </c>
    </row>
    <row r="1533" spans="1:24" x14ac:dyDescent="0.25">
      <c r="A1533" s="23" t="s">
        <v>2057</v>
      </c>
      <c r="B1533" s="22">
        <v>45368</v>
      </c>
      <c r="C1533" s="23" t="s">
        <v>707</v>
      </c>
      <c r="D1533" s="23" t="s">
        <v>65</v>
      </c>
      <c r="E1533" s="23" t="s">
        <v>141</v>
      </c>
      <c r="F1533" s="23" t="s">
        <v>2590</v>
      </c>
      <c r="G1533" s="23" t="s">
        <v>2577</v>
      </c>
      <c r="H1533" s="23" t="s">
        <v>26</v>
      </c>
      <c r="I1533" s="23" t="s">
        <v>58</v>
      </c>
      <c r="J1533" s="23" t="s">
        <v>345</v>
      </c>
      <c r="K1533" s="23" t="s">
        <v>178</v>
      </c>
      <c r="L1533" s="23" t="s">
        <v>2689</v>
      </c>
      <c r="M1533" s="23" t="s">
        <v>61</v>
      </c>
      <c r="N1533" s="23" t="s">
        <v>44</v>
      </c>
      <c r="O1533" s="23">
        <v>36</v>
      </c>
      <c r="P1533" s="23">
        <v>100.33</v>
      </c>
      <c r="Q1533" s="23">
        <v>61.41</v>
      </c>
      <c r="R1533" s="23">
        <v>3611.84</v>
      </c>
      <c r="S1533" s="23">
        <v>0</v>
      </c>
      <c r="T1533" s="23">
        <v>0</v>
      </c>
      <c r="U1533" s="23">
        <v>3611.84</v>
      </c>
      <c r="V1533" s="23">
        <v>2210.71</v>
      </c>
      <c r="W1533" s="23">
        <v>1401.13</v>
      </c>
      <c r="X1533" s="23" t="s">
        <v>32</v>
      </c>
    </row>
    <row r="1534" spans="1:24" x14ac:dyDescent="0.25">
      <c r="A1534" s="20" t="s">
        <v>2058</v>
      </c>
      <c r="B1534" s="19">
        <v>45373</v>
      </c>
      <c r="C1534" s="20" t="s">
        <v>201</v>
      </c>
      <c r="D1534" s="20" t="s">
        <v>57</v>
      </c>
      <c r="E1534" s="20" t="s">
        <v>36</v>
      </c>
      <c r="F1534" s="20" t="s">
        <v>37</v>
      </c>
      <c r="G1534" s="20" t="s">
        <v>2579</v>
      </c>
      <c r="H1534" s="20" t="s">
        <v>39</v>
      </c>
      <c r="I1534" s="20" t="s">
        <v>53</v>
      </c>
      <c r="J1534" s="20" t="s">
        <v>122</v>
      </c>
      <c r="K1534" s="20" t="s">
        <v>195</v>
      </c>
      <c r="L1534" s="20" t="s">
        <v>2691</v>
      </c>
      <c r="M1534" s="20" t="s">
        <v>153</v>
      </c>
      <c r="N1534" s="20" t="s">
        <v>44</v>
      </c>
      <c r="O1534" s="20">
        <v>61</v>
      </c>
      <c r="P1534" s="20">
        <v>152.63</v>
      </c>
      <c r="Q1534" s="20">
        <v>101.16</v>
      </c>
      <c r="R1534" s="20">
        <v>9310.41</v>
      </c>
      <c r="S1534" s="20">
        <v>0.1</v>
      </c>
      <c r="T1534" s="20">
        <v>931.04</v>
      </c>
      <c r="U1534" s="20">
        <v>8379.3700000000008</v>
      </c>
      <c r="V1534" s="20">
        <v>6170.81</v>
      </c>
      <c r="W1534" s="20">
        <v>2208.5700000000002</v>
      </c>
      <c r="X1534" s="20" t="s">
        <v>45</v>
      </c>
    </row>
    <row r="1535" spans="1:24" x14ac:dyDescent="0.25">
      <c r="A1535" s="23" t="s">
        <v>2059</v>
      </c>
      <c r="B1535" s="22">
        <v>45428</v>
      </c>
      <c r="C1535" s="23" t="s">
        <v>21</v>
      </c>
      <c r="D1535" s="23" t="s">
        <v>22</v>
      </c>
      <c r="E1535" s="23" t="s">
        <v>109</v>
      </c>
      <c r="F1535" s="23" t="s">
        <v>110</v>
      </c>
      <c r="G1535" s="23" t="s">
        <v>2584</v>
      </c>
      <c r="H1535" s="23" t="s">
        <v>81</v>
      </c>
      <c r="I1535" s="23" t="s">
        <v>53</v>
      </c>
      <c r="J1535" s="23" t="s">
        <v>143</v>
      </c>
      <c r="K1535" s="23" t="s">
        <v>74</v>
      </c>
      <c r="L1535" s="23" t="s">
        <v>2682</v>
      </c>
      <c r="M1535" s="23" t="s">
        <v>43</v>
      </c>
      <c r="N1535" s="23" t="s">
        <v>75</v>
      </c>
      <c r="O1535" s="23">
        <v>76</v>
      </c>
      <c r="P1535" s="23">
        <v>121.2</v>
      </c>
      <c r="Q1535" s="23">
        <v>71.040000000000006</v>
      </c>
      <c r="R1535" s="23">
        <v>9210.91</v>
      </c>
      <c r="S1535" s="23">
        <v>0.05</v>
      </c>
      <c r="T1535" s="23">
        <v>460.55</v>
      </c>
      <c r="U1535" s="23">
        <v>8750.36</v>
      </c>
      <c r="V1535" s="23">
        <v>5399</v>
      </c>
      <c r="W1535" s="23">
        <v>3351.36</v>
      </c>
      <c r="X1535" s="23" t="s">
        <v>45</v>
      </c>
    </row>
    <row r="1536" spans="1:24" x14ac:dyDescent="0.25">
      <c r="A1536" s="20" t="s">
        <v>2060</v>
      </c>
      <c r="B1536" s="19">
        <v>45334</v>
      </c>
      <c r="C1536" s="20" t="s">
        <v>1887</v>
      </c>
      <c r="D1536" s="20" t="s">
        <v>159</v>
      </c>
      <c r="E1536" s="20" t="s">
        <v>176</v>
      </c>
      <c r="F1536" s="20" t="s">
        <v>2593</v>
      </c>
      <c r="G1536" s="20" t="s">
        <v>2587</v>
      </c>
      <c r="H1536" s="20" t="s">
        <v>39</v>
      </c>
      <c r="I1536" s="20" t="s">
        <v>27</v>
      </c>
      <c r="J1536" s="20" t="s">
        <v>189</v>
      </c>
      <c r="K1536" s="20" t="s">
        <v>265</v>
      </c>
      <c r="L1536" s="20" t="s">
        <v>2663</v>
      </c>
      <c r="M1536" s="20" t="s">
        <v>30</v>
      </c>
      <c r="N1536" s="20" t="s">
        <v>84</v>
      </c>
      <c r="O1536" s="20">
        <v>41</v>
      </c>
      <c r="P1536" s="20">
        <v>111.2</v>
      </c>
      <c r="Q1536" s="20">
        <v>63.71</v>
      </c>
      <c r="R1536" s="20">
        <v>4559.1000000000004</v>
      </c>
      <c r="S1536" s="20">
        <v>0.15</v>
      </c>
      <c r="T1536" s="20">
        <v>683.87</v>
      </c>
      <c r="U1536" s="20">
        <v>3875.24</v>
      </c>
      <c r="V1536" s="20">
        <v>2612.1799999999998</v>
      </c>
      <c r="W1536" s="20">
        <v>1263.05</v>
      </c>
      <c r="X1536" s="20" t="s">
        <v>129</v>
      </c>
    </row>
    <row r="1537" spans="1:24" x14ac:dyDescent="0.25">
      <c r="A1537" s="23" t="s">
        <v>2061</v>
      </c>
      <c r="B1537" s="22">
        <v>45453</v>
      </c>
      <c r="C1537" s="23" t="s">
        <v>1831</v>
      </c>
      <c r="D1537" s="23" t="s">
        <v>256</v>
      </c>
      <c r="E1537" s="23" t="s">
        <v>187</v>
      </c>
      <c r="F1537" s="23" t="s">
        <v>2594</v>
      </c>
      <c r="G1537" s="23" t="s">
        <v>2577</v>
      </c>
      <c r="H1537" s="23" t="s">
        <v>26</v>
      </c>
      <c r="I1537" s="23" t="s">
        <v>53</v>
      </c>
      <c r="J1537" s="23" t="s">
        <v>122</v>
      </c>
      <c r="K1537" s="23" t="s">
        <v>83</v>
      </c>
      <c r="L1537" s="23" t="s">
        <v>2683</v>
      </c>
      <c r="M1537" s="23" t="s">
        <v>43</v>
      </c>
      <c r="N1537" s="23" t="s">
        <v>44</v>
      </c>
      <c r="O1537" s="23">
        <v>1</v>
      </c>
      <c r="P1537" s="23">
        <v>45.76</v>
      </c>
      <c r="Q1537" s="23">
        <v>31</v>
      </c>
      <c r="R1537" s="23">
        <v>45.76</v>
      </c>
      <c r="S1537" s="23">
        <v>0.1</v>
      </c>
      <c r="T1537" s="23">
        <v>4.58</v>
      </c>
      <c r="U1537" s="23">
        <v>41.19</v>
      </c>
      <c r="V1537" s="23">
        <v>31</v>
      </c>
      <c r="W1537" s="23">
        <v>10.19</v>
      </c>
      <c r="X1537" s="23" t="s">
        <v>45</v>
      </c>
    </row>
    <row r="1538" spans="1:24" x14ac:dyDescent="0.25">
      <c r="A1538" s="20" t="s">
        <v>2062</v>
      </c>
      <c r="B1538" s="19">
        <v>45578</v>
      </c>
      <c r="C1538" s="20" t="s">
        <v>1171</v>
      </c>
      <c r="D1538" s="20" t="s">
        <v>35</v>
      </c>
      <c r="E1538" s="20" t="s">
        <v>99</v>
      </c>
      <c r="F1538" s="20" t="s">
        <v>100</v>
      </c>
      <c r="G1538" s="20" t="s">
        <v>2587</v>
      </c>
      <c r="H1538" s="20" t="s">
        <v>102</v>
      </c>
      <c r="I1538" s="20" t="s">
        <v>58</v>
      </c>
      <c r="J1538" s="20" t="s">
        <v>59</v>
      </c>
      <c r="K1538" s="20" t="s">
        <v>152</v>
      </c>
      <c r="L1538" s="20" t="s">
        <v>2688</v>
      </c>
      <c r="M1538" s="20" t="s">
        <v>43</v>
      </c>
      <c r="N1538" s="20" t="s">
        <v>75</v>
      </c>
      <c r="O1538" s="20">
        <v>69</v>
      </c>
      <c r="P1538" s="20">
        <v>74.680000000000007</v>
      </c>
      <c r="Q1538" s="20">
        <v>39.630000000000003</v>
      </c>
      <c r="R1538" s="20">
        <v>5152.63</v>
      </c>
      <c r="S1538" s="20">
        <v>0.02</v>
      </c>
      <c r="T1538" s="20">
        <v>103.05</v>
      </c>
      <c r="U1538" s="20">
        <v>5049.58</v>
      </c>
      <c r="V1538" s="20">
        <v>2734.17</v>
      </c>
      <c r="W1538" s="20">
        <v>2315.41</v>
      </c>
      <c r="X1538" s="20" t="s">
        <v>45</v>
      </c>
    </row>
    <row r="1539" spans="1:24" x14ac:dyDescent="0.25">
      <c r="A1539" s="23" t="s">
        <v>2063</v>
      </c>
      <c r="B1539" s="22">
        <v>45357</v>
      </c>
      <c r="C1539" s="23" t="s">
        <v>367</v>
      </c>
      <c r="D1539" s="23" t="s">
        <v>105</v>
      </c>
      <c r="E1539" s="23" t="s">
        <v>250</v>
      </c>
      <c r="F1539" s="23" t="s">
        <v>2598</v>
      </c>
      <c r="G1539" s="23" t="s">
        <v>2581</v>
      </c>
      <c r="H1539" s="23" t="s">
        <v>252</v>
      </c>
      <c r="I1539" s="23" t="s">
        <v>40</v>
      </c>
      <c r="J1539" s="23" t="s">
        <v>289</v>
      </c>
      <c r="K1539" s="23" t="s">
        <v>218</v>
      </c>
      <c r="L1539" s="23" t="s">
        <v>2692</v>
      </c>
      <c r="M1539" s="23" t="s">
        <v>43</v>
      </c>
      <c r="N1539" s="23" t="s">
        <v>2578</v>
      </c>
      <c r="O1539" s="23">
        <v>80</v>
      </c>
      <c r="P1539" s="23">
        <v>67.53</v>
      </c>
      <c r="Q1539" s="23">
        <v>35.25</v>
      </c>
      <c r="R1539" s="23">
        <v>5402.34</v>
      </c>
      <c r="S1539" s="23">
        <v>0.15</v>
      </c>
      <c r="T1539" s="23">
        <v>810.35</v>
      </c>
      <c r="U1539" s="23">
        <v>4591.99</v>
      </c>
      <c r="V1539" s="23">
        <v>2820.22</v>
      </c>
      <c r="W1539" s="23">
        <v>1771.77</v>
      </c>
      <c r="X1539" s="23" t="s">
        <v>45</v>
      </c>
    </row>
    <row r="1540" spans="1:24" x14ac:dyDescent="0.25">
      <c r="A1540" s="20" t="s">
        <v>2064</v>
      </c>
      <c r="B1540" s="19">
        <v>45328</v>
      </c>
      <c r="C1540" s="20" t="s">
        <v>464</v>
      </c>
      <c r="D1540" s="20" t="s">
        <v>105</v>
      </c>
      <c r="E1540" s="20" t="s">
        <v>99</v>
      </c>
      <c r="F1540" s="20" t="s">
        <v>100</v>
      </c>
      <c r="G1540" s="20" t="s">
        <v>2587</v>
      </c>
      <c r="H1540" s="20" t="s">
        <v>102</v>
      </c>
      <c r="I1540" s="20" t="s">
        <v>58</v>
      </c>
      <c r="J1540" s="20" t="s">
        <v>73</v>
      </c>
      <c r="K1540" s="20" t="s">
        <v>170</v>
      </c>
      <c r="L1540" s="20" t="s">
        <v>2671</v>
      </c>
      <c r="M1540" s="20" t="s">
        <v>153</v>
      </c>
      <c r="N1540" s="20" t="s">
        <v>44</v>
      </c>
      <c r="O1540" s="20">
        <v>55</v>
      </c>
      <c r="P1540" s="20">
        <v>71.16</v>
      </c>
      <c r="Q1540" s="20">
        <v>42.22</v>
      </c>
      <c r="R1540" s="20">
        <v>3913.94</v>
      </c>
      <c r="S1540" s="20">
        <v>0.05</v>
      </c>
      <c r="T1540" s="20">
        <v>195.7</v>
      </c>
      <c r="U1540" s="20">
        <v>3718.24</v>
      </c>
      <c r="V1540" s="20">
        <v>2322.3200000000002</v>
      </c>
      <c r="W1540" s="20">
        <v>1395.92</v>
      </c>
      <c r="X1540" s="20" t="s">
        <v>45</v>
      </c>
    </row>
    <row r="1541" spans="1:24" x14ac:dyDescent="0.25">
      <c r="A1541" s="23" t="s">
        <v>2065</v>
      </c>
      <c r="B1541" s="22">
        <v>45650</v>
      </c>
      <c r="C1541" s="23" t="s">
        <v>866</v>
      </c>
      <c r="D1541" s="23" t="s">
        <v>156</v>
      </c>
      <c r="E1541" s="23" t="s">
        <v>49</v>
      </c>
      <c r="F1541" s="23" t="s">
        <v>2580</v>
      </c>
      <c r="G1541" s="23" t="s">
        <v>2581</v>
      </c>
      <c r="H1541" s="23" t="s">
        <v>52</v>
      </c>
      <c r="I1541" s="23" t="s">
        <v>58</v>
      </c>
      <c r="J1541" s="23" t="s">
        <v>345</v>
      </c>
      <c r="K1541" s="23" t="s">
        <v>265</v>
      </c>
      <c r="L1541" s="23" t="s">
        <v>2663</v>
      </c>
      <c r="M1541" s="23" t="s">
        <v>30</v>
      </c>
      <c r="N1541" s="23" t="s">
        <v>84</v>
      </c>
      <c r="O1541" s="23">
        <v>34</v>
      </c>
      <c r="P1541" s="23">
        <v>24.1</v>
      </c>
      <c r="Q1541" s="23">
        <v>13.11</v>
      </c>
      <c r="R1541" s="23">
        <v>819.27</v>
      </c>
      <c r="S1541" s="23">
        <v>0.02</v>
      </c>
      <c r="T1541" s="23">
        <v>16.39</v>
      </c>
      <c r="U1541" s="23">
        <v>802.89</v>
      </c>
      <c r="V1541" s="23">
        <v>445.83</v>
      </c>
      <c r="W1541" s="23">
        <v>357.05</v>
      </c>
      <c r="X1541" s="23" t="s">
        <v>45</v>
      </c>
    </row>
    <row r="1542" spans="1:24" x14ac:dyDescent="0.25">
      <c r="A1542" s="20" t="s">
        <v>2066</v>
      </c>
      <c r="B1542" s="19">
        <v>45374</v>
      </c>
      <c r="C1542" s="20" t="s">
        <v>1858</v>
      </c>
      <c r="D1542" s="20" t="s">
        <v>87</v>
      </c>
      <c r="E1542" s="20" t="s">
        <v>49</v>
      </c>
      <c r="F1542" s="20" t="s">
        <v>2580</v>
      </c>
      <c r="G1542" s="20" t="s">
        <v>2581</v>
      </c>
      <c r="H1542" s="20" t="s">
        <v>52</v>
      </c>
      <c r="I1542" s="20" t="s">
        <v>58</v>
      </c>
      <c r="J1542" s="20" t="s">
        <v>345</v>
      </c>
      <c r="K1542" s="20" t="s">
        <v>261</v>
      </c>
      <c r="L1542" s="20" t="s">
        <v>2695</v>
      </c>
      <c r="M1542" s="20" t="s">
        <v>43</v>
      </c>
      <c r="N1542" s="20" t="s">
        <v>2578</v>
      </c>
      <c r="O1542" s="20">
        <v>26</v>
      </c>
      <c r="P1542" s="20">
        <v>26.14</v>
      </c>
      <c r="Q1542" s="20">
        <v>13.43</v>
      </c>
      <c r="R1542" s="20">
        <v>679.63</v>
      </c>
      <c r="S1542" s="20">
        <v>0.1</v>
      </c>
      <c r="T1542" s="20">
        <v>67.959999999999994</v>
      </c>
      <c r="U1542" s="20">
        <v>611.66999999999996</v>
      </c>
      <c r="V1542" s="20">
        <v>349.23</v>
      </c>
      <c r="W1542" s="20">
        <v>262.43</v>
      </c>
      <c r="X1542" s="20" t="s">
        <v>45</v>
      </c>
    </row>
    <row r="1543" spans="1:24" x14ac:dyDescent="0.25">
      <c r="A1543" s="23" t="s">
        <v>2067</v>
      </c>
      <c r="B1543" s="22">
        <v>45300</v>
      </c>
      <c r="C1543" s="23" t="s">
        <v>186</v>
      </c>
      <c r="D1543" s="23" t="s">
        <v>156</v>
      </c>
      <c r="E1543" s="23" t="s">
        <v>23</v>
      </c>
      <c r="F1543" s="23" t="s">
        <v>2576</v>
      </c>
      <c r="G1543" s="23" t="s">
        <v>2577</v>
      </c>
      <c r="H1543" s="23" t="s">
        <v>26</v>
      </c>
      <c r="I1543" s="23" t="s">
        <v>88</v>
      </c>
      <c r="J1543" s="23" t="s">
        <v>173</v>
      </c>
      <c r="K1543" s="23" t="s">
        <v>144</v>
      </c>
      <c r="L1543" s="23" t="s">
        <v>2687</v>
      </c>
      <c r="M1543" s="23" t="s">
        <v>30</v>
      </c>
      <c r="N1543" s="23" t="s">
        <v>44</v>
      </c>
      <c r="O1543" s="23">
        <v>62</v>
      </c>
      <c r="P1543" s="23">
        <v>77.569999999999993</v>
      </c>
      <c r="Q1543" s="23">
        <v>46.12</v>
      </c>
      <c r="R1543" s="23">
        <v>4809.28</v>
      </c>
      <c r="S1543" s="23">
        <v>0.2</v>
      </c>
      <c r="T1543" s="23">
        <v>961.86</v>
      </c>
      <c r="U1543" s="23">
        <v>3847.42</v>
      </c>
      <c r="V1543" s="23">
        <v>2859.7</v>
      </c>
      <c r="W1543" s="23">
        <v>987.73</v>
      </c>
      <c r="X1543" s="23" t="s">
        <v>129</v>
      </c>
    </row>
    <row r="1544" spans="1:24" x14ac:dyDescent="0.25">
      <c r="A1544" s="20" t="s">
        <v>2068</v>
      </c>
      <c r="B1544" s="19">
        <v>45337</v>
      </c>
      <c r="C1544" s="20" t="s">
        <v>888</v>
      </c>
      <c r="D1544" s="20" t="s">
        <v>159</v>
      </c>
      <c r="E1544" s="20" t="s">
        <v>126</v>
      </c>
      <c r="F1544" s="20" t="s">
        <v>2589</v>
      </c>
      <c r="G1544" s="20" t="s">
        <v>2586</v>
      </c>
      <c r="H1544" s="20" t="s">
        <v>128</v>
      </c>
      <c r="I1544" s="20" t="s">
        <v>53</v>
      </c>
      <c r="J1544" s="20" t="s">
        <v>122</v>
      </c>
      <c r="K1544" s="20" t="s">
        <v>90</v>
      </c>
      <c r="L1544" s="20" t="s">
        <v>2684</v>
      </c>
      <c r="M1544" s="20" t="s">
        <v>30</v>
      </c>
      <c r="N1544" s="20" t="s">
        <v>70</v>
      </c>
      <c r="O1544" s="20">
        <v>64</v>
      </c>
      <c r="P1544" s="20">
        <v>92.83</v>
      </c>
      <c r="Q1544" s="20">
        <v>56.58</v>
      </c>
      <c r="R1544" s="20">
        <v>5941.23</v>
      </c>
      <c r="S1544" s="20">
        <v>0.1</v>
      </c>
      <c r="T1544" s="20">
        <v>594.12</v>
      </c>
      <c r="U1544" s="20">
        <v>5347.11</v>
      </c>
      <c r="V1544" s="20">
        <v>3621.3</v>
      </c>
      <c r="W1544" s="20">
        <v>1725.81</v>
      </c>
      <c r="X1544" s="20" t="s">
        <v>45</v>
      </c>
    </row>
    <row r="1545" spans="1:24" x14ac:dyDescent="0.25">
      <c r="A1545" s="23" t="s">
        <v>2069</v>
      </c>
      <c r="B1545" s="22">
        <v>45301</v>
      </c>
      <c r="C1545" s="23" t="s">
        <v>1129</v>
      </c>
      <c r="D1545" s="23" t="s">
        <v>65</v>
      </c>
      <c r="E1545" s="23" t="s">
        <v>36</v>
      </c>
      <c r="F1545" s="23" t="s">
        <v>37</v>
      </c>
      <c r="G1545" s="23" t="s">
        <v>2579</v>
      </c>
      <c r="H1545" s="23" t="s">
        <v>39</v>
      </c>
      <c r="I1545" s="23" t="s">
        <v>53</v>
      </c>
      <c r="J1545" s="23" t="s">
        <v>232</v>
      </c>
      <c r="K1545" s="23" t="s">
        <v>195</v>
      </c>
      <c r="L1545" s="23" t="s">
        <v>2691</v>
      </c>
      <c r="M1545" s="23" t="s">
        <v>153</v>
      </c>
      <c r="N1545" s="23" t="s">
        <v>70</v>
      </c>
      <c r="O1545" s="23">
        <v>80</v>
      </c>
      <c r="P1545" s="23">
        <v>176.2</v>
      </c>
      <c r="Q1545" s="23">
        <v>106.46</v>
      </c>
      <c r="R1545" s="23">
        <v>14096.32</v>
      </c>
      <c r="S1545" s="23">
        <v>0.05</v>
      </c>
      <c r="T1545" s="23">
        <v>704.82</v>
      </c>
      <c r="U1545" s="23">
        <v>13391.51</v>
      </c>
      <c r="V1545" s="23">
        <v>8516.93</v>
      </c>
      <c r="W1545" s="23">
        <v>4874.58</v>
      </c>
      <c r="X1545" s="23" t="s">
        <v>129</v>
      </c>
    </row>
    <row r="1546" spans="1:24" x14ac:dyDescent="0.25">
      <c r="A1546" s="20" t="s">
        <v>2070</v>
      </c>
      <c r="B1546" s="19">
        <v>45474</v>
      </c>
      <c r="C1546" s="20" t="s">
        <v>1881</v>
      </c>
      <c r="D1546" s="20" t="s">
        <v>87</v>
      </c>
      <c r="E1546" s="20" t="s">
        <v>93</v>
      </c>
      <c r="F1546" s="20" t="s">
        <v>2585</v>
      </c>
      <c r="G1546" s="20" t="s">
        <v>2586</v>
      </c>
      <c r="H1546" s="20" t="s">
        <v>96</v>
      </c>
      <c r="I1546" s="20" t="s">
        <v>27</v>
      </c>
      <c r="J1546" s="20" t="s">
        <v>28</v>
      </c>
      <c r="K1546" s="20" t="s">
        <v>218</v>
      </c>
      <c r="L1546" s="20" t="s">
        <v>2692</v>
      </c>
      <c r="M1546" s="20" t="s">
        <v>153</v>
      </c>
      <c r="N1546" s="20" t="s">
        <v>75</v>
      </c>
      <c r="O1546" s="20">
        <v>51</v>
      </c>
      <c r="P1546" s="20">
        <v>50.78</v>
      </c>
      <c r="Q1546" s="20">
        <v>31.09</v>
      </c>
      <c r="R1546" s="20">
        <v>2589.61</v>
      </c>
      <c r="S1546" s="20">
        <v>0.15</v>
      </c>
      <c r="T1546" s="20">
        <v>388.44</v>
      </c>
      <c r="U1546" s="20">
        <v>2201.17</v>
      </c>
      <c r="V1546" s="20">
        <v>1585.54</v>
      </c>
      <c r="W1546" s="20">
        <v>615.63</v>
      </c>
      <c r="X1546" s="20" t="s">
        <v>45</v>
      </c>
    </row>
    <row r="1547" spans="1:24" x14ac:dyDescent="0.25">
      <c r="A1547" s="23" t="s">
        <v>2071</v>
      </c>
      <c r="B1547" s="22">
        <v>45584</v>
      </c>
      <c r="C1547" s="23" t="s">
        <v>231</v>
      </c>
      <c r="D1547" s="23" t="s">
        <v>87</v>
      </c>
      <c r="E1547" s="23" t="s">
        <v>176</v>
      </c>
      <c r="F1547" s="23" t="s">
        <v>2593</v>
      </c>
      <c r="G1547" s="23" t="s">
        <v>2587</v>
      </c>
      <c r="H1547" s="23" t="s">
        <v>39</v>
      </c>
      <c r="I1547" s="23" t="s">
        <v>88</v>
      </c>
      <c r="J1547" s="23" t="s">
        <v>2112</v>
      </c>
      <c r="K1547" s="23" t="s">
        <v>184</v>
      </c>
      <c r="L1547" s="23" t="s">
        <v>2690</v>
      </c>
      <c r="M1547" s="23" t="s">
        <v>30</v>
      </c>
      <c r="N1547" s="23" t="s">
        <v>75</v>
      </c>
      <c r="O1547" s="23">
        <v>74</v>
      </c>
      <c r="P1547" s="23">
        <v>108.1</v>
      </c>
      <c r="Q1547" s="23">
        <v>62.4</v>
      </c>
      <c r="R1547" s="23">
        <v>7999.04</v>
      </c>
      <c r="S1547" s="23">
        <v>0.1</v>
      </c>
      <c r="T1547" s="23">
        <v>799.9</v>
      </c>
      <c r="U1547" s="23">
        <v>7199.13</v>
      </c>
      <c r="V1547" s="23">
        <v>4617.3599999999997</v>
      </c>
      <c r="W1547" s="23">
        <v>2581.7800000000002</v>
      </c>
      <c r="X1547" s="23" t="s">
        <v>45</v>
      </c>
    </row>
    <row r="1548" spans="1:24" x14ac:dyDescent="0.25">
      <c r="A1548" s="20" t="s">
        <v>2072</v>
      </c>
      <c r="B1548" s="19">
        <v>45316</v>
      </c>
      <c r="C1548" s="20" t="s">
        <v>545</v>
      </c>
      <c r="D1548" s="20" t="s">
        <v>105</v>
      </c>
      <c r="E1548" s="20" t="s">
        <v>78</v>
      </c>
      <c r="F1548" s="20" t="s">
        <v>2583</v>
      </c>
      <c r="G1548" s="20" t="s">
        <v>2584</v>
      </c>
      <c r="H1548" s="20" t="s">
        <v>81</v>
      </c>
      <c r="I1548" s="20" t="s">
        <v>53</v>
      </c>
      <c r="J1548" s="20" t="s">
        <v>54</v>
      </c>
      <c r="K1548" s="20" t="s">
        <v>265</v>
      </c>
      <c r="L1548" s="20" t="s">
        <v>2663</v>
      </c>
      <c r="M1548" s="20" t="s">
        <v>61</v>
      </c>
      <c r="N1548" s="20" t="s">
        <v>75</v>
      </c>
      <c r="O1548" s="20">
        <v>38</v>
      </c>
      <c r="P1548" s="20">
        <v>132.82</v>
      </c>
      <c r="Q1548" s="20">
        <v>78.56</v>
      </c>
      <c r="R1548" s="20">
        <v>5047.3500000000004</v>
      </c>
      <c r="S1548" s="20">
        <v>0.05</v>
      </c>
      <c r="T1548" s="20">
        <v>252.37</v>
      </c>
      <c r="U1548" s="20">
        <v>4794.9799999999996</v>
      </c>
      <c r="V1548" s="20">
        <v>2985.15</v>
      </c>
      <c r="W1548" s="20">
        <v>1809.83</v>
      </c>
      <c r="X1548" s="20" t="s">
        <v>45</v>
      </c>
    </row>
    <row r="1549" spans="1:24" x14ac:dyDescent="0.25">
      <c r="A1549" s="23" t="s">
        <v>2073</v>
      </c>
      <c r="B1549" s="22">
        <v>45357</v>
      </c>
      <c r="C1549" s="23" t="s">
        <v>120</v>
      </c>
      <c r="D1549" s="23" t="s">
        <v>121</v>
      </c>
      <c r="E1549" s="23" t="s">
        <v>165</v>
      </c>
      <c r="F1549" s="23" t="s">
        <v>2592</v>
      </c>
      <c r="G1549" s="23" t="s">
        <v>2586</v>
      </c>
      <c r="H1549" s="23" t="s">
        <v>167</v>
      </c>
      <c r="I1549" s="23" t="s">
        <v>88</v>
      </c>
      <c r="J1549" s="23" t="s">
        <v>135</v>
      </c>
      <c r="K1549" s="23" t="s">
        <v>118</v>
      </c>
      <c r="L1549" s="23" t="s">
        <v>2686</v>
      </c>
      <c r="M1549" s="23" t="s">
        <v>153</v>
      </c>
      <c r="N1549" s="23" t="s">
        <v>75</v>
      </c>
      <c r="O1549" s="23">
        <v>6</v>
      </c>
      <c r="P1549" s="23">
        <v>43.83</v>
      </c>
      <c r="Q1549" s="23">
        <v>23.79</v>
      </c>
      <c r="R1549" s="23">
        <v>262.98</v>
      </c>
      <c r="S1549" s="23">
        <v>0.05</v>
      </c>
      <c r="T1549" s="23">
        <v>13.15</v>
      </c>
      <c r="U1549" s="23">
        <v>249.83</v>
      </c>
      <c r="V1549" s="23">
        <v>142.77000000000001</v>
      </c>
      <c r="W1549" s="23">
        <v>107.06</v>
      </c>
      <c r="X1549" s="23" t="s">
        <v>129</v>
      </c>
    </row>
    <row r="1550" spans="1:24" x14ac:dyDescent="0.25">
      <c r="A1550" s="20" t="s">
        <v>2074</v>
      </c>
      <c r="B1550" s="19">
        <v>45495</v>
      </c>
      <c r="C1550" s="20" t="s">
        <v>1270</v>
      </c>
      <c r="D1550" s="20" t="s">
        <v>87</v>
      </c>
      <c r="E1550" s="20" t="s">
        <v>176</v>
      </c>
      <c r="F1550" s="20" t="s">
        <v>2593</v>
      </c>
      <c r="G1550" s="20" t="s">
        <v>2587</v>
      </c>
      <c r="H1550" s="20" t="s">
        <v>39</v>
      </c>
      <c r="I1550" s="20" t="s">
        <v>27</v>
      </c>
      <c r="J1550" s="20" t="s">
        <v>106</v>
      </c>
      <c r="K1550" s="20" t="s">
        <v>248</v>
      </c>
      <c r="L1550" s="20" t="s">
        <v>2693</v>
      </c>
      <c r="M1550" s="20" t="s">
        <v>30</v>
      </c>
      <c r="N1550" s="20" t="s">
        <v>44</v>
      </c>
      <c r="O1550" s="20">
        <v>49</v>
      </c>
      <c r="P1550" s="20">
        <v>102.48</v>
      </c>
      <c r="Q1550" s="20">
        <v>65.77</v>
      </c>
      <c r="R1550" s="20">
        <v>5021.28</v>
      </c>
      <c r="S1550" s="20">
        <v>0.02</v>
      </c>
      <c r="T1550" s="20">
        <v>100.43</v>
      </c>
      <c r="U1550" s="20">
        <v>4920.8500000000004</v>
      </c>
      <c r="V1550" s="20">
        <v>3222.66</v>
      </c>
      <c r="W1550" s="20">
        <v>1698.19</v>
      </c>
      <c r="X1550" s="20" t="s">
        <v>32</v>
      </c>
    </row>
    <row r="1551" spans="1:24" x14ac:dyDescent="0.25">
      <c r="A1551" s="23" t="s">
        <v>2075</v>
      </c>
      <c r="B1551" s="22">
        <v>45593</v>
      </c>
      <c r="C1551" s="23" t="s">
        <v>1036</v>
      </c>
      <c r="D1551" s="23" t="s">
        <v>22</v>
      </c>
      <c r="E1551" s="23" t="s">
        <v>132</v>
      </c>
      <c r="F1551" s="23" t="s">
        <v>133</v>
      </c>
      <c r="G1551" s="23" t="s">
        <v>2581</v>
      </c>
      <c r="H1551" s="23" t="s">
        <v>134</v>
      </c>
      <c r="I1551" s="23" t="s">
        <v>40</v>
      </c>
      <c r="J1551" s="23" t="s">
        <v>117</v>
      </c>
      <c r="K1551" s="23" t="s">
        <v>184</v>
      </c>
      <c r="L1551" s="23" t="s">
        <v>2690</v>
      </c>
      <c r="M1551" s="23" t="s">
        <v>30</v>
      </c>
      <c r="N1551" s="23" t="s">
        <v>44</v>
      </c>
      <c r="O1551" s="23">
        <v>39</v>
      </c>
      <c r="P1551" s="23">
        <v>60.93</v>
      </c>
      <c r="Q1551" s="23">
        <v>36.72</v>
      </c>
      <c r="R1551" s="23">
        <v>2376.2800000000002</v>
      </c>
      <c r="S1551" s="23">
        <v>0.2</v>
      </c>
      <c r="T1551" s="23">
        <v>475.26</v>
      </c>
      <c r="U1551" s="23">
        <v>1901.03</v>
      </c>
      <c r="V1551" s="23">
        <v>1431.99</v>
      </c>
      <c r="W1551" s="23">
        <v>469.04</v>
      </c>
      <c r="X1551" s="23" t="s">
        <v>32</v>
      </c>
    </row>
    <row r="1552" spans="1:24" x14ac:dyDescent="0.25">
      <c r="A1552" s="20" t="s">
        <v>2076</v>
      </c>
      <c r="B1552" s="19">
        <v>45508</v>
      </c>
      <c r="C1552" s="20" t="s">
        <v>717</v>
      </c>
      <c r="D1552" s="20" t="s">
        <v>35</v>
      </c>
      <c r="E1552" s="20" t="s">
        <v>209</v>
      </c>
      <c r="F1552" s="20" t="s">
        <v>2595</v>
      </c>
      <c r="G1552" s="20" t="s">
        <v>2581</v>
      </c>
      <c r="H1552" s="20" t="s">
        <v>116</v>
      </c>
      <c r="I1552" s="20" t="s">
        <v>58</v>
      </c>
      <c r="J1552" s="20" t="s">
        <v>59</v>
      </c>
      <c r="K1552" s="20" t="s">
        <v>218</v>
      </c>
      <c r="L1552" s="20" t="s">
        <v>2692</v>
      </c>
      <c r="M1552" s="20" t="s">
        <v>61</v>
      </c>
      <c r="N1552" s="20" t="s">
        <v>75</v>
      </c>
      <c r="O1552" s="20">
        <v>12</v>
      </c>
      <c r="P1552" s="20">
        <v>16.809999999999999</v>
      </c>
      <c r="Q1552" s="20">
        <v>10.7</v>
      </c>
      <c r="R1552" s="20">
        <v>201.75</v>
      </c>
      <c r="S1552" s="20">
        <v>0.15</v>
      </c>
      <c r="T1552" s="20">
        <v>30.26</v>
      </c>
      <c r="U1552" s="20">
        <v>171.49</v>
      </c>
      <c r="V1552" s="20">
        <v>128.38999999999999</v>
      </c>
      <c r="W1552" s="20">
        <v>43.1</v>
      </c>
      <c r="X1552" s="20" t="s">
        <v>45</v>
      </c>
    </row>
    <row r="1553" spans="1:24" x14ac:dyDescent="0.25">
      <c r="A1553" s="23" t="s">
        <v>2077</v>
      </c>
      <c r="B1553" s="22">
        <v>45292</v>
      </c>
      <c r="C1553" s="23" t="s">
        <v>1281</v>
      </c>
      <c r="D1553" s="23" t="s">
        <v>35</v>
      </c>
      <c r="E1553" s="23" t="s">
        <v>165</v>
      </c>
      <c r="F1553" s="23" t="s">
        <v>2592</v>
      </c>
      <c r="G1553" s="23" t="s">
        <v>2586</v>
      </c>
      <c r="H1553" s="23" t="s">
        <v>167</v>
      </c>
      <c r="I1553" s="23" t="s">
        <v>40</v>
      </c>
      <c r="J1553" s="23" t="s">
        <v>2619</v>
      </c>
      <c r="K1553" s="23" t="s">
        <v>261</v>
      </c>
      <c r="L1553" s="23" t="s">
        <v>2695</v>
      </c>
      <c r="M1553" s="23" t="s">
        <v>30</v>
      </c>
      <c r="N1553" s="23" t="s">
        <v>44</v>
      </c>
      <c r="O1553" s="23">
        <v>65</v>
      </c>
      <c r="P1553" s="23">
        <v>39.08</v>
      </c>
      <c r="Q1553" s="23">
        <v>23.08</v>
      </c>
      <c r="R1553" s="23">
        <v>2540.5</v>
      </c>
      <c r="S1553" s="23">
        <v>0.15</v>
      </c>
      <c r="T1553" s="23">
        <v>381.08</v>
      </c>
      <c r="U1553" s="23">
        <v>2159.4299999999998</v>
      </c>
      <c r="V1553" s="23">
        <v>1499.98</v>
      </c>
      <c r="W1553" s="23">
        <v>659.45</v>
      </c>
      <c r="X1553" s="23" t="s">
        <v>129</v>
      </c>
    </row>
    <row r="1554" spans="1:24" x14ac:dyDescent="0.25">
      <c r="A1554" s="20" t="s">
        <v>2078</v>
      </c>
      <c r="B1554" s="19">
        <v>45550</v>
      </c>
      <c r="C1554" s="20" t="s">
        <v>904</v>
      </c>
      <c r="D1554" s="20" t="s">
        <v>35</v>
      </c>
      <c r="E1554" s="20" t="s">
        <v>109</v>
      </c>
      <c r="F1554" s="20" t="s">
        <v>110</v>
      </c>
      <c r="G1554" s="20" t="s">
        <v>2584</v>
      </c>
      <c r="H1554" s="20" t="s">
        <v>81</v>
      </c>
      <c r="I1554" s="20" t="s">
        <v>40</v>
      </c>
      <c r="J1554" s="20" t="s">
        <v>289</v>
      </c>
      <c r="K1554" s="20" t="s">
        <v>195</v>
      </c>
      <c r="L1554" s="20" t="s">
        <v>2691</v>
      </c>
      <c r="M1554" s="20" t="s">
        <v>153</v>
      </c>
      <c r="N1554" s="20" t="s">
        <v>2578</v>
      </c>
      <c r="O1554" s="20">
        <v>50</v>
      </c>
      <c r="P1554" s="20">
        <v>132.4</v>
      </c>
      <c r="Q1554" s="20">
        <v>74.22</v>
      </c>
      <c r="R1554" s="20">
        <v>6619.9</v>
      </c>
      <c r="S1554" s="20">
        <v>0.1</v>
      </c>
      <c r="T1554" s="20">
        <v>661.99</v>
      </c>
      <c r="U1554" s="20">
        <v>5957.91</v>
      </c>
      <c r="V1554" s="20">
        <v>3711.15</v>
      </c>
      <c r="W1554" s="20">
        <v>2246.75</v>
      </c>
      <c r="X1554" s="20" t="s">
        <v>45</v>
      </c>
    </row>
    <row r="1555" spans="1:24" x14ac:dyDescent="0.25">
      <c r="A1555" s="23" t="s">
        <v>2079</v>
      </c>
      <c r="B1555" s="22">
        <v>45650</v>
      </c>
      <c r="C1555" s="23" t="s">
        <v>936</v>
      </c>
      <c r="D1555" s="23" t="s">
        <v>57</v>
      </c>
      <c r="E1555" s="23" t="s">
        <v>132</v>
      </c>
      <c r="F1555" s="23" t="s">
        <v>133</v>
      </c>
      <c r="G1555" s="23" t="s">
        <v>2581</v>
      </c>
      <c r="H1555" s="23" t="s">
        <v>134</v>
      </c>
      <c r="I1555" s="23" t="s">
        <v>27</v>
      </c>
      <c r="J1555" s="23" t="s">
        <v>106</v>
      </c>
      <c r="K1555" s="23" t="s">
        <v>152</v>
      </c>
      <c r="L1555" s="23" t="s">
        <v>2688</v>
      </c>
      <c r="M1555" s="23" t="s">
        <v>30</v>
      </c>
      <c r="N1555" s="23" t="s">
        <v>44</v>
      </c>
      <c r="O1555" s="23">
        <v>32</v>
      </c>
      <c r="P1555" s="23">
        <v>58.77</v>
      </c>
      <c r="Q1555" s="23">
        <v>33.630000000000003</v>
      </c>
      <c r="R1555" s="23">
        <v>1880.73</v>
      </c>
      <c r="S1555" s="23">
        <v>0.05</v>
      </c>
      <c r="T1555" s="23">
        <v>94.04</v>
      </c>
      <c r="U1555" s="23">
        <v>1786.69</v>
      </c>
      <c r="V1555" s="23">
        <v>1076.18</v>
      </c>
      <c r="W1555" s="23">
        <v>710.52</v>
      </c>
      <c r="X1555" s="23" t="s">
        <v>32</v>
      </c>
    </row>
    <row r="1556" spans="1:24" x14ac:dyDescent="0.25">
      <c r="A1556" s="20" t="s">
        <v>2080</v>
      </c>
      <c r="B1556" s="19">
        <v>45422</v>
      </c>
      <c r="C1556" s="20" t="s">
        <v>992</v>
      </c>
      <c r="D1556" s="20" t="s">
        <v>105</v>
      </c>
      <c r="E1556" s="20" t="s">
        <v>99</v>
      </c>
      <c r="F1556" s="20" t="s">
        <v>100</v>
      </c>
      <c r="G1556" s="20" t="s">
        <v>2587</v>
      </c>
      <c r="H1556" s="20" t="s">
        <v>102</v>
      </c>
      <c r="I1556" s="20" t="s">
        <v>40</v>
      </c>
      <c r="J1556" s="20" t="s">
        <v>117</v>
      </c>
      <c r="K1556" s="20" t="s">
        <v>69</v>
      </c>
      <c r="L1556" s="20" t="s">
        <v>2681</v>
      </c>
      <c r="M1556" s="20" t="s">
        <v>153</v>
      </c>
      <c r="N1556" s="20" t="s">
        <v>70</v>
      </c>
      <c r="O1556" s="20">
        <v>22</v>
      </c>
      <c r="P1556" s="20">
        <v>75.459999999999994</v>
      </c>
      <c r="Q1556" s="20">
        <v>40.53</v>
      </c>
      <c r="R1556" s="20">
        <v>1660.17</v>
      </c>
      <c r="S1556" s="20">
        <v>0</v>
      </c>
      <c r="T1556" s="20">
        <v>0</v>
      </c>
      <c r="U1556" s="20">
        <v>1660.17</v>
      </c>
      <c r="V1556" s="20">
        <v>891.58</v>
      </c>
      <c r="W1556" s="20">
        <v>768.6</v>
      </c>
      <c r="X1556" s="20" t="s">
        <v>45</v>
      </c>
    </row>
    <row r="1557" spans="1:24" x14ac:dyDescent="0.25">
      <c r="A1557" s="23" t="s">
        <v>2081</v>
      </c>
      <c r="B1557" s="22">
        <v>45496</v>
      </c>
      <c r="C1557" s="23" t="s">
        <v>503</v>
      </c>
      <c r="D1557" s="23" t="s">
        <v>87</v>
      </c>
      <c r="E1557" s="23" t="s">
        <v>187</v>
      </c>
      <c r="F1557" s="23" t="s">
        <v>2594</v>
      </c>
      <c r="G1557" s="23" t="s">
        <v>2577</v>
      </c>
      <c r="H1557" s="23" t="s">
        <v>26</v>
      </c>
      <c r="I1557" s="23" t="s">
        <v>88</v>
      </c>
      <c r="J1557" s="23" t="s">
        <v>2112</v>
      </c>
      <c r="K1557" s="23" t="s">
        <v>144</v>
      </c>
      <c r="L1557" s="23" t="s">
        <v>2687</v>
      </c>
      <c r="M1557" s="23" t="s">
        <v>30</v>
      </c>
      <c r="N1557" s="23" t="s">
        <v>2578</v>
      </c>
      <c r="O1557" s="23">
        <v>12</v>
      </c>
      <c r="P1557" s="23">
        <v>49.13</v>
      </c>
      <c r="Q1557" s="23">
        <v>30.85</v>
      </c>
      <c r="R1557" s="23">
        <v>589.59</v>
      </c>
      <c r="S1557" s="23">
        <v>0</v>
      </c>
      <c r="T1557" s="23">
        <v>0</v>
      </c>
      <c r="U1557" s="23">
        <v>589.59</v>
      </c>
      <c r="V1557" s="23">
        <v>370.16</v>
      </c>
      <c r="W1557" s="23">
        <v>219.43</v>
      </c>
      <c r="X1557" s="23" t="s">
        <v>45</v>
      </c>
    </row>
    <row r="1558" spans="1:24" x14ac:dyDescent="0.25">
      <c r="A1558" s="20" t="s">
        <v>2082</v>
      </c>
      <c r="B1558" s="19">
        <v>45292</v>
      </c>
      <c r="C1558" s="20" t="s">
        <v>1033</v>
      </c>
      <c r="D1558" s="20" t="s">
        <v>105</v>
      </c>
      <c r="E1558" s="20" t="s">
        <v>126</v>
      </c>
      <c r="F1558" s="20" t="s">
        <v>2589</v>
      </c>
      <c r="G1558" s="20" t="s">
        <v>2586</v>
      </c>
      <c r="H1558" s="20" t="s">
        <v>128</v>
      </c>
      <c r="I1558" s="20" t="s">
        <v>27</v>
      </c>
      <c r="J1558" s="20" t="s">
        <v>28</v>
      </c>
      <c r="K1558" s="20" t="s">
        <v>29</v>
      </c>
      <c r="L1558" s="20" t="s">
        <v>2679</v>
      </c>
      <c r="M1558" s="20" t="s">
        <v>61</v>
      </c>
      <c r="N1558" s="20" t="s">
        <v>75</v>
      </c>
      <c r="O1558" s="20">
        <v>57</v>
      </c>
      <c r="P1558" s="20">
        <v>91.05</v>
      </c>
      <c r="Q1558" s="20">
        <v>51.52</v>
      </c>
      <c r="R1558" s="20">
        <v>5189.95</v>
      </c>
      <c r="S1558" s="20">
        <v>0</v>
      </c>
      <c r="T1558" s="20">
        <v>0</v>
      </c>
      <c r="U1558" s="20">
        <v>5189.95</v>
      </c>
      <c r="V1558" s="20">
        <v>2936.51</v>
      </c>
      <c r="W1558" s="20">
        <v>2253.44</v>
      </c>
      <c r="X1558" s="20" t="s">
        <v>129</v>
      </c>
    </row>
    <row r="1559" spans="1:24" x14ac:dyDescent="0.25">
      <c r="A1559" s="23" t="s">
        <v>2083</v>
      </c>
      <c r="B1559" s="22">
        <v>45303</v>
      </c>
      <c r="C1559" s="23" t="s">
        <v>655</v>
      </c>
      <c r="D1559" s="23" t="s">
        <v>57</v>
      </c>
      <c r="E1559" s="23" t="s">
        <v>109</v>
      </c>
      <c r="F1559" s="23" t="s">
        <v>110</v>
      </c>
      <c r="G1559" s="23" t="s">
        <v>2584</v>
      </c>
      <c r="H1559" s="23" t="s">
        <v>81</v>
      </c>
      <c r="I1559" s="23" t="s">
        <v>27</v>
      </c>
      <c r="J1559" s="23" t="s">
        <v>211</v>
      </c>
      <c r="K1559" s="23" t="s">
        <v>265</v>
      </c>
      <c r="L1559" s="23" t="s">
        <v>2663</v>
      </c>
      <c r="M1559" s="23" t="s">
        <v>61</v>
      </c>
      <c r="N1559" s="23" t="s">
        <v>2578</v>
      </c>
      <c r="O1559" s="23">
        <v>53</v>
      </c>
      <c r="P1559" s="23">
        <v>134.68</v>
      </c>
      <c r="Q1559" s="23">
        <v>75.989999999999995</v>
      </c>
      <c r="R1559" s="23">
        <v>7138.16</v>
      </c>
      <c r="S1559" s="23">
        <v>0</v>
      </c>
      <c r="T1559" s="23">
        <v>0</v>
      </c>
      <c r="U1559" s="23">
        <v>7138.16</v>
      </c>
      <c r="V1559" s="23">
        <v>4027.37</v>
      </c>
      <c r="W1559" s="23">
        <v>3110.78</v>
      </c>
      <c r="X1559" s="23" t="s">
        <v>45</v>
      </c>
    </row>
    <row r="1560" spans="1:24" x14ac:dyDescent="0.25">
      <c r="A1560" s="20" t="s">
        <v>2084</v>
      </c>
      <c r="B1560" s="19">
        <v>45566</v>
      </c>
      <c r="C1560" s="20" t="s">
        <v>878</v>
      </c>
      <c r="D1560" s="20" t="s">
        <v>65</v>
      </c>
      <c r="E1560" s="20" t="s">
        <v>49</v>
      </c>
      <c r="F1560" s="20" t="s">
        <v>2580</v>
      </c>
      <c r="G1560" s="20" t="s">
        <v>2581</v>
      </c>
      <c r="H1560" s="20" t="s">
        <v>52</v>
      </c>
      <c r="I1560" s="20" t="s">
        <v>88</v>
      </c>
      <c r="J1560" s="20" t="s">
        <v>2112</v>
      </c>
      <c r="K1560" s="20" t="s">
        <v>152</v>
      </c>
      <c r="L1560" s="20" t="s">
        <v>2688</v>
      </c>
      <c r="M1560" s="20" t="s">
        <v>153</v>
      </c>
      <c r="N1560" s="20" t="s">
        <v>75</v>
      </c>
      <c r="O1560" s="20">
        <v>27</v>
      </c>
      <c r="P1560" s="20">
        <v>25.58</v>
      </c>
      <c r="Q1560" s="20">
        <v>13.28</v>
      </c>
      <c r="R1560" s="20">
        <v>690.75</v>
      </c>
      <c r="S1560" s="20">
        <v>0.2</v>
      </c>
      <c r="T1560" s="20">
        <v>138.15</v>
      </c>
      <c r="U1560" s="20">
        <v>552.6</v>
      </c>
      <c r="V1560" s="20">
        <v>358.69</v>
      </c>
      <c r="W1560" s="20">
        <v>193.91</v>
      </c>
      <c r="X1560" s="20" t="s">
        <v>32</v>
      </c>
    </row>
    <row r="1561" spans="1:24" x14ac:dyDescent="0.25">
      <c r="A1561" s="23" t="s">
        <v>2085</v>
      </c>
      <c r="B1561" s="22">
        <v>45574</v>
      </c>
      <c r="C1561" s="23" t="s">
        <v>1706</v>
      </c>
      <c r="D1561" s="23" t="s">
        <v>65</v>
      </c>
      <c r="E1561" s="23" t="s">
        <v>109</v>
      </c>
      <c r="F1561" s="23" t="s">
        <v>110</v>
      </c>
      <c r="G1561" s="23" t="s">
        <v>2584</v>
      </c>
      <c r="H1561" s="23" t="s">
        <v>81</v>
      </c>
      <c r="I1561" s="23" t="s">
        <v>53</v>
      </c>
      <c r="J1561" s="23" t="s">
        <v>122</v>
      </c>
      <c r="K1561" s="23" t="s">
        <v>170</v>
      </c>
      <c r="L1561" s="23" t="s">
        <v>2671</v>
      </c>
      <c r="M1561" s="23" t="s">
        <v>61</v>
      </c>
      <c r="N1561" s="23" t="s">
        <v>70</v>
      </c>
      <c r="O1561" s="23">
        <v>61</v>
      </c>
      <c r="P1561" s="23">
        <v>124.11</v>
      </c>
      <c r="Q1561" s="23">
        <v>75.42</v>
      </c>
      <c r="R1561" s="23">
        <v>7570.9</v>
      </c>
      <c r="S1561" s="23">
        <v>0</v>
      </c>
      <c r="T1561" s="23">
        <v>0</v>
      </c>
      <c r="U1561" s="23">
        <v>7570.9</v>
      </c>
      <c r="V1561" s="23">
        <v>4600.76</v>
      </c>
      <c r="W1561" s="23">
        <v>2970.14</v>
      </c>
      <c r="X1561" s="23" t="s">
        <v>45</v>
      </c>
    </row>
    <row r="1562" spans="1:24" x14ac:dyDescent="0.25">
      <c r="A1562" s="20" t="s">
        <v>2086</v>
      </c>
      <c r="B1562" s="19">
        <v>45516</v>
      </c>
      <c r="C1562" s="20" t="s">
        <v>602</v>
      </c>
      <c r="D1562" s="20" t="s">
        <v>159</v>
      </c>
      <c r="E1562" s="20" t="s">
        <v>49</v>
      </c>
      <c r="F1562" s="20" t="s">
        <v>2580</v>
      </c>
      <c r="G1562" s="20" t="s">
        <v>2581</v>
      </c>
      <c r="H1562" s="20" t="s">
        <v>52</v>
      </c>
      <c r="I1562" s="20" t="s">
        <v>40</v>
      </c>
      <c r="J1562" s="20" t="s">
        <v>289</v>
      </c>
      <c r="K1562" s="20" t="s">
        <v>118</v>
      </c>
      <c r="L1562" s="20" t="s">
        <v>2686</v>
      </c>
      <c r="M1562" s="20" t="s">
        <v>61</v>
      </c>
      <c r="N1562" s="20" t="s">
        <v>75</v>
      </c>
      <c r="O1562" s="20">
        <v>19</v>
      </c>
      <c r="P1562" s="20">
        <v>23.47</v>
      </c>
      <c r="Q1562" s="20">
        <v>12.56</v>
      </c>
      <c r="R1562" s="20">
        <v>446.01</v>
      </c>
      <c r="S1562" s="20">
        <v>0.1</v>
      </c>
      <c r="T1562" s="20">
        <v>44.6</v>
      </c>
      <c r="U1562" s="20">
        <v>401.41</v>
      </c>
      <c r="V1562" s="20">
        <v>238.66</v>
      </c>
      <c r="W1562" s="20">
        <v>162.75</v>
      </c>
      <c r="X1562" s="20" t="s">
        <v>129</v>
      </c>
    </row>
    <row r="1563" spans="1:24" x14ac:dyDescent="0.25">
      <c r="A1563" s="23" t="s">
        <v>2087</v>
      </c>
      <c r="B1563" s="22">
        <v>45381</v>
      </c>
      <c r="C1563" s="23" t="s">
        <v>897</v>
      </c>
      <c r="D1563" s="23" t="s">
        <v>65</v>
      </c>
      <c r="E1563" s="23" t="s">
        <v>36</v>
      </c>
      <c r="F1563" s="23" t="s">
        <v>37</v>
      </c>
      <c r="G1563" s="23" t="s">
        <v>2579</v>
      </c>
      <c r="H1563" s="23" t="s">
        <v>39</v>
      </c>
      <c r="I1563" s="23" t="s">
        <v>53</v>
      </c>
      <c r="J1563" s="23" t="s">
        <v>143</v>
      </c>
      <c r="K1563" s="23" t="s">
        <v>42</v>
      </c>
      <c r="L1563" s="23" t="s">
        <v>2680</v>
      </c>
      <c r="M1563" s="23" t="s">
        <v>153</v>
      </c>
      <c r="N1563" s="23" t="s">
        <v>70</v>
      </c>
      <c r="O1563" s="23">
        <v>20</v>
      </c>
      <c r="P1563" s="23">
        <v>175.01</v>
      </c>
      <c r="Q1563" s="23">
        <v>100.14</v>
      </c>
      <c r="R1563" s="23">
        <v>3500.1</v>
      </c>
      <c r="S1563" s="23">
        <v>0.05</v>
      </c>
      <c r="T1563" s="23">
        <v>175.01</v>
      </c>
      <c r="U1563" s="23">
        <v>3325.1</v>
      </c>
      <c r="V1563" s="23">
        <v>2002.74</v>
      </c>
      <c r="W1563" s="23">
        <v>1322.36</v>
      </c>
      <c r="X1563" s="23" t="s">
        <v>129</v>
      </c>
    </row>
    <row r="1564" spans="1:24" x14ac:dyDescent="0.25">
      <c r="A1564" s="20" t="s">
        <v>2088</v>
      </c>
      <c r="B1564" s="19">
        <v>45551</v>
      </c>
      <c r="C1564" s="20" t="s">
        <v>638</v>
      </c>
      <c r="D1564" s="20" t="s">
        <v>87</v>
      </c>
      <c r="E1564" s="20" t="s">
        <v>66</v>
      </c>
      <c r="F1564" s="20" t="s">
        <v>2582</v>
      </c>
      <c r="G1564" s="20" t="s">
        <v>2579</v>
      </c>
      <c r="H1564" s="20" t="s">
        <v>68</v>
      </c>
      <c r="I1564" s="20" t="s">
        <v>40</v>
      </c>
      <c r="J1564" s="20" t="s">
        <v>117</v>
      </c>
      <c r="K1564" s="20" t="s">
        <v>90</v>
      </c>
      <c r="L1564" s="20" t="s">
        <v>2684</v>
      </c>
      <c r="M1564" s="20" t="s">
        <v>61</v>
      </c>
      <c r="N1564" s="20" t="s">
        <v>84</v>
      </c>
      <c r="O1564" s="20">
        <v>14</v>
      </c>
      <c r="P1564" s="20">
        <v>163.16999999999999</v>
      </c>
      <c r="Q1564" s="20">
        <v>103.2</v>
      </c>
      <c r="R1564" s="20">
        <v>2284.39</v>
      </c>
      <c r="S1564" s="20">
        <v>0.02</v>
      </c>
      <c r="T1564" s="20">
        <v>45.69</v>
      </c>
      <c r="U1564" s="20">
        <v>2238.6999999999998</v>
      </c>
      <c r="V1564" s="20">
        <v>1444.76</v>
      </c>
      <c r="W1564" s="20">
        <v>793.94</v>
      </c>
      <c r="X1564" s="20" t="s">
        <v>45</v>
      </c>
    </row>
    <row r="1565" spans="1:24" x14ac:dyDescent="0.25">
      <c r="A1565" s="23" t="s">
        <v>2089</v>
      </c>
      <c r="B1565" s="22">
        <v>45358</v>
      </c>
      <c r="C1565" s="23" t="s">
        <v>1394</v>
      </c>
      <c r="D1565" s="23" t="s">
        <v>156</v>
      </c>
      <c r="E1565" s="23" t="s">
        <v>141</v>
      </c>
      <c r="F1565" s="23" t="s">
        <v>2590</v>
      </c>
      <c r="G1565" s="23" t="s">
        <v>2577</v>
      </c>
      <c r="H1565" s="23" t="s">
        <v>26</v>
      </c>
      <c r="I1565" s="23" t="s">
        <v>88</v>
      </c>
      <c r="J1565" s="23" t="s">
        <v>2112</v>
      </c>
      <c r="K1565" s="23" t="s">
        <v>90</v>
      </c>
      <c r="L1565" s="23" t="s">
        <v>2684</v>
      </c>
      <c r="M1565" s="23" t="s">
        <v>61</v>
      </c>
      <c r="N1565" s="23" t="s">
        <v>84</v>
      </c>
      <c r="O1565" s="23">
        <v>20</v>
      </c>
      <c r="P1565" s="25">
        <f>Cleaned_Sales!$R1565/Cleaned_Sales!$O1565</f>
        <v>100.9205</v>
      </c>
      <c r="Q1565" s="23">
        <v>56.81</v>
      </c>
      <c r="R1565" s="23">
        <v>2018.41</v>
      </c>
      <c r="S1565" s="23">
        <v>0</v>
      </c>
      <c r="T1565" s="23">
        <v>0</v>
      </c>
      <c r="U1565" s="23">
        <v>2018.41</v>
      </c>
      <c r="V1565" s="23">
        <v>1136.1400000000001</v>
      </c>
      <c r="W1565" s="23">
        <v>882.27</v>
      </c>
      <c r="X1565" s="23" t="s">
        <v>45</v>
      </c>
    </row>
    <row r="1566" spans="1:24" x14ac:dyDescent="0.25">
      <c r="A1566" s="20" t="s">
        <v>2090</v>
      </c>
      <c r="B1566" s="19">
        <v>45627</v>
      </c>
      <c r="C1566" s="20" t="s">
        <v>735</v>
      </c>
      <c r="D1566" s="20" t="s">
        <v>22</v>
      </c>
      <c r="E1566" s="20" t="s">
        <v>132</v>
      </c>
      <c r="F1566" s="20" t="s">
        <v>133</v>
      </c>
      <c r="G1566" s="20" t="s">
        <v>2581</v>
      </c>
      <c r="H1566" s="20" t="s">
        <v>134</v>
      </c>
      <c r="I1566" s="20" t="s">
        <v>88</v>
      </c>
      <c r="J1566" s="20" t="s">
        <v>173</v>
      </c>
      <c r="K1566" s="20" t="s">
        <v>195</v>
      </c>
      <c r="L1566" s="20" t="s">
        <v>2691</v>
      </c>
      <c r="M1566" s="20" t="s">
        <v>153</v>
      </c>
      <c r="N1566" s="20" t="s">
        <v>2578</v>
      </c>
      <c r="O1566" s="20">
        <v>50</v>
      </c>
      <c r="P1566" s="20">
        <v>59.97</v>
      </c>
      <c r="Q1566" s="20">
        <v>34.53</v>
      </c>
      <c r="R1566" s="20">
        <v>2998.26</v>
      </c>
      <c r="S1566" s="20">
        <v>0.05</v>
      </c>
      <c r="T1566" s="20">
        <v>149.91</v>
      </c>
      <c r="U1566" s="20">
        <v>2848.34</v>
      </c>
      <c r="V1566" s="20">
        <v>1726.34</v>
      </c>
      <c r="W1566" s="20">
        <v>1122</v>
      </c>
      <c r="X1566" s="20" t="s">
        <v>129</v>
      </c>
    </row>
    <row r="1567" spans="1:24" x14ac:dyDescent="0.25">
      <c r="A1567" s="23" t="s">
        <v>2091</v>
      </c>
      <c r="B1567" s="22">
        <v>45318</v>
      </c>
      <c r="C1567" s="23" t="s">
        <v>447</v>
      </c>
      <c r="D1567" s="23" t="s">
        <v>48</v>
      </c>
      <c r="E1567" s="23" t="s">
        <v>132</v>
      </c>
      <c r="F1567" s="23" t="s">
        <v>133</v>
      </c>
      <c r="G1567" s="23" t="s">
        <v>2581</v>
      </c>
      <c r="H1567" s="23" t="s">
        <v>134</v>
      </c>
      <c r="I1567" s="23" t="s">
        <v>88</v>
      </c>
      <c r="J1567" s="23" t="s">
        <v>183</v>
      </c>
      <c r="K1567" s="23" t="s">
        <v>90</v>
      </c>
      <c r="L1567" s="23" t="s">
        <v>2684</v>
      </c>
      <c r="M1567" s="23" t="s">
        <v>43</v>
      </c>
      <c r="N1567" s="23" t="s">
        <v>84</v>
      </c>
      <c r="O1567" s="23">
        <v>62</v>
      </c>
      <c r="P1567" s="23">
        <v>62.83</v>
      </c>
      <c r="Q1567" s="23">
        <v>32.75</v>
      </c>
      <c r="R1567" s="23">
        <v>3895.69</v>
      </c>
      <c r="S1567" s="23">
        <v>0.05</v>
      </c>
      <c r="T1567" s="23">
        <v>194.78</v>
      </c>
      <c r="U1567" s="23">
        <v>3700.91</v>
      </c>
      <c r="V1567" s="23">
        <v>2030.71</v>
      </c>
      <c r="W1567" s="23">
        <v>1670.2</v>
      </c>
      <c r="X1567" s="23" t="s">
        <v>45</v>
      </c>
    </row>
    <row r="1568" spans="1:24" x14ac:dyDescent="0.25">
      <c r="A1568" s="20" t="s">
        <v>2092</v>
      </c>
      <c r="B1568" s="19">
        <v>45499</v>
      </c>
      <c r="C1568" s="20" t="s">
        <v>811</v>
      </c>
      <c r="D1568" s="20" t="s">
        <v>359</v>
      </c>
      <c r="E1568" s="20" t="s">
        <v>36</v>
      </c>
      <c r="F1568" s="20" t="s">
        <v>37</v>
      </c>
      <c r="G1568" s="20" t="s">
        <v>2579</v>
      </c>
      <c r="H1568" s="20" t="s">
        <v>39</v>
      </c>
      <c r="I1568" s="20" t="s">
        <v>40</v>
      </c>
      <c r="J1568" s="20" t="s">
        <v>117</v>
      </c>
      <c r="K1568" s="20" t="s">
        <v>170</v>
      </c>
      <c r="L1568" s="20" t="s">
        <v>2671</v>
      </c>
      <c r="M1568" s="20" t="s">
        <v>30</v>
      </c>
      <c r="N1568" s="20" t="s">
        <v>44</v>
      </c>
      <c r="O1568" s="20">
        <v>2</v>
      </c>
      <c r="P1568" s="20">
        <v>168.16</v>
      </c>
      <c r="Q1568" s="20">
        <v>96.71</v>
      </c>
      <c r="R1568" s="20">
        <v>336.31</v>
      </c>
      <c r="S1568" s="20">
        <v>0.15</v>
      </c>
      <c r="T1568" s="20">
        <v>50.45</v>
      </c>
      <c r="U1568" s="20">
        <v>285.87</v>
      </c>
      <c r="V1568" s="20">
        <v>193.42</v>
      </c>
      <c r="W1568" s="20">
        <v>92.45</v>
      </c>
      <c r="X1568" s="20" t="s">
        <v>129</v>
      </c>
    </row>
    <row r="1569" spans="1:24" x14ac:dyDescent="0.25">
      <c r="A1569" s="23" t="s">
        <v>2093</v>
      </c>
      <c r="B1569" s="22">
        <v>45365</v>
      </c>
      <c r="C1569" s="23" t="s">
        <v>124</v>
      </c>
      <c r="D1569" s="23" t="s">
        <v>125</v>
      </c>
      <c r="E1569" s="23" t="s">
        <v>49</v>
      </c>
      <c r="F1569" s="23" t="s">
        <v>2580</v>
      </c>
      <c r="G1569" s="23" t="s">
        <v>2581</v>
      </c>
      <c r="H1569" s="23" t="s">
        <v>52</v>
      </c>
      <c r="I1569" s="23" t="s">
        <v>27</v>
      </c>
      <c r="J1569" s="23" t="s">
        <v>189</v>
      </c>
      <c r="K1569" s="23" t="s">
        <v>253</v>
      </c>
      <c r="L1569" s="23" t="s">
        <v>2694</v>
      </c>
      <c r="M1569" s="23" t="s">
        <v>30</v>
      </c>
      <c r="N1569" s="23" t="s">
        <v>84</v>
      </c>
      <c r="O1569" s="23">
        <v>17</v>
      </c>
      <c r="P1569" s="23">
        <v>25.56</v>
      </c>
      <c r="Q1569" s="23">
        <v>12.41</v>
      </c>
      <c r="R1569" s="23">
        <v>434.58</v>
      </c>
      <c r="S1569" s="23">
        <v>0.02</v>
      </c>
      <c r="T1569" s="23">
        <v>8.69</v>
      </c>
      <c r="U1569" s="23">
        <v>425.88</v>
      </c>
      <c r="V1569" s="23">
        <v>210.96</v>
      </c>
      <c r="W1569" s="23">
        <v>214.93</v>
      </c>
      <c r="X1569" s="23" t="s">
        <v>45</v>
      </c>
    </row>
    <row r="1570" spans="1:24" x14ac:dyDescent="0.25">
      <c r="A1570" s="20" t="s">
        <v>2094</v>
      </c>
      <c r="B1570" s="19">
        <v>45545</v>
      </c>
      <c r="C1570" s="20" t="s">
        <v>776</v>
      </c>
      <c r="D1570" s="20" t="s">
        <v>57</v>
      </c>
      <c r="E1570" s="20" t="s">
        <v>209</v>
      </c>
      <c r="F1570" s="20" t="s">
        <v>2595</v>
      </c>
      <c r="G1570" s="20" t="s">
        <v>2581</v>
      </c>
      <c r="H1570" s="20" t="s">
        <v>116</v>
      </c>
      <c r="I1570" s="20" t="s">
        <v>58</v>
      </c>
      <c r="J1570" s="20" t="s">
        <v>73</v>
      </c>
      <c r="K1570" s="20" t="s">
        <v>111</v>
      </c>
      <c r="L1570" s="20" t="s">
        <v>2685</v>
      </c>
      <c r="M1570" s="20" t="s">
        <v>153</v>
      </c>
      <c r="N1570" s="20" t="s">
        <v>70</v>
      </c>
      <c r="O1570" s="20">
        <v>21</v>
      </c>
      <c r="P1570" s="20">
        <v>17.809999999999999</v>
      </c>
      <c r="Q1570" s="20">
        <v>10.66</v>
      </c>
      <c r="R1570" s="20">
        <v>374</v>
      </c>
      <c r="S1570" s="20">
        <v>0.02</v>
      </c>
      <c r="T1570" s="20">
        <v>7.48</v>
      </c>
      <c r="U1570" s="20">
        <v>366.52</v>
      </c>
      <c r="V1570" s="20">
        <v>223.77</v>
      </c>
      <c r="W1570" s="20">
        <v>142.74</v>
      </c>
      <c r="X1570" s="20" t="s">
        <v>32</v>
      </c>
    </row>
    <row r="1571" spans="1:24" x14ac:dyDescent="0.25">
      <c r="A1571" s="23" t="s">
        <v>2095</v>
      </c>
      <c r="B1571" s="22">
        <v>45498</v>
      </c>
      <c r="C1571" s="23" t="s">
        <v>948</v>
      </c>
      <c r="D1571" s="23" t="s">
        <v>87</v>
      </c>
      <c r="E1571" s="23" t="s">
        <v>176</v>
      </c>
      <c r="F1571" s="23" t="s">
        <v>2593</v>
      </c>
      <c r="G1571" s="23" t="s">
        <v>2587</v>
      </c>
      <c r="H1571" s="23" t="s">
        <v>39</v>
      </c>
      <c r="I1571" s="23" t="s">
        <v>53</v>
      </c>
      <c r="J1571" s="23" t="s">
        <v>122</v>
      </c>
      <c r="K1571" s="23" t="s">
        <v>170</v>
      </c>
      <c r="L1571" s="23" t="s">
        <v>2671</v>
      </c>
      <c r="M1571" s="23" t="s">
        <v>30</v>
      </c>
      <c r="N1571" s="23" t="s">
        <v>2578</v>
      </c>
      <c r="O1571" s="23">
        <v>9</v>
      </c>
      <c r="P1571" s="23">
        <v>109.98</v>
      </c>
      <c r="Q1571" s="23">
        <v>62.81</v>
      </c>
      <c r="R1571" s="23">
        <v>989.84</v>
      </c>
      <c r="S1571" s="23">
        <v>0.15</v>
      </c>
      <c r="T1571" s="23">
        <v>148.47999999999999</v>
      </c>
      <c r="U1571" s="23">
        <v>841.36</v>
      </c>
      <c r="V1571" s="23">
        <v>565.32000000000005</v>
      </c>
      <c r="W1571" s="23">
        <v>276.04000000000002</v>
      </c>
      <c r="X1571" s="23" t="s">
        <v>45</v>
      </c>
    </row>
    <row r="1572" spans="1:24" x14ac:dyDescent="0.25">
      <c r="A1572" s="20" t="s">
        <v>2096</v>
      </c>
      <c r="B1572" s="19">
        <v>45453</v>
      </c>
      <c r="C1572" s="20" t="s">
        <v>511</v>
      </c>
      <c r="D1572" s="20" t="s">
        <v>163</v>
      </c>
      <c r="E1572" s="20" t="s">
        <v>132</v>
      </c>
      <c r="F1572" s="20" t="s">
        <v>133</v>
      </c>
      <c r="G1572" s="20" t="s">
        <v>2581</v>
      </c>
      <c r="H1572" s="20" t="s">
        <v>134</v>
      </c>
      <c r="I1572" s="20" t="s">
        <v>88</v>
      </c>
      <c r="J1572" s="20" t="s">
        <v>183</v>
      </c>
      <c r="K1572" s="20" t="s">
        <v>90</v>
      </c>
      <c r="L1572" s="20" t="s">
        <v>2684</v>
      </c>
      <c r="M1572" s="20" t="s">
        <v>153</v>
      </c>
      <c r="N1572" s="20" t="s">
        <v>75</v>
      </c>
      <c r="O1572" s="20">
        <v>39</v>
      </c>
      <c r="P1572" s="20">
        <v>64.53</v>
      </c>
      <c r="Q1572" s="20">
        <v>32.26</v>
      </c>
      <c r="R1572" s="20">
        <v>2516.4899999999998</v>
      </c>
      <c r="S1572" s="20">
        <v>0.05</v>
      </c>
      <c r="T1572" s="20">
        <v>125.82</v>
      </c>
      <c r="U1572" s="20">
        <v>2390.67</v>
      </c>
      <c r="V1572" s="20">
        <v>1258.32</v>
      </c>
      <c r="W1572" s="20">
        <v>1132.3499999999999</v>
      </c>
      <c r="X1572" s="20" t="s">
        <v>45</v>
      </c>
    </row>
    <row r="1573" spans="1:24" x14ac:dyDescent="0.25">
      <c r="A1573" s="23" t="s">
        <v>2097</v>
      </c>
      <c r="B1573" s="22">
        <v>45541</v>
      </c>
      <c r="C1573" s="23" t="s">
        <v>535</v>
      </c>
      <c r="D1573" s="23" t="s">
        <v>221</v>
      </c>
      <c r="E1573" s="23" t="s">
        <v>187</v>
      </c>
      <c r="F1573" s="23" t="s">
        <v>2594</v>
      </c>
      <c r="G1573" s="23" t="s">
        <v>2577</v>
      </c>
      <c r="H1573" s="23" t="s">
        <v>26</v>
      </c>
      <c r="I1573" s="23" t="s">
        <v>53</v>
      </c>
      <c r="J1573" s="23" t="s">
        <v>143</v>
      </c>
      <c r="K1573" s="23" t="s">
        <v>60</v>
      </c>
      <c r="L1573" s="23" t="s">
        <v>2677</v>
      </c>
      <c r="M1573" s="23" t="s">
        <v>61</v>
      </c>
      <c r="N1573" s="23" t="s">
        <v>44</v>
      </c>
      <c r="O1573" s="23">
        <v>43</v>
      </c>
      <c r="P1573" s="23">
        <f>Cleaned_Sales!$R1573/Cleaned_Sales!$O1573</f>
        <v>48.410000000000004</v>
      </c>
      <c r="Q1573" s="23">
        <v>29.01</v>
      </c>
      <c r="R1573" s="23">
        <v>2081.63</v>
      </c>
      <c r="S1573" s="23">
        <v>0.02</v>
      </c>
      <c r="T1573" s="23">
        <v>41.63</v>
      </c>
      <c r="U1573" s="23">
        <v>2039.99</v>
      </c>
      <c r="V1573" s="23">
        <v>1247.6199999999999</v>
      </c>
      <c r="W1573" s="23">
        <v>792.37</v>
      </c>
      <c r="X1573" s="23" t="s">
        <v>32</v>
      </c>
    </row>
    <row r="1574" spans="1:24" x14ac:dyDescent="0.25">
      <c r="A1574" s="20" t="s">
        <v>2098</v>
      </c>
      <c r="B1574" s="19">
        <v>45398</v>
      </c>
      <c r="C1574" s="20" t="s">
        <v>660</v>
      </c>
      <c r="D1574" s="20" t="s">
        <v>264</v>
      </c>
      <c r="E1574" s="20" t="s">
        <v>209</v>
      </c>
      <c r="F1574" s="20" t="s">
        <v>2595</v>
      </c>
      <c r="G1574" s="20" t="s">
        <v>2581</v>
      </c>
      <c r="H1574" s="20" t="s">
        <v>116</v>
      </c>
      <c r="I1574" s="20" t="s">
        <v>53</v>
      </c>
      <c r="J1574" s="20" t="s">
        <v>143</v>
      </c>
      <c r="K1574" s="20" t="s">
        <v>118</v>
      </c>
      <c r="L1574" s="20" t="s">
        <v>2686</v>
      </c>
      <c r="M1574" s="20" t="s">
        <v>153</v>
      </c>
      <c r="N1574" s="20" t="s">
        <v>84</v>
      </c>
      <c r="O1574" s="20">
        <v>79</v>
      </c>
      <c r="P1574" s="20">
        <v>17.940000000000001</v>
      </c>
      <c r="Q1574" s="20">
        <v>10.15</v>
      </c>
      <c r="R1574" s="20">
        <v>1417.58</v>
      </c>
      <c r="S1574" s="20">
        <v>0.1</v>
      </c>
      <c r="T1574" s="20">
        <v>141.76</v>
      </c>
      <c r="U1574" s="20">
        <v>1275.82</v>
      </c>
      <c r="V1574" s="20">
        <v>801.68</v>
      </c>
      <c r="W1574" s="20">
        <v>474.14</v>
      </c>
      <c r="X1574" s="20" t="s">
        <v>32</v>
      </c>
    </row>
    <row r="1575" spans="1:24" x14ac:dyDescent="0.25">
      <c r="A1575" s="23" t="s">
        <v>2099</v>
      </c>
      <c r="B1575" s="22">
        <v>45652</v>
      </c>
      <c r="C1575" s="23" t="s">
        <v>458</v>
      </c>
      <c r="D1575" s="23" t="s">
        <v>163</v>
      </c>
      <c r="E1575" s="23" t="s">
        <v>126</v>
      </c>
      <c r="F1575" s="23" t="s">
        <v>2589</v>
      </c>
      <c r="G1575" s="23" t="s">
        <v>2586</v>
      </c>
      <c r="H1575" s="23" t="s">
        <v>128</v>
      </c>
      <c r="I1575" s="23" t="s">
        <v>53</v>
      </c>
      <c r="J1575" s="23" t="s">
        <v>232</v>
      </c>
      <c r="K1575" s="23" t="s">
        <v>74</v>
      </c>
      <c r="L1575" s="23" t="s">
        <v>2682</v>
      </c>
      <c r="M1575" s="23" t="s">
        <v>43</v>
      </c>
      <c r="N1575" s="23" t="s">
        <v>70</v>
      </c>
      <c r="O1575" s="23">
        <v>13</v>
      </c>
      <c r="P1575" s="23">
        <v>93.29</v>
      </c>
      <c r="Q1575" s="23">
        <v>51.69</v>
      </c>
      <c r="R1575" s="23">
        <v>1212.75</v>
      </c>
      <c r="S1575" s="23">
        <v>0.1</v>
      </c>
      <c r="T1575" s="23">
        <v>121.28</v>
      </c>
      <c r="U1575" s="23">
        <v>1091.48</v>
      </c>
      <c r="V1575" s="23">
        <v>672</v>
      </c>
      <c r="W1575" s="23">
        <v>419.47</v>
      </c>
      <c r="X1575" s="23" t="s">
        <v>45</v>
      </c>
    </row>
    <row r="1576" spans="1:24" x14ac:dyDescent="0.25">
      <c r="A1576" s="20" t="s">
        <v>2100</v>
      </c>
      <c r="B1576" s="19">
        <v>45418</v>
      </c>
      <c r="C1576" s="20" t="s">
        <v>707</v>
      </c>
      <c r="D1576" s="20" t="s">
        <v>65</v>
      </c>
      <c r="E1576" s="20" t="s">
        <v>36</v>
      </c>
      <c r="F1576" s="20" t="s">
        <v>37</v>
      </c>
      <c r="G1576" s="20" t="s">
        <v>2579</v>
      </c>
      <c r="H1576" s="20" t="s">
        <v>39</v>
      </c>
      <c r="I1576" s="20" t="s">
        <v>53</v>
      </c>
      <c r="J1576" s="20" t="s">
        <v>143</v>
      </c>
      <c r="K1576" s="20" t="s">
        <v>170</v>
      </c>
      <c r="L1576" s="20" t="s">
        <v>2671</v>
      </c>
      <c r="M1576" s="20" t="s">
        <v>61</v>
      </c>
      <c r="N1576" s="20" t="s">
        <v>44</v>
      </c>
      <c r="O1576" s="20">
        <v>29</v>
      </c>
      <c r="P1576" s="20">
        <v>177.29</v>
      </c>
      <c r="Q1576" s="20">
        <v>103.89</v>
      </c>
      <c r="R1576" s="20">
        <v>5141.49</v>
      </c>
      <c r="S1576" s="20">
        <v>0</v>
      </c>
      <c r="T1576" s="20">
        <v>0</v>
      </c>
      <c r="U1576" s="20">
        <v>5141.49</v>
      </c>
      <c r="V1576" s="20">
        <v>3012.67</v>
      </c>
      <c r="W1576" s="20">
        <v>2128.8200000000002</v>
      </c>
      <c r="X1576" s="20" t="s">
        <v>45</v>
      </c>
    </row>
    <row r="1577" spans="1:24" x14ac:dyDescent="0.25">
      <c r="A1577" s="23" t="s">
        <v>2101</v>
      </c>
      <c r="B1577" s="22">
        <v>45603</v>
      </c>
      <c r="C1577" s="23" t="s">
        <v>744</v>
      </c>
      <c r="D1577" s="23" t="s">
        <v>65</v>
      </c>
      <c r="E1577" s="23" t="s">
        <v>132</v>
      </c>
      <c r="F1577" s="23" t="s">
        <v>133</v>
      </c>
      <c r="G1577" s="23" t="s">
        <v>2581</v>
      </c>
      <c r="H1577" s="23" t="s">
        <v>134</v>
      </c>
      <c r="I1577" s="23" t="s">
        <v>40</v>
      </c>
      <c r="J1577" s="23" t="s">
        <v>117</v>
      </c>
      <c r="K1577" s="23" t="s">
        <v>261</v>
      </c>
      <c r="L1577" s="23" t="s">
        <v>2695</v>
      </c>
      <c r="M1577" s="23" t="s">
        <v>153</v>
      </c>
      <c r="N1577" s="23" t="s">
        <v>84</v>
      </c>
      <c r="O1577" s="23">
        <v>35</v>
      </c>
      <c r="P1577" s="23">
        <v>56.83</v>
      </c>
      <c r="Q1577" s="23">
        <v>34.31</v>
      </c>
      <c r="R1577" s="23">
        <v>1988.95</v>
      </c>
      <c r="S1577" s="23">
        <v>0</v>
      </c>
      <c r="T1577" s="23">
        <v>0</v>
      </c>
      <c r="U1577" s="23">
        <v>1988.95</v>
      </c>
      <c r="V1577" s="23">
        <v>1200.81</v>
      </c>
      <c r="W1577" s="23">
        <v>788.13</v>
      </c>
      <c r="X1577" s="23" t="s">
        <v>45</v>
      </c>
    </row>
    <row r="1578" spans="1:24" x14ac:dyDescent="0.25">
      <c r="A1578" s="20" t="s">
        <v>2102</v>
      </c>
      <c r="B1578" s="19">
        <v>45457</v>
      </c>
      <c r="C1578" s="20" t="s">
        <v>1493</v>
      </c>
      <c r="D1578" s="20" t="s">
        <v>159</v>
      </c>
      <c r="E1578" s="20" t="s">
        <v>176</v>
      </c>
      <c r="F1578" s="20" t="s">
        <v>2593</v>
      </c>
      <c r="G1578" s="20" t="s">
        <v>2587</v>
      </c>
      <c r="H1578" s="20" t="s">
        <v>39</v>
      </c>
      <c r="I1578" s="20" t="s">
        <v>58</v>
      </c>
      <c r="J1578" s="20" t="s">
        <v>323</v>
      </c>
      <c r="K1578" s="20" t="s">
        <v>90</v>
      </c>
      <c r="L1578" s="20" t="s">
        <v>2684</v>
      </c>
      <c r="M1578" s="20" t="s">
        <v>30</v>
      </c>
      <c r="N1578" s="20" t="s">
        <v>2578</v>
      </c>
      <c r="O1578" s="20">
        <v>70</v>
      </c>
      <c r="P1578" s="20">
        <v>96.77</v>
      </c>
      <c r="Q1578" s="20">
        <v>62.64</v>
      </c>
      <c r="R1578" s="20">
        <v>6773.67</v>
      </c>
      <c r="S1578" s="20">
        <v>0.05</v>
      </c>
      <c r="T1578" s="20">
        <v>338.68</v>
      </c>
      <c r="U1578" s="20">
        <v>6434.99</v>
      </c>
      <c r="V1578" s="20">
        <v>4384.67</v>
      </c>
      <c r="W1578" s="20">
        <v>2050.3200000000002</v>
      </c>
      <c r="X1578" s="20" t="s">
        <v>129</v>
      </c>
    </row>
    <row r="1579" spans="1:24" x14ac:dyDescent="0.25">
      <c r="A1579" s="23" t="s">
        <v>2103</v>
      </c>
      <c r="B1579" s="22">
        <v>45581</v>
      </c>
      <c r="C1579" s="23" t="s">
        <v>1476</v>
      </c>
      <c r="D1579" s="23" t="s">
        <v>149</v>
      </c>
      <c r="E1579" s="23" t="s">
        <v>99</v>
      </c>
      <c r="F1579" s="23" t="s">
        <v>100</v>
      </c>
      <c r="G1579" s="23" t="s">
        <v>2587</v>
      </c>
      <c r="H1579" s="23" t="s">
        <v>102</v>
      </c>
      <c r="I1579" s="23" t="s">
        <v>88</v>
      </c>
      <c r="J1579" s="23" t="s">
        <v>183</v>
      </c>
      <c r="K1579" s="23" t="s">
        <v>218</v>
      </c>
      <c r="L1579" s="23" t="s">
        <v>2692</v>
      </c>
      <c r="M1579" s="23" t="s">
        <v>30</v>
      </c>
      <c r="N1579" s="23" t="s">
        <v>75</v>
      </c>
      <c r="O1579" s="23">
        <v>56</v>
      </c>
      <c r="P1579" s="23">
        <v>65.260000000000005</v>
      </c>
      <c r="Q1579" s="23">
        <v>41</v>
      </c>
      <c r="R1579" s="23">
        <v>3654.61</v>
      </c>
      <c r="S1579" s="23">
        <v>0.1</v>
      </c>
      <c r="T1579" s="23">
        <v>365.46</v>
      </c>
      <c r="U1579" s="23">
        <v>3289.15</v>
      </c>
      <c r="V1579" s="23">
        <v>2296.23</v>
      </c>
      <c r="W1579" s="23">
        <v>992.92</v>
      </c>
      <c r="X1579" s="23" t="s">
        <v>45</v>
      </c>
    </row>
    <row r="1580" spans="1:24" x14ac:dyDescent="0.25">
      <c r="A1580" s="20" t="s">
        <v>2104</v>
      </c>
      <c r="B1580" s="19">
        <v>45406</v>
      </c>
      <c r="C1580" s="20" t="s">
        <v>513</v>
      </c>
      <c r="D1580" s="20" t="s">
        <v>48</v>
      </c>
      <c r="E1580" s="20" t="s">
        <v>165</v>
      </c>
      <c r="F1580" s="20" t="s">
        <v>2592</v>
      </c>
      <c r="G1580" s="20" t="s">
        <v>2586</v>
      </c>
      <c r="H1580" s="20" t="s">
        <v>167</v>
      </c>
      <c r="I1580" s="20" t="s">
        <v>53</v>
      </c>
      <c r="J1580" s="20" t="s">
        <v>232</v>
      </c>
      <c r="K1580" s="20" t="s">
        <v>265</v>
      </c>
      <c r="L1580" s="20" t="s">
        <v>2663</v>
      </c>
      <c r="M1580" s="20" t="s">
        <v>43</v>
      </c>
      <c r="N1580" s="20" t="s">
        <v>70</v>
      </c>
      <c r="O1580" s="20">
        <v>34</v>
      </c>
      <c r="P1580" s="20">
        <v>44.82</v>
      </c>
      <c r="Q1580" s="20">
        <v>24.01</v>
      </c>
      <c r="R1580" s="20">
        <v>1523.72</v>
      </c>
      <c r="S1580" s="20">
        <v>0</v>
      </c>
      <c r="T1580" s="20">
        <v>0</v>
      </c>
      <c r="U1580" s="20">
        <v>1523.72</v>
      </c>
      <c r="V1580" s="20">
        <v>816.3</v>
      </c>
      <c r="W1580" s="20">
        <v>707.41</v>
      </c>
      <c r="X1580" s="20" t="s">
        <v>45</v>
      </c>
    </row>
    <row r="1581" spans="1:24" x14ac:dyDescent="0.25">
      <c r="A1581" s="23" t="s">
        <v>2105</v>
      </c>
      <c r="B1581" s="22">
        <v>45292</v>
      </c>
      <c r="C1581" s="23" t="s">
        <v>727</v>
      </c>
      <c r="D1581" s="23" t="s">
        <v>65</v>
      </c>
      <c r="E1581" s="23" t="s">
        <v>114</v>
      </c>
      <c r="F1581" s="23" t="s">
        <v>2588</v>
      </c>
      <c r="G1581" s="23" t="s">
        <v>2586</v>
      </c>
      <c r="H1581" s="23" t="s">
        <v>116</v>
      </c>
      <c r="I1581" s="23" t="s">
        <v>88</v>
      </c>
      <c r="J1581" s="23" t="s">
        <v>173</v>
      </c>
      <c r="K1581" s="23" t="s">
        <v>69</v>
      </c>
      <c r="L1581" s="23" t="s">
        <v>2681</v>
      </c>
      <c r="M1581" s="23" t="s">
        <v>153</v>
      </c>
      <c r="N1581" s="23" t="s">
        <v>2578</v>
      </c>
      <c r="O1581" s="23">
        <v>7</v>
      </c>
      <c r="P1581" s="23">
        <v>32.86</v>
      </c>
      <c r="Q1581" s="23">
        <v>20.7</v>
      </c>
      <c r="R1581" s="23">
        <v>230.04</v>
      </c>
      <c r="S1581" s="23">
        <v>0.2</v>
      </c>
      <c r="T1581" s="23">
        <v>46.01</v>
      </c>
      <c r="U1581" s="23">
        <v>184.03</v>
      </c>
      <c r="V1581" s="23">
        <v>144.88</v>
      </c>
      <c r="W1581" s="23">
        <v>39.15</v>
      </c>
      <c r="X1581" s="23" t="s">
        <v>45</v>
      </c>
    </row>
    <row r="1582" spans="1:24" x14ac:dyDescent="0.25">
      <c r="A1582" s="20" t="s">
        <v>1759</v>
      </c>
      <c r="B1582" s="19">
        <v>45319</v>
      </c>
      <c r="C1582" s="20" t="s">
        <v>201</v>
      </c>
      <c r="D1582" s="20" t="s">
        <v>57</v>
      </c>
      <c r="E1582" s="20" t="s">
        <v>176</v>
      </c>
      <c r="F1582" s="20" t="s">
        <v>2593</v>
      </c>
      <c r="G1582" s="20" t="s">
        <v>2587</v>
      </c>
      <c r="H1582" s="20" t="s">
        <v>39</v>
      </c>
      <c r="I1582" s="20" t="s">
        <v>53</v>
      </c>
      <c r="J1582" s="20" t="s">
        <v>122</v>
      </c>
      <c r="K1582" s="20" t="s">
        <v>90</v>
      </c>
      <c r="L1582" s="20" t="s">
        <v>2684</v>
      </c>
      <c r="M1582" s="20" t="s">
        <v>30</v>
      </c>
      <c r="N1582" s="20" t="s">
        <v>44</v>
      </c>
      <c r="O1582" s="20">
        <v>39</v>
      </c>
      <c r="P1582" s="20">
        <v>110.11</v>
      </c>
      <c r="Q1582" s="20">
        <v>60.77</v>
      </c>
      <c r="R1582" s="20">
        <v>4294.47</v>
      </c>
      <c r="S1582" s="20">
        <v>0.1</v>
      </c>
      <c r="T1582" s="20">
        <v>429.45</v>
      </c>
      <c r="U1582" s="20">
        <v>3865.02</v>
      </c>
      <c r="V1582" s="20">
        <v>2370.0300000000002</v>
      </c>
      <c r="W1582" s="20">
        <v>1494.99</v>
      </c>
      <c r="X1582" s="20" t="s">
        <v>45</v>
      </c>
    </row>
    <row r="1583" spans="1:24" x14ac:dyDescent="0.25">
      <c r="A1583" s="23" t="s">
        <v>2106</v>
      </c>
      <c r="B1583" s="22">
        <v>45316</v>
      </c>
      <c r="C1583" s="23" t="s">
        <v>651</v>
      </c>
      <c r="D1583" s="23" t="s">
        <v>105</v>
      </c>
      <c r="E1583" s="23" t="s">
        <v>250</v>
      </c>
      <c r="F1583" s="23" t="s">
        <v>2598</v>
      </c>
      <c r="G1583" s="23" t="s">
        <v>2581</v>
      </c>
      <c r="H1583" s="23" t="s">
        <v>252</v>
      </c>
      <c r="I1583" s="23" t="s">
        <v>88</v>
      </c>
      <c r="J1583" s="23" t="s">
        <v>183</v>
      </c>
      <c r="K1583" s="23" t="s">
        <v>152</v>
      </c>
      <c r="L1583" s="23" t="s">
        <v>2688</v>
      </c>
      <c r="M1583" s="23" t="s">
        <v>30</v>
      </c>
      <c r="N1583" s="23" t="s">
        <v>84</v>
      </c>
      <c r="O1583" s="23">
        <v>7</v>
      </c>
      <c r="P1583" s="23">
        <v>61.03</v>
      </c>
      <c r="Q1583" s="23">
        <v>39.200000000000003</v>
      </c>
      <c r="R1583" s="23">
        <v>427.2</v>
      </c>
      <c r="S1583" s="23">
        <v>0.05</v>
      </c>
      <c r="T1583" s="23">
        <v>21.36</v>
      </c>
      <c r="U1583" s="23">
        <v>405.84</v>
      </c>
      <c r="V1583" s="23">
        <v>274.37</v>
      </c>
      <c r="W1583" s="23">
        <v>131.47</v>
      </c>
      <c r="X1583" s="23" t="s">
        <v>32</v>
      </c>
    </row>
    <row r="1584" spans="1:24" x14ac:dyDescent="0.25">
      <c r="A1584" s="20" t="s">
        <v>2107</v>
      </c>
      <c r="B1584" s="19">
        <v>45557</v>
      </c>
      <c r="C1584" s="20" t="s">
        <v>1362</v>
      </c>
      <c r="D1584" s="20" t="s">
        <v>57</v>
      </c>
      <c r="E1584" s="20" t="s">
        <v>23</v>
      </c>
      <c r="F1584" s="20" t="s">
        <v>2576</v>
      </c>
      <c r="G1584" s="20" t="s">
        <v>2577</v>
      </c>
      <c r="H1584" s="20" t="s">
        <v>26</v>
      </c>
      <c r="I1584" s="20" t="s">
        <v>27</v>
      </c>
      <c r="J1584" s="20" t="s">
        <v>28</v>
      </c>
      <c r="K1584" s="20" t="s">
        <v>178</v>
      </c>
      <c r="L1584" s="20" t="s">
        <v>2689</v>
      </c>
      <c r="M1584" s="20" t="s">
        <v>43</v>
      </c>
      <c r="N1584" s="20" t="s">
        <v>44</v>
      </c>
      <c r="O1584" s="20">
        <v>79</v>
      </c>
      <c r="P1584" s="20">
        <v>76.61</v>
      </c>
      <c r="Q1584" s="20">
        <v>40.98</v>
      </c>
      <c r="R1584" s="20">
        <v>6052.13</v>
      </c>
      <c r="S1584" s="20">
        <v>0.15</v>
      </c>
      <c r="T1584" s="20">
        <v>907.82</v>
      </c>
      <c r="U1584" s="20">
        <v>5144.3100000000004</v>
      </c>
      <c r="V1584" s="20">
        <v>3237.37</v>
      </c>
      <c r="W1584" s="20">
        <v>1906.94</v>
      </c>
      <c r="X1584" s="20" t="s">
        <v>129</v>
      </c>
    </row>
    <row r="1585" spans="1:24" x14ac:dyDescent="0.25">
      <c r="A1585" s="23" t="s">
        <v>2108</v>
      </c>
      <c r="B1585" s="22">
        <v>45458</v>
      </c>
      <c r="C1585" s="23" t="s">
        <v>192</v>
      </c>
      <c r="D1585" s="23" t="s">
        <v>65</v>
      </c>
      <c r="E1585" s="23" t="s">
        <v>78</v>
      </c>
      <c r="F1585" s="23" t="s">
        <v>2583</v>
      </c>
      <c r="G1585" s="23" t="s">
        <v>2584</v>
      </c>
      <c r="H1585" s="23" t="s">
        <v>81</v>
      </c>
      <c r="I1585" s="23" t="s">
        <v>40</v>
      </c>
      <c r="J1585" s="23" t="s">
        <v>289</v>
      </c>
      <c r="K1585" s="23" t="s">
        <v>261</v>
      </c>
      <c r="L1585" s="23" t="s">
        <v>2695</v>
      </c>
      <c r="M1585" s="23" t="s">
        <v>61</v>
      </c>
      <c r="N1585" s="23" t="s">
        <v>2578</v>
      </c>
      <c r="O1585" s="23">
        <v>11</v>
      </c>
      <c r="P1585" s="23">
        <v>131.79</v>
      </c>
      <c r="Q1585" s="23">
        <v>76.5</v>
      </c>
      <c r="R1585" s="23">
        <v>1449.69</v>
      </c>
      <c r="S1585" s="23">
        <v>-0.05</v>
      </c>
      <c r="T1585" s="23">
        <v>289.94</v>
      </c>
      <c r="U1585" s="23">
        <v>1159.75</v>
      </c>
      <c r="V1585" s="23">
        <v>841.47</v>
      </c>
      <c r="W1585" s="23">
        <v>318.27999999999997</v>
      </c>
      <c r="X1585" s="23" t="s">
        <v>32</v>
      </c>
    </row>
    <row r="1586" spans="1:24" x14ac:dyDescent="0.25">
      <c r="A1586" s="20" t="s">
        <v>2109</v>
      </c>
      <c r="B1586" s="19">
        <v>45299</v>
      </c>
      <c r="C1586" s="20" t="s">
        <v>447</v>
      </c>
      <c r="D1586" s="20" t="s">
        <v>48</v>
      </c>
      <c r="E1586" s="20" t="s">
        <v>165</v>
      </c>
      <c r="F1586" s="20" t="s">
        <v>2592</v>
      </c>
      <c r="G1586" s="20" t="s">
        <v>2586</v>
      </c>
      <c r="H1586" s="20" t="s">
        <v>167</v>
      </c>
      <c r="I1586" s="20" t="s">
        <v>88</v>
      </c>
      <c r="J1586" s="20" t="s">
        <v>135</v>
      </c>
      <c r="K1586" s="20" t="s">
        <v>170</v>
      </c>
      <c r="L1586" s="20" t="s">
        <v>2671</v>
      </c>
      <c r="M1586" s="20" t="s">
        <v>153</v>
      </c>
      <c r="N1586" s="20" t="s">
        <v>75</v>
      </c>
      <c r="O1586" s="20">
        <v>39</v>
      </c>
      <c r="P1586" s="20">
        <v>40.159999999999997</v>
      </c>
      <c r="Q1586" s="20">
        <v>25.46</v>
      </c>
      <c r="R1586" s="20">
        <v>1566.33</v>
      </c>
      <c r="S1586" s="20">
        <v>0</v>
      </c>
      <c r="T1586" s="20">
        <v>0</v>
      </c>
      <c r="U1586" s="20">
        <v>1566.33</v>
      </c>
      <c r="V1586" s="20">
        <v>992.78</v>
      </c>
      <c r="W1586" s="20">
        <v>573.54999999999995</v>
      </c>
      <c r="X1586" s="20" t="s">
        <v>45</v>
      </c>
    </row>
    <row r="1587" spans="1:24" x14ac:dyDescent="0.25">
      <c r="A1587" s="23" t="s">
        <v>2110</v>
      </c>
      <c r="B1587" s="22">
        <v>45507</v>
      </c>
      <c r="C1587" s="23" t="s">
        <v>513</v>
      </c>
      <c r="D1587" s="23" t="s">
        <v>48</v>
      </c>
      <c r="E1587" s="23" t="s">
        <v>176</v>
      </c>
      <c r="F1587" s="23" t="s">
        <v>2593</v>
      </c>
      <c r="G1587" s="23" t="s">
        <v>2587</v>
      </c>
      <c r="H1587" s="23" t="s">
        <v>39</v>
      </c>
      <c r="I1587" s="23" t="s">
        <v>40</v>
      </c>
      <c r="J1587" s="23" t="s">
        <v>289</v>
      </c>
      <c r="K1587" s="23" t="s">
        <v>144</v>
      </c>
      <c r="L1587" s="23" t="s">
        <v>2687</v>
      </c>
      <c r="M1587" s="23" t="s">
        <v>43</v>
      </c>
      <c r="N1587" s="23" t="s">
        <v>44</v>
      </c>
      <c r="O1587" s="23">
        <v>46</v>
      </c>
      <c r="P1587" s="23">
        <v>99.35</v>
      </c>
      <c r="Q1587" s="23">
        <v>65.97</v>
      </c>
      <c r="R1587" s="23">
        <v>4570.05</v>
      </c>
      <c r="S1587" s="23">
        <v>0.05</v>
      </c>
      <c r="T1587" s="23">
        <v>228.5</v>
      </c>
      <c r="U1587" s="23">
        <v>4341.55</v>
      </c>
      <c r="V1587" s="23">
        <v>3034.7</v>
      </c>
      <c r="W1587" s="23">
        <v>1306.8499999999999</v>
      </c>
      <c r="X1587" s="23" t="s">
        <v>129</v>
      </c>
    </row>
    <row r="1588" spans="1:24" x14ac:dyDescent="0.25">
      <c r="A1588" s="20" t="s">
        <v>2111</v>
      </c>
      <c r="B1588" s="19">
        <v>45513</v>
      </c>
      <c r="C1588" s="20" t="s">
        <v>205</v>
      </c>
      <c r="D1588" s="20" t="s">
        <v>22</v>
      </c>
      <c r="E1588" s="20" t="s">
        <v>99</v>
      </c>
      <c r="F1588" s="20" t="s">
        <v>100</v>
      </c>
      <c r="G1588" s="20" t="s">
        <v>2587</v>
      </c>
      <c r="H1588" s="20" t="s">
        <v>102</v>
      </c>
      <c r="I1588" s="20" t="s">
        <v>88</v>
      </c>
      <c r="J1588" s="20" t="s">
        <v>2112</v>
      </c>
      <c r="K1588" s="20" t="s">
        <v>74</v>
      </c>
      <c r="L1588" s="20" t="s">
        <v>2682</v>
      </c>
      <c r="M1588" s="20" t="s">
        <v>61</v>
      </c>
      <c r="N1588" s="20" t="s">
        <v>84</v>
      </c>
      <c r="O1588" s="20">
        <v>65</v>
      </c>
      <c r="P1588" s="20">
        <v>68.75</v>
      </c>
      <c r="Q1588" s="20">
        <v>41.94</v>
      </c>
      <c r="R1588" s="20">
        <v>4468.59</v>
      </c>
      <c r="S1588" s="20">
        <v>0</v>
      </c>
      <c r="T1588" s="20">
        <v>0</v>
      </c>
      <c r="U1588" s="20">
        <v>4468.59</v>
      </c>
      <c r="V1588" s="20">
        <v>2726.1</v>
      </c>
      <c r="W1588" s="20">
        <v>1742.49</v>
      </c>
      <c r="X1588" s="20" t="s">
        <v>45</v>
      </c>
    </row>
    <row r="1589" spans="1:24" x14ac:dyDescent="0.25">
      <c r="A1589" s="23" t="s">
        <v>2113</v>
      </c>
      <c r="B1589" s="22">
        <v>45551</v>
      </c>
      <c r="C1589" s="23" t="s">
        <v>92</v>
      </c>
      <c r="D1589" s="23" t="s">
        <v>48</v>
      </c>
      <c r="E1589" s="23" t="s">
        <v>114</v>
      </c>
      <c r="F1589" s="23" t="s">
        <v>2588</v>
      </c>
      <c r="G1589" s="23" t="s">
        <v>2586</v>
      </c>
      <c r="H1589" s="23" t="s">
        <v>116</v>
      </c>
      <c r="I1589" s="23" t="s">
        <v>27</v>
      </c>
      <c r="J1589" s="23" t="s">
        <v>211</v>
      </c>
      <c r="K1589" s="23" t="s">
        <v>111</v>
      </c>
      <c r="L1589" s="23" t="s">
        <v>2685</v>
      </c>
      <c r="M1589" s="23" t="s">
        <v>30</v>
      </c>
      <c r="N1589" s="23" t="s">
        <v>2578</v>
      </c>
      <c r="O1589" s="23">
        <v>37</v>
      </c>
      <c r="P1589" s="23">
        <v>33.19</v>
      </c>
      <c r="Q1589" s="23">
        <v>19.62</v>
      </c>
      <c r="R1589" s="23">
        <v>1228.08</v>
      </c>
      <c r="S1589" s="23">
        <v>0.2</v>
      </c>
      <c r="T1589" s="23">
        <v>245.62</v>
      </c>
      <c r="U1589" s="23">
        <v>982.46</v>
      </c>
      <c r="V1589" s="23">
        <v>725.87</v>
      </c>
      <c r="W1589" s="23">
        <v>256.58999999999997</v>
      </c>
      <c r="X1589" s="23" t="s">
        <v>45</v>
      </c>
    </row>
    <row r="1590" spans="1:24" x14ac:dyDescent="0.25">
      <c r="A1590" s="20" t="s">
        <v>2114</v>
      </c>
      <c r="B1590" s="19">
        <v>45612</v>
      </c>
      <c r="C1590" s="20" t="s">
        <v>499</v>
      </c>
      <c r="D1590" s="20" t="s">
        <v>87</v>
      </c>
      <c r="E1590" s="20" t="s">
        <v>187</v>
      </c>
      <c r="F1590" s="20" t="s">
        <v>2594</v>
      </c>
      <c r="G1590" s="20" t="s">
        <v>2577</v>
      </c>
      <c r="H1590" s="20" t="s">
        <v>26</v>
      </c>
      <c r="I1590" s="20" t="s">
        <v>27</v>
      </c>
      <c r="J1590" s="20" t="s">
        <v>211</v>
      </c>
      <c r="K1590" s="20" t="s">
        <v>261</v>
      </c>
      <c r="L1590" s="20" t="s">
        <v>2695</v>
      </c>
      <c r="M1590" s="20" t="s">
        <v>153</v>
      </c>
      <c r="N1590" s="20" t="s">
        <v>44</v>
      </c>
      <c r="O1590" s="20">
        <v>31</v>
      </c>
      <c r="P1590" s="20">
        <v>46.25</v>
      </c>
      <c r="Q1590" s="20">
        <v>29.42</v>
      </c>
      <c r="R1590" s="20">
        <v>1433.75</v>
      </c>
      <c r="S1590" s="20">
        <v>0.15</v>
      </c>
      <c r="T1590" s="20">
        <v>215.06</v>
      </c>
      <c r="U1590" s="20">
        <v>1218.69</v>
      </c>
      <c r="V1590" s="20">
        <v>911.98</v>
      </c>
      <c r="W1590" s="20">
        <v>306.70999999999998</v>
      </c>
      <c r="X1590" s="20" t="s">
        <v>45</v>
      </c>
    </row>
    <row r="1591" spans="1:24" x14ac:dyDescent="0.25">
      <c r="A1591" s="23" t="s">
        <v>2115</v>
      </c>
      <c r="B1591" s="22">
        <v>45637</v>
      </c>
      <c r="C1591" s="23" t="s">
        <v>395</v>
      </c>
      <c r="D1591" s="23" t="s">
        <v>221</v>
      </c>
      <c r="E1591" s="23" t="s">
        <v>250</v>
      </c>
      <c r="F1591" s="23" t="s">
        <v>2598</v>
      </c>
      <c r="G1591" s="23" t="s">
        <v>2581</v>
      </c>
      <c r="H1591" s="23" t="s">
        <v>252</v>
      </c>
      <c r="I1591" s="23" t="s">
        <v>58</v>
      </c>
      <c r="J1591" s="23" t="s">
        <v>59</v>
      </c>
      <c r="K1591" s="23" t="s">
        <v>29</v>
      </c>
      <c r="L1591" s="23" t="s">
        <v>2679</v>
      </c>
      <c r="M1591" s="23" t="s">
        <v>43</v>
      </c>
      <c r="N1591" s="23" t="s">
        <v>84</v>
      </c>
      <c r="O1591" s="23">
        <v>21</v>
      </c>
      <c r="P1591" s="23">
        <v>69.790000000000006</v>
      </c>
      <c r="Q1591" s="23">
        <v>38.22</v>
      </c>
      <c r="R1591" s="23">
        <v>1465.66</v>
      </c>
      <c r="S1591" s="23">
        <v>0</v>
      </c>
      <c r="T1591" s="23">
        <v>0</v>
      </c>
      <c r="U1591" s="23">
        <v>1465.66</v>
      </c>
      <c r="V1591" s="23">
        <v>802.59</v>
      </c>
      <c r="W1591" s="23">
        <v>663.08</v>
      </c>
      <c r="X1591" s="23" t="s">
        <v>32</v>
      </c>
    </row>
    <row r="1592" spans="1:24" x14ac:dyDescent="0.25">
      <c r="A1592" s="20" t="s">
        <v>2116</v>
      </c>
      <c r="B1592" s="19">
        <v>45405</v>
      </c>
      <c r="C1592" s="20" t="s">
        <v>354</v>
      </c>
      <c r="D1592" s="20" t="s">
        <v>163</v>
      </c>
      <c r="E1592" s="20" t="s">
        <v>99</v>
      </c>
      <c r="F1592" s="20" t="s">
        <v>100</v>
      </c>
      <c r="G1592" s="20" t="s">
        <v>2587</v>
      </c>
      <c r="H1592" s="20" t="s">
        <v>102</v>
      </c>
      <c r="I1592" s="20" t="s">
        <v>58</v>
      </c>
      <c r="J1592" s="20" t="s">
        <v>73</v>
      </c>
      <c r="K1592" s="20" t="s">
        <v>90</v>
      </c>
      <c r="L1592" s="20" t="s">
        <v>2684</v>
      </c>
      <c r="M1592" s="20" t="s">
        <v>153</v>
      </c>
      <c r="N1592" s="20" t="s">
        <v>2578</v>
      </c>
      <c r="O1592" s="20">
        <v>25</v>
      </c>
      <c r="P1592" s="20">
        <v>74.45</v>
      </c>
      <c r="Q1592" s="20">
        <v>41.8</v>
      </c>
      <c r="R1592" s="20">
        <v>1861.26</v>
      </c>
      <c r="S1592" s="20">
        <v>0.15</v>
      </c>
      <c r="T1592" s="20">
        <v>279.19</v>
      </c>
      <c r="U1592" s="20">
        <v>1582.07</v>
      </c>
      <c r="V1592" s="20">
        <v>1045.1099999999999</v>
      </c>
      <c r="W1592" s="20">
        <v>536.96</v>
      </c>
      <c r="X1592" s="20" t="s">
        <v>45</v>
      </c>
    </row>
    <row r="1593" spans="1:24" x14ac:dyDescent="0.25">
      <c r="A1593" s="23" t="s">
        <v>2117</v>
      </c>
      <c r="B1593" s="22">
        <v>45391</v>
      </c>
      <c r="C1593" s="23" t="s">
        <v>674</v>
      </c>
      <c r="D1593" s="23" t="s">
        <v>264</v>
      </c>
      <c r="E1593" s="23" t="s">
        <v>209</v>
      </c>
      <c r="F1593" s="23" t="s">
        <v>2595</v>
      </c>
      <c r="G1593" s="23" t="s">
        <v>2581</v>
      </c>
      <c r="H1593" s="23" t="s">
        <v>116</v>
      </c>
      <c r="I1593" s="23" t="s">
        <v>40</v>
      </c>
      <c r="J1593" s="23" t="s">
        <v>82</v>
      </c>
      <c r="K1593" s="23" t="s">
        <v>184</v>
      </c>
      <c r="L1593" s="23" t="s">
        <v>2690</v>
      </c>
      <c r="M1593" s="23" t="s">
        <v>61</v>
      </c>
      <c r="N1593" s="23" t="s">
        <v>2578</v>
      </c>
      <c r="O1593" s="23">
        <v>44</v>
      </c>
      <c r="P1593" s="23">
        <v>19.03</v>
      </c>
      <c r="Q1593" s="23">
        <v>10.8</v>
      </c>
      <c r="R1593" s="23">
        <v>837.37</v>
      </c>
      <c r="S1593" s="23">
        <v>0.05</v>
      </c>
      <c r="T1593" s="23">
        <v>41.87</v>
      </c>
      <c r="U1593" s="23">
        <v>795.5</v>
      </c>
      <c r="V1593" s="23">
        <v>475.03</v>
      </c>
      <c r="W1593" s="23">
        <v>320.47000000000003</v>
      </c>
      <c r="X1593" s="23" t="s">
        <v>45</v>
      </c>
    </row>
    <row r="1594" spans="1:24" x14ac:dyDescent="0.25">
      <c r="A1594" s="20" t="s">
        <v>2118</v>
      </c>
      <c r="B1594" s="19">
        <v>45292</v>
      </c>
      <c r="C1594" s="20" t="s">
        <v>215</v>
      </c>
      <c r="D1594" s="20" t="s">
        <v>105</v>
      </c>
      <c r="E1594" s="20" t="s">
        <v>216</v>
      </c>
      <c r="F1594" s="20" t="s">
        <v>2596</v>
      </c>
      <c r="G1594" s="20" t="s">
        <v>2579</v>
      </c>
      <c r="H1594" s="20" t="s">
        <v>134</v>
      </c>
      <c r="I1594" s="20" t="s">
        <v>53</v>
      </c>
      <c r="J1594" s="20" t="s">
        <v>122</v>
      </c>
      <c r="K1594" s="20" t="s">
        <v>118</v>
      </c>
      <c r="L1594" s="20" t="s">
        <v>2686</v>
      </c>
      <c r="M1594" s="20" t="s">
        <v>153</v>
      </c>
      <c r="N1594" s="20" t="s">
        <v>84</v>
      </c>
      <c r="O1594" s="20">
        <v>44</v>
      </c>
      <c r="P1594" s="20">
        <v>118.12</v>
      </c>
      <c r="Q1594" s="20">
        <v>68.8</v>
      </c>
      <c r="R1594" s="20">
        <v>5197.38</v>
      </c>
      <c r="S1594" s="20">
        <v>0.02</v>
      </c>
      <c r="T1594" s="20">
        <v>103.95</v>
      </c>
      <c r="U1594" s="20">
        <v>5093.43</v>
      </c>
      <c r="V1594" s="20">
        <v>3027.18</v>
      </c>
      <c r="W1594" s="20">
        <v>2066.25</v>
      </c>
      <c r="X1594" s="20" t="s">
        <v>32</v>
      </c>
    </row>
    <row r="1595" spans="1:24" x14ac:dyDescent="0.25">
      <c r="A1595" s="23" t="s">
        <v>2119</v>
      </c>
      <c r="B1595" s="22">
        <v>45343</v>
      </c>
      <c r="C1595" s="23" t="s">
        <v>282</v>
      </c>
      <c r="D1595" s="23" t="s">
        <v>125</v>
      </c>
      <c r="E1595" s="23" t="s">
        <v>222</v>
      </c>
      <c r="F1595" s="23" t="s">
        <v>2597</v>
      </c>
      <c r="G1595" s="23" t="s">
        <v>2587</v>
      </c>
      <c r="H1595" s="23" t="s">
        <v>68</v>
      </c>
      <c r="I1595" s="23" t="s">
        <v>88</v>
      </c>
      <c r="J1595" s="23" t="s">
        <v>173</v>
      </c>
      <c r="K1595" s="23" t="s">
        <v>69</v>
      </c>
      <c r="L1595" s="23" t="s">
        <v>2681</v>
      </c>
      <c r="M1595" s="23" t="s">
        <v>61</v>
      </c>
      <c r="N1595" s="23" t="s">
        <v>44</v>
      </c>
      <c r="O1595" s="23">
        <v>30</v>
      </c>
      <c r="P1595" s="23">
        <v>111.88</v>
      </c>
      <c r="Q1595" s="23">
        <v>80.45</v>
      </c>
      <c r="R1595" s="23">
        <v>3356.33</v>
      </c>
      <c r="S1595" s="23">
        <v>0.15</v>
      </c>
      <c r="T1595" s="23">
        <v>503.45</v>
      </c>
      <c r="U1595" s="23">
        <v>2852.88</v>
      </c>
      <c r="V1595" s="23">
        <v>2413.4899999999998</v>
      </c>
      <c r="W1595" s="23">
        <v>439.39</v>
      </c>
      <c r="X1595" s="23" t="s">
        <v>129</v>
      </c>
    </row>
    <row r="1596" spans="1:24" x14ac:dyDescent="0.25">
      <c r="A1596" s="20" t="s">
        <v>2042</v>
      </c>
      <c r="B1596" s="19">
        <v>45590</v>
      </c>
      <c r="C1596" s="20" t="s">
        <v>229</v>
      </c>
      <c r="D1596" s="20" t="s">
        <v>87</v>
      </c>
      <c r="E1596" s="20" t="s">
        <v>126</v>
      </c>
      <c r="F1596" s="20" t="s">
        <v>2589</v>
      </c>
      <c r="G1596" s="20" t="s">
        <v>2586</v>
      </c>
      <c r="H1596" s="20" t="s">
        <v>128</v>
      </c>
      <c r="I1596" s="20" t="s">
        <v>40</v>
      </c>
      <c r="J1596" s="20" t="s">
        <v>82</v>
      </c>
      <c r="K1596" s="20" t="s">
        <v>111</v>
      </c>
      <c r="L1596" s="20" t="s">
        <v>2685</v>
      </c>
      <c r="M1596" s="20" t="s">
        <v>43</v>
      </c>
      <c r="N1596" s="20" t="s">
        <v>84</v>
      </c>
      <c r="O1596" s="20">
        <v>52</v>
      </c>
      <c r="P1596" s="20">
        <v>88.77</v>
      </c>
      <c r="Q1596" s="20">
        <v>51.08</v>
      </c>
      <c r="R1596" s="20">
        <v>4616.22</v>
      </c>
      <c r="S1596" s="20">
        <v>0.15</v>
      </c>
      <c r="T1596" s="20">
        <v>692.43</v>
      </c>
      <c r="U1596" s="20">
        <v>3923.78</v>
      </c>
      <c r="V1596" s="20">
        <v>2656.08</v>
      </c>
      <c r="W1596" s="20">
        <v>1267.7</v>
      </c>
      <c r="X1596" s="20" t="s">
        <v>129</v>
      </c>
    </row>
    <row r="1597" spans="1:24" x14ac:dyDescent="0.25">
      <c r="A1597" s="23" t="s">
        <v>2120</v>
      </c>
      <c r="B1597" s="22">
        <v>45511</v>
      </c>
      <c r="C1597" s="23" t="s">
        <v>77</v>
      </c>
      <c r="D1597" s="23" t="s">
        <v>22</v>
      </c>
      <c r="E1597" s="23" t="s">
        <v>66</v>
      </c>
      <c r="F1597" s="23" t="s">
        <v>2582</v>
      </c>
      <c r="G1597" s="23" t="s">
        <v>2579</v>
      </c>
      <c r="H1597" s="23" t="s">
        <v>68</v>
      </c>
      <c r="I1597" s="23" t="s">
        <v>40</v>
      </c>
      <c r="J1597" s="23" t="s">
        <v>82</v>
      </c>
      <c r="K1597" s="23" t="s">
        <v>29</v>
      </c>
      <c r="L1597" s="23" t="s">
        <v>2679</v>
      </c>
      <c r="M1597" s="23" t="s">
        <v>43</v>
      </c>
      <c r="N1597" s="23" t="s">
        <v>2578</v>
      </c>
      <c r="O1597" s="23">
        <v>26</v>
      </c>
      <c r="P1597" s="23">
        <v>152</v>
      </c>
      <c r="Q1597" s="23">
        <v>109.96</v>
      </c>
      <c r="R1597" s="23">
        <v>3951.94</v>
      </c>
      <c r="S1597" s="23">
        <v>0.15</v>
      </c>
      <c r="T1597" s="23">
        <v>592.79</v>
      </c>
      <c r="U1597" s="23">
        <v>3359.15</v>
      </c>
      <c r="V1597" s="23">
        <v>2858.96</v>
      </c>
      <c r="W1597" s="23">
        <v>500.19</v>
      </c>
      <c r="X1597" s="23" t="s">
        <v>45</v>
      </c>
    </row>
    <row r="1598" spans="1:24" x14ac:dyDescent="0.25">
      <c r="A1598" s="20" t="s">
        <v>2121</v>
      </c>
      <c r="B1598" s="19">
        <v>45453</v>
      </c>
      <c r="C1598" s="20" t="s">
        <v>1394</v>
      </c>
      <c r="D1598" s="20" t="s">
        <v>156</v>
      </c>
      <c r="E1598" s="20" t="s">
        <v>66</v>
      </c>
      <c r="F1598" s="20" t="s">
        <v>2582</v>
      </c>
      <c r="G1598" s="20" t="s">
        <v>2579</v>
      </c>
      <c r="H1598" s="20" t="s">
        <v>68</v>
      </c>
      <c r="I1598" s="20" t="s">
        <v>40</v>
      </c>
      <c r="J1598" s="20" t="s">
        <v>82</v>
      </c>
      <c r="K1598" s="20" t="s">
        <v>69</v>
      </c>
      <c r="L1598" s="20" t="s">
        <v>2681</v>
      </c>
      <c r="M1598" s="20" t="s">
        <v>30</v>
      </c>
      <c r="N1598" s="20" t="s">
        <v>44</v>
      </c>
      <c r="O1598" s="20">
        <v>2</v>
      </c>
      <c r="P1598" s="20">
        <v>151.69</v>
      </c>
      <c r="Q1598" s="20">
        <v>110.9</v>
      </c>
      <c r="R1598" s="20">
        <v>303.38</v>
      </c>
      <c r="S1598" s="20">
        <v>0</v>
      </c>
      <c r="T1598" s="20">
        <v>0</v>
      </c>
      <c r="U1598" s="20">
        <v>303.38</v>
      </c>
      <c r="V1598" s="20">
        <v>221.79</v>
      </c>
      <c r="W1598" s="20">
        <v>81.59</v>
      </c>
      <c r="X1598" s="20" t="s">
        <v>45</v>
      </c>
    </row>
    <row r="1599" spans="1:24" x14ac:dyDescent="0.25">
      <c r="A1599" s="23" t="s">
        <v>2122</v>
      </c>
      <c r="B1599" s="22">
        <v>45366</v>
      </c>
      <c r="C1599" s="23" t="s">
        <v>131</v>
      </c>
      <c r="D1599" s="23" t="s">
        <v>65</v>
      </c>
      <c r="E1599" s="23" t="s">
        <v>141</v>
      </c>
      <c r="F1599" s="23" t="s">
        <v>2590</v>
      </c>
      <c r="G1599" s="23" t="s">
        <v>2577</v>
      </c>
      <c r="H1599" s="23" t="s">
        <v>26</v>
      </c>
      <c r="I1599" s="23" t="s">
        <v>27</v>
      </c>
      <c r="J1599" s="23" t="s">
        <v>106</v>
      </c>
      <c r="K1599" s="23" t="s">
        <v>184</v>
      </c>
      <c r="L1599" s="23" t="s">
        <v>2690</v>
      </c>
      <c r="M1599" s="23" t="s">
        <v>61</v>
      </c>
      <c r="N1599" s="23" t="s">
        <v>2578</v>
      </c>
      <c r="O1599" s="23">
        <v>18</v>
      </c>
      <c r="P1599" s="23">
        <v>100.11</v>
      </c>
      <c r="Q1599" s="23">
        <v>59.82</v>
      </c>
      <c r="R1599" s="23">
        <v>1801.92</v>
      </c>
      <c r="S1599" s="23">
        <v>0</v>
      </c>
      <c r="T1599" s="23">
        <v>0</v>
      </c>
      <c r="U1599" s="23">
        <v>1801.92</v>
      </c>
      <c r="V1599" s="23">
        <v>1076.74</v>
      </c>
      <c r="W1599" s="23">
        <v>725.19</v>
      </c>
      <c r="X1599" s="23" t="s">
        <v>45</v>
      </c>
    </row>
    <row r="1600" spans="1:24" x14ac:dyDescent="0.25">
      <c r="A1600" s="20" t="s">
        <v>2123</v>
      </c>
      <c r="B1600" s="19">
        <v>45615</v>
      </c>
      <c r="C1600" s="20" t="s">
        <v>645</v>
      </c>
      <c r="D1600" s="20" t="s">
        <v>149</v>
      </c>
      <c r="E1600" s="20" t="s">
        <v>78</v>
      </c>
      <c r="F1600" s="20" t="s">
        <v>2583</v>
      </c>
      <c r="G1600" s="20" t="s">
        <v>2584</v>
      </c>
      <c r="H1600" s="20" t="s">
        <v>81</v>
      </c>
      <c r="I1600" s="20" t="s">
        <v>40</v>
      </c>
      <c r="J1600" s="20" t="s">
        <v>82</v>
      </c>
      <c r="K1600" s="20" t="s">
        <v>178</v>
      </c>
      <c r="L1600" s="20" t="s">
        <v>2689</v>
      </c>
      <c r="M1600" s="20" t="s">
        <v>61</v>
      </c>
      <c r="N1600" s="20" t="s">
        <v>44</v>
      </c>
      <c r="O1600" s="20">
        <v>22</v>
      </c>
      <c r="P1600" s="20">
        <v>139.63</v>
      </c>
      <c r="Q1600" s="20">
        <v>86.77</v>
      </c>
      <c r="R1600" s="20">
        <v>3071.82</v>
      </c>
      <c r="S1600" s="20">
        <v>0</v>
      </c>
      <c r="T1600" s="20">
        <v>0</v>
      </c>
      <c r="U1600" s="20">
        <v>3071.82</v>
      </c>
      <c r="V1600" s="20">
        <v>1908.93</v>
      </c>
      <c r="W1600" s="20">
        <v>1162.8900000000001</v>
      </c>
      <c r="X1600" s="20" t="s">
        <v>32</v>
      </c>
    </row>
    <row r="1601" spans="1:24" x14ac:dyDescent="0.25">
      <c r="A1601" s="23" t="s">
        <v>2124</v>
      </c>
      <c r="B1601" s="22">
        <v>45382</v>
      </c>
      <c r="C1601" s="23" t="s">
        <v>194</v>
      </c>
      <c r="D1601" s="23" t="s">
        <v>163</v>
      </c>
      <c r="E1601" s="23" t="s">
        <v>250</v>
      </c>
      <c r="F1601" s="23" t="s">
        <v>2598</v>
      </c>
      <c r="G1601" s="23" t="s">
        <v>2581</v>
      </c>
      <c r="H1601" s="23" t="s">
        <v>252</v>
      </c>
      <c r="I1601" s="23" t="s">
        <v>53</v>
      </c>
      <c r="J1601" s="23" t="s">
        <v>143</v>
      </c>
      <c r="K1601" s="23" t="s">
        <v>90</v>
      </c>
      <c r="L1601" s="23" t="s">
        <v>2684</v>
      </c>
      <c r="M1601" s="23" t="s">
        <v>153</v>
      </c>
      <c r="N1601" s="23" t="s">
        <v>2578</v>
      </c>
      <c r="O1601" s="23">
        <v>60</v>
      </c>
      <c r="P1601" s="23">
        <v>63.7</v>
      </c>
      <c r="Q1601" s="23">
        <v>35.97</v>
      </c>
      <c r="R1601" s="23">
        <v>3821.72</v>
      </c>
      <c r="S1601" s="23">
        <v>0.05</v>
      </c>
      <c r="T1601" s="23">
        <v>191.09</v>
      </c>
      <c r="U1601" s="23">
        <v>3630.63</v>
      </c>
      <c r="V1601" s="23">
        <v>2158.4699999999998</v>
      </c>
      <c r="W1601" s="23">
        <v>1472.16</v>
      </c>
      <c r="X1601" s="23" t="s">
        <v>129</v>
      </c>
    </row>
    <row r="1602" spans="1:24" x14ac:dyDescent="0.25">
      <c r="A1602" s="20" t="s">
        <v>2125</v>
      </c>
      <c r="B1602" s="19">
        <v>45400</v>
      </c>
      <c r="C1602" s="20" t="s">
        <v>559</v>
      </c>
      <c r="D1602" s="20" t="s">
        <v>221</v>
      </c>
      <c r="E1602" s="20" t="s">
        <v>150</v>
      </c>
      <c r="F1602" s="20" t="s">
        <v>2591</v>
      </c>
      <c r="G1602" s="20" t="s">
        <v>2587</v>
      </c>
      <c r="H1602" s="20" t="s">
        <v>134</v>
      </c>
      <c r="I1602" s="20" t="s">
        <v>58</v>
      </c>
      <c r="J1602" s="20" t="s">
        <v>73</v>
      </c>
      <c r="K1602" s="20" t="s">
        <v>218</v>
      </c>
      <c r="L1602" s="20" t="s">
        <v>2692</v>
      </c>
      <c r="M1602" s="20" t="s">
        <v>30</v>
      </c>
      <c r="N1602" s="20" t="s">
        <v>84</v>
      </c>
      <c r="O1602" s="20">
        <v>70</v>
      </c>
      <c r="P1602" s="20">
        <v>79.08</v>
      </c>
      <c r="Q1602" s="20">
        <v>54.66</v>
      </c>
      <c r="R1602" s="20">
        <v>5535.93</v>
      </c>
      <c r="S1602" s="20">
        <v>0.2</v>
      </c>
      <c r="T1602" s="20">
        <v>1107.19</v>
      </c>
      <c r="U1602" s="20">
        <v>4428.74</v>
      </c>
      <c r="V1602" s="20">
        <v>3826.4</v>
      </c>
      <c r="W1602" s="20">
        <v>602.34</v>
      </c>
      <c r="X1602" s="20" t="s">
        <v>45</v>
      </c>
    </row>
    <row r="1603" spans="1:24" x14ac:dyDescent="0.25">
      <c r="A1603" s="23" t="s">
        <v>2126</v>
      </c>
      <c r="B1603" s="22">
        <v>45564</v>
      </c>
      <c r="C1603" s="23" t="s">
        <v>328</v>
      </c>
      <c r="D1603" s="23" t="s">
        <v>159</v>
      </c>
      <c r="E1603" s="23" t="s">
        <v>222</v>
      </c>
      <c r="F1603" s="23" t="s">
        <v>2597</v>
      </c>
      <c r="G1603" s="23" t="s">
        <v>2587</v>
      </c>
      <c r="H1603" s="23" t="s">
        <v>68</v>
      </c>
      <c r="I1603" s="23" t="s">
        <v>53</v>
      </c>
      <c r="J1603" s="23" t="s">
        <v>54</v>
      </c>
      <c r="K1603" s="23" t="s">
        <v>265</v>
      </c>
      <c r="L1603" s="23" t="s">
        <v>2663</v>
      </c>
      <c r="M1603" s="23" t="s">
        <v>153</v>
      </c>
      <c r="N1603" s="23" t="s">
        <v>84</v>
      </c>
      <c r="O1603" s="23">
        <v>67</v>
      </c>
      <c r="P1603" s="23">
        <v>123.97</v>
      </c>
      <c r="Q1603" s="23">
        <v>79.37</v>
      </c>
      <c r="R1603" s="23">
        <v>8305.81</v>
      </c>
      <c r="S1603" s="23">
        <v>0.15</v>
      </c>
      <c r="T1603" s="23">
        <v>1245.8699999999999</v>
      </c>
      <c r="U1603" s="23">
        <v>7059.94</v>
      </c>
      <c r="V1603" s="23">
        <v>5317.98</v>
      </c>
      <c r="W1603" s="23">
        <v>1741.95</v>
      </c>
      <c r="X1603" s="23" t="s">
        <v>45</v>
      </c>
    </row>
    <row r="1604" spans="1:24" x14ac:dyDescent="0.25">
      <c r="A1604" s="20" t="s">
        <v>2127</v>
      </c>
      <c r="B1604" s="19">
        <v>45296</v>
      </c>
      <c r="C1604" s="20" t="s">
        <v>182</v>
      </c>
      <c r="D1604" s="20" t="s">
        <v>35</v>
      </c>
      <c r="E1604" s="20" t="s">
        <v>93</v>
      </c>
      <c r="F1604" s="20" t="s">
        <v>2585</v>
      </c>
      <c r="G1604" s="20" t="s">
        <v>2586</v>
      </c>
      <c r="H1604" s="20" t="s">
        <v>96</v>
      </c>
      <c r="I1604" s="20" t="s">
        <v>58</v>
      </c>
      <c r="J1604" s="20" t="s">
        <v>345</v>
      </c>
      <c r="K1604" s="20" t="s">
        <v>83</v>
      </c>
      <c r="L1604" s="20" t="s">
        <v>2683</v>
      </c>
      <c r="M1604" s="20" t="s">
        <v>61</v>
      </c>
      <c r="N1604" s="20" t="s">
        <v>2578</v>
      </c>
      <c r="O1604" s="20">
        <v>41</v>
      </c>
      <c r="P1604" s="20">
        <v>54.75</v>
      </c>
      <c r="Q1604" s="20">
        <v>33.65</v>
      </c>
      <c r="R1604" s="20">
        <v>2244.6</v>
      </c>
      <c r="S1604" s="20">
        <v>0.2</v>
      </c>
      <c r="T1604" s="20">
        <v>448.92</v>
      </c>
      <c r="U1604" s="20">
        <v>1795.68</v>
      </c>
      <c r="V1604" s="20">
        <v>1379.52</v>
      </c>
      <c r="W1604" s="20">
        <v>416.16</v>
      </c>
      <c r="X1604" s="20" t="s">
        <v>32</v>
      </c>
    </row>
    <row r="1605" spans="1:24" x14ac:dyDescent="0.25">
      <c r="A1605" s="23" t="s">
        <v>2128</v>
      </c>
      <c r="B1605" s="22">
        <v>45503</v>
      </c>
      <c r="C1605" s="23" t="s">
        <v>681</v>
      </c>
      <c r="D1605" s="23" t="s">
        <v>105</v>
      </c>
      <c r="E1605" s="23" t="s">
        <v>93</v>
      </c>
      <c r="F1605" s="23" t="s">
        <v>2585</v>
      </c>
      <c r="G1605" s="23" t="s">
        <v>2586</v>
      </c>
      <c r="H1605" s="23" t="s">
        <v>96</v>
      </c>
      <c r="I1605" s="23" t="s">
        <v>27</v>
      </c>
      <c r="J1605" s="23" t="s">
        <v>106</v>
      </c>
      <c r="K1605" s="23" t="s">
        <v>261</v>
      </c>
      <c r="L1605" s="23" t="s">
        <v>2695</v>
      </c>
      <c r="M1605" s="23" t="s">
        <v>61</v>
      </c>
      <c r="N1605" s="23" t="s">
        <v>75</v>
      </c>
      <c r="O1605" s="23">
        <v>53</v>
      </c>
      <c r="P1605" s="23">
        <v>55.95</v>
      </c>
      <c r="Q1605" s="23">
        <v>32.06</v>
      </c>
      <c r="R1605" s="23">
        <v>2965.25</v>
      </c>
      <c r="S1605" s="23">
        <v>0.05</v>
      </c>
      <c r="T1605" s="23">
        <v>148.26</v>
      </c>
      <c r="U1605" s="23">
        <v>2816.99</v>
      </c>
      <c r="V1605" s="23">
        <v>1699.44</v>
      </c>
      <c r="W1605" s="23">
        <v>1117.54</v>
      </c>
      <c r="X1605" s="23" t="s">
        <v>45</v>
      </c>
    </row>
    <row r="1606" spans="1:24" x14ac:dyDescent="0.25">
      <c r="A1606" s="20" t="s">
        <v>2129</v>
      </c>
      <c r="B1606" s="19">
        <v>45385</v>
      </c>
      <c r="C1606" s="20" t="s">
        <v>1159</v>
      </c>
      <c r="D1606" s="20" t="s">
        <v>159</v>
      </c>
      <c r="E1606" s="20" t="s">
        <v>250</v>
      </c>
      <c r="F1606" s="20" t="s">
        <v>2598</v>
      </c>
      <c r="G1606" s="20" t="s">
        <v>2581</v>
      </c>
      <c r="H1606" s="20" t="s">
        <v>252</v>
      </c>
      <c r="I1606" s="20" t="s">
        <v>88</v>
      </c>
      <c r="J1606" s="20" t="s">
        <v>183</v>
      </c>
      <c r="K1606" s="20" t="s">
        <v>178</v>
      </c>
      <c r="L1606" s="20" t="s">
        <v>2689</v>
      </c>
      <c r="M1606" s="20" t="s">
        <v>30</v>
      </c>
      <c r="N1606" s="20" t="s">
        <v>84</v>
      </c>
      <c r="O1606" s="20">
        <v>64</v>
      </c>
      <c r="P1606" s="20">
        <v>61.41</v>
      </c>
      <c r="Q1606" s="20">
        <v>40.700000000000003</v>
      </c>
      <c r="R1606" s="20">
        <v>3930.25</v>
      </c>
      <c r="S1606" s="20">
        <v>0.05</v>
      </c>
      <c r="T1606" s="20">
        <v>196.51</v>
      </c>
      <c r="U1606" s="20">
        <v>3733.74</v>
      </c>
      <c r="V1606" s="20">
        <v>2605.06</v>
      </c>
      <c r="W1606" s="20">
        <v>1128.69</v>
      </c>
      <c r="X1606" s="20" t="s">
        <v>32</v>
      </c>
    </row>
    <row r="1607" spans="1:24" x14ac:dyDescent="0.25">
      <c r="A1607" s="23" t="s">
        <v>2130</v>
      </c>
      <c r="B1607" s="22">
        <v>45414</v>
      </c>
      <c r="C1607" s="23" t="s">
        <v>557</v>
      </c>
      <c r="D1607" s="23" t="s">
        <v>159</v>
      </c>
      <c r="E1607" s="23" t="s">
        <v>216</v>
      </c>
      <c r="F1607" s="23" t="s">
        <v>2596</v>
      </c>
      <c r="G1607" s="23" t="s">
        <v>2579</v>
      </c>
      <c r="H1607" s="23" t="s">
        <v>134</v>
      </c>
      <c r="I1607" s="23" t="s">
        <v>88</v>
      </c>
      <c r="J1607" s="23" t="s">
        <v>183</v>
      </c>
      <c r="K1607" s="23" t="s">
        <v>184</v>
      </c>
      <c r="L1607" s="23" t="s">
        <v>2690</v>
      </c>
      <c r="M1607" s="23" t="s">
        <v>61</v>
      </c>
      <c r="N1607" s="23" t="s">
        <v>75</v>
      </c>
      <c r="O1607" s="23">
        <v>70</v>
      </c>
      <c r="P1607" s="23">
        <v>110.46</v>
      </c>
      <c r="Q1607" s="23">
        <v>69.48</v>
      </c>
      <c r="R1607" s="23">
        <v>7732.53</v>
      </c>
      <c r="S1607" s="23">
        <v>0</v>
      </c>
      <c r="T1607" s="23">
        <v>0</v>
      </c>
      <c r="U1607" s="23">
        <v>7732.53</v>
      </c>
      <c r="V1607" s="23">
        <v>4863.78</v>
      </c>
      <c r="W1607" s="23">
        <v>2868.74</v>
      </c>
      <c r="X1607" s="23" t="s">
        <v>45</v>
      </c>
    </row>
    <row r="1608" spans="1:24" x14ac:dyDescent="0.25">
      <c r="A1608" s="20" t="s">
        <v>2131</v>
      </c>
      <c r="B1608" s="19">
        <v>45649</v>
      </c>
      <c r="C1608" s="20" t="s">
        <v>666</v>
      </c>
      <c r="D1608" s="20" t="s">
        <v>156</v>
      </c>
      <c r="E1608" s="20" t="s">
        <v>216</v>
      </c>
      <c r="F1608" s="20" t="s">
        <v>2596</v>
      </c>
      <c r="G1608" s="20" t="s">
        <v>2579</v>
      </c>
      <c r="H1608" s="20" t="s">
        <v>134</v>
      </c>
      <c r="I1608" s="20" t="s">
        <v>88</v>
      </c>
      <c r="J1608" s="20" t="s">
        <v>2112</v>
      </c>
      <c r="K1608" s="20" t="s">
        <v>152</v>
      </c>
      <c r="L1608" s="20" t="s">
        <v>2688</v>
      </c>
      <c r="M1608" s="20" t="s">
        <v>30</v>
      </c>
      <c r="N1608" s="20" t="s">
        <v>70</v>
      </c>
      <c r="O1608" s="20">
        <v>12</v>
      </c>
      <c r="P1608" s="20">
        <v>112.12</v>
      </c>
      <c r="Q1608" s="20">
        <v>69.599999999999994</v>
      </c>
      <c r="R1608" s="20">
        <v>1345.44</v>
      </c>
      <c r="S1608" s="20">
        <v>0.15</v>
      </c>
      <c r="T1608" s="20">
        <v>201.82</v>
      </c>
      <c r="U1608" s="20">
        <v>1143.6300000000001</v>
      </c>
      <c r="V1608" s="20">
        <v>835.16</v>
      </c>
      <c r="W1608" s="20">
        <v>308.45999999999998</v>
      </c>
      <c r="X1608" s="20" t="s">
        <v>45</v>
      </c>
    </row>
    <row r="1609" spans="1:24" x14ac:dyDescent="0.25">
      <c r="A1609" s="23" t="s">
        <v>2132</v>
      </c>
      <c r="B1609" s="22">
        <v>45400</v>
      </c>
      <c r="C1609" s="23" t="s">
        <v>237</v>
      </c>
      <c r="D1609" s="23" t="s">
        <v>105</v>
      </c>
      <c r="E1609" s="23" t="s">
        <v>36</v>
      </c>
      <c r="F1609" s="23" t="s">
        <v>37</v>
      </c>
      <c r="G1609" s="23" t="s">
        <v>2579</v>
      </c>
      <c r="H1609" s="23" t="s">
        <v>39</v>
      </c>
      <c r="I1609" s="23" t="s">
        <v>53</v>
      </c>
      <c r="J1609" s="23" t="s">
        <v>232</v>
      </c>
      <c r="K1609" s="23" t="s">
        <v>195</v>
      </c>
      <c r="L1609" s="23" t="s">
        <v>2691</v>
      </c>
      <c r="M1609" s="23" t="s">
        <v>30</v>
      </c>
      <c r="N1609" s="23" t="s">
        <v>75</v>
      </c>
      <c r="O1609" s="23">
        <v>52</v>
      </c>
      <c r="P1609" s="23">
        <v>157.75</v>
      </c>
      <c r="Q1609" s="23">
        <v>95.06</v>
      </c>
      <c r="R1609" s="23">
        <v>8202.92</v>
      </c>
      <c r="S1609" s="23">
        <v>0.15</v>
      </c>
      <c r="T1609" s="23">
        <v>1230.44</v>
      </c>
      <c r="U1609" s="23">
        <v>6972.48</v>
      </c>
      <c r="V1609" s="23">
        <v>4942.88</v>
      </c>
      <c r="W1609" s="23">
        <v>2029.6</v>
      </c>
      <c r="X1609" s="23" t="s">
        <v>129</v>
      </c>
    </row>
    <row r="1610" spans="1:24" x14ac:dyDescent="0.25">
      <c r="A1610" s="20" t="s">
        <v>2133</v>
      </c>
      <c r="B1610" s="19">
        <v>45606</v>
      </c>
      <c r="C1610" s="20" t="s">
        <v>2619</v>
      </c>
      <c r="D1610" s="20" t="s">
        <v>2619</v>
      </c>
      <c r="E1610" s="20" t="s">
        <v>216</v>
      </c>
      <c r="F1610" s="20" t="s">
        <v>2596</v>
      </c>
      <c r="G1610" s="20" t="s">
        <v>2579</v>
      </c>
      <c r="H1610" s="20" t="s">
        <v>134</v>
      </c>
      <c r="I1610" s="20" t="s">
        <v>88</v>
      </c>
      <c r="J1610" s="20" t="s">
        <v>183</v>
      </c>
      <c r="K1610" s="20" t="s">
        <v>29</v>
      </c>
      <c r="L1610" s="20" t="s">
        <v>2679</v>
      </c>
      <c r="M1610" s="20" t="s">
        <v>30</v>
      </c>
      <c r="N1610" s="20" t="s">
        <v>70</v>
      </c>
      <c r="O1610" s="20">
        <v>16</v>
      </c>
      <c r="P1610" s="20">
        <v>105.45</v>
      </c>
      <c r="Q1610" s="20">
        <v>62.07</v>
      </c>
      <c r="R1610" s="20">
        <v>1687.21</v>
      </c>
      <c r="S1610" s="20">
        <v>0</v>
      </c>
      <c r="T1610" s="20">
        <v>0</v>
      </c>
      <c r="U1610" s="20">
        <v>1687.21</v>
      </c>
      <c r="V1610" s="20">
        <v>993.16</v>
      </c>
      <c r="W1610" s="20">
        <v>694.04</v>
      </c>
      <c r="X1610" s="20" t="s">
        <v>32</v>
      </c>
    </row>
    <row r="1611" spans="1:24" x14ac:dyDescent="0.25">
      <c r="A1611" s="23" t="s">
        <v>2134</v>
      </c>
      <c r="B1611" s="22">
        <v>45313</v>
      </c>
      <c r="C1611" s="23" t="s">
        <v>717</v>
      </c>
      <c r="D1611" s="23" t="s">
        <v>35</v>
      </c>
      <c r="E1611" s="23" t="s">
        <v>126</v>
      </c>
      <c r="F1611" s="23" t="s">
        <v>2589</v>
      </c>
      <c r="G1611" s="23" t="s">
        <v>2586</v>
      </c>
      <c r="H1611" s="23" t="s">
        <v>128</v>
      </c>
      <c r="I1611" s="23" t="s">
        <v>53</v>
      </c>
      <c r="J1611" s="23" t="s">
        <v>232</v>
      </c>
      <c r="K1611" s="23" t="s">
        <v>60</v>
      </c>
      <c r="L1611" s="23" t="s">
        <v>2677</v>
      </c>
      <c r="M1611" s="23" t="s">
        <v>153</v>
      </c>
      <c r="N1611" s="23" t="s">
        <v>44</v>
      </c>
      <c r="O1611" s="23">
        <v>44</v>
      </c>
      <c r="P1611" s="23">
        <v>92.51</v>
      </c>
      <c r="Q1611" s="23">
        <v>49.2</v>
      </c>
      <c r="R1611" s="23">
        <v>4070.26</v>
      </c>
      <c r="S1611" s="23">
        <v>0.15</v>
      </c>
      <c r="T1611" s="23">
        <v>610.54</v>
      </c>
      <c r="U1611" s="23">
        <v>3459.72</v>
      </c>
      <c r="V1611" s="23">
        <v>2164.7800000000002</v>
      </c>
      <c r="W1611" s="23">
        <v>1294.94</v>
      </c>
      <c r="X1611" s="23" t="s">
        <v>129</v>
      </c>
    </row>
    <row r="1612" spans="1:24" x14ac:dyDescent="0.25">
      <c r="A1612" s="20" t="s">
        <v>2135</v>
      </c>
      <c r="B1612" s="19">
        <v>45452</v>
      </c>
      <c r="C1612" s="20" t="s">
        <v>506</v>
      </c>
      <c r="D1612" s="20" t="s">
        <v>264</v>
      </c>
      <c r="E1612" s="20" t="s">
        <v>222</v>
      </c>
      <c r="F1612" s="20" t="s">
        <v>2597</v>
      </c>
      <c r="G1612" s="20" t="s">
        <v>2587</v>
      </c>
      <c r="H1612" s="20" t="s">
        <v>68</v>
      </c>
      <c r="I1612" s="20" t="s">
        <v>58</v>
      </c>
      <c r="J1612" s="20" t="s">
        <v>73</v>
      </c>
      <c r="K1612" s="20" t="s">
        <v>265</v>
      </c>
      <c r="L1612" s="20" t="s">
        <v>2663</v>
      </c>
      <c r="M1612" s="20" t="s">
        <v>61</v>
      </c>
      <c r="N1612" s="20" t="s">
        <v>70</v>
      </c>
      <c r="O1612" s="20">
        <v>12</v>
      </c>
      <c r="P1612" s="20">
        <v>117.92</v>
      </c>
      <c r="Q1612" s="20">
        <v>76.91</v>
      </c>
      <c r="R1612" s="20">
        <v>1415.01</v>
      </c>
      <c r="S1612" s="20">
        <v>0.2</v>
      </c>
      <c r="T1612" s="20">
        <v>283</v>
      </c>
      <c r="U1612" s="20">
        <v>1132.01</v>
      </c>
      <c r="V1612" s="20">
        <v>922.91</v>
      </c>
      <c r="W1612" s="20">
        <v>209.09</v>
      </c>
      <c r="X1612" s="20" t="s">
        <v>45</v>
      </c>
    </row>
    <row r="1613" spans="1:24" x14ac:dyDescent="0.25">
      <c r="A1613" s="23" t="s">
        <v>2136</v>
      </c>
      <c r="B1613" s="22">
        <v>45343</v>
      </c>
      <c r="C1613" s="23" t="s">
        <v>392</v>
      </c>
      <c r="D1613" s="23" t="s">
        <v>393</v>
      </c>
      <c r="E1613" s="23" t="s">
        <v>250</v>
      </c>
      <c r="F1613" s="23" t="s">
        <v>2598</v>
      </c>
      <c r="G1613" s="23" t="s">
        <v>2581</v>
      </c>
      <c r="H1613" s="23" t="s">
        <v>252</v>
      </c>
      <c r="I1613" s="23" t="s">
        <v>27</v>
      </c>
      <c r="J1613" s="23" t="s">
        <v>189</v>
      </c>
      <c r="K1613" s="23" t="s">
        <v>90</v>
      </c>
      <c r="L1613" s="23" t="s">
        <v>2684</v>
      </c>
      <c r="M1613" s="23" t="s">
        <v>43</v>
      </c>
      <c r="N1613" s="23" t="s">
        <v>75</v>
      </c>
      <c r="O1613" s="23">
        <v>60</v>
      </c>
      <c r="P1613" s="23">
        <v>63.68</v>
      </c>
      <c r="Q1613" s="23">
        <v>36.51</v>
      </c>
      <c r="R1613" s="23">
        <v>3821.04</v>
      </c>
      <c r="S1613" s="23">
        <v>0.15</v>
      </c>
      <c r="T1613" s="23">
        <v>573.16</v>
      </c>
      <c r="U1613" s="23">
        <v>3247.88</v>
      </c>
      <c r="V1613" s="23">
        <v>2190.75</v>
      </c>
      <c r="W1613" s="23">
        <v>1057.1400000000001</v>
      </c>
      <c r="X1613" s="23" t="s">
        <v>45</v>
      </c>
    </row>
    <row r="1614" spans="1:24" x14ac:dyDescent="0.25">
      <c r="A1614" s="20" t="s">
        <v>2137</v>
      </c>
      <c r="B1614" s="19">
        <v>45376</v>
      </c>
      <c r="C1614" s="20" t="s">
        <v>56</v>
      </c>
      <c r="D1614" s="20" t="s">
        <v>57</v>
      </c>
      <c r="E1614" s="20" t="s">
        <v>99</v>
      </c>
      <c r="F1614" s="20" t="s">
        <v>100</v>
      </c>
      <c r="G1614" s="20" t="s">
        <v>2587</v>
      </c>
      <c r="H1614" s="20" t="s">
        <v>102</v>
      </c>
      <c r="I1614" s="20" t="s">
        <v>58</v>
      </c>
      <c r="J1614" s="20" t="s">
        <v>73</v>
      </c>
      <c r="K1614" s="20" t="s">
        <v>69</v>
      </c>
      <c r="L1614" s="20" t="s">
        <v>2681</v>
      </c>
      <c r="M1614" s="20" t="s">
        <v>43</v>
      </c>
      <c r="N1614" s="20" t="s">
        <v>44</v>
      </c>
      <c r="O1614" s="20">
        <v>79</v>
      </c>
      <c r="P1614" s="20">
        <v>68.790000000000006</v>
      </c>
      <c r="Q1614" s="20">
        <v>40.590000000000003</v>
      </c>
      <c r="R1614" s="20">
        <v>5434.66</v>
      </c>
      <c r="S1614" s="20">
        <v>0.02</v>
      </c>
      <c r="T1614" s="20">
        <v>108.69</v>
      </c>
      <c r="U1614" s="20">
        <v>5325.96</v>
      </c>
      <c r="V1614" s="20">
        <v>3206.6</v>
      </c>
      <c r="W1614" s="20">
        <v>2119.37</v>
      </c>
      <c r="X1614" s="20" t="s">
        <v>45</v>
      </c>
    </row>
    <row r="1615" spans="1:24" x14ac:dyDescent="0.25">
      <c r="A1615" s="23" t="s">
        <v>2138</v>
      </c>
      <c r="B1615" s="22">
        <v>45292</v>
      </c>
      <c r="C1615" s="23" t="s">
        <v>325</v>
      </c>
      <c r="D1615" s="23" t="s">
        <v>35</v>
      </c>
      <c r="E1615" s="23" t="s">
        <v>49</v>
      </c>
      <c r="F1615" s="23" t="s">
        <v>2580</v>
      </c>
      <c r="G1615" s="23" t="s">
        <v>2581</v>
      </c>
      <c r="H1615" s="23" t="s">
        <v>52</v>
      </c>
      <c r="I1615" s="23" t="s">
        <v>58</v>
      </c>
      <c r="J1615" s="23" t="s">
        <v>73</v>
      </c>
      <c r="K1615" s="23" t="s">
        <v>69</v>
      </c>
      <c r="L1615" s="23" t="s">
        <v>2681</v>
      </c>
      <c r="M1615" s="23" t="s">
        <v>153</v>
      </c>
      <c r="N1615" s="23" t="s">
        <v>75</v>
      </c>
      <c r="O1615" s="23">
        <v>-5</v>
      </c>
      <c r="P1615" s="23">
        <v>26.17</v>
      </c>
      <c r="Q1615" s="23">
        <v>12.1</v>
      </c>
      <c r="R1615" s="23">
        <v>392.57</v>
      </c>
      <c r="S1615" s="23">
        <v>0.1</v>
      </c>
      <c r="T1615" s="23">
        <v>39.26</v>
      </c>
      <c r="U1615" s="23">
        <v>353.31</v>
      </c>
      <c r="V1615" s="23">
        <v>181.55</v>
      </c>
      <c r="W1615" s="23">
        <v>171.75</v>
      </c>
      <c r="X1615" s="23" t="s">
        <v>32</v>
      </c>
    </row>
    <row r="1616" spans="1:24" x14ac:dyDescent="0.25">
      <c r="A1616" s="20" t="s">
        <v>2139</v>
      </c>
      <c r="B1616" s="19">
        <v>45485</v>
      </c>
      <c r="C1616" s="20" t="s">
        <v>387</v>
      </c>
      <c r="D1616" s="20" t="s">
        <v>22</v>
      </c>
      <c r="E1616" s="20" t="s">
        <v>23</v>
      </c>
      <c r="F1616" s="20" t="s">
        <v>2576</v>
      </c>
      <c r="G1616" s="20" t="s">
        <v>2577</v>
      </c>
      <c r="H1616" s="20" t="s">
        <v>26</v>
      </c>
      <c r="I1616" s="20" t="s">
        <v>40</v>
      </c>
      <c r="J1616" s="20" t="s">
        <v>41</v>
      </c>
      <c r="K1616" s="20" t="s">
        <v>90</v>
      </c>
      <c r="L1616" s="20" t="s">
        <v>2684</v>
      </c>
      <c r="M1616" s="20" t="s">
        <v>153</v>
      </c>
      <c r="N1616" s="20" t="s">
        <v>44</v>
      </c>
      <c r="O1616" s="20">
        <v>67</v>
      </c>
      <c r="P1616" s="20">
        <v>77.69</v>
      </c>
      <c r="Q1616" s="20">
        <v>44.55</v>
      </c>
      <c r="R1616" s="20">
        <v>5205.37</v>
      </c>
      <c r="S1616" s="20">
        <v>0.2</v>
      </c>
      <c r="T1616" s="20">
        <v>1041.07</v>
      </c>
      <c r="U1616" s="20">
        <v>4164.29</v>
      </c>
      <c r="V1616" s="20">
        <v>2984.97</v>
      </c>
      <c r="W1616" s="20">
        <v>1179.32</v>
      </c>
      <c r="X1616" s="20" t="s">
        <v>32</v>
      </c>
    </row>
    <row r="1617" spans="1:24" x14ac:dyDescent="0.25">
      <c r="A1617" s="23" t="s">
        <v>2140</v>
      </c>
      <c r="B1617" s="22">
        <v>45527</v>
      </c>
      <c r="C1617" s="23" t="s">
        <v>426</v>
      </c>
      <c r="D1617" s="23" t="s">
        <v>57</v>
      </c>
      <c r="E1617" s="23" t="s">
        <v>165</v>
      </c>
      <c r="F1617" s="23" t="s">
        <v>2592</v>
      </c>
      <c r="G1617" s="23" t="s">
        <v>2586</v>
      </c>
      <c r="H1617" s="23" t="s">
        <v>167</v>
      </c>
      <c r="I1617" s="23" t="s">
        <v>27</v>
      </c>
      <c r="J1617" s="23" t="s">
        <v>106</v>
      </c>
      <c r="K1617" s="23" t="s">
        <v>83</v>
      </c>
      <c r="L1617" s="23" t="s">
        <v>2683</v>
      </c>
      <c r="M1617" s="23" t="s">
        <v>43</v>
      </c>
      <c r="N1617" s="23" t="s">
        <v>70</v>
      </c>
      <c r="O1617" s="23">
        <v>22</v>
      </c>
      <c r="P1617" s="23">
        <v>39.78</v>
      </c>
      <c r="Q1617" s="23">
        <v>23.78</v>
      </c>
      <c r="R1617" s="23">
        <v>875.2</v>
      </c>
      <c r="S1617" s="23">
        <v>0.2</v>
      </c>
      <c r="T1617" s="23">
        <v>175.04</v>
      </c>
      <c r="U1617" s="23">
        <v>700.16</v>
      </c>
      <c r="V1617" s="23">
        <v>523.16</v>
      </c>
      <c r="W1617" s="23">
        <v>177</v>
      </c>
      <c r="X1617" s="23" t="s">
        <v>45</v>
      </c>
    </row>
    <row r="1618" spans="1:24" x14ac:dyDescent="0.25">
      <c r="A1618" s="20" t="s">
        <v>2141</v>
      </c>
      <c r="B1618" s="19">
        <v>45606</v>
      </c>
      <c r="C1618" s="20" t="s">
        <v>56</v>
      </c>
      <c r="D1618" s="20" t="s">
        <v>57</v>
      </c>
      <c r="E1618" s="20" t="s">
        <v>66</v>
      </c>
      <c r="F1618" s="20" t="s">
        <v>2582</v>
      </c>
      <c r="G1618" s="20" t="s">
        <v>2579</v>
      </c>
      <c r="H1618" s="20" t="s">
        <v>68</v>
      </c>
      <c r="I1618" s="20" t="s">
        <v>27</v>
      </c>
      <c r="J1618" s="20" t="s">
        <v>211</v>
      </c>
      <c r="K1618" s="20" t="s">
        <v>265</v>
      </c>
      <c r="L1618" s="20" t="s">
        <v>2663</v>
      </c>
      <c r="M1618" s="20" t="s">
        <v>43</v>
      </c>
      <c r="N1618" s="20" t="s">
        <v>44</v>
      </c>
      <c r="O1618" s="20">
        <v>3</v>
      </c>
      <c r="P1618" s="20">
        <v>167.09</v>
      </c>
      <c r="Q1618" s="20">
        <v>104.97</v>
      </c>
      <c r="R1618" s="20">
        <v>501.28</v>
      </c>
      <c r="S1618" s="20">
        <v>0.02</v>
      </c>
      <c r="T1618" s="20">
        <v>10.029999999999999</v>
      </c>
      <c r="U1618" s="20">
        <v>491.26</v>
      </c>
      <c r="V1618" s="20">
        <v>314.92</v>
      </c>
      <c r="W1618" s="20">
        <v>176.34</v>
      </c>
      <c r="X1618" s="20" t="s">
        <v>45</v>
      </c>
    </row>
    <row r="1619" spans="1:24" x14ac:dyDescent="0.25">
      <c r="A1619" s="23" t="s">
        <v>2142</v>
      </c>
      <c r="B1619" s="22">
        <v>45596</v>
      </c>
      <c r="C1619" s="23" t="s">
        <v>276</v>
      </c>
      <c r="D1619" s="23" t="s">
        <v>221</v>
      </c>
      <c r="E1619" s="23" t="s">
        <v>222</v>
      </c>
      <c r="F1619" s="23" t="s">
        <v>2597</v>
      </c>
      <c r="G1619" s="23" t="s">
        <v>2587</v>
      </c>
      <c r="H1619" s="23" t="s">
        <v>68</v>
      </c>
      <c r="I1619" s="23" t="s">
        <v>88</v>
      </c>
      <c r="J1619" s="23" t="s">
        <v>173</v>
      </c>
      <c r="K1619" s="23" t="s">
        <v>178</v>
      </c>
      <c r="L1619" s="23" t="s">
        <v>2689</v>
      </c>
      <c r="M1619" s="23" t="s">
        <v>43</v>
      </c>
      <c r="N1619" s="23" t="s">
        <v>44</v>
      </c>
      <c r="O1619" s="23">
        <v>9</v>
      </c>
      <c r="P1619" s="23">
        <v>128.44</v>
      </c>
      <c r="Q1619" s="23">
        <v>82.93</v>
      </c>
      <c r="R1619" s="23">
        <v>1155.95</v>
      </c>
      <c r="S1619" s="23">
        <v>0.2</v>
      </c>
      <c r="T1619" s="23">
        <v>231.19</v>
      </c>
      <c r="U1619" s="23">
        <v>924.76</v>
      </c>
      <c r="V1619" s="23">
        <v>746.35</v>
      </c>
      <c r="W1619" s="23">
        <v>178.41</v>
      </c>
      <c r="X1619" s="23" t="s">
        <v>45</v>
      </c>
    </row>
    <row r="1620" spans="1:24" x14ac:dyDescent="0.25">
      <c r="A1620" s="20" t="s">
        <v>2143</v>
      </c>
      <c r="B1620" s="19">
        <v>45350</v>
      </c>
      <c r="C1620" s="20" t="s">
        <v>541</v>
      </c>
      <c r="D1620" s="20" t="s">
        <v>159</v>
      </c>
      <c r="E1620" s="20" t="s">
        <v>216</v>
      </c>
      <c r="F1620" s="20" t="s">
        <v>2596</v>
      </c>
      <c r="G1620" s="20" t="s">
        <v>2579</v>
      </c>
      <c r="H1620" s="20" t="s">
        <v>134</v>
      </c>
      <c r="I1620" s="20" t="s">
        <v>53</v>
      </c>
      <c r="J1620" s="20" t="s">
        <v>232</v>
      </c>
      <c r="K1620" s="20" t="s">
        <v>42</v>
      </c>
      <c r="L1620" s="20" t="s">
        <v>2680</v>
      </c>
      <c r="M1620" s="20" t="s">
        <v>30</v>
      </c>
      <c r="N1620" s="20" t="s">
        <v>75</v>
      </c>
      <c r="O1620" s="20">
        <v>26</v>
      </c>
      <c r="P1620" s="20">
        <v>109.27</v>
      </c>
      <c r="Q1620" s="20">
        <v>65.41</v>
      </c>
      <c r="R1620" s="20">
        <v>2840.93</v>
      </c>
      <c r="S1620" s="20">
        <v>0</v>
      </c>
      <c r="T1620" s="20">
        <v>0</v>
      </c>
      <c r="U1620" s="20">
        <v>2840.93</v>
      </c>
      <c r="V1620" s="20">
        <v>1700.53</v>
      </c>
      <c r="W1620" s="20">
        <v>1140.4000000000001</v>
      </c>
      <c r="X1620" s="20" t="s">
        <v>45</v>
      </c>
    </row>
    <row r="1621" spans="1:24" x14ac:dyDescent="0.25">
      <c r="A1621" s="23" t="s">
        <v>2144</v>
      </c>
      <c r="B1621" s="22">
        <v>45622</v>
      </c>
      <c r="C1621" s="23" t="s">
        <v>945</v>
      </c>
      <c r="D1621" s="23" t="s">
        <v>159</v>
      </c>
      <c r="E1621" s="23" t="s">
        <v>165</v>
      </c>
      <c r="F1621" s="23" t="s">
        <v>2592</v>
      </c>
      <c r="G1621" s="23" t="s">
        <v>2586</v>
      </c>
      <c r="H1621" s="23" t="s">
        <v>167</v>
      </c>
      <c r="I1621" s="23" t="s">
        <v>27</v>
      </c>
      <c r="J1621" s="23" t="s">
        <v>28</v>
      </c>
      <c r="K1621" s="23" t="s">
        <v>60</v>
      </c>
      <c r="L1621" s="23" t="s">
        <v>2677</v>
      </c>
      <c r="M1621" s="23" t="s">
        <v>61</v>
      </c>
      <c r="N1621" s="23" t="s">
        <v>84</v>
      </c>
      <c r="O1621" s="23">
        <v>78</v>
      </c>
      <c r="P1621" s="23">
        <v>38.81</v>
      </c>
      <c r="Q1621" s="23">
        <v>23.62</v>
      </c>
      <c r="R1621" s="23">
        <v>3027.23</v>
      </c>
      <c r="S1621" s="23">
        <v>0</v>
      </c>
      <c r="T1621" s="23">
        <v>0</v>
      </c>
      <c r="U1621" s="23">
        <v>3027.23</v>
      </c>
      <c r="V1621" s="23">
        <v>1842.72</v>
      </c>
      <c r="W1621" s="23">
        <v>1184.51</v>
      </c>
      <c r="X1621" s="23" t="s">
        <v>129</v>
      </c>
    </row>
    <row r="1622" spans="1:24" x14ac:dyDescent="0.25">
      <c r="A1622" s="20" t="s">
        <v>2145</v>
      </c>
      <c r="B1622" s="19">
        <v>45630</v>
      </c>
      <c r="C1622" s="20" t="s">
        <v>1215</v>
      </c>
      <c r="D1622" s="20" t="s">
        <v>163</v>
      </c>
      <c r="E1622" s="20" t="s">
        <v>93</v>
      </c>
      <c r="F1622" s="20" t="s">
        <v>2585</v>
      </c>
      <c r="G1622" s="20" t="s">
        <v>2586</v>
      </c>
      <c r="H1622" s="20" t="s">
        <v>96</v>
      </c>
      <c r="I1622" s="20" t="s">
        <v>53</v>
      </c>
      <c r="J1622" s="20" t="s">
        <v>232</v>
      </c>
      <c r="K1622" s="20" t="s">
        <v>218</v>
      </c>
      <c r="L1622" s="20" t="s">
        <v>2692</v>
      </c>
      <c r="M1622" s="20" t="s">
        <v>153</v>
      </c>
      <c r="N1622" s="20" t="s">
        <v>75</v>
      </c>
      <c r="O1622" s="20">
        <v>58</v>
      </c>
      <c r="P1622" s="20">
        <v>50.99</v>
      </c>
      <c r="Q1622" s="20">
        <v>30.29</v>
      </c>
      <c r="R1622" s="20">
        <v>2957.21</v>
      </c>
      <c r="S1622" s="20">
        <v>0.05</v>
      </c>
      <c r="T1622" s="20">
        <v>147.86000000000001</v>
      </c>
      <c r="U1622" s="20">
        <v>2809.35</v>
      </c>
      <c r="V1622" s="20">
        <v>1756.74</v>
      </c>
      <c r="W1622" s="20">
        <v>1052.6099999999999</v>
      </c>
      <c r="X1622" s="20" t="s">
        <v>32</v>
      </c>
    </row>
    <row r="1623" spans="1:24" x14ac:dyDescent="0.25">
      <c r="A1623" s="23" t="s">
        <v>2146</v>
      </c>
      <c r="B1623" s="22">
        <v>45621</v>
      </c>
      <c r="C1623" s="23" t="s">
        <v>679</v>
      </c>
      <c r="D1623" s="23" t="s">
        <v>105</v>
      </c>
      <c r="E1623" s="23" t="s">
        <v>176</v>
      </c>
      <c r="F1623" s="23" t="s">
        <v>2593</v>
      </c>
      <c r="G1623" s="23" t="s">
        <v>2587</v>
      </c>
      <c r="H1623" s="23" t="s">
        <v>39</v>
      </c>
      <c r="I1623" s="23" t="s">
        <v>27</v>
      </c>
      <c r="J1623" s="23" t="s">
        <v>106</v>
      </c>
      <c r="K1623" s="23" t="s">
        <v>111</v>
      </c>
      <c r="L1623" s="23" t="s">
        <v>2685</v>
      </c>
      <c r="M1623" s="23" t="s">
        <v>30</v>
      </c>
      <c r="N1623" s="23" t="s">
        <v>75</v>
      </c>
      <c r="O1623" s="23">
        <v>49</v>
      </c>
      <c r="P1623" s="23">
        <v>97.55</v>
      </c>
      <c r="Q1623" s="23">
        <v>59.16</v>
      </c>
      <c r="R1623" s="23">
        <v>4779.75</v>
      </c>
      <c r="S1623" s="23">
        <v>0.15</v>
      </c>
      <c r="T1623" s="23">
        <v>716.96</v>
      </c>
      <c r="U1623" s="23">
        <v>4062.79</v>
      </c>
      <c r="V1623" s="23">
        <v>2898.73</v>
      </c>
      <c r="W1623" s="23">
        <v>1164.06</v>
      </c>
      <c r="X1623" s="23" t="s">
        <v>45</v>
      </c>
    </row>
    <row r="1624" spans="1:24" x14ac:dyDescent="0.25">
      <c r="A1624" s="20" t="s">
        <v>2147</v>
      </c>
      <c r="B1624" s="19">
        <v>45502</v>
      </c>
      <c r="C1624" s="20" t="s">
        <v>137</v>
      </c>
      <c r="D1624" s="20" t="s">
        <v>22</v>
      </c>
      <c r="E1624" s="20" t="s">
        <v>209</v>
      </c>
      <c r="F1624" s="20" t="s">
        <v>2595</v>
      </c>
      <c r="G1624" s="20" t="s">
        <v>2581</v>
      </c>
      <c r="H1624" s="20" t="s">
        <v>116</v>
      </c>
      <c r="I1624" s="20" t="s">
        <v>88</v>
      </c>
      <c r="J1624" s="20" t="s">
        <v>183</v>
      </c>
      <c r="K1624" s="20" t="s">
        <v>90</v>
      </c>
      <c r="L1624" s="20" t="s">
        <v>2684</v>
      </c>
      <c r="M1624" s="20" t="s">
        <v>30</v>
      </c>
      <c r="N1624" s="20" t="s">
        <v>70</v>
      </c>
      <c r="O1624" s="20">
        <v>32</v>
      </c>
      <c r="P1624" s="20">
        <v>18.600000000000001</v>
      </c>
      <c r="Q1624" s="20">
        <v>10.37</v>
      </c>
      <c r="R1624" s="20">
        <v>595.05999999999995</v>
      </c>
      <c r="S1624" s="20">
        <v>0.05</v>
      </c>
      <c r="T1624" s="20">
        <v>29.75</v>
      </c>
      <c r="U1624" s="20">
        <v>565.30999999999995</v>
      </c>
      <c r="V1624" s="20">
        <v>331.73</v>
      </c>
      <c r="W1624" s="20">
        <v>233.59</v>
      </c>
      <c r="X1624" s="20" t="s">
        <v>45</v>
      </c>
    </row>
    <row r="1625" spans="1:24" x14ac:dyDescent="0.25">
      <c r="A1625" s="23" t="s">
        <v>2148</v>
      </c>
      <c r="B1625" s="22">
        <v>45357</v>
      </c>
      <c r="C1625" s="23" t="s">
        <v>515</v>
      </c>
      <c r="D1625" s="23" t="s">
        <v>48</v>
      </c>
      <c r="E1625" s="23" t="s">
        <v>66</v>
      </c>
      <c r="F1625" s="23" t="s">
        <v>2582</v>
      </c>
      <c r="G1625" s="23" t="s">
        <v>2579</v>
      </c>
      <c r="H1625" s="23" t="s">
        <v>68</v>
      </c>
      <c r="I1625" s="23" t="s">
        <v>58</v>
      </c>
      <c r="J1625" s="23" t="s">
        <v>345</v>
      </c>
      <c r="K1625" s="23" t="s">
        <v>111</v>
      </c>
      <c r="L1625" s="23" t="s">
        <v>2685</v>
      </c>
      <c r="M1625" s="23" t="s">
        <v>153</v>
      </c>
      <c r="N1625" s="23" t="s">
        <v>84</v>
      </c>
      <c r="O1625" s="23">
        <v>64</v>
      </c>
      <c r="P1625" s="23">
        <v>156.91999999999999</v>
      </c>
      <c r="Q1625" s="23">
        <v>110.05</v>
      </c>
      <c r="R1625" s="23">
        <v>10043.040000000001</v>
      </c>
      <c r="S1625" s="23">
        <v>0.05</v>
      </c>
      <c r="T1625" s="23">
        <v>502.15</v>
      </c>
      <c r="U1625" s="23">
        <v>9540.89</v>
      </c>
      <c r="V1625" s="23">
        <v>7042.94</v>
      </c>
      <c r="W1625" s="23">
        <v>2497.9499999999998</v>
      </c>
      <c r="X1625" s="23" t="s">
        <v>32</v>
      </c>
    </row>
    <row r="1626" spans="1:24" x14ac:dyDescent="0.25">
      <c r="A1626" s="20" t="s">
        <v>2149</v>
      </c>
      <c r="B1626" s="19">
        <v>45310</v>
      </c>
      <c r="C1626" s="20" t="s">
        <v>1724</v>
      </c>
      <c r="D1626" s="20" t="s">
        <v>121</v>
      </c>
      <c r="E1626" s="20" t="s">
        <v>126</v>
      </c>
      <c r="F1626" s="20" t="s">
        <v>2589</v>
      </c>
      <c r="G1626" s="20" t="s">
        <v>2586</v>
      </c>
      <c r="H1626" s="20" t="s">
        <v>128</v>
      </c>
      <c r="I1626" s="20" t="s">
        <v>40</v>
      </c>
      <c r="J1626" s="20" t="s">
        <v>117</v>
      </c>
      <c r="K1626" s="20" t="s">
        <v>111</v>
      </c>
      <c r="L1626" s="20" t="s">
        <v>2685</v>
      </c>
      <c r="M1626" s="20" t="s">
        <v>61</v>
      </c>
      <c r="N1626" s="20" t="s">
        <v>44</v>
      </c>
      <c r="O1626" s="20">
        <v>28</v>
      </c>
      <c r="P1626" s="20">
        <v>93.97</v>
      </c>
      <c r="Q1626" s="20">
        <v>56.94</v>
      </c>
      <c r="R1626" s="20">
        <v>2631.13</v>
      </c>
      <c r="S1626" s="20">
        <v>0.2</v>
      </c>
      <c r="T1626" s="20">
        <v>526.23</v>
      </c>
      <c r="U1626" s="20">
        <v>2104.9</v>
      </c>
      <c r="V1626" s="20">
        <v>1594.29</v>
      </c>
      <c r="W1626" s="20">
        <v>510.62</v>
      </c>
      <c r="X1626" s="20" t="s">
        <v>45</v>
      </c>
    </row>
    <row r="1627" spans="1:24" x14ac:dyDescent="0.25">
      <c r="A1627" s="23" t="s">
        <v>2150</v>
      </c>
      <c r="B1627" s="22">
        <v>45441</v>
      </c>
      <c r="C1627" s="23" t="s">
        <v>613</v>
      </c>
      <c r="D1627" s="23" t="s">
        <v>87</v>
      </c>
      <c r="E1627" s="23" t="s">
        <v>165</v>
      </c>
      <c r="F1627" s="23" t="s">
        <v>2592</v>
      </c>
      <c r="G1627" s="23" t="s">
        <v>2586</v>
      </c>
      <c r="H1627" s="23" t="s">
        <v>167</v>
      </c>
      <c r="I1627" s="23" t="s">
        <v>27</v>
      </c>
      <c r="J1627" s="23" t="s">
        <v>106</v>
      </c>
      <c r="K1627" s="23" t="s">
        <v>144</v>
      </c>
      <c r="L1627" s="23" t="s">
        <v>2687</v>
      </c>
      <c r="M1627" s="23" t="s">
        <v>61</v>
      </c>
      <c r="N1627" s="23" t="s">
        <v>70</v>
      </c>
      <c r="O1627" s="23">
        <v>14</v>
      </c>
      <c r="P1627" s="23">
        <v>39.130000000000003</v>
      </c>
      <c r="Q1627" s="23">
        <v>25.49</v>
      </c>
      <c r="R1627" s="23">
        <v>547.84</v>
      </c>
      <c r="S1627" s="23">
        <v>0.05</v>
      </c>
      <c r="T1627" s="23">
        <v>27.39</v>
      </c>
      <c r="U1627" s="23">
        <v>534.74</v>
      </c>
      <c r="V1627" s="23">
        <v>356.85</v>
      </c>
      <c r="W1627" s="23">
        <v>163.59</v>
      </c>
      <c r="X1627" s="23" t="s">
        <v>45</v>
      </c>
    </row>
    <row r="1628" spans="1:24" x14ac:dyDescent="0.25">
      <c r="A1628" s="20" t="s">
        <v>2151</v>
      </c>
      <c r="B1628" s="19">
        <v>45538</v>
      </c>
      <c r="C1628" s="20" t="s">
        <v>823</v>
      </c>
      <c r="D1628" s="20" t="s">
        <v>87</v>
      </c>
      <c r="E1628" s="20" t="s">
        <v>126</v>
      </c>
      <c r="F1628" s="20" t="s">
        <v>2589</v>
      </c>
      <c r="G1628" s="20" t="s">
        <v>2586</v>
      </c>
      <c r="H1628" s="20" t="s">
        <v>128</v>
      </c>
      <c r="I1628" s="20" t="s">
        <v>40</v>
      </c>
      <c r="J1628" s="20" t="s">
        <v>117</v>
      </c>
      <c r="K1628" s="20" t="s">
        <v>178</v>
      </c>
      <c r="L1628" s="20" t="s">
        <v>2689</v>
      </c>
      <c r="M1628" s="20" t="s">
        <v>61</v>
      </c>
      <c r="N1628" s="20" t="s">
        <v>75</v>
      </c>
      <c r="O1628" s="20">
        <v>15</v>
      </c>
      <c r="P1628" s="20">
        <v>84.5</v>
      </c>
      <c r="Q1628" s="20">
        <v>53.65</v>
      </c>
      <c r="R1628" s="20">
        <v>1267.43</v>
      </c>
      <c r="S1628" s="20">
        <v>0.05</v>
      </c>
      <c r="T1628" s="20">
        <v>63.37</v>
      </c>
      <c r="U1628" s="20">
        <v>1204.06</v>
      </c>
      <c r="V1628" s="20">
        <v>804.73</v>
      </c>
      <c r="W1628" s="20">
        <v>399.33</v>
      </c>
      <c r="X1628" s="20" t="s">
        <v>45</v>
      </c>
    </row>
    <row r="1629" spans="1:24" x14ac:dyDescent="0.25">
      <c r="A1629" s="23" t="s">
        <v>2152</v>
      </c>
      <c r="B1629" s="22">
        <v>45465</v>
      </c>
      <c r="C1629" s="23" t="s">
        <v>280</v>
      </c>
      <c r="D1629" s="23" t="s">
        <v>35</v>
      </c>
      <c r="E1629" s="23" t="s">
        <v>141</v>
      </c>
      <c r="F1629" s="23" t="s">
        <v>2590</v>
      </c>
      <c r="G1629" s="23" t="s">
        <v>2577</v>
      </c>
      <c r="H1629" s="23" t="s">
        <v>26</v>
      </c>
      <c r="I1629" s="23" t="s">
        <v>53</v>
      </c>
      <c r="J1629" s="23" t="s">
        <v>143</v>
      </c>
      <c r="K1629" s="23" t="s">
        <v>170</v>
      </c>
      <c r="L1629" s="23" t="s">
        <v>2671</v>
      </c>
      <c r="M1629" s="23" t="s">
        <v>30</v>
      </c>
      <c r="N1629" s="23" t="s">
        <v>44</v>
      </c>
      <c r="O1629" s="23">
        <v>30</v>
      </c>
      <c r="P1629" s="23">
        <v>87.69</v>
      </c>
      <c r="Q1629" s="23">
        <v>60.59</v>
      </c>
      <c r="R1629" s="23">
        <v>2630.73</v>
      </c>
      <c r="S1629" s="23">
        <v>0.15</v>
      </c>
      <c r="T1629" s="23">
        <v>394.61</v>
      </c>
      <c r="U1629" s="23">
        <v>2236.12</v>
      </c>
      <c r="V1629" s="23">
        <v>1817.7</v>
      </c>
      <c r="W1629" s="23">
        <v>418.42</v>
      </c>
      <c r="X1629" s="23" t="s">
        <v>32</v>
      </c>
    </row>
    <row r="1630" spans="1:24" x14ac:dyDescent="0.25">
      <c r="A1630" s="20" t="s">
        <v>2153</v>
      </c>
      <c r="B1630" s="19">
        <v>45578</v>
      </c>
      <c r="C1630" s="20" t="s">
        <v>832</v>
      </c>
      <c r="D1630" s="20" t="s">
        <v>159</v>
      </c>
      <c r="E1630" s="20" t="s">
        <v>36</v>
      </c>
      <c r="F1630" s="20" t="s">
        <v>37</v>
      </c>
      <c r="G1630" s="20" t="s">
        <v>2579</v>
      </c>
      <c r="H1630" s="20" t="s">
        <v>39</v>
      </c>
      <c r="I1630" s="20" t="s">
        <v>88</v>
      </c>
      <c r="J1630" s="20" t="s">
        <v>2112</v>
      </c>
      <c r="K1630" s="20" t="s">
        <v>253</v>
      </c>
      <c r="L1630" s="20" t="s">
        <v>2694</v>
      </c>
      <c r="M1630" s="20" t="s">
        <v>43</v>
      </c>
      <c r="N1630" s="20" t="s">
        <v>2578</v>
      </c>
      <c r="O1630" s="20">
        <v>79</v>
      </c>
      <c r="P1630" s="20">
        <v>158.33000000000001</v>
      </c>
      <c r="Q1630" s="20">
        <v>104.87</v>
      </c>
      <c r="R1630" s="20">
        <v>12507.83</v>
      </c>
      <c r="S1630" s="20">
        <v>0.2</v>
      </c>
      <c r="T1630" s="20">
        <v>2501.5700000000002</v>
      </c>
      <c r="U1630" s="20">
        <v>10006.26</v>
      </c>
      <c r="V1630" s="20">
        <v>8284.94</v>
      </c>
      <c r="W1630" s="20">
        <v>1721.32</v>
      </c>
      <c r="X1630" s="20" t="s">
        <v>45</v>
      </c>
    </row>
    <row r="1631" spans="1:24" x14ac:dyDescent="0.25">
      <c r="A1631" s="23" t="s">
        <v>2154</v>
      </c>
      <c r="B1631" s="22">
        <v>45354</v>
      </c>
      <c r="C1631" s="23" t="s">
        <v>451</v>
      </c>
      <c r="D1631" s="23" t="s">
        <v>87</v>
      </c>
      <c r="E1631" s="23" t="s">
        <v>216</v>
      </c>
      <c r="F1631" s="23" t="s">
        <v>2596</v>
      </c>
      <c r="G1631" s="23" t="s">
        <v>2579</v>
      </c>
      <c r="H1631" s="23" t="s">
        <v>134</v>
      </c>
      <c r="I1631" s="23" t="s">
        <v>88</v>
      </c>
      <c r="J1631" s="23" t="s">
        <v>2112</v>
      </c>
      <c r="K1631" s="23" t="s">
        <v>144</v>
      </c>
      <c r="L1631" s="23" t="s">
        <v>2687</v>
      </c>
      <c r="M1631" s="23" t="s">
        <v>61</v>
      </c>
      <c r="N1631" s="23" t="s">
        <v>75</v>
      </c>
      <c r="O1631" s="23">
        <v>6</v>
      </c>
      <c r="P1631" s="23">
        <v>101.39</v>
      </c>
      <c r="Q1631" s="23">
        <v>70.5</v>
      </c>
      <c r="R1631" s="23">
        <v>608.34</v>
      </c>
      <c r="S1631" s="23">
        <v>0</v>
      </c>
      <c r="T1631" s="23">
        <v>0</v>
      </c>
      <c r="U1631" s="23">
        <v>608.34</v>
      </c>
      <c r="V1631" s="23">
        <v>423</v>
      </c>
      <c r="W1631" s="23">
        <v>185.34</v>
      </c>
      <c r="X1631" s="23" t="s">
        <v>45</v>
      </c>
    </row>
    <row r="1632" spans="1:24" x14ac:dyDescent="0.25">
      <c r="A1632" s="20" t="s">
        <v>2155</v>
      </c>
      <c r="B1632" s="19">
        <v>45547</v>
      </c>
      <c r="C1632" s="20" t="s">
        <v>428</v>
      </c>
      <c r="D1632" s="20" t="s">
        <v>57</v>
      </c>
      <c r="E1632" s="20" t="s">
        <v>114</v>
      </c>
      <c r="F1632" s="20" t="s">
        <v>2588</v>
      </c>
      <c r="G1632" s="20" t="s">
        <v>2586</v>
      </c>
      <c r="H1632" s="20" t="s">
        <v>116</v>
      </c>
      <c r="I1632" s="20" t="s">
        <v>40</v>
      </c>
      <c r="J1632" s="20" t="s">
        <v>41</v>
      </c>
      <c r="K1632" s="20" t="s">
        <v>218</v>
      </c>
      <c r="L1632" s="20" t="s">
        <v>2692</v>
      </c>
      <c r="M1632" s="20" t="s">
        <v>153</v>
      </c>
      <c r="N1632" s="20" t="s">
        <v>2578</v>
      </c>
      <c r="O1632" s="20">
        <v>79</v>
      </c>
      <c r="P1632" s="20">
        <v>33</v>
      </c>
      <c r="Q1632" s="20">
        <v>21</v>
      </c>
      <c r="R1632" s="20">
        <v>2606.84</v>
      </c>
      <c r="S1632" s="20">
        <v>0</v>
      </c>
      <c r="T1632" s="20">
        <v>0</v>
      </c>
      <c r="U1632" s="20">
        <v>2606.84</v>
      </c>
      <c r="V1632" s="20">
        <v>1658.7</v>
      </c>
      <c r="W1632" s="20">
        <v>948.14</v>
      </c>
      <c r="X1632" s="20" t="s">
        <v>45</v>
      </c>
    </row>
    <row r="1633" spans="1:24" x14ac:dyDescent="0.25">
      <c r="A1633" s="23" t="s">
        <v>2156</v>
      </c>
      <c r="B1633" s="22">
        <v>45481</v>
      </c>
      <c r="C1633" s="23" t="s">
        <v>1028</v>
      </c>
      <c r="D1633" s="23" t="s">
        <v>57</v>
      </c>
      <c r="E1633" s="23" t="s">
        <v>36</v>
      </c>
      <c r="F1633" s="23" t="s">
        <v>37</v>
      </c>
      <c r="G1633" s="23" t="s">
        <v>2579</v>
      </c>
      <c r="H1633" s="23" t="s">
        <v>39</v>
      </c>
      <c r="I1633" s="23" t="s">
        <v>27</v>
      </c>
      <c r="J1633" s="23" t="s">
        <v>211</v>
      </c>
      <c r="K1633" s="23" t="s">
        <v>184</v>
      </c>
      <c r="L1633" s="23" t="s">
        <v>2690</v>
      </c>
      <c r="M1633" s="23" t="s">
        <v>153</v>
      </c>
      <c r="N1633" s="23" t="s">
        <v>2578</v>
      </c>
      <c r="O1633" s="23">
        <v>47</v>
      </c>
      <c r="P1633" s="23">
        <v>160.65</v>
      </c>
      <c r="Q1633" s="23">
        <v>92.14</v>
      </c>
      <c r="R1633" s="23">
        <v>7550.61</v>
      </c>
      <c r="S1633" s="23">
        <v>0</v>
      </c>
      <c r="T1633" s="23">
        <v>0</v>
      </c>
      <c r="U1633" s="23">
        <v>7550.61</v>
      </c>
      <c r="V1633" s="23">
        <v>4330.6499999999996</v>
      </c>
      <c r="W1633" s="23">
        <v>3219.96</v>
      </c>
      <c r="X1633" s="23" t="s">
        <v>32</v>
      </c>
    </row>
    <row r="1634" spans="1:24" x14ac:dyDescent="0.25">
      <c r="A1634" s="20" t="s">
        <v>2157</v>
      </c>
      <c r="B1634" s="19">
        <v>45376</v>
      </c>
      <c r="C1634" s="20" t="s">
        <v>1709</v>
      </c>
      <c r="D1634" s="20" t="s">
        <v>159</v>
      </c>
      <c r="E1634" s="20" t="s">
        <v>216</v>
      </c>
      <c r="F1634" s="20" t="s">
        <v>2596</v>
      </c>
      <c r="G1634" s="20" t="s">
        <v>2579</v>
      </c>
      <c r="H1634" s="20" t="s">
        <v>134</v>
      </c>
      <c r="I1634" s="20" t="s">
        <v>58</v>
      </c>
      <c r="J1634" s="20" t="s">
        <v>323</v>
      </c>
      <c r="K1634" s="20" t="s">
        <v>170</v>
      </c>
      <c r="L1634" s="20" t="s">
        <v>2671</v>
      </c>
      <c r="M1634" s="20" t="s">
        <v>153</v>
      </c>
      <c r="N1634" s="20" t="s">
        <v>2578</v>
      </c>
      <c r="O1634" s="20">
        <v>68</v>
      </c>
      <c r="P1634" s="20">
        <v>107.99</v>
      </c>
      <c r="Q1634" s="20">
        <v>65.290000000000006</v>
      </c>
      <c r="R1634" s="20">
        <v>7342.98</v>
      </c>
      <c r="S1634" s="20">
        <v>0.2</v>
      </c>
      <c r="T1634" s="20">
        <v>1468.6</v>
      </c>
      <c r="U1634" s="20">
        <v>5874.38</v>
      </c>
      <c r="V1634" s="20">
        <v>4439.6499999999996</v>
      </c>
      <c r="W1634" s="20">
        <v>1434.74</v>
      </c>
      <c r="X1634" s="20" t="s">
        <v>45</v>
      </c>
    </row>
    <row r="1635" spans="1:24" x14ac:dyDescent="0.25">
      <c r="A1635" s="23" t="s">
        <v>2158</v>
      </c>
      <c r="B1635" s="22">
        <v>45299</v>
      </c>
      <c r="C1635" s="23" t="s">
        <v>1334</v>
      </c>
      <c r="D1635" s="23" t="s">
        <v>35</v>
      </c>
      <c r="E1635" s="23" t="s">
        <v>126</v>
      </c>
      <c r="F1635" s="23" t="s">
        <v>2589</v>
      </c>
      <c r="G1635" s="23" t="s">
        <v>2586</v>
      </c>
      <c r="H1635" s="23" t="s">
        <v>128</v>
      </c>
      <c r="I1635" s="23" t="s">
        <v>88</v>
      </c>
      <c r="J1635" s="23" t="s">
        <v>2112</v>
      </c>
      <c r="K1635" s="23" t="s">
        <v>265</v>
      </c>
      <c r="L1635" s="23" t="s">
        <v>2663</v>
      </c>
      <c r="M1635" s="23" t="s">
        <v>61</v>
      </c>
      <c r="N1635" s="23" t="s">
        <v>44</v>
      </c>
      <c r="O1635" s="23">
        <v>36</v>
      </c>
      <c r="P1635" s="23">
        <v>86.76</v>
      </c>
      <c r="Q1635" s="23">
        <v>52.11</v>
      </c>
      <c r="R1635" s="23">
        <v>3123.22</v>
      </c>
      <c r="S1635" s="23">
        <v>0.2</v>
      </c>
      <c r="T1635" s="23">
        <v>624.64</v>
      </c>
      <c r="U1635" s="23">
        <v>2498.58</v>
      </c>
      <c r="V1635" s="23">
        <v>1875.82</v>
      </c>
      <c r="W1635" s="23">
        <v>622.76</v>
      </c>
      <c r="X1635" s="23" t="s">
        <v>45</v>
      </c>
    </row>
    <row r="1636" spans="1:24" x14ac:dyDescent="0.25">
      <c r="A1636" s="20" t="s">
        <v>2159</v>
      </c>
      <c r="B1636" s="19">
        <v>45349</v>
      </c>
      <c r="C1636" s="20" t="s">
        <v>392</v>
      </c>
      <c r="D1636" s="20" t="s">
        <v>393</v>
      </c>
      <c r="E1636" s="20" t="s">
        <v>176</v>
      </c>
      <c r="F1636" s="20" t="s">
        <v>2593</v>
      </c>
      <c r="G1636" s="20" t="s">
        <v>2587</v>
      </c>
      <c r="H1636" s="20" t="s">
        <v>39</v>
      </c>
      <c r="I1636" s="20" t="s">
        <v>53</v>
      </c>
      <c r="J1636" s="20" t="s">
        <v>143</v>
      </c>
      <c r="K1636" s="20" t="s">
        <v>144</v>
      </c>
      <c r="L1636" s="20" t="s">
        <v>2687</v>
      </c>
      <c r="M1636" s="20" t="s">
        <v>30</v>
      </c>
      <c r="N1636" s="20" t="s">
        <v>70</v>
      </c>
      <c r="O1636" s="20">
        <v>30</v>
      </c>
      <c r="P1636" s="20">
        <v>104.68</v>
      </c>
      <c r="Q1636" s="20">
        <v>64.64</v>
      </c>
      <c r="R1636" s="20">
        <v>3140.37</v>
      </c>
      <c r="S1636" s="20">
        <v>0</v>
      </c>
      <c r="T1636" s="20">
        <v>0</v>
      </c>
      <c r="U1636" s="20">
        <v>3140.37</v>
      </c>
      <c r="V1636" s="20">
        <v>1939.12</v>
      </c>
      <c r="W1636" s="20">
        <v>1201.25</v>
      </c>
      <c r="X1636" s="20" t="s">
        <v>45</v>
      </c>
    </row>
    <row r="1637" spans="1:24" x14ac:dyDescent="0.25">
      <c r="A1637" s="23" t="s">
        <v>2160</v>
      </c>
      <c r="B1637" s="22">
        <v>45536</v>
      </c>
      <c r="C1637" s="23" t="s">
        <v>34</v>
      </c>
      <c r="D1637" s="23" t="s">
        <v>35</v>
      </c>
      <c r="E1637" s="23" t="s">
        <v>216</v>
      </c>
      <c r="F1637" s="23" t="s">
        <v>2596</v>
      </c>
      <c r="G1637" s="23" t="s">
        <v>2579</v>
      </c>
      <c r="H1637" s="23" t="s">
        <v>134</v>
      </c>
      <c r="I1637" s="23" t="s">
        <v>88</v>
      </c>
      <c r="J1637" s="23" t="s">
        <v>135</v>
      </c>
      <c r="K1637" s="23" t="s">
        <v>144</v>
      </c>
      <c r="L1637" s="23" t="s">
        <v>2687</v>
      </c>
      <c r="M1637" s="23" t="s">
        <v>30</v>
      </c>
      <c r="N1637" s="23" t="s">
        <v>44</v>
      </c>
      <c r="O1637" s="23">
        <v>62</v>
      </c>
      <c r="P1637" s="23">
        <v>112.76</v>
      </c>
      <c r="Q1637" s="23">
        <v>72.02</v>
      </c>
      <c r="R1637" s="23">
        <v>6991.05</v>
      </c>
      <c r="S1637" s="23">
        <v>0.02</v>
      </c>
      <c r="T1637" s="23">
        <v>139.82</v>
      </c>
      <c r="U1637" s="23">
        <v>6851.23</v>
      </c>
      <c r="V1637" s="23">
        <v>4465.41</v>
      </c>
      <c r="W1637" s="23">
        <v>2385.8200000000002</v>
      </c>
      <c r="X1637" s="23" t="s">
        <v>129</v>
      </c>
    </row>
    <row r="1638" spans="1:24" x14ac:dyDescent="0.25">
      <c r="A1638" s="20" t="s">
        <v>2161</v>
      </c>
      <c r="B1638" s="19">
        <v>45464</v>
      </c>
      <c r="C1638" s="20" t="s">
        <v>239</v>
      </c>
      <c r="D1638" s="20" t="s">
        <v>65</v>
      </c>
      <c r="E1638" s="20" t="s">
        <v>126</v>
      </c>
      <c r="F1638" s="20" t="s">
        <v>2589</v>
      </c>
      <c r="G1638" s="20" t="s">
        <v>2586</v>
      </c>
      <c r="H1638" s="20" t="s">
        <v>128</v>
      </c>
      <c r="I1638" s="20" t="s">
        <v>58</v>
      </c>
      <c r="J1638" s="20" t="s">
        <v>59</v>
      </c>
      <c r="K1638" s="20" t="s">
        <v>261</v>
      </c>
      <c r="L1638" s="20" t="s">
        <v>2695</v>
      </c>
      <c r="M1638" s="20" t="s">
        <v>43</v>
      </c>
      <c r="N1638" s="20" t="s">
        <v>84</v>
      </c>
      <c r="O1638" s="20">
        <v>54</v>
      </c>
      <c r="P1638" s="20">
        <v>95.59</v>
      </c>
      <c r="Q1638" s="20">
        <v>51.52</v>
      </c>
      <c r="R1638" s="20">
        <v>5161.8</v>
      </c>
      <c r="S1638" s="20">
        <v>0</v>
      </c>
      <c r="T1638" s="20">
        <v>0</v>
      </c>
      <c r="U1638" s="20">
        <v>5161.8</v>
      </c>
      <c r="V1638" s="20">
        <v>2782</v>
      </c>
      <c r="W1638" s="20">
        <v>2379.8000000000002</v>
      </c>
      <c r="X1638" s="20" t="s">
        <v>45</v>
      </c>
    </row>
    <row r="1639" spans="1:24" x14ac:dyDescent="0.25">
      <c r="A1639" s="23" t="s">
        <v>2162</v>
      </c>
      <c r="B1639" s="22">
        <v>45381</v>
      </c>
      <c r="C1639" s="23" t="s">
        <v>451</v>
      </c>
      <c r="D1639" s="23" t="s">
        <v>87</v>
      </c>
      <c r="E1639" s="23" t="s">
        <v>150</v>
      </c>
      <c r="F1639" s="23" t="s">
        <v>2591</v>
      </c>
      <c r="G1639" s="23" t="s">
        <v>2587</v>
      </c>
      <c r="H1639" s="23" t="s">
        <v>134</v>
      </c>
      <c r="I1639" s="23" t="s">
        <v>40</v>
      </c>
      <c r="J1639" s="23" t="s">
        <v>82</v>
      </c>
      <c r="K1639" s="23" t="s">
        <v>265</v>
      </c>
      <c r="L1639" s="23" t="s">
        <v>2663</v>
      </c>
      <c r="M1639" s="23" t="s">
        <v>153</v>
      </c>
      <c r="N1639" s="23" t="s">
        <v>75</v>
      </c>
      <c r="O1639" s="23">
        <v>62</v>
      </c>
      <c r="P1639" s="23">
        <v>86.76</v>
      </c>
      <c r="Q1639" s="23">
        <v>47.36</v>
      </c>
      <c r="R1639" s="23">
        <v>5379.24</v>
      </c>
      <c r="S1639" s="23">
        <v>0.1</v>
      </c>
      <c r="T1639" s="23">
        <v>537.91999999999996</v>
      </c>
      <c r="U1639" s="23">
        <v>4841.32</v>
      </c>
      <c r="V1639" s="23">
        <v>2936.53</v>
      </c>
      <c r="W1639" s="23">
        <v>1904.79</v>
      </c>
      <c r="X1639" s="23" t="s">
        <v>45</v>
      </c>
    </row>
    <row r="1640" spans="1:24" x14ac:dyDescent="0.25">
      <c r="A1640" s="20" t="s">
        <v>2163</v>
      </c>
      <c r="B1640" s="19">
        <v>45578</v>
      </c>
      <c r="C1640" s="20" t="s">
        <v>506</v>
      </c>
      <c r="D1640" s="20" t="s">
        <v>264</v>
      </c>
      <c r="E1640" s="20" t="s">
        <v>109</v>
      </c>
      <c r="F1640" s="20" t="s">
        <v>110</v>
      </c>
      <c r="G1640" s="20" t="s">
        <v>2584</v>
      </c>
      <c r="H1640" s="20" t="s">
        <v>81</v>
      </c>
      <c r="I1640" s="20" t="s">
        <v>53</v>
      </c>
      <c r="J1640" s="20" t="s">
        <v>122</v>
      </c>
      <c r="K1640" s="20" t="s">
        <v>144</v>
      </c>
      <c r="L1640" s="20" t="s">
        <v>2687</v>
      </c>
      <c r="M1640" s="20" t="s">
        <v>153</v>
      </c>
      <c r="N1640" s="20" t="s">
        <v>2578</v>
      </c>
      <c r="O1640" s="20">
        <v>17</v>
      </c>
      <c r="P1640" s="20">
        <v>133.09</v>
      </c>
      <c r="Q1640" s="20">
        <v>77.760000000000005</v>
      </c>
      <c r="R1640" s="20">
        <v>2262.48</v>
      </c>
      <c r="S1640" s="20">
        <v>0.02</v>
      </c>
      <c r="T1640" s="20">
        <v>45.25</v>
      </c>
      <c r="U1640" s="20">
        <v>2217.23</v>
      </c>
      <c r="V1640" s="20">
        <v>1321.89</v>
      </c>
      <c r="W1640" s="20">
        <v>895.34</v>
      </c>
      <c r="X1640" s="20" t="s">
        <v>45</v>
      </c>
    </row>
    <row r="1641" spans="1:24" x14ac:dyDescent="0.25">
      <c r="A1641" s="23" t="s">
        <v>2164</v>
      </c>
      <c r="B1641" s="22">
        <v>45591</v>
      </c>
      <c r="C1641" s="23" t="s">
        <v>480</v>
      </c>
      <c r="D1641" s="23" t="s">
        <v>22</v>
      </c>
      <c r="E1641" s="23" t="s">
        <v>36</v>
      </c>
      <c r="F1641" s="23" t="s">
        <v>37</v>
      </c>
      <c r="G1641" s="23" t="s">
        <v>2579</v>
      </c>
      <c r="H1641" s="23" t="s">
        <v>39</v>
      </c>
      <c r="I1641" s="23" t="s">
        <v>53</v>
      </c>
      <c r="J1641" s="23" t="s">
        <v>54</v>
      </c>
      <c r="K1641" s="23" t="s">
        <v>248</v>
      </c>
      <c r="L1641" s="23" t="s">
        <v>2693</v>
      </c>
      <c r="M1641" s="23" t="s">
        <v>30</v>
      </c>
      <c r="N1641" s="23" t="s">
        <v>2578</v>
      </c>
      <c r="O1641" s="23">
        <v>64</v>
      </c>
      <c r="P1641" s="23">
        <v>156.87</v>
      </c>
      <c r="Q1641" s="23">
        <v>96.2</v>
      </c>
      <c r="R1641" s="23">
        <v>10039.379999999999</v>
      </c>
      <c r="S1641" s="23">
        <v>0.2</v>
      </c>
      <c r="T1641" s="23">
        <v>2007.88</v>
      </c>
      <c r="U1641" s="23">
        <v>8031.5</v>
      </c>
      <c r="V1641" s="23">
        <v>6156.94</v>
      </c>
      <c r="W1641" s="23">
        <v>1874.56</v>
      </c>
      <c r="X1641" s="23" t="s">
        <v>45</v>
      </c>
    </row>
    <row r="1642" spans="1:24" x14ac:dyDescent="0.25">
      <c r="A1642" s="20" t="s">
        <v>2165</v>
      </c>
      <c r="B1642" s="19">
        <v>45514</v>
      </c>
      <c r="C1642" s="20" t="s">
        <v>325</v>
      </c>
      <c r="D1642" s="20" t="s">
        <v>35</v>
      </c>
      <c r="E1642" s="20" t="s">
        <v>36</v>
      </c>
      <c r="F1642" s="20" t="s">
        <v>37</v>
      </c>
      <c r="G1642" s="20" t="s">
        <v>2579</v>
      </c>
      <c r="H1642" s="20" t="s">
        <v>39</v>
      </c>
      <c r="I1642" s="20" t="s">
        <v>53</v>
      </c>
      <c r="J1642" s="20" t="s">
        <v>232</v>
      </c>
      <c r="K1642" s="20" t="s">
        <v>253</v>
      </c>
      <c r="L1642" s="20" t="s">
        <v>2694</v>
      </c>
      <c r="M1642" s="20" t="s">
        <v>547</v>
      </c>
      <c r="N1642" s="20" t="s">
        <v>44</v>
      </c>
      <c r="O1642" s="20">
        <v>6</v>
      </c>
      <c r="P1642" s="20">
        <v>174.47</v>
      </c>
      <c r="Q1642" s="20">
        <v>102.93</v>
      </c>
      <c r="R1642" s="20">
        <v>1046.83</v>
      </c>
      <c r="S1642" s="20">
        <v>0.1</v>
      </c>
      <c r="T1642" s="20">
        <v>104.68</v>
      </c>
      <c r="U1642" s="20">
        <v>942.15</v>
      </c>
      <c r="V1642" s="20">
        <v>617.6</v>
      </c>
      <c r="W1642" s="20">
        <v>324.54000000000002</v>
      </c>
      <c r="X1642" s="20" t="s">
        <v>45</v>
      </c>
    </row>
    <row r="1643" spans="1:24" x14ac:dyDescent="0.25">
      <c r="A1643" s="23" t="s">
        <v>2166</v>
      </c>
      <c r="B1643" s="22">
        <v>45615</v>
      </c>
      <c r="C1643" s="23" t="s">
        <v>333</v>
      </c>
      <c r="D1643" s="23" t="s">
        <v>57</v>
      </c>
      <c r="E1643" s="23" t="s">
        <v>176</v>
      </c>
      <c r="F1643" s="23" t="s">
        <v>2593</v>
      </c>
      <c r="G1643" s="23" t="s">
        <v>2587</v>
      </c>
      <c r="H1643" s="23" t="s">
        <v>39</v>
      </c>
      <c r="I1643" s="23" t="s">
        <v>40</v>
      </c>
      <c r="J1643" s="23" t="s">
        <v>117</v>
      </c>
      <c r="K1643" s="23" t="s">
        <v>60</v>
      </c>
      <c r="L1643" s="23" t="s">
        <v>2677</v>
      </c>
      <c r="M1643" s="23" t="s">
        <v>153</v>
      </c>
      <c r="N1643" s="23" t="s">
        <v>2578</v>
      </c>
      <c r="O1643" s="23">
        <v>66</v>
      </c>
      <c r="P1643" s="23">
        <v>105.83</v>
      </c>
      <c r="Q1643" s="23">
        <v>65.16</v>
      </c>
      <c r="R1643" s="23">
        <v>6984.58</v>
      </c>
      <c r="S1643" s="23">
        <v>0.15</v>
      </c>
      <c r="T1643" s="23">
        <v>1047.69</v>
      </c>
      <c r="U1643" s="23">
        <v>5936.9</v>
      </c>
      <c r="V1643" s="23">
        <v>4300.7700000000004</v>
      </c>
      <c r="W1643" s="23">
        <v>1636.13</v>
      </c>
      <c r="X1643" s="23" t="s">
        <v>45</v>
      </c>
    </row>
    <row r="1644" spans="1:24" x14ac:dyDescent="0.25">
      <c r="A1644" s="20" t="s">
        <v>2167</v>
      </c>
      <c r="B1644" s="19">
        <v>45536</v>
      </c>
      <c r="C1644" s="20" t="s">
        <v>201</v>
      </c>
      <c r="D1644" s="20" t="s">
        <v>57</v>
      </c>
      <c r="E1644" s="20" t="s">
        <v>150</v>
      </c>
      <c r="F1644" s="20" t="s">
        <v>2591</v>
      </c>
      <c r="G1644" s="20" t="s">
        <v>2587</v>
      </c>
      <c r="H1644" s="20" t="s">
        <v>134</v>
      </c>
      <c r="I1644" s="20" t="s">
        <v>58</v>
      </c>
      <c r="J1644" s="20" t="s">
        <v>73</v>
      </c>
      <c r="K1644" s="20" t="s">
        <v>170</v>
      </c>
      <c r="L1644" s="20" t="s">
        <v>2671</v>
      </c>
      <c r="M1644" s="20" t="s">
        <v>61</v>
      </c>
      <c r="N1644" s="20" t="s">
        <v>75</v>
      </c>
      <c r="O1644" s="20">
        <v>76</v>
      </c>
      <c r="P1644" s="20">
        <v>91.75</v>
      </c>
      <c r="Q1644" s="20">
        <v>49.93</v>
      </c>
      <c r="R1644" s="20">
        <v>6973.01</v>
      </c>
      <c r="S1644" s="20">
        <v>0.02</v>
      </c>
      <c r="T1644" s="20">
        <v>139.46</v>
      </c>
      <c r="U1644" s="20">
        <v>6833.55</v>
      </c>
      <c r="V1644" s="20">
        <v>3794.33</v>
      </c>
      <c r="W1644" s="20">
        <v>3039.22</v>
      </c>
      <c r="X1644" s="20" t="s">
        <v>45</v>
      </c>
    </row>
    <row r="1645" spans="1:24" x14ac:dyDescent="0.25">
      <c r="A1645" s="23" t="s">
        <v>2168</v>
      </c>
      <c r="B1645" s="22">
        <v>45436</v>
      </c>
      <c r="C1645" s="23" t="s">
        <v>245</v>
      </c>
      <c r="D1645" s="23" t="s">
        <v>65</v>
      </c>
      <c r="E1645" s="23" t="s">
        <v>209</v>
      </c>
      <c r="F1645" s="23" t="s">
        <v>2595</v>
      </c>
      <c r="G1645" s="23" t="s">
        <v>2581</v>
      </c>
      <c r="H1645" s="23" t="s">
        <v>116</v>
      </c>
      <c r="I1645" s="23" t="s">
        <v>58</v>
      </c>
      <c r="J1645" s="23" t="s">
        <v>323</v>
      </c>
      <c r="K1645" s="23" t="s">
        <v>74</v>
      </c>
      <c r="L1645" s="23" t="s">
        <v>2682</v>
      </c>
      <c r="M1645" s="23" t="s">
        <v>61</v>
      </c>
      <c r="N1645" s="23" t="s">
        <v>2578</v>
      </c>
      <c r="O1645" s="23">
        <v>74</v>
      </c>
      <c r="P1645" s="23">
        <v>18.55</v>
      </c>
      <c r="Q1645" s="23">
        <v>9.89</v>
      </c>
      <c r="R1645" s="23">
        <v>1373.02</v>
      </c>
      <c r="S1645" s="23">
        <v>0.1</v>
      </c>
      <c r="T1645" s="23">
        <v>137.30000000000001</v>
      </c>
      <c r="U1645" s="23">
        <v>1235.72</v>
      </c>
      <c r="V1645" s="23">
        <v>731.7</v>
      </c>
      <c r="W1645" s="23">
        <v>504.02</v>
      </c>
      <c r="X1645" s="23" t="s">
        <v>45</v>
      </c>
    </row>
    <row r="1646" spans="1:24" x14ac:dyDescent="0.25">
      <c r="A1646" s="20" t="s">
        <v>2169</v>
      </c>
      <c r="B1646" s="19">
        <v>45565</v>
      </c>
      <c r="C1646" s="20" t="s">
        <v>843</v>
      </c>
      <c r="D1646" s="20" t="s">
        <v>22</v>
      </c>
      <c r="E1646" s="20" t="s">
        <v>23</v>
      </c>
      <c r="F1646" s="20" t="s">
        <v>2576</v>
      </c>
      <c r="G1646" s="20" t="s">
        <v>2577</v>
      </c>
      <c r="H1646" s="20" t="s">
        <v>26</v>
      </c>
      <c r="I1646" s="20" t="s">
        <v>27</v>
      </c>
      <c r="J1646" s="20" t="s">
        <v>28</v>
      </c>
      <c r="K1646" s="20" t="s">
        <v>265</v>
      </c>
      <c r="L1646" s="20" t="s">
        <v>2663</v>
      </c>
      <c r="M1646" s="20" t="s">
        <v>30</v>
      </c>
      <c r="N1646" s="20" t="s">
        <v>70</v>
      </c>
      <c r="O1646" s="20">
        <v>73</v>
      </c>
      <c r="P1646" s="20">
        <v>75.25</v>
      </c>
      <c r="Q1646" s="20">
        <v>44.87</v>
      </c>
      <c r="R1646" s="20">
        <v>5493.36</v>
      </c>
      <c r="S1646" s="20">
        <v>0</v>
      </c>
      <c r="T1646" s="20">
        <v>0</v>
      </c>
      <c r="U1646" s="20">
        <v>5493.36</v>
      </c>
      <c r="V1646" s="20">
        <v>3275.51</v>
      </c>
      <c r="W1646" s="20">
        <v>2217.85</v>
      </c>
      <c r="X1646" s="20" t="s">
        <v>45</v>
      </c>
    </row>
    <row r="1647" spans="1:24" x14ac:dyDescent="0.25">
      <c r="A1647" s="23" t="s">
        <v>2170</v>
      </c>
      <c r="B1647" s="22">
        <v>45528</v>
      </c>
      <c r="C1647" s="23" t="s">
        <v>1033</v>
      </c>
      <c r="D1647" s="23" t="s">
        <v>105</v>
      </c>
      <c r="E1647" s="23" t="s">
        <v>99</v>
      </c>
      <c r="F1647" s="23" t="s">
        <v>100</v>
      </c>
      <c r="G1647" s="23" t="s">
        <v>2587</v>
      </c>
      <c r="H1647" s="23" t="s">
        <v>102</v>
      </c>
      <c r="I1647" s="23" t="s">
        <v>53</v>
      </c>
      <c r="J1647" s="23" t="s">
        <v>122</v>
      </c>
      <c r="K1647" s="23" t="s">
        <v>218</v>
      </c>
      <c r="L1647" s="23" t="s">
        <v>2692</v>
      </c>
      <c r="M1647" s="23" t="s">
        <v>30</v>
      </c>
      <c r="N1647" s="23" t="s">
        <v>84</v>
      </c>
      <c r="O1647" s="23">
        <v>74</v>
      </c>
      <c r="P1647" s="23">
        <v>75.33</v>
      </c>
      <c r="Q1647" s="23">
        <v>42.98</v>
      </c>
      <c r="R1647" s="23">
        <v>5574.4</v>
      </c>
      <c r="S1647" s="23">
        <v>0</v>
      </c>
      <c r="T1647" s="23">
        <v>0</v>
      </c>
      <c r="U1647" s="23">
        <v>5574.4</v>
      </c>
      <c r="V1647" s="23">
        <v>3180.38</v>
      </c>
      <c r="W1647" s="23">
        <v>2394.0300000000002</v>
      </c>
      <c r="X1647" s="23" t="s">
        <v>129</v>
      </c>
    </row>
    <row r="1648" spans="1:24" x14ac:dyDescent="0.25">
      <c r="A1648" s="20" t="s">
        <v>2171</v>
      </c>
      <c r="B1648" s="19">
        <v>45379</v>
      </c>
      <c r="C1648" s="20" t="s">
        <v>533</v>
      </c>
      <c r="D1648" s="20" t="s">
        <v>163</v>
      </c>
      <c r="E1648" s="20" t="s">
        <v>49</v>
      </c>
      <c r="F1648" s="20" t="s">
        <v>2580</v>
      </c>
      <c r="G1648" s="20" t="s">
        <v>2581</v>
      </c>
      <c r="H1648" s="20" t="s">
        <v>52</v>
      </c>
      <c r="I1648" s="20" t="s">
        <v>58</v>
      </c>
      <c r="J1648" s="20" t="s">
        <v>73</v>
      </c>
      <c r="K1648" s="20" t="s">
        <v>60</v>
      </c>
      <c r="L1648" s="20" t="s">
        <v>2677</v>
      </c>
      <c r="M1648" s="20" t="s">
        <v>61</v>
      </c>
      <c r="N1648" s="20" t="s">
        <v>2578</v>
      </c>
      <c r="O1648" s="20">
        <v>23</v>
      </c>
      <c r="P1648" s="20">
        <v>23.17</v>
      </c>
      <c r="Q1648" s="20">
        <v>13.97</v>
      </c>
      <c r="R1648" s="20">
        <v>532.86</v>
      </c>
      <c r="S1648" s="20">
        <v>0.05</v>
      </c>
      <c r="T1648" s="20">
        <v>26.64</v>
      </c>
      <c r="U1648" s="20">
        <v>506.22</v>
      </c>
      <c r="V1648" s="20">
        <v>321.41000000000003</v>
      </c>
      <c r="W1648" s="20">
        <v>184.8</v>
      </c>
      <c r="X1648" s="20" t="s">
        <v>45</v>
      </c>
    </row>
    <row r="1649" spans="1:24" x14ac:dyDescent="0.25">
      <c r="A1649" s="23" t="s">
        <v>2172</v>
      </c>
      <c r="B1649" s="22">
        <v>45604</v>
      </c>
      <c r="C1649" s="23" t="s">
        <v>1431</v>
      </c>
      <c r="D1649" s="23" t="s">
        <v>264</v>
      </c>
      <c r="E1649" s="23" t="s">
        <v>78</v>
      </c>
      <c r="F1649" s="23" t="s">
        <v>2583</v>
      </c>
      <c r="G1649" s="23" t="s">
        <v>2584</v>
      </c>
      <c r="H1649" s="23" t="s">
        <v>81</v>
      </c>
      <c r="I1649" s="23" t="s">
        <v>88</v>
      </c>
      <c r="J1649" s="23" t="s">
        <v>135</v>
      </c>
      <c r="K1649" s="23" t="s">
        <v>195</v>
      </c>
      <c r="L1649" s="23" t="s">
        <v>2691</v>
      </c>
      <c r="M1649" s="23" t="s">
        <v>61</v>
      </c>
      <c r="N1649" s="23" t="s">
        <v>84</v>
      </c>
      <c r="O1649" s="23">
        <v>37</v>
      </c>
      <c r="P1649" s="23">
        <v>145.06</v>
      </c>
      <c r="Q1649" s="23">
        <v>88.24</v>
      </c>
      <c r="R1649" s="23">
        <v>5367.38</v>
      </c>
      <c r="S1649" s="23">
        <v>0.2</v>
      </c>
      <c r="T1649" s="23">
        <v>1073.48</v>
      </c>
      <c r="U1649" s="23">
        <v>4293.91</v>
      </c>
      <c r="V1649" s="23">
        <v>3265</v>
      </c>
      <c r="W1649" s="23">
        <v>1028.9100000000001</v>
      </c>
      <c r="X1649" s="23" t="s">
        <v>45</v>
      </c>
    </row>
    <row r="1650" spans="1:24" x14ac:dyDescent="0.25">
      <c r="A1650" s="20" t="s">
        <v>2173</v>
      </c>
      <c r="B1650" s="19">
        <v>45522</v>
      </c>
      <c r="C1650" s="20" t="s">
        <v>451</v>
      </c>
      <c r="D1650" s="20" t="s">
        <v>87</v>
      </c>
      <c r="E1650" s="20" t="s">
        <v>132</v>
      </c>
      <c r="F1650" s="20" t="s">
        <v>133</v>
      </c>
      <c r="G1650" s="20" t="s">
        <v>2581</v>
      </c>
      <c r="H1650" s="20" t="s">
        <v>134</v>
      </c>
      <c r="I1650" s="20" t="s">
        <v>40</v>
      </c>
      <c r="J1650" s="20" t="s">
        <v>41</v>
      </c>
      <c r="K1650" s="20" t="s">
        <v>83</v>
      </c>
      <c r="L1650" s="20" t="s">
        <v>2683</v>
      </c>
      <c r="M1650" s="20" t="s">
        <v>61</v>
      </c>
      <c r="N1650" s="20" t="s">
        <v>44</v>
      </c>
      <c r="O1650" s="20">
        <v>71</v>
      </c>
      <c r="P1650" s="20">
        <v>56.78</v>
      </c>
      <c r="Q1650" s="20">
        <v>31.91</v>
      </c>
      <c r="R1650" s="20">
        <v>4031.26</v>
      </c>
      <c r="S1650" s="20">
        <v>0</v>
      </c>
      <c r="T1650" s="20">
        <v>0</v>
      </c>
      <c r="U1650" s="20">
        <v>4031.26</v>
      </c>
      <c r="V1650" s="20">
        <v>2265.91</v>
      </c>
      <c r="W1650" s="20">
        <v>1765.35</v>
      </c>
      <c r="X1650" s="20" t="s">
        <v>45</v>
      </c>
    </row>
    <row r="1651" spans="1:24" x14ac:dyDescent="0.25">
      <c r="A1651" s="23" t="s">
        <v>2174</v>
      </c>
      <c r="B1651" s="22">
        <v>45627</v>
      </c>
      <c r="C1651" s="23" t="s">
        <v>276</v>
      </c>
      <c r="D1651" s="23" t="s">
        <v>221</v>
      </c>
      <c r="E1651" s="23" t="s">
        <v>187</v>
      </c>
      <c r="F1651" s="23" t="s">
        <v>2594</v>
      </c>
      <c r="G1651" s="23" t="s">
        <v>2577</v>
      </c>
      <c r="H1651" s="23" t="s">
        <v>26</v>
      </c>
      <c r="I1651" s="23" t="s">
        <v>27</v>
      </c>
      <c r="J1651" s="23" t="s">
        <v>189</v>
      </c>
      <c r="K1651" s="23" t="s">
        <v>253</v>
      </c>
      <c r="L1651" s="23" t="s">
        <v>2694</v>
      </c>
      <c r="M1651" s="23" t="s">
        <v>43</v>
      </c>
      <c r="N1651" s="23" t="s">
        <v>44</v>
      </c>
      <c r="O1651" s="23">
        <v>34</v>
      </c>
      <c r="P1651" s="23">
        <v>50</v>
      </c>
      <c r="Q1651" s="23">
        <v>27.4</v>
      </c>
      <c r="R1651" s="23">
        <v>1700.04</v>
      </c>
      <c r="S1651" s="23">
        <v>0.15</v>
      </c>
      <c r="T1651" s="23">
        <v>255.01</v>
      </c>
      <c r="U1651" s="23">
        <v>1445.04</v>
      </c>
      <c r="V1651" s="23">
        <v>931.49</v>
      </c>
      <c r="W1651" s="23">
        <v>513.54</v>
      </c>
      <c r="X1651" s="23" t="s">
        <v>129</v>
      </c>
    </row>
    <row r="1652" spans="1:24" x14ac:dyDescent="0.25">
      <c r="A1652" s="20" t="s">
        <v>2175</v>
      </c>
      <c r="B1652" s="19">
        <v>45582</v>
      </c>
      <c r="C1652" s="20" t="s">
        <v>1044</v>
      </c>
      <c r="D1652" s="20" t="s">
        <v>359</v>
      </c>
      <c r="E1652" s="20" t="s">
        <v>165</v>
      </c>
      <c r="F1652" s="20" t="s">
        <v>2592</v>
      </c>
      <c r="G1652" s="20" t="s">
        <v>2586</v>
      </c>
      <c r="H1652" s="20" t="s">
        <v>167</v>
      </c>
      <c r="I1652" s="20" t="s">
        <v>53</v>
      </c>
      <c r="J1652" s="20" t="s">
        <v>232</v>
      </c>
      <c r="K1652" s="20" t="s">
        <v>83</v>
      </c>
      <c r="L1652" s="20" t="s">
        <v>2683</v>
      </c>
      <c r="M1652" s="20" t="s">
        <v>30</v>
      </c>
      <c r="N1652" s="20" t="s">
        <v>84</v>
      </c>
      <c r="O1652" s="20">
        <v>24</v>
      </c>
      <c r="P1652" s="20">
        <v>44.79</v>
      </c>
      <c r="Q1652" s="20">
        <v>23.14</v>
      </c>
      <c r="R1652" s="20">
        <v>1075.01</v>
      </c>
      <c r="S1652" s="20">
        <v>0.15</v>
      </c>
      <c r="T1652" s="20">
        <v>161.25</v>
      </c>
      <c r="U1652" s="20">
        <v>913.76</v>
      </c>
      <c r="V1652" s="20">
        <v>555.26</v>
      </c>
      <c r="W1652" s="20">
        <v>358.5</v>
      </c>
      <c r="X1652" s="20" t="s">
        <v>32</v>
      </c>
    </row>
    <row r="1653" spans="1:24" x14ac:dyDescent="0.25">
      <c r="A1653" s="23" t="s">
        <v>2176</v>
      </c>
      <c r="B1653" s="22">
        <v>45582</v>
      </c>
      <c r="C1653" s="23" t="s">
        <v>938</v>
      </c>
      <c r="D1653" s="23" t="s">
        <v>156</v>
      </c>
      <c r="E1653" s="23" t="s">
        <v>209</v>
      </c>
      <c r="F1653" s="23" t="s">
        <v>2595</v>
      </c>
      <c r="G1653" s="23" t="s">
        <v>2581</v>
      </c>
      <c r="H1653" s="23" t="s">
        <v>116</v>
      </c>
      <c r="I1653" s="23" t="s">
        <v>58</v>
      </c>
      <c r="J1653" s="23" t="s">
        <v>73</v>
      </c>
      <c r="K1653" s="23" t="s">
        <v>144</v>
      </c>
      <c r="L1653" s="23" t="s">
        <v>2687</v>
      </c>
      <c r="M1653" s="23" t="s">
        <v>30</v>
      </c>
      <c r="N1653" s="23" t="s">
        <v>75</v>
      </c>
      <c r="O1653" s="23">
        <v>70</v>
      </c>
      <c r="P1653" s="23">
        <v>16.86</v>
      </c>
      <c r="Q1653" s="23">
        <v>9.82</v>
      </c>
      <c r="R1653" s="23">
        <v>1180.21</v>
      </c>
      <c r="S1653" s="23">
        <v>0</v>
      </c>
      <c r="T1653" s="23">
        <v>0</v>
      </c>
      <c r="U1653" s="23">
        <v>1180.21</v>
      </c>
      <c r="V1653" s="23">
        <v>687.07</v>
      </c>
      <c r="W1653" s="23">
        <v>493.15</v>
      </c>
      <c r="X1653" s="23" t="s">
        <v>45</v>
      </c>
    </row>
    <row r="1654" spans="1:24" x14ac:dyDescent="0.25">
      <c r="A1654" s="20" t="s">
        <v>2177</v>
      </c>
      <c r="B1654" s="19">
        <v>45411</v>
      </c>
      <c r="C1654" s="20" t="s">
        <v>1557</v>
      </c>
      <c r="D1654" s="20" t="s">
        <v>159</v>
      </c>
      <c r="E1654" s="20" t="s">
        <v>109</v>
      </c>
      <c r="F1654" s="20" t="s">
        <v>110</v>
      </c>
      <c r="G1654" s="20" t="s">
        <v>2584</v>
      </c>
      <c r="H1654" s="20" t="s">
        <v>81</v>
      </c>
      <c r="I1654" s="20" t="s">
        <v>58</v>
      </c>
      <c r="J1654" s="20" t="s">
        <v>345</v>
      </c>
      <c r="K1654" s="20" t="s">
        <v>111</v>
      </c>
      <c r="L1654" s="20" t="s">
        <v>2685</v>
      </c>
      <c r="M1654" s="20" t="s">
        <v>153</v>
      </c>
      <c r="N1654" s="20" t="s">
        <v>44</v>
      </c>
      <c r="O1654" s="20">
        <v>65</v>
      </c>
      <c r="P1654" s="20">
        <v>131.55000000000001</v>
      </c>
      <c r="Q1654" s="20">
        <v>77.13</v>
      </c>
      <c r="R1654" s="20">
        <v>8550.77</v>
      </c>
      <c r="S1654" s="20">
        <v>0</v>
      </c>
      <c r="T1654" s="20">
        <v>0</v>
      </c>
      <c r="U1654" s="20">
        <v>8550.77</v>
      </c>
      <c r="V1654" s="20">
        <v>5013.58</v>
      </c>
      <c r="W1654" s="20">
        <v>3537.19</v>
      </c>
      <c r="X1654" s="20" t="s">
        <v>45</v>
      </c>
    </row>
    <row r="1655" spans="1:24" x14ac:dyDescent="0.25">
      <c r="A1655" s="23" t="s">
        <v>2178</v>
      </c>
      <c r="B1655" s="22">
        <v>45590</v>
      </c>
      <c r="C1655" s="23" t="s">
        <v>1036</v>
      </c>
      <c r="D1655" s="23" t="s">
        <v>22</v>
      </c>
      <c r="E1655" s="23" t="s">
        <v>209</v>
      </c>
      <c r="F1655" s="23" t="s">
        <v>2595</v>
      </c>
      <c r="G1655" s="23" t="s">
        <v>2581</v>
      </c>
      <c r="H1655" s="23" t="s">
        <v>116</v>
      </c>
      <c r="I1655" s="23" t="s">
        <v>53</v>
      </c>
      <c r="J1655" s="23" t="s">
        <v>54</v>
      </c>
      <c r="K1655" s="23" t="s">
        <v>42</v>
      </c>
      <c r="L1655" s="23" t="s">
        <v>2680</v>
      </c>
      <c r="M1655" s="23" t="s">
        <v>30</v>
      </c>
      <c r="N1655" s="23" t="s">
        <v>44</v>
      </c>
      <c r="O1655" s="23">
        <v>22</v>
      </c>
      <c r="P1655" s="23">
        <v>16.62</v>
      </c>
      <c r="Q1655" s="23">
        <v>9.7799999999999994</v>
      </c>
      <c r="R1655" s="23">
        <v>365.74</v>
      </c>
      <c r="S1655" s="23">
        <v>0.1</v>
      </c>
      <c r="T1655" s="23">
        <v>36.57</v>
      </c>
      <c r="U1655" s="23">
        <v>329.17</v>
      </c>
      <c r="V1655" s="23">
        <v>215.09</v>
      </c>
      <c r="W1655" s="23">
        <v>114.08</v>
      </c>
      <c r="X1655" s="23" t="s">
        <v>32</v>
      </c>
    </row>
    <row r="1656" spans="1:24" x14ac:dyDescent="0.25">
      <c r="A1656" s="20" t="s">
        <v>2179</v>
      </c>
      <c r="B1656" s="19">
        <v>45650</v>
      </c>
      <c r="C1656" s="20" t="s">
        <v>98</v>
      </c>
      <c r="D1656" s="20" t="s">
        <v>48</v>
      </c>
      <c r="E1656" s="20" t="s">
        <v>78</v>
      </c>
      <c r="F1656" s="20" t="s">
        <v>2583</v>
      </c>
      <c r="G1656" s="20" t="s">
        <v>2584</v>
      </c>
      <c r="H1656" s="20" t="s">
        <v>81</v>
      </c>
      <c r="I1656" s="20" t="s">
        <v>40</v>
      </c>
      <c r="J1656" s="20" t="s">
        <v>289</v>
      </c>
      <c r="K1656" s="20" t="s">
        <v>178</v>
      </c>
      <c r="L1656" s="20" t="s">
        <v>2689</v>
      </c>
      <c r="M1656" s="20" t="s">
        <v>153</v>
      </c>
      <c r="N1656" s="20" t="s">
        <v>70</v>
      </c>
      <c r="O1656" s="20">
        <v>38</v>
      </c>
      <c r="P1656" s="20">
        <v>131.07</v>
      </c>
      <c r="Q1656" s="20">
        <v>84.15</v>
      </c>
      <c r="R1656" s="20">
        <v>4980.7700000000004</v>
      </c>
      <c r="S1656" s="20">
        <v>0</v>
      </c>
      <c r="T1656" s="20">
        <v>0</v>
      </c>
      <c r="U1656" s="20">
        <v>4980.7700000000004</v>
      </c>
      <c r="V1656" s="20">
        <v>3197.52</v>
      </c>
      <c r="W1656" s="20">
        <v>1783.26</v>
      </c>
      <c r="X1656" s="20" t="s">
        <v>32</v>
      </c>
    </row>
    <row r="1657" spans="1:24" x14ac:dyDescent="0.25">
      <c r="A1657" s="23" t="s">
        <v>2180</v>
      </c>
      <c r="B1657" s="22">
        <v>45654</v>
      </c>
      <c r="C1657" s="23" t="s">
        <v>1380</v>
      </c>
      <c r="D1657" s="23" t="s">
        <v>121</v>
      </c>
      <c r="E1657" s="23" t="s">
        <v>36</v>
      </c>
      <c r="F1657" s="23" t="s">
        <v>37</v>
      </c>
      <c r="G1657" s="23" t="s">
        <v>2579</v>
      </c>
      <c r="H1657" s="23" t="s">
        <v>39</v>
      </c>
      <c r="I1657" s="23" t="s">
        <v>53</v>
      </c>
      <c r="J1657" s="23" t="s">
        <v>122</v>
      </c>
      <c r="K1657" s="23" t="s">
        <v>261</v>
      </c>
      <c r="L1657" s="23" t="s">
        <v>2695</v>
      </c>
      <c r="M1657" s="23" t="s">
        <v>61</v>
      </c>
      <c r="N1657" s="23" t="s">
        <v>2578</v>
      </c>
      <c r="O1657" s="23">
        <v>44</v>
      </c>
      <c r="P1657" s="23">
        <v>160.57</v>
      </c>
      <c r="Q1657" s="23">
        <v>102.07</v>
      </c>
      <c r="R1657" s="23">
        <v>7065.07</v>
      </c>
      <c r="S1657" s="23">
        <v>0.02</v>
      </c>
      <c r="T1657" s="23">
        <v>141.30000000000001</v>
      </c>
      <c r="U1657" s="23">
        <v>6923.77</v>
      </c>
      <c r="V1657" s="23">
        <v>4490.9399999999996</v>
      </c>
      <c r="W1657" s="23">
        <v>2432.83</v>
      </c>
      <c r="X1657" s="23" t="s">
        <v>45</v>
      </c>
    </row>
    <row r="1658" spans="1:24" x14ac:dyDescent="0.25">
      <c r="A1658" s="20" t="s">
        <v>2181</v>
      </c>
      <c r="B1658" s="19">
        <v>45574</v>
      </c>
      <c r="C1658" s="20" t="s">
        <v>611</v>
      </c>
      <c r="D1658" s="20" t="s">
        <v>264</v>
      </c>
      <c r="E1658" s="20" t="s">
        <v>126</v>
      </c>
      <c r="F1658" s="20" t="s">
        <v>2589</v>
      </c>
      <c r="G1658" s="20" t="s">
        <v>2586</v>
      </c>
      <c r="H1658" s="20" t="s">
        <v>128</v>
      </c>
      <c r="I1658" s="20" t="s">
        <v>27</v>
      </c>
      <c r="J1658" s="20" t="s">
        <v>106</v>
      </c>
      <c r="K1658" s="20" t="s">
        <v>170</v>
      </c>
      <c r="L1658" s="20" t="s">
        <v>2671</v>
      </c>
      <c r="M1658" s="20" t="s">
        <v>43</v>
      </c>
      <c r="N1658" s="20" t="s">
        <v>84</v>
      </c>
      <c r="O1658" s="20">
        <v>5</v>
      </c>
      <c r="P1658" s="20">
        <v>90.1</v>
      </c>
      <c r="Q1658" s="20">
        <v>52.23</v>
      </c>
      <c r="R1658" s="20">
        <v>450.5</v>
      </c>
      <c r="S1658" s="20">
        <v>0.02</v>
      </c>
      <c r="T1658" s="20">
        <v>9.01</v>
      </c>
      <c r="U1658" s="20">
        <v>441.49</v>
      </c>
      <c r="V1658" s="20">
        <v>261.16000000000003</v>
      </c>
      <c r="W1658" s="20">
        <v>180.33</v>
      </c>
      <c r="X1658" s="20" t="s">
        <v>45</v>
      </c>
    </row>
    <row r="1659" spans="1:24" x14ac:dyDescent="0.25">
      <c r="A1659" s="23" t="s">
        <v>2182</v>
      </c>
      <c r="B1659" s="22">
        <v>45354</v>
      </c>
      <c r="C1659" s="23" t="s">
        <v>1028</v>
      </c>
      <c r="D1659" s="23" t="s">
        <v>57</v>
      </c>
      <c r="E1659" s="23" t="s">
        <v>23</v>
      </c>
      <c r="F1659" s="23" t="s">
        <v>2576</v>
      </c>
      <c r="G1659" s="23" t="s">
        <v>2577</v>
      </c>
      <c r="H1659" s="23" t="s">
        <v>26</v>
      </c>
      <c r="I1659" s="23" t="s">
        <v>58</v>
      </c>
      <c r="J1659" s="23" t="s">
        <v>73</v>
      </c>
      <c r="K1659" s="23" t="s">
        <v>248</v>
      </c>
      <c r="L1659" s="23" t="s">
        <v>2693</v>
      </c>
      <c r="M1659" s="23" t="s">
        <v>30</v>
      </c>
      <c r="N1659" s="23" t="s">
        <v>75</v>
      </c>
      <c r="O1659" s="23">
        <v>63</v>
      </c>
      <c r="P1659" s="23">
        <v>75.89</v>
      </c>
      <c r="Q1659" s="23">
        <v>45.18</v>
      </c>
      <c r="R1659" s="23">
        <v>4781.16</v>
      </c>
      <c r="S1659" s="23">
        <v>0.2</v>
      </c>
      <c r="T1659" s="23">
        <v>956.23</v>
      </c>
      <c r="U1659" s="23">
        <v>3824.93</v>
      </c>
      <c r="V1659" s="23">
        <v>2846.16</v>
      </c>
      <c r="W1659" s="23">
        <v>978.77</v>
      </c>
      <c r="X1659" s="23" t="s">
        <v>45</v>
      </c>
    </row>
    <row r="1660" spans="1:24" x14ac:dyDescent="0.25">
      <c r="A1660" s="20" t="s">
        <v>2183</v>
      </c>
      <c r="B1660" s="19">
        <v>45341</v>
      </c>
      <c r="C1660" s="20" t="s">
        <v>902</v>
      </c>
      <c r="D1660" s="20" t="s">
        <v>35</v>
      </c>
      <c r="E1660" s="20" t="s">
        <v>93</v>
      </c>
      <c r="F1660" s="20" t="s">
        <v>2585</v>
      </c>
      <c r="G1660" s="20" t="s">
        <v>2586</v>
      </c>
      <c r="H1660" s="20" t="s">
        <v>96</v>
      </c>
      <c r="I1660" s="20" t="s">
        <v>27</v>
      </c>
      <c r="J1660" s="20" t="s">
        <v>211</v>
      </c>
      <c r="K1660" s="20" t="s">
        <v>248</v>
      </c>
      <c r="L1660" s="20" t="s">
        <v>2693</v>
      </c>
      <c r="M1660" s="20" t="s">
        <v>30</v>
      </c>
      <c r="N1660" s="20" t="s">
        <v>75</v>
      </c>
      <c r="O1660" s="20">
        <v>59</v>
      </c>
      <c r="P1660" s="20">
        <v>56.16</v>
      </c>
      <c r="Q1660" s="20">
        <v>30.77</v>
      </c>
      <c r="R1660" s="20">
        <v>3313.44</v>
      </c>
      <c r="S1660" s="20">
        <v>0.05</v>
      </c>
      <c r="T1660" s="20">
        <v>165.67</v>
      </c>
      <c r="U1660" s="20">
        <v>3147.77</v>
      </c>
      <c r="V1660" s="20">
        <v>1815.44</v>
      </c>
      <c r="W1660" s="20">
        <v>1332.32</v>
      </c>
      <c r="X1660" s="20" t="s">
        <v>45</v>
      </c>
    </row>
    <row r="1661" spans="1:24" x14ac:dyDescent="0.25">
      <c r="A1661" s="23" t="s">
        <v>2184</v>
      </c>
      <c r="B1661" s="22">
        <v>45392</v>
      </c>
      <c r="C1661" s="23" t="s">
        <v>1025</v>
      </c>
      <c r="D1661" s="23" t="s">
        <v>149</v>
      </c>
      <c r="E1661" s="23" t="s">
        <v>114</v>
      </c>
      <c r="F1661" s="23" t="s">
        <v>2588</v>
      </c>
      <c r="G1661" s="23" t="s">
        <v>2586</v>
      </c>
      <c r="H1661" s="23" t="s">
        <v>116</v>
      </c>
      <c r="I1661" s="23" t="s">
        <v>53</v>
      </c>
      <c r="J1661" s="23" t="s">
        <v>143</v>
      </c>
      <c r="K1661" s="23" t="s">
        <v>248</v>
      </c>
      <c r="L1661" s="23" t="s">
        <v>2693</v>
      </c>
      <c r="M1661" s="23" t="s">
        <v>43</v>
      </c>
      <c r="N1661" s="23" t="s">
        <v>75</v>
      </c>
      <c r="O1661" s="23">
        <v>66</v>
      </c>
      <c r="P1661" s="23">
        <v>36.64</v>
      </c>
      <c r="Q1661" s="23">
        <v>21.43</v>
      </c>
      <c r="R1661" s="23">
        <v>2418.14</v>
      </c>
      <c r="S1661" s="23">
        <v>0</v>
      </c>
      <c r="T1661" s="23">
        <v>0</v>
      </c>
      <c r="U1661" s="23">
        <v>2418.14</v>
      </c>
      <c r="V1661" s="23">
        <v>1414.24</v>
      </c>
      <c r="W1661" s="23">
        <v>1003.91</v>
      </c>
      <c r="X1661" s="23" t="s">
        <v>45</v>
      </c>
    </row>
    <row r="1662" spans="1:24" x14ac:dyDescent="0.25">
      <c r="A1662" s="20" t="s">
        <v>2185</v>
      </c>
      <c r="B1662" s="19">
        <v>45546</v>
      </c>
      <c r="C1662" s="20" t="s">
        <v>557</v>
      </c>
      <c r="D1662" s="20" t="s">
        <v>159</v>
      </c>
      <c r="E1662" s="20" t="s">
        <v>114</v>
      </c>
      <c r="F1662" s="20" t="s">
        <v>2588</v>
      </c>
      <c r="G1662" s="20" t="s">
        <v>2586</v>
      </c>
      <c r="H1662" s="20" t="s">
        <v>116</v>
      </c>
      <c r="I1662" s="20" t="s">
        <v>27</v>
      </c>
      <c r="J1662" s="20" t="s">
        <v>883</v>
      </c>
      <c r="K1662" s="20" t="s">
        <v>29</v>
      </c>
      <c r="L1662" s="20" t="s">
        <v>2679</v>
      </c>
      <c r="M1662" s="20" t="s">
        <v>30</v>
      </c>
      <c r="N1662" s="20" t="s">
        <v>2578</v>
      </c>
      <c r="O1662" s="20">
        <v>65</v>
      </c>
      <c r="P1662" s="20">
        <v>37.64</v>
      </c>
      <c r="Q1662" s="20">
        <v>20.43</v>
      </c>
      <c r="R1662" s="20">
        <v>2446.64</v>
      </c>
      <c r="S1662" s="20">
        <v>0.02</v>
      </c>
      <c r="T1662" s="20">
        <v>48.93</v>
      </c>
      <c r="U1662" s="20">
        <v>2397.71</v>
      </c>
      <c r="V1662" s="20">
        <v>1328.17</v>
      </c>
      <c r="W1662" s="20">
        <v>1069.54</v>
      </c>
      <c r="X1662" s="20" t="s">
        <v>45</v>
      </c>
    </row>
    <row r="1663" spans="1:24" x14ac:dyDescent="0.25">
      <c r="A1663" s="23" t="s">
        <v>2186</v>
      </c>
      <c r="B1663" s="22">
        <v>45323</v>
      </c>
      <c r="C1663" s="23" t="s">
        <v>258</v>
      </c>
      <c r="D1663" s="23" t="s">
        <v>259</v>
      </c>
      <c r="E1663" s="23" t="s">
        <v>165</v>
      </c>
      <c r="F1663" s="23" t="s">
        <v>2592</v>
      </c>
      <c r="G1663" s="23" t="s">
        <v>2586</v>
      </c>
      <c r="H1663" s="23" t="s">
        <v>167</v>
      </c>
      <c r="I1663" s="23" t="s">
        <v>53</v>
      </c>
      <c r="J1663" s="23" t="s">
        <v>122</v>
      </c>
      <c r="K1663" s="23" t="s">
        <v>42</v>
      </c>
      <c r="L1663" s="23" t="s">
        <v>2680</v>
      </c>
      <c r="M1663" s="23" t="s">
        <v>43</v>
      </c>
      <c r="N1663" s="23" t="s">
        <v>44</v>
      </c>
      <c r="O1663" s="23">
        <v>27</v>
      </c>
      <c r="P1663" s="23">
        <v>41.4</v>
      </c>
      <c r="Q1663" s="23">
        <v>26.02</v>
      </c>
      <c r="R1663" s="23">
        <v>1117.74</v>
      </c>
      <c r="S1663" s="23">
        <v>0.1</v>
      </c>
      <c r="T1663" s="23">
        <v>111.77</v>
      </c>
      <c r="U1663" s="23">
        <v>1005.97</v>
      </c>
      <c r="V1663" s="23">
        <v>702.6</v>
      </c>
      <c r="W1663" s="23">
        <v>303.37</v>
      </c>
      <c r="X1663" s="23" t="s">
        <v>45</v>
      </c>
    </row>
    <row r="1664" spans="1:24" x14ac:dyDescent="0.25">
      <c r="A1664" s="20" t="s">
        <v>2187</v>
      </c>
      <c r="B1664" s="19">
        <v>45375</v>
      </c>
      <c r="C1664" s="20" t="s">
        <v>611</v>
      </c>
      <c r="D1664" s="20" t="s">
        <v>264</v>
      </c>
      <c r="E1664" s="20" t="s">
        <v>132</v>
      </c>
      <c r="F1664" s="20" t="s">
        <v>133</v>
      </c>
      <c r="G1664" s="20" t="s">
        <v>2581</v>
      </c>
      <c r="H1664" s="20" t="s">
        <v>134</v>
      </c>
      <c r="I1664" s="20" t="s">
        <v>53</v>
      </c>
      <c r="J1664" s="20" t="s">
        <v>232</v>
      </c>
      <c r="K1664" s="20" t="s">
        <v>144</v>
      </c>
      <c r="L1664" s="20" t="s">
        <v>2687</v>
      </c>
      <c r="M1664" s="20" t="s">
        <v>30</v>
      </c>
      <c r="N1664" s="20" t="s">
        <v>70</v>
      </c>
      <c r="O1664" s="20">
        <v>24</v>
      </c>
      <c r="P1664" s="20">
        <v>60.39</v>
      </c>
      <c r="Q1664" s="20">
        <v>34.75</v>
      </c>
      <c r="R1664" s="20">
        <v>1449.36</v>
      </c>
      <c r="S1664" s="20">
        <v>0.2</v>
      </c>
      <c r="T1664" s="20">
        <v>289.87</v>
      </c>
      <c r="U1664" s="20">
        <v>1159.49</v>
      </c>
      <c r="V1664" s="20">
        <v>833.94</v>
      </c>
      <c r="W1664" s="20">
        <v>325.55</v>
      </c>
      <c r="X1664" s="20" t="s">
        <v>45</v>
      </c>
    </row>
    <row r="1665" spans="1:24" x14ac:dyDescent="0.25">
      <c r="A1665" s="23" t="s">
        <v>2188</v>
      </c>
      <c r="B1665" s="22">
        <v>45376</v>
      </c>
      <c r="C1665" s="23" t="s">
        <v>1025</v>
      </c>
      <c r="D1665" s="23" t="s">
        <v>149</v>
      </c>
      <c r="E1665" s="23" t="s">
        <v>78</v>
      </c>
      <c r="F1665" s="23" t="s">
        <v>2583</v>
      </c>
      <c r="G1665" s="23" t="s">
        <v>2584</v>
      </c>
      <c r="H1665" s="23" t="s">
        <v>81</v>
      </c>
      <c r="I1665" s="23" t="s">
        <v>27</v>
      </c>
      <c r="J1665" s="23" t="s">
        <v>189</v>
      </c>
      <c r="K1665" s="23" t="s">
        <v>90</v>
      </c>
      <c r="L1665" s="23" t="s">
        <v>2684</v>
      </c>
      <c r="M1665" s="23" t="s">
        <v>153</v>
      </c>
      <c r="N1665" s="23" t="s">
        <v>44</v>
      </c>
      <c r="O1665" s="23">
        <v>64</v>
      </c>
      <c r="P1665" s="23">
        <v>149.72999999999999</v>
      </c>
      <c r="Q1665" s="23">
        <v>87.58</v>
      </c>
      <c r="R1665" s="23">
        <v>9582.7099999999991</v>
      </c>
      <c r="S1665" s="23">
        <v>0.02</v>
      </c>
      <c r="T1665" s="23">
        <v>191.65</v>
      </c>
      <c r="U1665" s="23">
        <v>9391.0499999999993</v>
      </c>
      <c r="V1665" s="23">
        <v>5605.34</v>
      </c>
      <c r="W1665" s="23">
        <v>3785.71</v>
      </c>
      <c r="X1665" s="23" t="s">
        <v>45</v>
      </c>
    </row>
    <row r="1666" spans="1:24" x14ac:dyDescent="0.25">
      <c r="A1666" s="20" t="s">
        <v>2189</v>
      </c>
      <c r="B1666" s="19">
        <v>45528</v>
      </c>
      <c r="C1666" s="20" t="s">
        <v>721</v>
      </c>
      <c r="D1666" s="20" t="s">
        <v>359</v>
      </c>
      <c r="E1666" s="20" t="s">
        <v>93</v>
      </c>
      <c r="F1666" s="20" t="s">
        <v>2585</v>
      </c>
      <c r="G1666" s="20" t="s">
        <v>2586</v>
      </c>
      <c r="H1666" s="20" t="s">
        <v>96</v>
      </c>
      <c r="I1666" s="20" t="s">
        <v>88</v>
      </c>
      <c r="J1666" s="20" t="s">
        <v>135</v>
      </c>
      <c r="K1666" s="20" t="s">
        <v>111</v>
      </c>
      <c r="L1666" s="20" t="s">
        <v>2685</v>
      </c>
      <c r="M1666" s="20" t="s">
        <v>30</v>
      </c>
      <c r="N1666" s="20" t="s">
        <v>84</v>
      </c>
      <c r="O1666" s="20">
        <v>58</v>
      </c>
      <c r="P1666" s="20">
        <v>53.57</v>
      </c>
      <c r="Q1666" s="20">
        <v>33.9</v>
      </c>
      <c r="R1666" s="20">
        <v>3107.04</v>
      </c>
      <c r="S1666" s="20">
        <v>0.02</v>
      </c>
      <c r="T1666" s="20">
        <v>62.14</v>
      </c>
      <c r="U1666" s="20">
        <v>3044.9</v>
      </c>
      <c r="V1666" s="20">
        <v>1966.08</v>
      </c>
      <c r="W1666" s="20">
        <v>1078.82</v>
      </c>
      <c r="X1666" s="20" t="s">
        <v>32</v>
      </c>
    </row>
    <row r="1667" spans="1:24" x14ac:dyDescent="0.25">
      <c r="A1667" s="23" t="s">
        <v>2190</v>
      </c>
      <c r="B1667" s="22">
        <v>45626</v>
      </c>
      <c r="C1667" s="23" t="s">
        <v>2191</v>
      </c>
      <c r="D1667" s="23" t="s">
        <v>22</v>
      </c>
      <c r="E1667" s="23" t="s">
        <v>165</v>
      </c>
      <c r="F1667" s="23" t="s">
        <v>2592</v>
      </c>
      <c r="G1667" s="23" t="s">
        <v>2586</v>
      </c>
      <c r="H1667" s="23" t="s">
        <v>167</v>
      </c>
      <c r="I1667" s="23" t="s">
        <v>88</v>
      </c>
      <c r="J1667" s="23" t="s">
        <v>135</v>
      </c>
      <c r="K1667" s="23" t="s">
        <v>69</v>
      </c>
      <c r="L1667" s="23" t="s">
        <v>2681</v>
      </c>
      <c r="M1667" s="23" t="s">
        <v>153</v>
      </c>
      <c r="N1667" s="23" t="s">
        <v>84</v>
      </c>
      <c r="O1667" s="23">
        <v>61</v>
      </c>
      <c r="P1667" s="23">
        <v>42.89</v>
      </c>
      <c r="Q1667" s="23">
        <v>24.79</v>
      </c>
      <c r="R1667" s="23">
        <v>2616.04</v>
      </c>
      <c r="S1667" s="23">
        <v>0.1</v>
      </c>
      <c r="T1667" s="23">
        <v>261.60000000000002</v>
      </c>
      <c r="U1667" s="23">
        <v>2354.44</v>
      </c>
      <c r="V1667" s="23">
        <v>1512.42</v>
      </c>
      <c r="W1667" s="23">
        <v>842.02</v>
      </c>
      <c r="X1667" s="23" t="s">
        <v>45</v>
      </c>
    </row>
    <row r="1668" spans="1:24" x14ac:dyDescent="0.25">
      <c r="A1668" s="20" t="s">
        <v>2192</v>
      </c>
      <c r="B1668" s="19">
        <v>45449</v>
      </c>
      <c r="C1668" s="20" t="s">
        <v>293</v>
      </c>
      <c r="D1668" s="20" t="s">
        <v>65</v>
      </c>
      <c r="E1668" s="20" t="s">
        <v>216</v>
      </c>
      <c r="F1668" s="20" t="s">
        <v>2596</v>
      </c>
      <c r="G1668" s="20" t="s">
        <v>2579</v>
      </c>
      <c r="H1668" s="20" t="s">
        <v>134</v>
      </c>
      <c r="I1668" s="20" t="s">
        <v>88</v>
      </c>
      <c r="J1668" s="20" t="s">
        <v>183</v>
      </c>
      <c r="K1668" s="20" t="s">
        <v>195</v>
      </c>
      <c r="L1668" s="20" t="s">
        <v>2691</v>
      </c>
      <c r="M1668" s="20" t="s">
        <v>43</v>
      </c>
      <c r="N1668" s="20" t="s">
        <v>70</v>
      </c>
      <c r="O1668" s="20">
        <v>75</v>
      </c>
      <c r="P1668" s="20">
        <v>112.28</v>
      </c>
      <c r="Q1668" s="20">
        <v>65.959999999999994</v>
      </c>
      <c r="R1668" s="20">
        <v>8421.36</v>
      </c>
      <c r="S1668" s="20">
        <v>0.2</v>
      </c>
      <c r="T1668" s="20">
        <v>1684.27</v>
      </c>
      <c r="U1668" s="20">
        <v>6737.09</v>
      </c>
      <c r="V1668" s="20">
        <v>4947.18</v>
      </c>
      <c r="W1668" s="20">
        <v>1789.91</v>
      </c>
      <c r="X1668" s="20" t="s">
        <v>45</v>
      </c>
    </row>
    <row r="1669" spans="1:24" x14ac:dyDescent="0.25">
      <c r="A1669" s="23" t="s">
        <v>2193</v>
      </c>
      <c r="B1669" s="22">
        <v>45498</v>
      </c>
      <c r="C1669" s="23" t="s">
        <v>1394</v>
      </c>
      <c r="D1669" s="23" t="s">
        <v>156</v>
      </c>
      <c r="E1669" s="23" t="s">
        <v>23</v>
      </c>
      <c r="F1669" s="23" t="s">
        <v>2576</v>
      </c>
      <c r="G1669" s="23" t="s">
        <v>2577</v>
      </c>
      <c r="H1669" s="23" t="s">
        <v>26</v>
      </c>
      <c r="I1669" s="23" t="s">
        <v>27</v>
      </c>
      <c r="J1669" s="23" t="s">
        <v>28</v>
      </c>
      <c r="K1669" s="23" t="s">
        <v>29</v>
      </c>
      <c r="L1669" s="23" t="s">
        <v>2679</v>
      </c>
      <c r="M1669" s="23" t="s">
        <v>153</v>
      </c>
      <c r="N1669" s="23" t="s">
        <v>44</v>
      </c>
      <c r="O1669" s="23">
        <v>30</v>
      </c>
      <c r="P1669" s="23">
        <v>80.27</v>
      </c>
      <c r="Q1669" s="23">
        <v>44.96</v>
      </c>
      <c r="R1669" s="23">
        <v>2408.06</v>
      </c>
      <c r="S1669" s="23">
        <v>0.2</v>
      </c>
      <c r="T1669" s="23">
        <v>481.61</v>
      </c>
      <c r="U1669" s="23">
        <v>1926.45</v>
      </c>
      <c r="V1669" s="23">
        <v>1348.8</v>
      </c>
      <c r="W1669" s="23">
        <v>577.65</v>
      </c>
      <c r="X1669" s="23" t="s">
        <v>129</v>
      </c>
    </row>
    <row r="1670" spans="1:24" x14ac:dyDescent="0.25">
      <c r="A1670" s="20" t="s">
        <v>2194</v>
      </c>
      <c r="B1670" s="19">
        <v>45386</v>
      </c>
      <c r="C1670" s="20" t="s">
        <v>662</v>
      </c>
      <c r="D1670" s="20" t="s">
        <v>156</v>
      </c>
      <c r="E1670" s="20" t="s">
        <v>49</v>
      </c>
      <c r="F1670" s="20" t="s">
        <v>2580</v>
      </c>
      <c r="G1670" s="20" t="s">
        <v>2581</v>
      </c>
      <c r="H1670" s="20" t="s">
        <v>52</v>
      </c>
      <c r="I1670" s="20" t="s">
        <v>88</v>
      </c>
      <c r="J1670" s="20" t="s">
        <v>173</v>
      </c>
      <c r="K1670" s="20" t="s">
        <v>195</v>
      </c>
      <c r="L1670" s="20" t="s">
        <v>2691</v>
      </c>
      <c r="M1670" s="20" t="s">
        <v>61</v>
      </c>
      <c r="N1670" s="20" t="s">
        <v>44</v>
      </c>
      <c r="O1670" s="20">
        <v>19</v>
      </c>
      <c r="P1670" s="20">
        <v>26.42</v>
      </c>
      <c r="Q1670" s="20">
        <v>13.04</v>
      </c>
      <c r="R1670" s="20">
        <v>502.03</v>
      </c>
      <c r="S1670" s="20">
        <v>0.2</v>
      </c>
      <c r="T1670" s="20">
        <v>100.41</v>
      </c>
      <c r="U1670" s="20">
        <v>401.63</v>
      </c>
      <c r="V1670" s="20">
        <v>247.85</v>
      </c>
      <c r="W1670" s="20">
        <v>153.78</v>
      </c>
      <c r="X1670" s="20" t="s">
        <v>129</v>
      </c>
    </row>
    <row r="1671" spans="1:24" x14ac:dyDescent="0.25">
      <c r="A1671" s="23" t="s">
        <v>439</v>
      </c>
      <c r="B1671" s="22">
        <v>45294</v>
      </c>
      <c r="C1671" s="23" t="s">
        <v>203</v>
      </c>
      <c r="D1671" s="23" t="s">
        <v>156</v>
      </c>
      <c r="E1671" s="23" t="s">
        <v>36</v>
      </c>
      <c r="F1671" s="23" t="s">
        <v>37</v>
      </c>
      <c r="G1671" s="23" t="s">
        <v>2579</v>
      </c>
      <c r="H1671" s="23" t="s">
        <v>39</v>
      </c>
      <c r="I1671" s="23" t="s">
        <v>27</v>
      </c>
      <c r="J1671" s="23" t="s">
        <v>211</v>
      </c>
      <c r="K1671" s="23" t="s">
        <v>111</v>
      </c>
      <c r="L1671" s="23" t="s">
        <v>2685</v>
      </c>
      <c r="M1671" s="23" t="s">
        <v>43</v>
      </c>
      <c r="N1671" s="23" t="s">
        <v>44</v>
      </c>
      <c r="O1671" s="23">
        <v>47</v>
      </c>
      <c r="P1671" s="23">
        <v>151.97</v>
      </c>
      <c r="Q1671" s="23">
        <v>106.58</v>
      </c>
      <c r="R1671" s="23">
        <v>7142.52</v>
      </c>
      <c r="S1671" s="23">
        <v>0.15</v>
      </c>
      <c r="T1671" s="23">
        <v>1071.3800000000001</v>
      </c>
      <c r="U1671" s="23">
        <v>6071.14</v>
      </c>
      <c r="V1671" s="23">
        <v>5009.13</v>
      </c>
      <c r="W1671" s="23">
        <v>1062.01</v>
      </c>
      <c r="X1671" s="23" t="s">
        <v>32</v>
      </c>
    </row>
    <row r="1672" spans="1:24" x14ac:dyDescent="0.25">
      <c r="A1672" s="20" t="s">
        <v>2195</v>
      </c>
      <c r="B1672" s="19">
        <v>45429</v>
      </c>
      <c r="C1672" s="20" t="s">
        <v>322</v>
      </c>
      <c r="D1672" s="20" t="s">
        <v>65</v>
      </c>
      <c r="E1672" s="20" t="s">
        <v>114</v>
      </c>
      <c r="F1672" s="20" t="s">
        <v>2588</v>
      </c>
      <c r="G1672" s="20" t="s">
        <v>2586</v>
      </c>
      <c r="H1672" s="20" t="s">
        <v>116</v>
      </c>
      <c r="I1672" s="20" t="s">
        <v>58</v>
      </c>
      <c r="J1672" s="20" t="s">
        <v>73</v>
      </c>
      <c r="K1672" s="20" t="s">
        <v>83</v>
      </c>
      <c r="L1672" s="20" t="s">
        <v>2683</v>
      </c>
      <c r="M1672" s="20" t="s">
        <v>61</v>
      </c>
      <c r="N1672" s="20" t="s">
        <v>2578</v>
      </c>
      <c r="O1672" s="20">
        <v>9</v>
      </c>
      <c r="P1672" s="20">
        <v>33.9</v>
      </c>
      <c r="Q1672" s="20">
        <v>21.08</v>
      </c>
      <c r="R1672" s="20">
        <v>305.13</v>
      </c>
      <c r="S1672" s="20">
        <v>0.02</v>
      </c>
      <c r="T1672" s="20">
        <v>6.1</v>
      </c>
      <c r="U1672" s="20">
        <v>299.02999999999997</v>
      </c>
      <c r="V1672" s="20">
        <v>189.75</v>
      </c>
      <c r="W1672" s="20">
        <v>109.28</v>
      </c>
      <c r="X1672" s="20" t="s">
        <v>45</v>
      </c>
    </row>
    <row r="1673" spans="1:24" x14ac:dyDescent="0.25">
      <c r="A1673" s="23" t="s">
        <v>2196</v>
      </c>
      <c r="B1673" s="22">
        <v>45319</v>
      </c>
      <c r="C1673" s="23" t="s">
        <v>985</v>
      </c>
      <c r="D1673" s="23" t="s">
        <v>393</v>
      </c>
      <c r="E1673" s="23" t="s">
        <v>209</v>
      </c>
      <c r="F1673" s="23" t="s">
        <v>2595</v>
      </c>
      <c r="G1673" s="23" t="s">
        <v>2581</v>
      </c>
      <c r="H1673" s="23" t="s">
        <v>116</v>
      </c>
      <c r="I1673" s="23" t="s">
        <v>53</v>
      </c>
      <c r="J1673" s="23" t="s">
        <v>54</v>
      </c>
      <c r="K1673" s="23" t="s">
        <v>265</v>
      </c>
      <c r="L1673" s="23" t="s">
        <v>2663</v>
      </c>
      <c r="M1673" s="23" t="s">
        <v>30</v>
      </c>
      <c r="N1673" s="23" t="s">
        <v>44</v>
      </c>
      <c r="O1673" s="23">
        <v>14</v>
      </c>
      <c r="P1673" s="23">
        <v>17.3</v>
      </c>
      <c r="Q1673" s="23">
        <v>10.25</v>
      </c>
      <c r="R1673" s="23">
        <v>242.18</v>
      </c>
      <c r="S1673" s="23">
        <v>0.2</v>
      </c>
      <c r="T1673" s="23">
        <v>48.44</v>
      </c>
      <c r="U1673" s="23">
        <v>193.75</v>
      </c>
      <c r="V1673" s="23">
        <v>143.44999999999999</v>
      </c>
      <c r="W1673" s="23">
        <v>50.29</v>
      </c>
      <c r="X1673" s="23" t="s">
        <v>45</v>
      </c>
    </row>
    <row r="1674" spans="1:24" x14ac:dyDescent="0.25">
      <c r="A1674" s="20" t="s">
        <v>2197</v>
      </c>
      <c r="B1674" s="19">
        <v>45489</v>
      </c>
      <c r="C1674" s="20" t="s">
        <v>1184</v>
      </c>
      <c r="D1674" s="20" t="s">
        <v>65</v>
      </c>
      <c r="E1674" s="20" t="s">
        <v>165</v>
      </c>
      <c r="F1674" s="20" t="s">
        <v>2592</v>
      </c>
      <c r="G1674" s="20" t="s">
        <v>2586</v>
      </c>
      <c r="H1674" s="20" t="s">
        <v>167</v>
      </c>
      <c r="I1674" s="20" t="s">
        <v>58</v>
      </c>
      <c r="J1674" s="20" t="s">
        <v>345</v>
      </c>
      <c r="K1674" s="20" t="s">
        <v>42</v>
      </c>
      <c r="L1674" s="20" t="s">
        <v>2680</v>
      </c>
      <c r="M1674" s="20" t="s">
        <v>61</v>
      </c>
      <c r="N1674" s="20" t="s">
        <v>2578</v>
      </c>
      <c r="O1674" s="20">
        <v>19</v>
      </c>
      <c r="P1674" s="20">
        <v>44.88</v>
      </c>
      <c r="Q1674" s="20">
        <v>24.55</v>
      </c>
      <c r="R1674" s="20">
        <v>852.79</v>
      </c>
      <c r="S1674" s="20">
        <v>0.02</v>
      </c>
      <c r="T1674" s="20">
        <v>17.059999999999999</v>
      </c>
      <c r="U1674" s="20">
        <v>835.74</v>
      </c>
      <c r="V1674" s="20">
        <v>466.44</v>
      </c>
      <c r="W1674" s="20">
        <v>369.3</v>
      </c>
      <c r="X1674" s="20" t="s">
        <v>45</v>
      </c>
    </row>
    <row r="1675" spans="1:24" x14ac:dyDescent="0.25">
      <c r="A1675" s="23" t="s">
        <v>2198</v>
      </c>
      <c r="B1675" s="22">
        <v>45365</v>
      </c>
      <c r="C1675" s="23" t="s">
        <v>471</v>
      </c>
      <c r="D1675" s="23" t="s">
        <v>125</v>
      </c>
      <c r="E1675" s="23" t="s">
        <v>114</v>
      </c>
      <c r="F1675" s="23" t="s">
        <v>2588</v>
      </c>
      <c r="G1675" s="23" t="s">
        <v>2586</v>
      </c>
      <c r="H1675" s="23" t="s">
        <v>116</v>
      </c>
      <c r="I1675" s="23" t="s">
        <v>58</v>
      </c>
      <c r="J1675" s="23" t="s">
        <v>345</v>
      </c>
      <c r="K1675" s="23" t="s">
        <v>90</v>
      </c>
      <c r="L1675" s="23" t="s">
        <v>2684</v>
      </c>
      <c r="M1675" s="23" t="s">
        <v>43</v>
      </c>
      <c r="N1675" s="23" t="s">
        <v>2578</v>
      </c>
      <c r="O1675" s="23">
        <v>3</v>
      </c>
      <c r="P1675" s="23">
        <v>36.700000000000003</v>
      </c>
      <c r="Q1675" s="23">
        <v>21.02</v>
      </c>
      <c r="R1675" s="23">
        <v>110.1</v>
      </c>
      <c r="S1675" s="23">
        <v>0.2</v>
      </c>
      <c r="T1675" s="23">
        <v>22.02</v>
      </c>
      <c r="U1675" s="23">
        <v>88.08</v>
      </c>
      <c r="V1675" s="23">
        <v>63.05</v>
      </c>
      <c r="W1675" s="23">
        <v>25.03</v>
      </c>
      <c r="X1675" s="23" t="s">
        <v>32</v>
      </c>
    </row>
    <row r="1676" spans="1:24" x14ac:dyDescent="0.25">
      <c r="A1676" s="20" t="s">
        <v>2199</v>
      </c>
      <c r="B1676" s="19">
        <v>45300</v>
      </c>
      <c r="C1676" s="20" t="s">
        <v>565</v>
      </c>
      <c r="D1676" s="20" t="s">
        <v>121</v>
      </c>
      <c r="E1676" s="20" t="s">
        <v>109</v>
      </c>
      <c r="F1676" s="20" t="s">
        <v>110</v>
      </c>
      <c r="G1676" s="20" t="s">
        <v>2584</v>
      </c>
      <c r="H1676" s="20" t="s">
        <v>81</v>
      </c>
      <c r="I1676" s="20" t="s">
        <v>88</v>
      </c>
      <c r="J1676" s="20" t="s">
        <v>173</v>
      </c>
      <c r="K1676" s="20" t="s">
        <v>111</v>
      </c>
      <c r="L1676" s="20" t="s">
        <v>2685</v>
      </c>
      <c r="M1676" s="20" t="s">
        <v>61</v>
      </c>
      <c r="N1676" s="20" t="s">
        <v>44</v>
      </c>
      <c r="O1676" s="20">
        <v>26</v>
      </c>
      <c r="P1676" s="20">
        <v>123.43</v>
      </c>
      <c r="Q1676" s="20">
        <v>78.650000000000006</v>
      </c>
      <c r="R1676" s="20">
        <v>3209.14</v>
      </c>
      <c r="S1676" s="20">
        <v>0.15</v>
      </c>
      <c r="T1676" s="20">
        <v>481.37</v>
      </c>
      <c r="U1676" s="20">
        <v>2727.77</v>
      </c>
      <c r="V1676" s="20">
        <v>2044.88</v>
      </c>
      <c r="W1676" s="20">
        <v>682.89</v>
      </c>
      <c r="X1676" s="20" t="s">
        <v>45</v>
      </c>
    </row>
    <row r="1677" spans="1:24" x14ac:dyDescent="0.25">
      <c r="A1677" s="23" t="s">
        <v>2200</v>
      </c>
      <c r="B1677" s="22">
        <v>45500</v>
      </c>
      <c r="C1677" s="23" t="s">
        <v>578</v>
      </c>
      <c r="D1677" s="23" t="s">
        <v>221</v>
      </c>
      <c r="E1677" s="23" t="s">
        <v>114</v>
      </c>
      <c r="F1677" s="23" t="s">
        <v>2588</v>
      </c>
      <c r="G1677" s="23" t="s">
        <v>2586</v>
      </c>
      <c r="H1677" s="23" t="s">
        <v>116</v>
      </c>
      <c r="I1677" s="23" t="s">
        <v>53</v>
      </c>
      <c r="J1677" s="23" t="s">
        <v>143</v>
      </c>
      <c r="K1677" s="23" t="s">
        <v>152</v>
      </c>
      <c r="L1677" s="23" t="s">
        <v>2688</v>
      </c>
      <c r="M1677" s="23" t="s">
        <v>30</v>
      </c>
      <c r="N1677" s="23" t="s">
        <v>44</v>
      </c>
      <c r="O1677" s="23">
        <v>27</v>
      </c>
      <c r="P1677" s="23">
        <v>33.4</v>
      </c>
      <c r="Q1677" s="23">
        <v>20.75</v>
      </c>
      <c r="R1677" s="23">
        <v>901.89</v>
      </c>
      <c r="S1677" s="23">
        <v>0.02</v>
      </c>
      <c r="T1677" s="23">
        <v>18.04</v>
      </c>
      <c r="U1677" s="23">
        <v>883.86</v>
      </c>
      <c r="V1677" s="23">
        <v>560.17999999999995</v>
      </c>
      <c r="W1677" s="23">
        <v>323.67</v>
      </c>
      <c r="X1677" s="23" t="s">
        <v>45</v>
      </c>
    </row>
    <row r="1678" spans="1:24" x14ac:dyDescent="0.25">
      <c r="A1678" s="20" t="s">
        <v>2201</v>
      </c>
      <c r="B1678" s="19">
        <v>45336</v>
      </c>
      <c r="C1678" s="20" t="s">
        <v>1431</v>
      </c>
      <c r="D1678" s="20" t="s">
        <v>264</v>
      </c>
      <c r="E1678" s="20" t="s">
        <v>187</v>
      </c>
      <c r="F1678" s="20" t="s">
        <v>2594</v>
      </c>
      <c r="G1678" s="20" t="s">
        <v>2577</v>
      </c>
      <c r="H1678" s="20" t="s">
        <v>26</v>
      </c>
      <c r="I1678" s="20" t="s">
        <v>27</v>
      </c>
      <c r="J1678" s="20" t="s">
        <v>28</v>
      </c>
      <c r="K1678" s="20" t="s">
        <v>253</v>
      </c>
      <c r="L1678" s="20" t="s">
        <v>2694</v>
      </c>
      <c r="M1678" s="20" t="s">
        <v>30</v>
      </c>
      <c r="N1678" s="20" t="s">
        <v>70</v>
      </c>
      <c r="O1678" s="20">
        <v>24</v>
      </c>
      <c r="P1678" s="20">
        <v>51.16</v>
      </c>
      <c r="Q1678" s="20">
        <v>30.5</v>
      </c>
      <c r="R1678" s="20">
        <v>1227.74</v>
      </c>
      <c r="S1678" s="20">
        <v>0.1</v>
      </c>
      <c r="T1678" s="20">
        <v>122.77</v>
      </c>
      <c r="U1678" s="20">
        <v>1104.97</v>
      </c>
      <c r="V1678" s="20">
        <v>731.92</v>
      </c>
      <c r="W1678" s="20">
        <v>373.05</v>
      </c>
      <c r="X1678" s="20" t="s">
        <v>45</v>
      </c>
    </row>
    <row r="1679" spans="1:24" x14ac:dyDescent="0.25">
      <c r="A1679" s="23" t="s">
        <v>2202</v>
      </c>
      <c r="B1679" s="22">
        <v>45564</v>
      </c>
      <c r="C1679" s="23" t="s">
        <v>970</v>
      </c>
      <c r="D1679" s="23" t="s">
        <v>159</v>
      </c>
      <c r="E1679" s="23" t="s">
        <v>222</v>
      </c>
      <c r="F1679" s="23" t="s">
        <v>2597</v>
      </c>
      <c r="G1679" s="23" t="s">
        <v>2587</v>
      </c>
      <c r="H1679" s="23" t="s">
        <v>68</v>
      </c>
      <c r="I1679" s="23" t="s">
        <v>40</v>
      </c>
      <c r="J1679" s="23" t="s">
        <v>2619</v>
      </c>
      <c r="K1679" s="23" t="s">
        <v>42</v>
      </c>
      <c r="L1679" s="23" t="s">
        <v>2680</v>
      </c>
      <c r="M1679" s="23" t="s">
        <v>30</v>
      </c>
      <c r="N1679" s="23" t="s">
        <v>44</v>
      </c>
      <c r="O1679" s="23">
        <v>21</v>
      </c>
      <c r="P1679" s="23">
        <v>125.14</v>
      </c>
      <c r="Q1679" s="23">
        <v>76.959999999999994</v>
      </c>
      <c r="R1679" s="23">
        <v>2627.88</v>
      </c>
      <c r="S1679" s="23">
        <v>0.15</v>
      </c>
      <c r="T1679" s="23">
        <v>394.18</v>
      </c>
      <c r="U1679" s="23">
        <v>2233.6999999999998</v>
      </c>
      <c r="V1679" s="23">
        <v>1616.12</v>
      </c>
      <c r="W1679" s="23">
        <v>617.58000000000004</v>
      </c>
      <c r="X1679" s="23" t="s">
        <v>129</v>
      </c>
    </row>
    <row r="1680" spans="1:24" x14ac:dyDescent="0.25">
      <c r="A1680" s="20" t="s">
        <v>2203</v>
      </c>
      <c r="B1680" s="19">
        <v>45484</v>
      </c>
      <c r="C1680" s="20" t="s">
        <v>798</v>
      </c>
      <c r="D1680" s="20" t="s">
        <v>259</v>
      </c>
      <c r="E1680" s="20" t="s">
        <v>23</v>
      </c>
      <c r="F1680" s="20" t="s">
        <v>2576</v>
      </c>
      <c r="G1680" s="20" t="s">
        <v>2577</v>
      </c>
      <c r="H1680" s="20" t="s">
        <v>26</v>
      </c>
      <c r="I1680" s="20" t="s">
        <v>88</v>
      </c>
      <c r="J1680" s="20" t="s">
        <v>2112</v>
      </c>
      <c r="K1680" s="20" t="s">
        <v>195</v>
      </c>
      <c r="L1680" s="20" t="s">
        <v>2691</v>
      </c>
      <c r="M1680" s="20" t="s">
        <v>30</v>
      </c>
      <c r="N1680" s="20" t="s">
        <v>84</v>
      </c>
      <c r="O1680" s="20">
        <v>-5</v>
      </c>
      <c r="P1680" s="20">
        <v>75.150000000000006</v>
      </c>
      <c r="Q1680" s="20">
        <v>45.27</v>
      </c>
      <c r="R1680" s="20">
        <v>2028.96</v>
      </c>
      <c r="S1680" s="20">
        <v>0.2</v>
      </c>
      <c r="T1680" s="20">
        <v>405.79</v>
      </c>
      <c r="U1680" s="20">
        <v>1623.17</v>
      </c>
      <c r="V1680" s="20">
        <v>1222.26</v>
      </c>
      <c r="W1680" s="20">
        <v>400.91</v>
      </c>
      <c r="X1680" s="20" t="s">
        <v>45</v>
      </c>
    </row>
    <row r="1681" spans="1:24" x14ac:dyDescent="0.25">
      <c r="A1681" s="23" t="s">
        <v>2204</v>
      </c>
      <c r="B1681" s="22">
        <v>45487</v>
      </c>
      <c r="C1681" s="23" t="s">
        <v>241</v>
      </c>
      <c r="D1681" s="23" t="s">
        <v>87</v>
      </c>
      <c r="E1681" s="23" t="s">
        <v>132</v>
      </c>
      <c r="F1681" s="23" t="s">
        <v>133</v>
      </c>
      <c r="G1681" s="23" t="s">
        <v>2581</v>
      </c>
      <c r="H1681" s="23" t="s">
        <v>134</v>
      </c>
      <c r="I1681" s="23" t="s">
        <v>27</v>
      </c>
      <c r="J1681" s="23" t="s">
        <v>211</v>
      </c>
      <c r="K1681" s="23" t="s">
        <v>178</v>
      </c>
      <c r="L1681" s="23" t="s">
        <v>2689</v>
      </c>
      <c r="M1681" s="23" t="s">
        <v>43</v>
      </c>
      <c r="N1681" s="23" t="s">
        <v>44</v>
      </c>
      <c r="O1681" s="23">
        <v>71</v>
      </c>
      <c r="P1681" s="23">
        <v>57.83</v>
      </c>
      <c r="Q1681" s="23">
        <v>33.93</v>
      </c>
      <c r="R1681" s="23">
        <v>4105.71</v>
      </c>
      <c r="S1681" s="23">
        <v>0.02</v>
      </c>
      <c r="T1681" s="23">
        <v>82.11</v>
      </c>
      <c r="U1681" s="23">
        <v>4023.6</v>
      </c>
      <c r="V1681" s="23">
        <v>2409.3000000000002</v>
      </c>
      <c r="W1681" s="23">
        <v>1614.3</v>
      </c>
      <c r="X1681" s="23" t="s">
        <v>45</v>
      </c>
    </row>
    <row r="1682" spans="1:24" x14ac:dyDescent="0.25">
      <c r="A1682" s="20" t="s">
        <v>2205</v>
      </c>
      <c r="B1682" s="19">
        <v>45575</v>
      </c>
      <c r="C1682" s="20" t="s">
        <v>339</v>
      </c>
      <c r="D1682" s="20" t="s">
        <v>221</v>
      </c>
      <c r="E1682" s="20" t="s">
        <v>216</v>
      </c>
      <c r="F1682" s="20" t="s">
        <v>2596</v>
      </c>
      <c r="G1682" s="20" t="s">
        <v>2579</v>
      </c>
      <c r="H1682" s="20" t="s">
        <v>134</v>
      </c>
      <c r="I1682" s="20" t="s">
        <v>53</v>
      </c>
      <c r="J1682" s="20" t="s">
        <v>122</v>
      </c>
      <c r="K1682" s="20" t="s">
        <v>90</v>
      </c>
      <c r="L1682" s="20" t="s">
        <v>2684</v>
      </c>
      <c r="M1682" s="20" t="s">
        <v>153</v>
      </c>
      <c r="N1682" s="20" t="s">
        <v>2578</v>
      </c>
      <c r="O1682" s="20">
        <v>16</v>
      </c>
      <c r="P1682" s="20">
        <v>109.2</v>
      </c>
      <c r="Q1682" s="20">
        <v>70.69</v>
      </c>
      <c r="R1682" s="20">
        <v>1747.15</v>
      </c>
      <c r="S1682" s="20">
        <v>0.05</v>
      </c>
      <c r="T1682" s="20">
        <v>87.36</v>
      </c>
      <c r="U1682" s="20">
        <v>1659.8</v>
      </c>
      <c r="V1682" s="20">
        <v>1131.06</v>
      </c>
      <c r="W1682" s="20">
        <v>528.73</v>
      </c>
      <c r="X1682" s="20" t="s">
        <v>45</v>
      </c>
    </row>
    <row r="1683" spans="1:24" x14ac:dyDescent="0.25">
      <c r="A1683" s="23" t="s">
        <v>2206</v>
      </c>
      <c r="B1683" s="22">
        <v>45332</v>
      </c>
      <c r="C1683" s="23" t="s">
        <v>384</v>
      </c>
      <c r="D1683" s="23" t="s">
        <v>57</v>
      </c>
      <c r="E1683" s="23" t="s">
        <v>93</v>
      </c>
      <c r="F1683" s="23" t="s">
        <v>2585</v>
      </c>
      <c r="G1683" s="23" t="s">
        <v>2586</v>
      </c>
      <c r="H1683" s="23" t="s">
        <v>96</v>
      </c>
      <c r="I1683" s="23" t="s">
        <v>88</v>
      </c>
      <c r="J1683" s="23" t="s">
        <v>173</v>
      </c>
      <c r="K1683" s="23" t="s">
        <v>60</v>
      </c>
      <c r="L1683" s="23" t="s">
        <v>2677</v>
      </c>
      <c r="M1683" s="23" t="s">
        <v>43</v>
      </c>
      <c r="N1683" s="23" t="s">
        <v>2578</v>
      </c>
      <c r="O1683" s="23">
        <v>8</v>
      </c>
      <c r="P1683" s="23">
        <v>53.31</v>
      </c>
      <c r="Q1683" s="23">
        <v>34.119999999999997</v>
      </c>
      <c r="R1683" s="23">
        <v>426.47</v>
      </c>
      <c r="S1683" s="23">
        <v>0.15</v>
      </c>
      <c r="T1683" s="23">
        <v>63.97</v>
      </c>
      <c r="U1683" s="23">
        <v>362.5</v>
      </c>
      <c r="V1683" s="23">
        <v>272.95</v>
      </c>
      <c r="W1683" s="23">
        <v>89.55</v>
      </c>
      <c r="X1683" s="23" t="s">
        <v>45</v>
      </c>
    </row>
    <row r="1684" spans="1:24" x14ac:dyDescent="0.25">
      <c r="A1684" s="20" t="s">
        <v>2207</v>
      </c>
      <c r="B1684" s="19">
        <v>45447</v>
      </c>
      <c r="C1684" s="20" t="s">
        <v>471</v>
      </c>
      <c r="D1684" s="20" t="s">
        <v>125</v>
      </c>
      <c r="E1684" s="20" t="s">
        <v>23</v>
      </c>
      <c r="F1684" s="20" t="s">
        <v>2576</v>
      </c>
      <c r="G1684" s="20" t="s">
        <v>2577</v>
      </c>
      <c r="H1684" s="20" t="s">
        <v>26</v>
      </c>
      <c r="I1684" s="20" t="s">
        <v>40</v>
      </c>
      <c r="J1684" s="20" t="s">
        <v>41</v>
      </c>
      <c r="K1684" s="20" t="s">
        <v>90</v>
      </c>
      <c r="L1684" s="20" t="s">
        <v>2684</v>
      </c>
      <c r="M1684" s="20" t="s">
        <v>43</v>
      </c>
      <c r="N1684" s="20" t="s">
        <v>84</v>
      </c>
      <c r="O1684" s="20">
        <v>2</v>
      </c>
      <c r="P1684" s="20">
        <v>71.02</v>
      </c>
      <c r="Q1684" s="20">
        <v>46.67</v>
      </c>
      <c r="R1684" s="20">
        <v>142.04</v>
      </c>
      <c r="S1684" s="20">
        <v>0.02</v>
      </c>
      <c r="T1684" s="20">
        <v>2.84</v>
      </c>
      <c r="U1684" s="20">
        <v>139.19999999999999</v>
      </c>
      <c r="V1684" s="20">
        <v>93.34</v>
      </c>
      <c r="W1684" s="20">
        <v>45.86</v>
      </c>
      <c r="X1684" s="20" t="s">
        <v>45</v>
      </c>
    </row>
    <row r="1685" spans="1:24" x14ac:dyDescent="0.25">
      <c r="A1685" s="23" t="s">
        <v>2208</v>
      </c>
      <c r="B1685" s="22">
        <v>45329</v>
      </c>
      <c r="C1685" s="23" t="s">
        <v>309</v>
      </c>
      <c r="D1685" s="23" t="s">
        <v>65</v>
      </c>
      <c r="E1685" s="23" t="s">
        <v>187</v>
      </c>
      <c r="F1685" s="23" t="s">
        <v>2594</v>
      </c>
      <c r="G1685" s="23" t="s">
        <v>2577</v>
      </c>
      <c r="H1685" s="23" t="s">
        <v>26</v>
      </c>
      <c r="I1685" s="23" t="s">
        <v>27</v>
      </c>
      <c r="J1685" s="23" t="s">
        <v>189</v>
      </c>
      <c r="K1685" s="23" t="s">
        <v>248</v>
      </c>
      <c r="L1685" s="23" t="s">
        <v>2693</v>
      </c>
      <c r="M1685" s="23" t="s">
        <v>43</v>
      </c>
      <c r="N1685" s="23" t="s">
        <v>2578</v>
      </c>
      <c r="O1685" s="23">
        <v>10</v>
      </c>
      <c r="P1685" s="23">
        <v>45.17</v>
      </c>
      <c r="Q1685" s="23">
        <v>26.83</v>
      </c>
      <c r="R1685" s="23">
        <v>451.68</v>
      </c>
      <c r="S1685" s="23">
        <v>0.15</v>
      </c>
      <c r="T1685" s="23">
        <v>67.75</v>
      </c>
      <c r="U1685" s="23">
        <v>383.93</v>
      </c>
      <c r="V1685" s="23">
        <v>268.31</v>
      </c>
      <c r="W1685" s="23">
        <v>115.62</v>
      </c>
      <c r="X1685" s="23" t="s">
        <v>45</v>
      </c>
    </row>
    <row r="1686" spans="1:24" x14ac:dyDescent="0.25">
      <c r="A1686" s="20" t="s">
        <v>2209</v>
      </c>
      <c r="B1686" s="19">
        <v>45319</v>
      </c>
      <c r="C1686" s="20" t="s">
        <v>468</v>
      </c>
      <c r="D1686" s="20" t="s">
        <v>65</v>
      </c>
      <c r="E1686" s="20" t="s">
        <v>165</v>
      </c>
      <c r="F1686" s="20" t="s">
        <v>2592</v>
      </c>
      <c r="G1686" s="20" t="s">
        <v>2586</v>
      </c>
      <c r="H1686" s="20" t="s">
        <v>167</v>
      </c>
      <c r="I1686" s="20" t="s">
        <v>53</v>
      </c>
      <c r="J1686" s="20" t="s">
        <v>232</v>
      </c>
      <c r="K1686" s="20" t="s">
        <v>265</v>
      </c>
      <c r="L1686" s="20" t="s">
        <v>2663</v>
      </c>
      <c r="M1686" s="20" t="s">
        <v>153</v>
      </c>
      <c r="N1686" s="20" t="s">
        <v>44</v>
      </c>
      <c r="O1686" s="20">
        <v>47</v>
      </c>
      <c r="P1686" s="20">
        <v>40.82</v>
      </c>
      <c r="Q1686" s="20">
        <v>24.7</v>
      </c>
      <c r="R1686" s="20">
        <v>1918.31</v>
      </c>
      <c r="S1686" s="20">
        <v>0</v>
      </c>
      <c r="T1686" s="20">
        <v>0</v>
      </c>
      <c r="U1686" s="20">
        <v>1918.31</v>
      </c>
      <c r="V1686" s="20">
        <v>1160.98</v>
      </c>
      <c r="W1686" s="20">
        <v>757.33</v>
      </c>
      <c r="X1686" s="20" t="s">
        <v>45</v>
      </c>
    </row>
    <row r="1687" spans="1:24" x14ac:dyDescent="0.25">
      <c r="A1687" s="23" t="s">
        <v>2210</v>
      </c>
      <c r="B1687" s="22">
        <v>45607</v>
      </c>
      <c r="C1687" s="23" t="s">
        <v>1137</v>
      </c>
      <c r="D1687" s="23" t="s">
        <v>163</v>
      </c>
      <c r="E1687" s="23" t="s">
        <v>165</v>
      </c>
      <c r="F1687" s="23" t="s">
        <v>2592</v>
      </c>
      <c r="G1687" s="23" t="s">
        <v>2586</v>
      </c>
      <c r="H1687" s="23" t="s">
        <v>167</v>
      </c>
      <c r="I1687" s="23" t="s">
        <v>88</v>
      </c>
      <c r="J1687" s="23" t="s">
        <v>173</v>
      </c>
      <c r="K1687" s="23" t="s">
        <v>265</v>
      </c>
      <c r="L1687" s="23" t="s">
        <v>2663</v>
      </c>
      <c r="M1687" s="23" t="s">
        <v>43</v>
      </c>
      <c r="N1687" s="23" t="s">
        <v>2578</v>
      </c>
      <c r="O1687" s="23">
        <v>58</v>
      </c>
      <c r="P1687" s="23">
        <v>39.21</v>
      </c>
      <c r="Q1687" s="23">
        <v>25.43</v>
      </c>
      <c r="R1687" s="23">
        <v>2274.08</v>
      </c>
      <c r="S1687" s="23">
        <v>0.05</v>
      </c>
      <c r="T1687" s="23">
        <v>113.7</v>
      </c>
      <c r="U1687" s="23">
        <v>2160.38</v>
      </c>
      <c r="V1687" s="23">
        <v>1474.79</v>
      </c>
      <c r="W1687" s="23">
        <v>685.59</v>
      </c>
      <c r="X1687" s="23" t="s">
        <v>45</v>
      </c>
    </row>
    <row r="1688" spans="1:24" x14ac:dyDescent="0.25">
      <c r="A1688" s="20" t="s">
        <v>2211</v>
      </c>
      <c r="B1688" s="19">
        <v>45363</v>
      </c>
      <c r="C1688" s="20" t="s">
        <v>438</v>
      </c>
      <c r="D1688" s="20" t="s">
        <v>221</v>
      </c>
      <c r="E1688" s="20" t="s">
        <v>222</v>
      </c>
      <c r="F1688" s="20" t="s">
        <v>2597</v>
      </c>
      <c r="G1688" s="20" t="s">
        <v>2587</v>
      </c>
      <c r="H1688" s="20" t="s">
        <v>68</v>
      </c>
      <c r="I1688" s="20" t="s">
        <v>53</v>
      </c>
      <c r="J1688" s="20" t="s">
        <v>122</v>
      </c>
      <c r="K1688" s="20" t="s">
        <v>60</v>
      </c>
      <c r="L1688" s="20" t="s">
        <v>2677</v>
      </c>
      <c r="M1688" s="20" t="s">
        <v>30</v>
      </c>
      <c r="N1688" s="20" t="s">
        <v>2578</v>
      </c>
      <c r="O1688" s="20">
        <v>39</v>
      </c>
      <c r="P1688" s="20">
        <v>126.5</v>
      </c>
      <c r="Q1688" s="20">
        <v>77.61</v>
      </c>
      <c r="R1688" s="20">
        <v>4933.34</v>
      </c>
      <c r="S1688" s="20">
        <v>0.02</v>
      </c>
      <c r="T1688" s="20">
        <v>98.67</v>
      </c>
      <c r="U1688" s="20">
        <v>4834.67</v>
      </c>
      <c r="V1688" s="20">
        <v>3026.76</v>
      </c>
      <c r="W1688" s="20">
        <v>1807.91</v>
      </c>
      <c r="X1688" s="20" t="s">
        <v>45</v>
      </c>
    </row>
    <row r="1689" spans="1:24" x14ac:dyDescent="0.25">
      <c r="A1689" s="23" t="s">
        <v>2212</v>
      </c>
      <c r="B1689" s="22">
        <v>45403</v>
      </c>
      <c r="C1689" s="23" t="s">
        <v>493</v>
      </c>
      <c r="D1689" s="23" t="s">
        <v>121</v>
      </c>
      <c r="E1689" s="23" t="s">
        <v>222</v>
      </c>
      <c r="F1689" s="23" t="s">
        <v>2597</v>
      </c>
      <c r="G1689" s="23" t="s">
        <v>2587</v>
      </c>
      <c r="H1689" s="23" t="s">
        <v>68</v>
      </c>
      <c r="I1689" s="23" t="s">
        <v>53</v>
      </c>
      <c r="J1689" s="23" t="s">
        <v>232</v>
      </c>
      <c r="K1689" s="23" t="s">
        <v>170</v>
      </c>
      <c r="L1689" s="23" t="s">
        <v>2671</v>
      </c>
      <c r="M1689" s="23" t="s">
        <v>61</v>
      </c>
      <c r="N1689" s="23" t="s">
        <v>70</v>
      </c>
      <c r="O1689" s="23">
        <v>36</v>
      </c>
      <c r="P1689" s="23">
        <v>122.47</v>
      </c>
      <c r="Q1689" s="23">
        <v>80.349999999999994</v>
      </c>
      <c r="R1689" s="23">
        <v>4408.7700000000004</v>
      </c>
      <c r="S1689" s="23">
        <v>0</v>
      </c>
      <c r="T1689" s="23">
        <v>0</v>
      </c>
      <c r="U1689" s="23">
        <v>4408.7700000000004</v>
      </c>
      <c r="V1689" s="23">
        <v>2892.75</v>
      </c>
      <c r="W1689" s="23">
        <v>1516.02</v>
      </c>
      <c r="X1689" s="23" t="s">
        <v>129</v>
      </c>
    </row>
    <row r="1690" spans="1:24" x14ac:dyDescent="0.25">
      <c r="A1690" s="20" t="s">
        <v>2213</v>
      </c>
      <c r="B1690" s="19">
        <v>45533</v>
      </c>
      <c r="C1690" s="20" t="s">
        <v>489</v>
      </c>
      <c r="D1690" s="20" t="s">
        <v>105</v>
      </c>
      <c r="E1690" s="20" t="s">
        <v>126</v>
      </c>
      <c r="F1690" s="20" t="s">
        <v>2589</v>
      </c>
      <c r="G1690" s="20" t="s">
        <v>2586</v>
      </c>
      <c r="H1690" s="20" t="s">
        <v>128</v>
      </c>
      <c r="I1690" s="20" t="s">
        <v>58</v>
      </c>
      <c r="J1690" s="20" t="s">
        <v>345</v>
      </c>
      <c r="K1690" s="20" t="s">
        <v>83</v>
      </c>
      <c r="L1690" s="20" t="s">
        <v>2683</v>
      </c>
      <c r="M1690" s="20" t="s">
        <v>30</v>
      </c>
      <c r="N1690" s="20" t="s">
        <v>75</v>
      </c>
      <c r="O1690" s="20">
        <v>18</v>
      </c>
      <c r="P1690" s="20">
        <v>94.06</v>
      </c>
      <c r="Q1690" s="20">
        <v>54.22</v>
      </c>
      <c r="R1690" s="20">
        <v>1693.05</v>
      </c>
      <c r="S1690" s="20">
        <v>0.2</v>
      </c>
      <c r="T1690" s="20">
        <v>338.61</v>
      </c>
      <c r="U1690" s="20">
        <v>1354.44</v>
      </c>
      <c r="V1690" s="20">
        <v>976</v>
      </c>
      <c r="W1690" s="20">
        <v>378.44</v>
      </c>
      <c r="X1690" s="20" t="s">
        <v>45</v>
      </c>
    </row>
    <row r="1691" spans="1:24" x14ac:dyDescent="0.25">
      <c r="A1691" s="23" t="s">
        <v>2214</v>
      </c>
      <c r="B1691" s="22">
        <v>45591</v>
      </c>
      <c r="C1691" s="23" t="s">
        <v>1431</v>
      </c>
      <c r="D1691" s="23" t="s">
        <v>264</v>
      </c>
      <c r="E1691" s="23" t="s">
        <v>99</v>
      </c>
      <c r="F1691" s="23" t="s">
        <v>100</v>
      </c>
      <c r="G1691" s="23" t="s">
        <v>2587</v>
      </c>
      <c r="H1691" s="23" t="s">
        <v>102</v>
      </c>
      <c r="I1691" s="23" t="s">
        <v>58</v>
      </c>
      <c r="J1691" s="23" t="s">
        <v>73</v>
      </c>
      <c r="K1691" s="23" t="s">
        <v>170</v>
      </c>
      <c r="L1691" s="23" t="s">
        <v>2671</v>
      </c>
      <c r="M1691" s="23" t="s">
        <v>30</v>
      </c>
      <c r="N1691" s="23" t="s">
        <v>44</v>
      </c>
      <c r="O1691" s="23">
        <v>74</v>
      </c>
      <c r="P1691" s="23">
        <v>69.97</v>
      </c>
      <c r="Q1691" s="23">
        <v>39.06</v>
      </c>
      <c r="R1691" s="23">
        <v>5177.96</v>
      </c>
      <c r="S1691" s="23">
        <v>0.02</v>
      </c>
      <c r="T1691" s="23">
        <v>103.56</v>
      </c>
      <c r="U1691" s="23">
        <v>5074.3999999999996</v>
      </c>
      <c r="V1691" s="23">
        <v>2890.64</v>
      </c>
      <c r="W1691" s="23">
        <v>2183.7600000000002</v>
      </c>
      <c r="X1691" s="23" t="s">
        <v>45</v>
      </c>
    </row>
    <row r="1692" spans="1:24" x14ac:dyDescent="0.25">
      <c r="A1692" s="20" t="s">
        <v>2215</v>
      </c>
      <c r="B1692" s="19">
        <v>45343</v>
      </c>
      <c r="C1692" s="20" t="s">
        <v>832</v>
      </c>
      <c r="D1692" s="20" t="s">
        <v>159</v>
      </c>
      <c r="E1692" s="20" t="s">
        <v>93</v>
      </c>
      <c r="F1692" s="20" t="s">
        <v>2585</v>
      </c>
      <c r="G1692" s="20" t="s">
        <v>2586</v>
      </c>
      <c r="H1692" s="20" t="s">
        <v>96</v>
      </c>
      <c r="I1692" s="20" t="s">
        <v>27</v>
      </c>
      <c r="J1692" s="20" t="s">
        <v>106</v>
      </c>
      <c r="K1692" s="20" t="s">
        <v>118</v>
      </c>
      <c r="L1692" s="20" t="s">
        <v>2686</v>
      </c>
      <c r="M1692" s="20" t="s">
        <v>153</v>
      </c>
      <c r="N1692" s="20" t="s">
        <v>44</v>
      </c>
      <c r="O1692" s="20">
        <v>65</v>
      </c>
      <c r="P1692" s="20">
        <v>51.05</v>
      </c>
      <c r="Q1692" s="20">
        <v>32.159999999999997</v>
      </c>
      <c r="R1692" s="20">
        <v>3318.56</v>
      </c>
      <c r="S1692" s="20">
        <v>0.15</v>
      </c>
      <c r="T1692" s="20">
        <v>497.78</v>
      </c>
      <c r="U1692" s="20">
        <v>2820.78</v>
      </c>
      <c r="V1692" s="20">
        <v>2090.4299999999998</v>
      </c>
      <c r="W1692" s="20">
        <v>730.34</v>
      </c>
      <c r="X1692" s="20" t="s">
        <v>45</v>
      </c>
    </row>
    <row r="1693" spans="1:24" x14ac:dyDescent="0.25">
      <c r="A1693" s="23" t="s">
        <v>2216</v>
      </c>
      <c r="B1693" s="22">
        <v>45427</v>
      </c>
      <c r="C1693" s="23" t="s">
        <v>1293</v>
      </c>
      <c r="D1693" s="23" t="s">
        <v>264</v>
      </c>
      <c r="E1693" s="23" t="s">
        <v>216</v>
      </c>
      <c r="F1693" s="23" t="s">
        <v>2596</v>
      </c>
      <c r="G1693" s="23" t="s">
        <v>2579</v>
      </c>
      <c r="H1693" s="23" t="s">
        <v>134</v>
      </c>
      <c r="I1693" s="23" t="s">
        <v>88</v>
      </c>
      <c r="J1693" s="23" t="s">
        <v>2112</v>
      </c>
      <c r="K1693" s="23" t="s">
        <v>195</v>
      </c>
      <c r="L1693" s="23" t="s">
        <v>2691</v>
      </c>
      <c r="M1693" s="23" t="s">
        <v>153</v>
      </c>
      <c r="N1693" s="23" t="s">
        <v>75</v>
      </c>
      <c r="O1693" s="23">
        <v>27</v>
      </c>
      <c r="P1693" s="23">
        <v>104.83</v>
      </c>
      <c r="Q1693" s="23">
        <v>61.76</v>
      </c>
      <c r="R1693" s="23">
        <v>2830.49</v>
      </c>
      <c r="S1693" s="23">
        <v>0.02</v>
      </c>
      <c r="T1693" s="23">
        <v>56.61</v>
      </c>
      <c r="U1693" s="23">
        <v>2773.88</v>
      </c>
      <c r="V1693" s="23">
        <v>1667.46</v>
      </c>
      <c r="W1693" s="23">
        <v>1106.42</v>
      </c>
      <c r="X1693" s="23" t="s">
        <v>45</v>
      </c>
    </row>
    <row r="1694" spans="1:24" x14ac:dyDescent="0.25">
      <c r="A1694" s="20" t="s">
        <v>2217</v>
      </c>
      <c r="B1694" s="19">
        <v>45352</v>
      </c>
      <c r="C1694" s="20" t="s">
        <v>1068</v>
      </c>
      <c r="D1694" s="20" t="s">
        <v>105</v>
      </c>
      <c r="E1694" s="20" t="s">
        <v>165</v>
      </c>
      <c r="F1694" s="20" t="s">
        <v>2592</v>
      </c>
      <c r="G1694" s="20" t="s">
        <v>2586</v>
      </c>
      <c r="H1694" s="20" t="s">
        <v>167</v>
      </c>
      <c r="I1694" s="20" t="s">
        <v>88</v>
      </c>
      <c r="J1694" s="20" t="s">
        <v>2112</v>
      </c>
      <c r="K1694" s="20" t="s">
        <v>29</v>
      </c>
      <c r="L1694" s="20" t="s">
        <v>2679</v>
      </c>
      <c r="M1694" s="20" t="s">
        <v>61</v>
      </c>
      <c r="N1694" s="20" t="s">
        <v>2578</v>
      </c>
      <c r="O1694" s="20">
        <v>68</v>
      </c>
      <c r="P1694" s="20">
        <v>42.79</v>
      </c>
      <c r="Q1694" s="20">
        <v>25.81</v>
      </c>
      <c r="R1694" s="20">
        <v>2909.99</v>
      </c>
      <c r="S1694" s="20">
        <v>0</v>
      </c>
      <c r="T1694" s="20">
        <v>0</v>
      </c>
      <c r="U1694" s="20">
        <v>2909.99</v>
      </c>
      <c r="V1694" s="20">
        <v>1755.07</v>
      </c>
      <c r="W1694" s="20">
        <v>1154.92</v>
      </c>
      <c r="X1694" s="20" t="s">
        <v>129</v>
      </c>
    </row>
    <row r="1695" spans="1:24" x14ac:dyDescent="0.25">
      <c r="A1695" s="23" t="s">
        <v>2218</v>
      </c>
      <c r="B1695" s="22">
        <v>45319</v>
      </c>
      <c r="C1695" s="23" t="s">
        <v>864</v>
      </c>
      <c r="D1695" s="23" t="s">
        <v>22</v>
      </c>
      <c r="E1695" s="23" t="s">
        <v>23</v>
      </c>
      <c r="F1695" s="23" t="s">
        <v>2576</v>
      </c>
      <c r="G1695" s="23" t="s">
        <v>2577</v>
      </c>
      <c r="H1695" s="23" t="s">
        <v>26</v>
      </c>
      <c r="I1695" s="23" t="s">
        <v>53</v>
      </c>
      <c r="J1695" s="23" t="s">
        <v>122</v>
      </c>
      <c r="K1695" s="23" t="s">
        <v>170</v>
      </c>
      <c r="L1695" s="23" t="s">
        <v>2671</v>
      </c>
      <c r="M1695" s="23" t="s">
        <v>30</v>
      </c>
      <c r="N1695" s="23" t="s">
        <v>44</v>
      </c>
      <c r="O1695" s="23">
        <v>23</v>
      </c>
      <c r="P1695" s="23">
        <v>70.27</v>
      </c>
      <c r="Q1695" s="23">
        <v>42.98</v>
      </c>
      <c r="R1695" s="23">
        <v>1616.22</v>
      </c>
      <c r="S1695" s="23">
        <v>0.02</v>
      </c>
      <c r="T1695" s="23">
        <v>32.32</v>
      </c>
      <c r="U1695" s="23">
        <v>1583.9</v>
      </c>
      <c r="V1695" s="23">
        <v>988.51</v>
      </c>
      <c r="W1695" s="23">
        <v>595.39</v>
      </c>
      <c r="X1695" s="23" t="s">
        <v>45</v>
      </c>
    </row>
    <row r="1696" spans="1:24" x14ac:dyDescent="0.25">
      <c r="A1696" s="20" t="s">
        <v>2219</v>
      </c>
      <c r="B1696" s="19">
        <v>45396</v>
      </c>
      <c r="C1696" s="20" t="s">
        <v>418</v>
      </c>
      <c r="D1696" s="20" t="s">
        <v>159</v>
      </c>
      <c r="E1696" s="20" t="s">
        <v>49</v>
      </c>
      <c r="F1696" s="20" t="s">
        <v>2580</v>
      </c>
      <c r="G1696" s="20" t="s">
        <v>2581</v>
      </c>
      <c r="H1696" s="20" t="s">
        <v>52</v>
      </c>
      <c r="I1696" s="20" t="s">
        <v>88</v>
      </c>
      <c r="J1696" s="20" t="s">
        <v>2112</v>
      </c>
      <c r="K1696" s="20" t="s">
        <v>152</v>
      </c>
      <c r="L1696" s="20" t="s">
        <v>2688</v>
      </c>
      <c r="M1696" s="20" t="s">
        <v>30</v>
      </c>
      <c r="N1696" s="20" t="s">
        <v>84</v>
      </c>
      <c r="O1696" s="20">
        <v>9</v>
      </c>
      <c r="P1696" s="20">
        <v>23.23</v>
      </c>
      <c r="Q1696" s="20">
        <v>13.98</v>
      </c>
      <c r="R1696" s="20">
        <v>209.08</v>
      </c>
      <c r="S1696" s="20">
        <v>1.25</v>
      </c>
      <c r="T1696" s="20">
        <v>4.18</v>
      </c>
      <c r="U1696" s="20">
        <v>204.9</v>
      </c>
      <c r="V1696" s="20">
        <v>125.78</v>
      </c>
      <c r="W1696" s="20">
        <v>79.12</v>
      </c>
      <c r="X1696" s="20" t="s">
        <v>45</v>
      </c>
    </row>
    <row r="1697" spans="1:24" x14ac:dyDescent="0.25">
      <c r="A1697" s="23" t="s">
        <v>2220</v>
      </c>
      <c r="B1697" s="22">
        <v>45393</v>
      </c>
      <c r="C1697" s="23" t="s">
        <v>418</v>
      </c>
      <c r="D1697" s="23" t="s">
        <v>159</v>
      </c>
      <c r="E1697" s="23" t="s">
        <v>176</v>
      </c>
      <c r="F1697" s="23" t="s">
        <v>2593</v>
      </c>
      <c r="G1697" s="23" t="s">
        <v>2587</v>
      </c>
      <c r="H1697" s="23" t="s">
        <v>39</v>
      </c>
      <c r="I1697" s="23" t="s">
        <v>88</v>
      </c>
      <c r="J1697" s="23" t="s">
        <v>173</v>
      </c>
      <c r="K1697" s="23" t="s">
        <v>90</v>
      </c>
      <c r="L1697" s="23" t="s">
        <v>2684</v>
      </c>
      <c r="M1697" s="23" t="s">
        <v>30</v>
      </c>
      <c r="N1697" s="23" t="s">
        <v>2578</v>
      </c>
      <c r="O1697" s="23">
        <v>60</v>
      </c>
      <c r="P1697" s="23">
        <v>109.53</v>
      </c>
      <c r="Q1697" s="23">
        <v>61.97</v>
      </c>
      <c r="R1697" s="23">
        <v>6571.6</v>
      </c>
      <c r="S1697" s="23">
        <v>0.15</v>
      </c>
      <c r="T1697" s="23">
        <v>985.74</v>
      </c>
      <c r="U1697" s="23">
        <v>5585.86</v>
      </c>
      <c r="V1697" s="23">
        <v>3718.23</v>
      </c>
      <c r="W1697" s="23">
        <v>1867.63</v>
      </c>
      <c r="X1697" s="23" t="s">
        <v>32</v>
      </c>
    </row>
    <row r="1698" spans="1:24" x14ac:dyDescent="0.25">
      <c r="A1698" s="20" t="s">
        <v>2221</v>
      </c>
      <c r="B1698" s="19">
        <v>45585</v>
      </c>
      <c r="C1698" s="20" t="s">
        <v>86</v>
      </c>
      <c r="D1698" s="20" t="s">
        <v>87</v>
      </c>
      <c r="E1698" s="20" t="s">
        <v>99</v>
      </c>
      <c r="F1698" s="20" t="s">
        <v>100</v>
      </c>
      <c r="G1698" s="20" t="s">
        <v>2587</v>
      </c>
      <c r="H1698" s="20" t="s">
        <v>102</v>
      </c>
      <c r="I1698" s="20" t="s">
        <v>88</v>
      </c>
      <c r="J1698" s="20" t="s">
        <v>173</v>
      </c>
      <c r="K1698" s="20" t="s">
        <v>178</v>
      </c>
      <c r="L1698" s="20" t="s">
        <v>2689</v>
      </c>
      <c r="M1698" s="20" t="s">
        <v>43</v>
      </c>
      <c r="N1698" s="20" t="s">
        <v>84</v>
      </c>
      <c r="O1698" s="20">
        <v>48</v>
      </c>
      <c r="P1698" s="20">
        <v>72.86</v>
      </c>
      <c r="Q1698" s="20">
        <v>40.74</v>
      </c>
      <c r="R1698" s="20">
        <v>3497.11</v>
      </c>
      <c r="S1698" s="20">
        <v>0.02</v>
      </c>
      <c r="T1698" s="20">
        <v>69.94</v>
      </c>
      <c r="U1698" s="20">
        <v>3427.17</v>
      </c>
      <c r="V1698" s="20">
        <v>1955.57</v>
      </c>
      <c r="W1698" s="20">
        <v>1471.59</v>
      </c>
      <c r="X1698" s="20" t="s">
        <v>45</v>
      </c>
    </row>
    <row r="1699" spans="1:24" x14ac:dyDescent="0.25">
      <c r="A1699" s="23" t="s">
        <v>2222</v>
      </c>
      <c r="B1699" s="22">
        <v>45572</v>
      </c>
      <c r="C1699" s="23" t="s">
        <v>1171</v>
      </c>
      <c r="D1699" s="23" t="s">
        <v>1408</v>
      </c>
      <c r="E1699" s="23" t="s">
        <v>66</v>
      </c>
      <c r="F1699" s="23" t="s">
        <v>2582</v>
      </c>
      <c r="G1699" s="23" t="s">
        <v>2579</v>
      </c>
      <c r="H1699" s="23" t="s">
        <v>68</v>
      </c>
      <c r="I1699" s="23" t="s">
        <v>27</v>
      </c>
      <c r="J1699" s="23" t="s">
        <v>211</v>
      </c>
      <c r="K1699" s="23" t="s">
        <v>74</v>
      </c>
      <c r="L1699" s="23" t="s">
        <v>2682</v>
      </c>
      <c r="M1699" s="23" t="s">
        <v>43</v>
      </c>
      <c r="N1699" s="23" t="s">
        <v>70</v>
      </c>
      <c r="O1699" s="23">
        <v>7</v>
      </c>
      <c r="P1699" s="23">
        <v>162.43</v>
      </c>
      <c r="Q1699" s="23">
        <v>96.54</v>
      </c>
      <c r="R1699" s="23">
        <v>1137.04</v>
      </c>
      <c r="S1699" s="23">
        <v>0</v>
      </c>
      <c r="T1699" s="23">
        <v>0</v>
      </c>
      <c r="U1699" s="23">
        <v>1137.04</v>
      </c>
      <c r="V1699" s="23">
        <v>675.75</v>
      </c>
      <c r="W1699" s="23">
        <v>461.29</v>
      </c>
      <c r="X1699" s="23" t="s">
        <v>45</v>
      </c>
    </row>
    <row r="1700" spans="1:24" x14ac:dyDescent="0.25">
      <c r="A1700" s="20" t="s">
        <v>2223</v>
      </c>
      <c r="B1700" s="19">
        <v>45655</v>
      </c>
      <c r="C1700" s="20" t="s">
        <v>113</v>
      </c>
      <c r="D1700" s="20" t="s">
        <v>65</v>
      </c>
      <c r="E1700" s="20" t="s">
        <v>141</v>
      </c>
      <c r="F1700" s="20" t="s">
        <v>2590</v>
      </c>
      <c r="G1700" s="20" t="s">
        <v>2577</v>
      </c>
      <c r="H1700" s="20" t="s">
        <v>26</v>
      </c>
      <c r="I1700" s="20" t="s">
        <v>88</v>
      </c>
      <c r="J1700" s="20" t="s">
        <v>135</v>
      </c>
      <c r="K1700" s="20" t="s">
        <v>42</v>
      </c>
      <c r="L1700" s="20" t="s">
        <v>2680</v>
      </c>
      <c r="M1700" s="20" t="s">
        <v>153</v>
      </c>
      <c r="N1700" s="20" t="s">
        <v>84</v>
      </c>
      <c r="O1700" s="20">
        <v>17</v>
      </c>
      <c r="P1700" s="20">
        <v>94.13</v>
      </c>
      <c r="Q1700" s="20">
        <v>55.78</v>
      </c>
      <c r="R1700" s="20">
        <v>1600.22</v>
      </c>
      <c r="S1700" s="20">
        <v>0</v>
      </c>
      <c r="T1700" s="20">
        <v>0</v>
      </c>
      <c r="U1700" s="20">
        <v>1600.22</v>
      </c>
      <c r="V1700" s="20">
        <v>948.3</v>
      </c>
      <c r="W1700" s="20">
        <v>651.91999999999996</v>
      </c>
      <c r="X1700" s="20" t="s">
        <v>45</v>
      </c>
    </row>
    <row r="1701" spans="1:24" x14ac:dyDescent="0.25">
      <c r="A1701" s="23" t="s">
        <v>2224</v>
      </c>
      <c r="B1701" s="22">
        <v>45416</v>
      </c>
      <c r="C1701" s="23" t="s">
        <v>511</v>
      </c>
      <c r="D1701" s="23" t="s">
        <v>163</v>
      </c>
      <c r="E1701" s="23" t="s">
        <v>216</v>
      </c>
      <c r="F1701" s="23" t="s">
        <v>2596</v>
      </c>
      <c r="G1701" s="23" t="s">
        <v>2579</v>
      </c>
      <c r="H1701" s="23" t="s">
        <v>134</v>
      </c>
      <c r="I1701" s="23" t="s">
        <v>40</v>
      </c>
      <c r="J1701" s="23" t="s">
        <v>289</v>
      </c>
      <c r="K1701" s="23" t="s">
        <v>195</v>
      </c>
      <c r="L1701" s="23" t="s">
        <v>2691</v>
      </c>
      <c r="M1701" s="23" t="s">
        <v>30</v>
      </c>
      <c r="N1701" s="23" t="s">
        <v>84</v>
      </c>
      <c r="O1701" s="23">
        <v>43</v>
      </c>
      <c r="P1701" s="23">
        <v>102.61</v>
      </c>
      <c r="Q1701" s="23">
        <v>65.44</v>
      </c>
      <c r="R1701" s="23">
        <v>4412.28</v>
      </c>
      <c r="S1701" s="23">
        <v>0.02</v>
      </c>
      <c r="T1701" s="23">
        <v>88.25</v>
      </c>
      <c r="U1701" s="23">
        <v>4324.03</v>
      </c>
      <c r="V1701" s="23">
        <v>2814.06</v>
      </c>
      <c r="W1701" s="23">
        <v>1509.98</v>
      </c>
      <c r="X1701" s="23" t="s">
        <v>129</v>
      </c>
    </row>
    <row r="1702" spans="1:24" x14ac:dyDescent="0.25">
      <c r="A1702" s="20" t="s">
        <v>2225</v>
      </c>
      <c r="B1702" s="19">
        <v>45340</v>
      </c>
      <c r="C1702" s="20" t="s">
        <v>282</v>
      </c>
      <c r="D1702" s="20" t="s">
        <v>125</v>
      </c>
      <c r="E1702" s="20" t="s">
        <v>141</v>
      </c>
      <c r="F1702" s="20" t="s">
        <v>2590</v>
      </c>
      <c r="G1702" s="20" t="s">
        <v>2577</v>
      </c>
      <c r="H1702" s="20" t="s">
        <v>26</v>
      </c>
      <c r="I1702" s="20" t="s">
        <v>27</v>
      </c>
      <c r="J1702" s="20" t="s">
        <v>106</v>
      </c>
      <c r="K1702" s="20" t="s">
        <v>218</v>
      </c>
      <c r="L1702" s="20" t="s">
        <v>2692</v>
      </c>
      <c r="M1702" s="20" t="s">
        <v>153</v>
      </c>
      <c r="N1702" s="20" t="s">
        <v>44</v>
      </c>
      <c r="O1702" s="20">
        <v>72</v>
      </c>
      <c r="P1702" s="20">
        <v>99.9</v>
      </c>
      <c r="Q1702" s="20">
        <v>56.7</v>
      </c>
      <c r="R1702" s="20">
        <v>7193.05</v>
      </c>
      <c r="S1702" s="20">
        <v>0.2</v>
      </c>
      <c r="T1702" s="20">
        <v>1438.61</v>
      </c>
      <c r="U1702" s="20">
        <v>5754.44</v>
      </c>
      <c r="V1702" s="20">
        <v>4082.58</v>
      </c>
      <c r="W1702" s="20">
        <v>1671.86</v>
      </c>
      <c r="X1702" s="20" t="s">
        <v>45</v>
      </c>
    </row>
    <row r="1703" spans="1:24" x14ac:dyDescent="0.25">
      <c r="A1703" s="23" t="s">
        <v>2226</v>
      </c>
      <c r="B1703" s="22">
        <v>45556</v>
      </c>
      <c r="C1703" s="23" t="s">
        <v>814</v>
      </c>
      <c r="D1703" s="23" t="s">
        <v>22</v>
      </c>
      <c r="E1703" s="23" t="s">
        <v>93</v>
      </c>
      <c r="F1703" s="23" t="s">
        <v>2585</v>
      </c>
      <c r="G1703" s="23" t="s">
        <v>2586</v>
      </c>
      <c r="H1703" s="23" t="s">
        <v>96</v>
      </c>
      <c r="I1703" s="23" t="s">
        <v>88</v>
      </c>
      <c r="J1703" s="23" t="s">
        <v>183</v>
      </c>
      <c r="K1703" s="23" t="s">
        <v>118</v>
      </c>
      <c r="L1703" s="23" t="s">
        <v>2686</v>
      </c>
      <c r="M1703" s="23" t="s">
        <v>153</v>
      </c>
      <c r="N1703" s="23" t="s">
        <v>44</v>
      </c>
      <c r="O1703" s="23">
        <v>74</v>
      </c>
      <c r="P1703" s="23">
        <v>56.4</v>
      </c>
      <c r="Q1703" s="23">
        <v>30.52</v>
      </c>
      <c r="R1703" s="23">
        <v>4173.57</v>
      </c>
      <c r="S1703" s="23">
        <v>0.02</v>
      </c>
      <c r="T1703" s="23">
        <v>83.47</v>
      </c>
      <c r="U1703" s="23">
        <v>4090.1</v>
      </c>
      <c r="V1703" s="23">
        <v>2258.59</v>
      </c>
      <c r="W1703" s="23">
        <v>1831.51</v>
      </c>
      <c r="X1703" s="23" t="s">
        <v>45</v>
      </c>
    </row>
    <row r="1704" spans="1:24" x14ac:dyDescent="0.25">
      <c r="A1704" s="20" t="s">
        <v>2227</v>
      </c>
      <c r="B1704" s="19">
        <v>45425</v>
      </c>
      <c r="C1704" s="20" t="s">
        <v>333</v>
      </c>
      <c r="D1704" s="20" t="s">
        <v>57</v>
      </c>
      <c r="E1704" s="20" t="s">
        <v>250</v>
      </c>
      <c r="F1704" s="20" t="s">
        <v>2598</v>
      </c>
      <c r="G1704" s="20" t="s">
        <v>2581</v>
      </c>
      <c r="H1704" s="20" t="s">
        <v>252</v>
      </c>
      <c r="I1704" s="20" t="s">
        <v>88</v>
      </c>
      <c r="J1704" s="20" t="s">
        <v>2112</v>
      </c>
      <c r="K1704" s="20" t="s">
        <v>265</v>
      </c>
      <c r="L1704" s="20" t="s">
        <v>2663</v>
      </c>
      <c r="M1704" s="20" t="s">
        <v>43</v>
      </c>
      <c r="N1704" s="20" t="s">
        <v>84</v>
      </c>
      <c r="O1704" s="20">
        <v>26</v>
      </c>
      <c r="P1704" s="20">
        <v>65.77</v>
      </c>
      <c r="Q1704" s="20">
        <v>37.35</v>
      </c>
      <c r="R1704" s="20">
        <v>1710</v>
      </c>
      <c r="S1704" s="20">
        <v>0</v>
      </c>
      <c r="T1704" s="20">
        <v>0</v>
      </c>
      <c r="U1704" s="20">
        <v>1710</v>
      </c>
      <c r="V1704" s="20">
        <v>971.07</v>
      </c>
      <c r="W1704" s="20">
        <v>738.93</v>
      </c>
      <c r="X1704" s="20" t="s">
        <v>129</v>
      </c>
    </row>
    <row r="1705" spans="1:24" x14ac:dyDescent="0.25">
      <c r="A1705" s="23" t="s">
        <v>2228</v>
      </c>
      <c r="B1705" s="22">
        <v>45629</v>
      </c>
      <c r="C1705" s="23" t="s">
        <v>938</v>
      </c>
      <c r="D1705" s="23" t="s">
        <v>156</v>
      </c>
      <c r="E1705" s="23" t="s">
        <v>126</v>
      </c>
      <c r="F1705" s="23" t="s">
        <v>2589</v>
      </c>
      <c r="G1705" s="23" t="s">
        <v>2586</v>
      </c>
      <c r="H1705" s="23" t="s">
        <v>128</v>
      </c>
      <c r="I1705" s="23" t="s">
        <v>27</v>
      </c>
      <c r="J1705" s="23" t="s">
        <v>189</v>
      </c>
      <c r="K1705" s="23" t="s">
        <v>29</v>
      </c>
      <c r="L1705" s="23" t="s">
        <v>2679</v>
      </c>
      <c r="M1705" s="23" t="s">
        <v>153</v>
      </c>
      <c r="N1705" s="23" t="s">
        <v>44</v>
      </c>
      <c r="O1705" s="23">
        <v>0</v>
      </c>
      <c r="P1705" s="23">
        <v>88.91</v>
      </c>
      <c r="Q1705" s="23">
        <v>55.01</v>
      </c>
      <c r="R1705" s="23">
        <v>2578.3200000000002</v>
      </c>
      <c r="S1705" s="23">
        <v>0</v>
      </c>
      <c r="T1705" s="23">
        <v>0</v>
      </c>
      <c r="U1705" s="23">
        <v>2578.3200000000002</v>
      </c>
      <c r="V1705" s="23">
        <v>1595.15</v>
      </c>
      <c r="W1705" s="23">
        <v>983.17</v>
      </c>
      <c r="X1705" s="23" t="s">
        <v>32</v>
      </c>
    </row>
    <row r="1706" spans="1:24" x14ac:dyDescent="0.25">
      <c r="A1706" s="20" t="s">
        <v>2229</v>
      </c>
      <c r="B1706" s="19">
        <v>45381</v>
      </c>
      <c r="C1706" s="20" t="s">
        <v>186</v>
      </c>
      <c r="D1706" s="20" t="s">
        <v>156</v>
      </c>
      <c r="E1706" s="20" t="s">
        <v>109</v>
      </c>
      <c r="F1706" s="20" t="s">
        <v>110</v>
      </c>
      <c r="G1706" s="20" t="s">
        <v>2584</v>
      </c>
      <c r="H1706" s="20" t="s">
        <v>81</v>
      </c>
      <c r="I1706" s="20" t="s">
        <v>27</v>
      </c>
      <c r="J1706" s="20" t="s">
        <v>189</v>
      </c>
      <c r="K1706" s="20" t="s">
        <v>42</v>
      </c>
      <c r="L1706" s="20" t="s">
        <v>2680</v>
      </c>
      <c r="M1706" s="20" t="s">
        <v>30</v>
      </c>
      <c r="N1706" s="20" t="s">
        <v>70</v>
      </c>
      <c r="O1706" s="20">
        <v>68</v>
      </c>
      <c r="P1706" s="20">
        <v>121.54</v>
      </c>
      <c r="Q1706" s="20">
        <v>69.84</v>
      </c>
      <c r="R1706" s="20">
        <v>8264.6299999999992</v>
      </c>
      <c r="S1706" s="20">
        <v>0.2</v>
      </c>
      <c r="T1706" s="20">
        <v>1652.93</v>
      </c>
      <c r="U1706" s="20">
        <v>6611.7</v>
      </c>
      <c r="V1706" s="20">
        <v>4749.3100000000004</v>
      </c>
      <c r="W1706" s="20">
        <v>1862.39</v>
      </c>
      <c r="X1706" s="20" t="s">
        <v>32</v>
      </c>
    </row>
    <row r="1707" spans="1:24" x14ac:dyDescent="0.25">
      <c r="A1707" s="23" t="s">
        <v>2230</v>
      </c>
      <c r="B1707" s="22">
        <v>45382</v>
      </c>
      <c r="C1707" s="23" t="s">
        <v>817</v>
      </c>
      <c r="D1707" s="23" t="s">
        <v>121</v>
      </c>
      <c r="E1707" s="23" t="s">
        <v>36</v>
      </c>
      <c r="F1707" s="23" t="s">
        <v>37</v>
      </c>
      <c r="G1707" s="23" t="s">
        <v>2579</v>
      </c>
      <c r="H1707" s="23" t="s">
        <v>39</v>
      </c>
      <c r="I1707" s="23" t="s">
        <v>88</v>
      </c>
      <c r="J1707" s="23" t="s">
        <v>183</v>
      </c>
      <c r="K1707" s="23" t="s">
        <v>218</v>
      </c>
      <c r="L1707" s="23" t="s">
        <v>2692</v>
      </c>
      <c r="M1707" s="23" t="s">
        <v>30</v>
      </c>
      <c r="N1707" s="23" t="s">
        <v>75</v>
      </c>
      <c r="O1707" s="23">
        <v>41</v>
      </c>
      <c r="P1707" s="23">
        <v>169.27</v>
      </c>
      <c r="Q1707" s="23">
        <v>92.3</v>
      </c>
      <c r="R1707" s="23">
        <v>6940.11</v>
      </c>
      <c r="S1707" s="23">
        <v>0.02</v>
      </c>
      <c r="T1707" s="23">
        <v>138.80000000000001</v>
      </c>
      <c r="U1707" s="23">
        <v>6801.31</v>
      </c>
      <c r="V1707" s="23">
        <v>3784.16</v>
      </c>
      <c r="W1707" s="23">
        <v>3017.15</v>
      </c>
      <c r="X1707" s="23" t="s">
        <v>32</v>
      </c>
    </row>
    <row r="1708" spans="1:24" x14ac:dyDescent="0.25">
      <c r="A1708" s="20" t="s">
        <v>2231</v>
      </c>
      <c r="B1708" s="19">
        <v>45433</v>
      </c>
      <c r="C1708" s="20" t="s">
        <v>146</v>
      </c>
      <c r="D1708" s="20" t="s">
        <v>105</v>
      </c>
      <c r="E1708" s="20" t="s">
        <v>78</v>
      </c>
      <c r="F1708" s="20" t="s">
        <v>2583</v>
      </c>
      <c r="G1708" s="20" t="s">
        <v>2584</v>
      </c>
      <c r="H1708" s="20" t="s">
        <v>81</v>
      </c>
      <c r="I1708" s="20" t="s">
        <v>58</v>
      </c>
      <c r="J1708" s="20" t="s">
        <v>73</v>
      </c>
      <c r="K1708" s="20" t="s">
        <v>29</v>
      </c>
      <c r="L1708" s="20" t="s">
        <v>2679</v>
      </c>
      <c r="M1708" s="20" t="s">
        <v>30</v>
      </c>
      <c r="N1708" s="20" t="s">
        <v>2578</v>
      </c>
      <c r="O1708" s="20">
        <v>7</v>
      </c>
      <c r="P1708" s="20">
        <v>130.63</v>
      </c>
      <c r="Q1708" s="20">
        <v>76.23</v>
      </c>
      <c r="R1708" s="20">
        <v>914.4</v>
      </c>
      <c r="S1708" s="20">
        <v>0</v>
      </c>
      <c r="T1708" s="20">
        <v>0</v>
      </c>
      <c r="U1708" s="20">
        <v>914.4</v>
      </c>
      <c r="V1708" s="20">
        <v>533.62</v>
      </c>
      <c r="W1708" s="20">
        <v>380.78</v>
      </c>
      <c r="X1708" s="20" t="s">
        <v>32</v>
      </c>
    </row>
    <row r="1709" spans="1:24" x14ac:dyDescent="0.25">
      <c r="A1709" s="23" t="s">
        <v>2232</v>
      </c>
      <c r="B1709" s="22">
        <v>45525</v>
      </c>
      <c r="C1709" s="23" t="s">
        <v>613</v>
      </c>
      <c r="D1709" s="23" t="s">
        <v>87</v>
      </c>
      <c r="E1709" s="23" t="s">
        <v>23</v>
      </c>
      <c r="F1709" s="23" t="s">
        <v>2576</v>
      </c>
      <c r="G1709" s="23" t="s">
        <v>2577</v>
      </c>
      <c r="H1709" s="23" t="s">
        <v>26</v>
      </c>
      <c r="I1709" s="23" t="s">
        <v>53</v>
      </c>
      <c r="J1709" s="23" t="s">
        <v>143</v>
      </c>
      <c r="K1709" s="23" t="s">
        <v>29</v>
      </c>
      <c r="L1709" s="23" t="s">
        <v>2679</v>
      </c>
      <c r="M1709" s="23" t="s">
        <v>153</v>
      </c>
      <c r="N1709" s="23" t="s">
        <v>75</v>
      </c>
      <c r="O1709" s="23">
        <v>33</v>
      </c>
      <c r="P1709" s="23">
        <v>76.47</v>
      </c>
      <c r="Q1709" s="23">
        <v>45.98</v>
      </c>
      <c r="R1709" s="23">
        <v>2523.48</v>
      </c>
      <c r="S1709" s="23">
        <v>0.05</v>
      </c>
      <c r="T1709" s="23">
        <v>126.17</v>
      </c>
      <c r="U1709" s="23">
        <v>2397.3000000000002</v>
      </c>
      <c r="V1709" s="23">
        <v>1517.36</v>
      </c>
      <c r="W1709" s="23">
        <v>879.95</v>
      </c>
      <c r="X1709" s="23" t="s">
        <v>45</v>
      </c>
    </row>
    <row r="1710" spans="1:24" x14ac:dyDescent="0.25">
      <c r="A1710" s="20" t="s">
        <v>2233</v>
      </c>
      <c r="B1710" s="19">
        <v>45297</v>
      </c>
      <c r="C1710" s="20" t="s">
        <v>893</v>
      </c>
      <c r="D1710" s="20" t="s">
        <v>48</v>
      </c>
      <c r="E1710" s="20" t="s">
        <v>150</v>
      </c>
      <c r="F1710" s="20" t="s">
        <v>2591</v>
      </c>
      <c r="G1710" s="20" t="s">
        <v>2587</v>
      </c>
      <c r="H1710" s="20" t="s">
        <v>134</v>
      </c>
      <c r="I1710" s="20" t="s">
        <v>53</v>
      </c>
      <c r="J1710" s="20" t="s">
        <v>122</v>
      </c>
      <c r="K1710" s="20" t="s">
        <v>218</v>
      </c>
      <c r="L1710" s="20" t="s">
        <v>2692</v>
      </c>
      <c r="M1710" s="20" t="s">
        <v>61</v>
      </c>
      <c r="N1710" s="20" t="s">
        <v>70</v>
      </c>
      <c r="O1710" s="20">
        <v>26</v>
      </c>
      <c r="P1710" s="20">
        <v>81.849999999999994</v>
      </c>
      <c r="Q1710" s="20">
        <v>51.34</v>
      </c>
      <c r="R1710" s="20">
        <v>2128.1999999999998</v>
      </c>
      <c r="S1710" s="20">
        <v>0.2</v>
      </c>
      <c r="T1710" s="20">
        <v>425.64</v>
      </c>
      <c r="U1710" s="20">
        <v>1702.56</v>
      </c>
      <c r="V1710" s="20">
        <v>1334.83</v>
      </c>
      <c r="W1710" s="20">
        <v>367.73</v>
      </c>
      <c r="X1710" s="20" t="s">
        <v>32</v>
      </c>
    </row>
    <row r="1711" spans="1:24" x14ac:dyDescent="0.25">
      <c r="A1711" s="23" t="s">
        <v>2234</v>
      </c>
      <c r="B1711" s="22">
        <v>45359</v>
      </c>
      <c r="C1711" s="23" t="s">
        <v>293</v>
      </c>
      <c r="D1711" s="23" t="s">
        <v>65</v>
      </c>
      <c r="E1711" s="23" t="s">
        <v>99</v>
      </c>
      <c r="F1711" s="23" t="s">
        <v>100</v>
      </c>
      <c r="G1711" s="23" t="s">
        <v>2587</v>
      </c>
      <c r="H1711" s="23" t="s">
        <v>102</v>
      </c>
      <c r="I1711" s="23" t="s">
        <v>40</v>
      </c>
      <c r="J1711" s="23" t="s">
        <v>289</v>
      </c>
      <c r="K1711" s="23" t="s">
        <v>60</v>
      </c>
      <c r="L1711" s="23" t="s">
        <v>2677</v>
      </c>
      <c r="M1711" s="23" t="s">
        <v>43</v>
      </c>
      <c r="N1711" s="23" t="s">
        <v>2578</v>
      </c>
      <c r="O1711" s="23">
        <v>42</v>
      </c>
      <c r="P1711" s="23">
        <v>73.069999999999993</v>
      </c>
      <c r="Q1711" s="23">
        <v>42.79</v>
      </c>
      <c r="R1711" s="23">
        <v>3068.89</v>
      </c>
      <c r="S1711" s="23">
        <v>0.1</v>
      </c>
      <c r="T1711" s="23">
        <v>306.89</v>
      </c>
      <c r="U1711" s="23">
        <v>2762</v>
      </c>
      <c r="V1711" s="23">
        <v>1797.2</v>
      </c>
      <c r="W1711" s="23">
        <v>964.8</v>
      </c>
      <c r="X1711" s="23" t="s">
        <v>129</v>
      </c>
    </row>
    <row r="1712" spans="1:24" x14ac:dyDescent="0.25">
      <c r="A1712" s="20" t="s">
        <v>2235</v>
      </c>
      <c r="B1712" s="19">
        <v>45452</v>
      </c>
      <c r="C1712" s="20" t="s">
        <v>347</v>
      </c>
      <c r="D1712" s="20" t="s">
        <v>163</v>
      </c>
      <c r="E1712" s="20" t="s">
        <v>141</v>
      </c>
      <c r="F1712" s="20" t="s">
        <v>2590</v>
      </c>
      <c r="G1712" s="20" t="s">
        <v>2577</v>
      </c>
      <c r="H1712" s="20" t="s">
        <v>26</v>
      </c>
      <c r="I1712" s="20" t="s">
        <v>40</v>
      </c>
      <c r="J1712" s="20" t="s">
        <v>41</v>
      </c>
      <c r="K1712" s="20" t="s">
        <v>178</v>
      </c>
      <c r="L1712" s="20" t="s">
        <v>2689</v>
      </c>
      <c r="M1712" s="20" t="s">
        <v>61</v>
      </c>
      <c r="N1712" s="20" t="s">
        <v>84</v>
      </c>
      <c r="O1712" s="20">
        <v>41</v>
      </c>
      <c r="P1712" s="20">
        <v>88.84</v>
      </c>
      <c r="Q1712" s="20">
        <v>59.7</v>
      </c>
      <c r="R1712" s="20">
        <v>3642.26</v>
      </c>
      <c r="S1712" s="20">
        <v>0.2</v>
      </c>
      <c r="T1712" s="20">
        <v>728.45</v>
      </c>
      <c r="U1712" s="20">
        <v>2913.81</v>
      </c>
      <c r="V1712" s="20">
        <v>2447.63</v>
      </c>
      <c r="W1712" s="20">
        <v>466.18</v>
      </c>
      <c r="X1712" s="20" t="s">
        <v>32</v>
      </c>
    </row>
    <row r="1713" spans="1:24" x14ac:dyDescent="0.25">
      <c r="A1713" s="23" t="s">
        <v>2236</v>
      </c>
      <c r="B1713" s="22">
        <v>45503</v>
      </c>
      <c r="C1713" s="23" t="s">
        <v>967</v>
      </c>
      <c r="D1713" s="23" t="s">
        <v>35</v>
      </c>
      <c r="E1713" s="23" t="s">
        <v>99</v>
      </c>
      <c r="F1713" s="23" t="s">
        <v>100</v>
      </c>
      <c r="G1713" s="23" t="s">
        <v>2587</v>
      </c>
      <c r="H1713" s="23" t="s">
        <v>102</v>
      </c>
      <c r="I1713" s="23" t="s">
        <v>27</v>
      </c>
      <c r="J1713" s="23" t="s">
        <v>28</v>
      </c>
      <c r="K1713" s="23" t="s">
        <v>170</v>
      </c>
      <c r="L1713" s="23" t="s">
        <v>2671</v>
      </c>
      <c r="M1713" s="23" t="s">
        <v>61</v>
      </c>
      <c r="N1713" s="23" t="s">
        <v>70</v>
      </c>
      <c r="O1713" s="23">
        <v>69</v>
      </c>
      <c r="P1713" s="23">
        <v>64.459999999999994</v>
      </c>
      <c r="Q1713" s="23">
        <v>37.770000000000003</v>
      </c>
      <c r="R1713" s="23">
        <v>4447.8500000000004</v>
      </c>
      <c r="S1713" s="23">
        <v>0.15</v>
      </c>
      <c r="T1713" s="23">
        <v>667.18</v>
      </c>
      <c r="U1713" s="23">
        <v>3780.68</v>
      </c>
      <c r="V1713" s="23">
        <v>2606.15</v>
      </c>
      <c r="W1713" s="23">
        <v>1174.53</v>
      </c>
      <c r="X1713" s="23" t="s">
        <v>45</v>
      </c>
    </row>
    <row r="1714" spans="1:24" x14ac:dyDescent="0.25">
      <c r="A1714" s="20" t="s">
        <v>2237</v>
      </c>
      <c r="B1714" s="19">
        <v>45293</v>
      </c>
      <c r="C1714" s="20" t="s">
        <v>1033</v>
      </c>
      <c r="D1714" s="20" t="s">
        <v>105</v>
      </c>
      <c r="E1714" s="20" t="s">
        <v>176</v>
      </c>
      <c r="F1714" s="20" t="s">
        <v>2593</v>
      </c>
      <c r="G1714" s="20" t="s">
        <v>2587</v>
      </c>
      <c r="H1714" s="20" t="s">
        <v>39</v>
      </c>
      <c r="I1714" s="20" t="s">
        <v>88</v>
      </c>
      <c r="J1714" s="20" t="s">
        <v>2112</v>
      </c>
      <c r="K1714" s="20" t="s">
        <v>152</v>
      </c>
      <c r="L1714" s="20" t="s">
        <v>2688</v>
      </c>
      <c r="M1714" s="20" t="s">
        <v>61</v>
      </c>
      <c r="N1714" s="20" t="s">
        <v>75</v>
      </c>
      <c r="O1714" s="20">
        <v>30</v>
      </c>
      <c r="P1714" s="20">
        <v>97.57</v>
      </c>
      <c r="Q1714" s="20">
        <v>61.41</v>
      </c>
      <c r="R1714" s="20">
        <v>2927.05</v>
      </c>
      <c r="S1714" s="20">
        <v>0.02</v>
      </c>
      <c r="T1714" s="20">
        <v>58.54</v>
      </c>
      <c r="U1714" s="20">
        <v>2868.51</v>
      </c>
      <c r="V1714" s="20">
        <v>1842.36</v>
      </c>
      <c r="W1714" s="20">
        <v>1026.1600000000001</v>
      </c>
      <c r="X1714" s="20" t="s">
        <v>45</v>
      </c>
    </row>
    <row r="1715" spans="1:24" x14ac:dyDescent="0.25">
      <c r="A1715" s="23" t="s">
        <v>2238</v>
      </c>
      <c r="B1715" s="22">
        <v>45540</v>
      </c>
      <c r="C1715" s="23" t="s">
        <v>565</v>
      </c>
      <c r="D1715" s="23" t="s">
        <v>121</v>
      </c>
      <c r="E1715" s="23" t="s">
        <v>132</v>
      </c>
      <c r="F1715" s="23" t="s">
        <v>133</v>
      </c>
      <c r="G1715" s="23" t="s">
        <v>2581</v>
      </c>
      <c r="H1715" s="23" t="s">
        <v>134</v>
      </c>
      <c r="I1715" s="23" t="s">
        <v>27</v>
      </c>
      <c r="J1715" s="23" t="s">
        <v>106</v>
      </c>
      <c r="K1715" s="23" t="s">
        <v>265</v>
      </c>
      <c r="L1715" s="23" t="s">
        <v>2663</v>
      </c>
      <c r="M1715" s="23" t="s">
        <v>153</v>
      </c>
      <c r="N1715" s="23" t="s">
        <v>84</v>
      </c>
      <c r="O1715" s="23">
        <v>11</v>
      </c>
      <c r="P1715" s="23">
        <v>55.99</v>
      </c>
      <c r="Q1715" s="23">
        <v>34.979999999999997</v>
      </c>
      <c r="R1715" s="23">
        <v>615.9</v>
      </c>
      <c r="S1715" s="23">
        <v>0.02</v>
      </c>
      <c r="T1715" s="23">
        <v>12.32</v>
      </c>
      <c r="U1715" s="23">
        <v>603.58000000000004</v>
      </c>
      <c r="V1715" s="23">
        <v>384.8</v>
      </c>
      <c r="W1715" s="23">
        <v>218.78</v>
      </c>
      <c r="X1715" s="23" t="s">
        <v>45</v>
      </c>
    </row>
    <row r="1716" spans="1:24" x14ac:dyDescent="0.25">
      <c r="A1716" s="20" t="s">
        <v>2239</v>
      </c>
      <c r="B1716" s="19">
        <v>45589</v>
      </c>
      <c r="C1716" s="20" t="s">
        <v>535</v>
      </c>
      <c r="D1716" s="20" t="s">
        <v>221</v>
      </c>
      <c r="E1716" s="20" t="s">
        <v>36</v>
      </c>
      <c r="F1716" s="20" t="s">
        <v>37</v>
      </c>
      <c r="G1716" s="20" t="s">
        <v>2579</v>
      </c>
      <c r="H1716" s="20" t="s">
        <v>39</v>
      </c>
      <c r="I1716" s="20" t="s">
        <v>53</v>
      </c>
      <c r="J1716" s="20" t="s">
        <v>122</v>
      </c>
      <c r="K1716" s="20" t="s">
        <v>248</v>
      </c>
      <c r="L1716" s="20" t="s">
        <v>2693</v>
      </c>
      <c r="M1716" s="20" t="s">
        <v>61</v>
      </c>
      <c r="N1716" s="20" t="s">
        <v>84</v>
      </c>
      <c r="O1716" s="20">
        <v>71</v>
      </c>
      <c r="P1716" s="20">
        <v>164.09</v>
      </c>
      <c r="Q1716" s="20">
        <v>99.68</v>
      </c>
      <c r="R1716" s="20">
        <v>11650.52</v>
      </c>
      <c r="S1716" s="20">
        <v>0.2</v>
      </c>
      <c r="T1716" s="20">
        <v>2330.1</v>
      </c>
      <c r="U1716" s="20">
        <v>9320.41</v>
      </c>
      <c r="V1716" s="20">
        <v>7076.96</v>
      </c>
      <c r="W1716" s="20">
        <v>2243.4499999999998</v>
      </c>
      <c r="X1716" s="20" t="s">
        <v>32</v>
      </c>
    </row>
    <row r="1717" spans="1:24" x14ac:dyDescent="0.25">
      <c r="A1717" s="23" t="s">
        <v>2240</v>
      </c>
      <c r="B1717" s="22">
        <v>45385</v>
      </c>
      <c r="C1717" s="23" t="s">
        <v>140</v>
      </c>
      <c r="D1717" s="23" t="s">
        <v>87</v>
      </c>
      <c r="E1717" s="23" t="s">
        <v>93</v>
      </c>
      <c r="F1717" s="23" t="s">
        <v>2585</v>
      </c>
      <c r="G1717" s="23" t="s">
        <v>2586</v>
      </c>
      <c r="H1717" s="23" t="s">
        <v>96</v>
      </c>
      <c r="I1717" s="23" t="s">
        <v>27</v>
      </c>
      <c r="J1717" s="23" t="s">
        <v>28</v>
      </c>
      <c r="K1717" s="23" t="s">
        <v>144</v>
      </c>
      <c r="L1717" s="23" t="s">
        <v>2687</v>
      </c>
      <c r="M1717" s="23" t="s">
        <v>30</v>
      </c>
      <c r="N1717" s="23" t="s">
        <v>2578</v>
      </c>
      <c r="O1717" s="23">
        <v>5</v>
      </c>
      <c r="P1717" s="23">
        <v>50.83</v>
      </c>
      <c r="Q1717" s="23">
        <v>31.19</v>
      </c>
      <c r="R1717" s="23">
        <v>254.13</v>
      </c>
      <c r="S1717" s="23">
        <v>0.1</v>
      </c>
      <c r="T1717" s="23">
        <v>25.41</v>
      </c>
      <c r="U1717" s="23">
        <v>228.72</v>
      </c>
      <c r="V1717" s="23">
        <v>155.94</v>
      </c>
      <c r="W1717" s="23">
        <v>72.78</v>
      </c>
      <c r="X1717" s="23" t="s">
        <v>45</v>
      </c>
    </row>
    <row r="1718" spans="1:24" x14ac:dyDescent="0.25">
      <c r="A1718" s="20" t="s">
        <v>2241</v>
      </c>
      <c r="B1718" s="19">
        <v>45553</v>
      </c>
      <c r="C1718" s="20" t="s">
        <v>785</v>
      </c>
      <c r="D1718" s="20" t="s">
        <v>264</v>
      </c>
      <c r="E1718" s="20" t="s">
        <v>141</v>
      </c>
      <c r="F1718" s="20" t="s">
        <v>2590</v>
      </c>
      <c r="G1718" s="20" t="s">
        <v>2577</v>
      </c>
      <c r="H1718" s="20" t="s">
        <v>26</v>
      </c>
      <c r="I1718" s="20" t="s">
        <v>58</v>
      </c>
      <c r="J1718" s="20" t="s">
        <v>73</v>
      </c>
      <c r="K1718" s="20" t="s">
        <v>253</v>
      </c>
      <c r="L1718" s="20" t="s">
        <v>2694</v>
      </c>
      <c r="M1718" s="20" t="s">
        <v>61</v>
      </c>
      <c r="N1718" s="20" t="s">
        <v>2578</v>
      </c>
      <c r="O1718" s="20">
        <v>63</v>
      </c>
      <c r="P1718" s="20">
        <v>91.21</v>
      </c>
      <c r="Q1718" s="20">
        <v>59.63</v>
      </c>
      <c r="R1718" s="20">
        <v>5746.46</v>
      </c>
      <c r="S1718" s="20">
        <v>0.1</v>
      </c>
      <c r="T1718" s="20">
        <v>574.65</v>
      </c>
      <c r="U1718" s="20">
        <v>5171.8100000000004</v>
      </c>
      <c r="V1718" s="20">
        <v>3756.91</v>
      </c>
      <c r="W1718" s="20">
        <v>1414.9</v>
      </c>
      <c r="X1718" s="20" t="s">
        <v>45</v>
      </c>
    </row>
    <row r="1719" spans="1:24" x14ac:dyDescent="0.25">
      <c r="A1719" s="23" t="s">
        <v>2242</v>
      </c>
      <c r="B1719" s="22">
        <v>45386</v>
      </c>
      <c r="C1719" s="23" t="s">
        <v>120</v>
      </c>
      <c r="D1719" s="23" t="s">
        <v>121</v>
      </c>
      <c r="E1719" s="23" t="s">
        <v>132</v>
      </c>
      <c r="F1719" s="23" t="s">
        <v>133</v>
      </c>
      <c r="G1719" s="23" t="s">
        <v>2581</v>
      </c>
      <c r="H1719" s="23" t="s">
        <v>134</v>
      </c>
      <c r="I1719" s="23" t="s">
        <v>27</v>
      </c>
      <c r="J1719" s="23" t="s">
        <v>211</v>
      </c>
      <c r="K1719" s="23" t="s">
        <v>83</v>
      </c>
      <c r="L1719" s="23" t="s">
        <v>2683</v>
      </c>
      <c r="M1719" s="23" t="s">
        <v>153</v>
      </c>
      <c r="N1719" s="23" t="s">
        <v>70</v>
      </c>
      <c r="O1719" s="23">
        <v>33</v>
      </c>
      <c r="P1719" s="23">
        <v>63.26</v>
      </c>
      <c r="Q1719" s="23">
        <v>33.369999999999997</v>
      </c>
      <c r="R1719" s="23">
        <v>2087.65</v>
      </c>
      <c r="S1719" s="23">
        <v>0.1</v>
      </c>
      <c r="T1719" s="23">
        <v>208.76</v>
      </c>
      <c r="U1719" s="23">
        <v>1878.88</v>
      </c>
      <c r="V1719" s="23">
        <v>1101.1500000000001</v>
      </c>
      <c r="W1719" s="23">
        <v>777.74</v>
      </c>
      <c r="X1719" s="23" t="s">
        <v>45</v>
      </c>
    </row>
    <row r="1720" spans="1:24" x14ac:dyDescent="0.25">
      <c r="A1720" s="20" t="s">
        <v>2243</v>
      </c>
      <c r="B1720" s="19">
        <v>45644</v>
      </c>
      <c r="C1720" s="20" t="s">
        <v>1709</v>
      </c>
      <c r="D1720" s="20" t="s">
        <v>159</v>
      </c>
      <c r="E1720" s="20" t="s">
        <v>66</v>
      </c>
      <c r="F1720" s="20" t="s">
        <v>2582</v>
      </c>
      <c r="G1720" s="20" t="s">
        <v>2579</v>
      </c>
      <c r="H1720" s="20" t="s">
        <v>68</v>
      </c>
      <c r="I1720" s="20" t="s">
        <v>53</v>
      </c>
      <c r="J1720" s="20" t="s">
        <v>54</v>
      </c>
      <c r="K1720" s="20" t="s">
        <v>261</v>
      </c>
      <c r="L1720" s="20" t="s">
        <v>2695</v>
      </c>
      <c r="M1720" s="20" t="s">
        <v>61</v>
      </c>
      <c r="N1720" s="20" t="s">
        <v>70</v>
      </c>
      <c r="O1720" s="20">
        <v>4</v>
      </c>
      <c r="P1720" s="20">
        <v>155.91999999999999</v>
      </c>
      <c r="Q1720" s="20">
        <v>111.17</v>
      </c>
      <c r="R1720" s="20">
        <v>623.70000000000005</v>
      </c>
      <c r="S1720" s="20">
        <v>0.15</v>
      </c>
      <c r="T1720" s="20">
        <v>93.55</v>
      </c>
      <c r="U1720" s="20">
        <v>530.14</v>
      </c>
      <c r="V1720" s="20">
        <v>444.67</v>
      </c>
      <c r="W1720" s="20">
        <v>85.47</v>
      </c>
      <c r="X1720" s="20" t="s">
        <v>32</v>
      </c>
    </row>
    <row r="1721" spans="1:24" x14ac:dyDescent="0.25">
      <c r="A1721" s="23" t="s">
        <v>2244</v>
      </c>
      <c r="B1721" s="22">
        <v>45635</v>
      </c>
      <c r="C1721" s="23" t="s">
        <v>148</v>
      </c>
      <c r="D1721" s="23" t="s">
        <v>149</v>
      </c>
      <c r="E1721" s="23" t="s">
        <v>150</v>
      </c>
      <c r="F1721" s="23" t="s">
        <v>2591</v>
      </c>
      <c r="G1721" s="23" t="s">
        <v>2587</v>
      </c>
      <c r="H1721" s="23" t="s">
        <v>134</v>
      </c>
      <c r="I1721" s="23" t="s">
        <v>40</v>
      </c>
      <c r="J1721" s="23" t="s">
        <v>117</v>
      </c>
      <c r="K1721" s="23" t="s">
        <v>195</v>
      </c>
      <c r="L1721" s="23" t="s">
        <v>2691</v>
      </c>
      <c r="M1721" s="23" t="s">
        <v>61</v>
      </c>
      <c r="N1721" s="23" t="s">
        <v>70</v>
      </c>
      <c r="O1721" s="23">
        <v>32</v>
      </c>
      <c r="P1721" s="23">
        <v>84.65</v>
      </c>
      <c r="Q1721" s="23">
        <v>51.5</v>
      </c>
      <c r="R1721" s="23">
        <v>2708.8</v>
      </c>
      <c r="S1721" s="23">
        <v>0.02</v>
      </c>
      <c r="T1721" s="23">
        <v>54.18</v>
      </c>
      <c r="U1721" s="23">
        <v>2654.62</v>
      </c>
      <c r="V1721" s="23">
        <v>1647.84</v>
      </c>
      <c r="W1721" s="23">
        <v>1006.78</v>
      </c>
      <c r="X1721" s="23" t="s">
        <v>129</v>
      </c>
    </row>
    <row r="1722" spans="1:24" x14ac:dyDescent="0.25">
      <c r="A1722" s="20" t="s">
        <v>2245</v>
      </c>
      <c r="B1722" s="19">
        <v>45572</v>
      </c>
      <c r="C1722" s="20" t="s">
        <v>418</v>
      </c>
      <c r="D1722" s="20" t="s">
        <v>159</v>
      </c>
      <c r="E1722" s="20" t="s">
        <v>126</v>
      </c>
      <c r="F1722" s="20" t="s">
        <v>2589</v>
      </c>
      <c r="G1722" s="20" t="s">
        <v>2586</v>
      </c>
      <c r="H1722" s="20" t="s">
        <v>128</v>
      </c>
      <c r="I1722" s="20" t="s">
        <v>27</v>
      </c>
      <c r="J1722" s="20" t="s">
        <v>189</v>
      </c>
      <c r="K1722" s="20" t="s">
        <v>60</v>
      </c>
      <c r="L1722" s="20" t="s">
        <v>2677</v>
      </c>
      <c r="M1722" s="20" t="s">
        <v>30</v>
      </c>
      <c r="N1722" s="20" t="s">
        <v>84</v>
      </c>
      <c r="O1722" s="20">
        <v>32</v>
      </c>
      <c r="P1722" s="20">
        <v>93.42</v>
      </c>
      <c r="Q1722" s="20">
        <v>52.8</v>
      </c>
      <c r="R1722" s="20">
        <v>2989.37</v>
      </c>
      <c r="S1722" s="20">
        <v>0.2</v>
      </c>
      <c r="T1722" s="20">
        <v>597.87</v>
      </c>
      <c r="U1722" s="20">
        <v>2391.5</v>
      </c>
      <c r="V1722" s="20">
        <v>1689.49</v>
      </c>
      <c r="W1722" s="20">
        <v>702.01</v>
      </c>
      <c r="X1722" s="20" t="s">
        <v>45</v>
      </c>
    </row>
    <row r="1723" spans="1:24" x14ac:dyDescent="0.25">
      <c r="A1723" s="23" t="s">
        <v>2246</v>
      </c>
      <c r="B1723" s="22">
        <v>45334</v>
      </c>
      <c r="C1723" s="23" t="s">
        <v>531</v>
      </c>
      <c r="D1723" s="23" t="s">
        <v>264</v>
      </c>
      <c r="E1723" s="23" t="s">
        <v>126</v>
      </c>
      <c r="F1723" s="23" t="s">
        <v>2589</v>
      </c>
      <c r="G1723" s="23" t="s">
        <v>2586</v>
      </c>
      <c r="H1723" s="23" t="s">
        <v>128</v>
      </c>
      <c r="I1723" s="23" t="s">
        <v>53</v>
      </c>
      <c r="J1723" s="23" t="s">
        <v>232</v>
      </c>
      <c r="K1723" s="23" t="s">
        <v>218</v>
      </c>
      <c r="L1723" s="23" t="s">
        <v>2692</v>
      </c>
      <c r="M1723" s="23" t="s">
        <v>43</v>
      </c>
      <c r="N1723" s="23" t="s">
        <v>84</v>
      </c>
      <c r="O1723" s="23">
        <v>73</v>
      </c>
      <c r="P1723" s="23">
        <v>93.67</v>
      </c>
      <c r="Q1723" s="23">
        <v>54.02</v>
      </c>
      <c r="R1723" s="23">
        <v>6838.2</v>
      </c>
      <c r="S1723" s="23">
        <v>0</v>
      </c>
      <c r="T1723" s="23">
        <v>0</v>
      </c>
      <c r="U1723" s="23">
        <v>6838.2</v>
      </c>
      <c r="V1723" s="23">
        <v>3943.48</v>
      </c>
      <c r="W1723" s="23">
        <v>2894.72</v>
      </c>
      <c r="X1723" s="23" t="s">
        <v>45</v>
      </c>
    </row>
    <row r="1724" spans="1:24" x14ac:dyDescent="0.25">
      <c r="A1724" s="20" t="s">
        <v>2247</v>
      </c>
      <c r="B1724" s="19">
        <v>45648</v>
      </c>
      <c r="C1724" s="20" t="s">
        <v>480</v>
      </c>
      <c r="D1724" s="20" t="s">
        <v>22</v>
      </c>
      <c r="E1724" s="20" t="s">
        <v>126</v>
      </c>
      <c r="F1724" s="20" t="s">
        <v>2589</v>
      </c>
      <c r="G1724" s="20" t="s">
        <v>2586</v>
      </c>
      <c r="H1724" s="20" t="s">
        <v>128</v>
      </c>
      <c r="I1724" s="20" t="s">
        <v>27</v>
      </c>
      <c r="J1724" s="20" t="s">
        <v>189</v>
      </c>
      <c r="K1724" s="20" t="s">
        <v>60</v>
      </c>
      <c r="L1724" s="20" t="s">
        <v>2677</v>
      </c>
      <c r="M1724" s="20" t="s">
        <v>30</v>
      </c>
      <c r="N1724" s="20" t="s">
        <v>70</v>
      </c>
      <c r="O1724" s="20">
        <v>44</v>
      </c>
      <c r="P1724" s="20">
        <v>83.89</v>
      </c>
      <c r="Q1724" s="20">
        <v>49.85</v>
      </c>
      <c r="R1724" s="20">
        <v>3691.27</v>
      </c>
      <c r="S1724" s="20">
        <v>0</v>
      </c>
      <c r="T1724" s="20">
        <v>0</v>
      </c>
      <c r="U1724" s="20">
        <v>3691.27</v>
      </c>
      <c r="V1724" s="20">
        <v>2193.5300000000002</v>
      </c>
      <c r="W1724" s="20">
        <v>1497.74</v>
      </c>
      <c r="X1724" s="20" t="s">
        <v>45</v>
      </c>
    </row>
    <row r="1725" spans="1:24" x14ac:dyDescent="0.25">
      <c r="A1725" s="23" t="s">
        <v>2248</v>
      </c>
      <c r="B1725" s="22">
        <v>45501</v>
      </c>
      <c r="C1725" s="23" t="s">
        <v>1706</v>
      </c>
      <c r="D1725" s="23" t="s">
        <v>65</v>
      </c>
      <c r="E1725" s="23" t="s">
        <v>187</v>
      </c>
      <c r="F1725" s="23" t="s">
        <v>2594</v>
      </c>
      <c r="G1725" s="23" t="s">
        <v>2577</v>
      </c>
      <c r="H1725" s="23" t="s">
        <v>26</v>
      </c>
      <c r="I1725" s="23" t="s">
        <v>53</v>
      </c>
      <c r="J1725" s="23" t="s">
        <v>232</v>
      </c>
      <c r="K1725" s="23" t="s">
        <v>111</v>
      </c>
      <c r="L1725" s="23" t="s">
        <v>2685</v>
      </c>
      <c r="M1725" s="23" t="s">
        <v>43</v>
      </c>
      <c r="N1725" s="23" t="s">
        <v>75</v>
      </c>
      <c r="O1725" s="23">
        <v>34</v>
      </c>
      <c r="P1725" s="23">
        <v>49.97</v>
      </c>
      <c r="Q1725" s="23">
        <v>26.94</v>
      </c>
      <c r="R1725" s="23">
        <v>1699.12</v>
      </c>
      <c r="S1725" s="23">
        <v>0.02</v>
      </c>
      <c r="T1725" s="23">
        <v>33.979999999999997</v>
      </c>
      <c r="U1725" s="23">
        <v>1665.14</v>
      </c>
      <c r="V1725" s="23">
        <v>915.89</v>
      </c>
      <c r="W1725" s="23">
        <v>749.25</v>
      </c>
      <c r="X1725" s="23" t="s">
        <v>129</v>
      </c>
    </row>
    <row r="1726" spans="1:24" x14ac:dyDescent="0.25">
      <c r="A1726" s="20" t="s">
        <v>2249</v>
      </c>
      <c r="B1726" s="19">
        <v>45577</v>
      </c>
      <c r="C1726" s="20" t="s">
        <v>1033</v>
      </c>
      <c r="D1726" s="20" t="s">
        <v>105</v>
      </c>
      <c r="E1726" s="20" t="s">
        <v>109</v>
      </c>
      <c r="F1726" s="20" t="s">
        <v>110</v>
      </c>
      <c r="G1726" s="20" t="s">
        <v>2584</v>
      </c>
      <c r="H1726" s="20" t="s">
        <v>81</v>
      </c>
      <c r="I1726" s="20" t="s">
        <v>53</v>
      </c>
      <c r="J1726" s="20" t="s">
        <v>143</v>
      </c>
      <c r="K1726" s="20" t="s">
        <v>152</v>
      </c>
      <c r="L1726" s="20" t="s">
        <v>2688</v>
      </c>
      <c r="M1726" s="20" t="s">
        <v>153</v>
      </c>
      <c r="N1726" s="20" t="s">
        <v>44</v>
      </c>
      <c r="O1726" s="20">
        <v>71</v>
      </c>
      <c r="P1726" s="20">
        <v>129.13999999999999</v>
      </c>
      <c r="Q1726" s="20">
        <v>69.89</v>
      </c>
      <c r="R1726" s="20">
        <v>9169.2800000000007</v>
      </c>
      <c r="S1726" s="20">
        <v>0</v>
      </c>
      <c r="T1726" s="20">
        <v>0</v>
      </c>
      <c r="U1726" s="20">
        <v>9169.2800000000007</v>
      </c>
      <c r="V1726" s="20">
        <v>4961.91</v>
      </c>
      <c r="W1726" s="20">
        <v>4207.37</v>
      </c>
      <c r="X1726" s="20" t="s">
        <v>32</v>
      </c>
    </row>
    <row r="1727" spans="1:24" x14ac:dyDescent="0.25">
      <c r="A1727" s="23" t="s">
        <v>2250</v>
      </c>
      <c r="B1727" s="22">
        <v>45512</v>
      </c>
      <c r="C1727" s="23" t="s">
        <v>660</v>
      </c>
      <c r="D1727" s="23" t="s">
        <v>264</v>
      </c>
      <c r="E1727" s="23" t="s">
        <v>66</v>
      </c>
      <c r="F1727" s="23" t="s">
        <v>2582</v>
      </c>
      <c r="G1727" s="23" t="s">
        <v>2579</v>
      </c>
      <c r="H1727" s="23" t="s">
        <v>68</v>
      </c>
      <c r="I1727" s="23" t="s">
        <v>40</v>
      </c>
      <c r="J1727" s="23" t="s">
        <v>41</v>
      </c>
      <c r="K1727" s="23" t="s">
        <v>83</v>
      </c>
      <c r="L1727" s="23" t="s">
        <v>2683</v>
      </c>
      <c r="M1727" s="23" t="s">
        <v>385</v>
      </c>
      <c r="N1727" s="23" t="s">
        <v>2578</v>
      </c>
      <c r="O1727" s="23">
        <v>58</v>
      </c>
      <c r="P1727" s="23">
        <v>147.6</v>
      </c>
      <c r="Q1727" s="23">
        <v>111.13</v>
      </c>
      <c r="R1727" s="23">
        <v>8560.5499999999993</v>
      </c>
      <c r="S1727" s="23">
        <v>0.02</v>
      </c>
      <c r="T1727" s="23">
        <v>171.21</v>
      </c>
      <c r="U1727" s="23">
        <v>8389.34</v>
      </c>
      <c r="V1727" s="23">
        <v>6445.38</v>
      </c>
      <c r="W1727" s="23">
        <v>1943.96</v>
      </c>
      <c r="X1727" s="23" t="s">
        <v>45</v>
      </c>
    </row>
    <row r="1728" spans="1:24" x14ac:dyDescent="0.25">
      <c r="A1728" s="20" t="s">
        <v>2251</v>
      </c>
      <c r="B1728" s="19">
        <v>45500</v>
      </c>
      <c r="C1728" s="20" t="s">
        <v>278</v>
      </c>
      <c r="D1728" s="20" t="s">
        <v>48</v>
      </c>
      <c r="E1728" s="20" t="s">
        <v>49</v>
      </c>
      <c r="F1728" s="20" t="s">
        <v>2580</v>
      </c>
      <c r="G1728" s="20" t="s">
        <v>2581</v>
      </c>
      <c r="H1728" s="20" t="s">
        <v>52</v>
      </c>
      <c r="I1728" s="20" t="s">
        <v>27</v>
      </c>
      <c r="J1728" s="20" t="s">
        <v>28</v>
      </c>
      <c r="K1728" s="20" t="s">
        <v>218</v>
      </c>
      <c r="L1728" s="20" t="s">
        <v>2692</v>
      </c>
      <c r="M1728" s="20" t="s">
        <v>61</v>
      </c>
      <c r="N1728" s="20" t="s">
        <v>2578</v>
      </c>
      <c r="O1728" s="20">
        <v>72</v>
      </c>
      <c r="P1728" s="20">
        <v>25.02</v>
      </c>
      <c r="Q1728" s="20">
        <v>13.97</v>
      </c>
      <c r="R1728" s="20">
        <v>1801.57</v>
      </c>
      <c r="S1728" s="20">
        <v>0.05</v>
      </c>
      <c r="T1728" s="20">
        <v>90.08</v>
      </c>
      <c r="U1728" s="20">
        <v>1711.49</v>
      </c>
      <c r="V1728" s="20">
        <v>1005.49</v>
      </c>
      <c r="W1728" s="20">
        <v>706</v>
      </c>
      <c r="X1728" s="20" t="s">
        <v>45</v>
      </c>
    </row>
    <row r="1729" spans="1:24" x14ac:dyDescent="0.25">
      <c r="A1729" s="23" t="s">
        <v>2252</v>
      </c>
      <c r="B1729" s="22">
        <v>45407</v>
      </c>
      <c r="C1729" s="23" t="s">
        <v>503</v>
      </c>
      <c r="D1729" s="23" t="s">
        <v>87</v>
      </c>
      <c r="E1729" s="23" t="s">
        <v>187</v>
      </c>
      <c r="F1729" s="23" t="s">
        <v>2594</v>
      </c>
      <c r="G1729" s="23" t="s">
        <v>2577</v>
      </c>
      <c r="H1729" s="23" t="s">
        <v>26</v>
      </c>
      <c r="I1729" s="23" t="s">
        <v>40</v>
      </c>
      <c r="J1729" s="23" t="s">
        <v>289</v>
      </c>
      <c r="K1729" s="23" t="s">
        <v>184</v>
      </c>
      <c r="L1729" s="23" t="s">
        <v>2690</v>
      </c>
      <c r="M1729" s="23" t="s">
        <v>153</v>
      </c>
      <c r="N1729" s="23" t="s">
        <v>2578</v>
      </c>
      <c r="O1729" s="23">
        <v>39</v>
      </c>
      <c r="P1729" s="23">
        <v>46.62</v>
      </c>
      <c r="Q1729" s="23">
        <v>30.84</v>
      </c>
      <c r="R1729" s="23">
        <v>1818.1</v>
      </c>
      <c r="S1729" s="23">
        <v>0.05</v>
      </c>
      <c r="T1729" s="23">
        <v>90.91</v>
      </c>
      <c r="U1729" s="23">
        <v>1727.2</v>
      </c>
      <c r="V1729" s="23">
        <v>1202.57</v>
      </c>
      <c r="W1729" s="23">
        <v>524.62</v>
      </c>
      <c r="X1729" s="23" t="s">
        <v>45</v>
      </c>
    </row>
    <row r="1730" spans="1:24" x14ac:dyDescent="0.25">
      <c r="A1730" s="20" t="s">
        <v>2253</v>
      </c>
      <c r="B1730" s="19">
        <v>45408</v>
      </c>
      <c r="C1730" s="20" t="s">
        <v>373</v>
      </c>
      <c r="D1730" s="20" t="s">
        <v>264</v>
      </c>
      <c r="E1730" s="20" t="s">
        <v>23</v>
      </c>
      <c r="F1730" s="20" t="s">
        <v>2576</v>
      </c>
      <c r="G1730" s="20" t="s">
        <v>2577</v>
      </c>
      <c r="H1730" s="20" t="s">
        <v>26</v>
      </c>
      <c r="I1730" s="20" t="s">
        <v>40</v>
      </c>
      <c r="J1730" s="20" t="s">
        <v>289</v>
      </c>
      <c r="K1730" s="20" t="s">
        <v>184</v>
      </c>
      <c r="L1730" s="20" t="s">
        <v>2690</v>
      </c>
      <c r="M1730" s="20" t="s">
        <v>30</v>
      </c>
      <c r="N1730" s="20" t="s">
        <v>2578</v>
      </c>
      <c r="O1730" s="20">
        <v>25</v>
      </c>
      <c r="P1730" s="20">
        <v>73.45</v>
      </c>
      <c r="Q1730" s="20">
        <v>46.83</v>
      </c>
      <c r="R1730" s="20">
        <v>1836.28</v>
      </c>
      <c r="S1730" s="20">
        <v>0.1</v>
      </c>
      <c r="T1730" s="20">
        <v>183.63</v>
      </c>
      <c r="U1730" s="20">
        <v>1652.65</v>
      </c>
      <c r="V1730" s="20">
        <v>1170.74</v>
      </c>
      <c r="W1730" s="20">
        <v>481.91</v>
      </c>
      <c r="X1730" s="20" t="s">
        <v>45</v>
      </c>
    </row>
    <row r="1731" spans="1:24" x14ac:dyDescent="0.25">
      <c r="A1731" s="23" t="s">
        <v>2254</v>
      </c>
      <c r="B1731" s="22">
        <v>45595</v>
      </c>
      <c r="C1731" s="23" t="s">
        <v>387</v>
      </c>
      <c r="D1731" s="23" t="s">
        <v>22</v>
      </c>
      <c r="E1731" s="23" t="s">
        <v>176</v>
      </c>
      <c r="F1731" s="23" t="s">
        <v>2593</v>
      </c>
      <c r="G1731" s="23" t="s">
        <v>2587</v>
      </c>
      <c r="H1731" s="23" t="s">
        <v>39</v>
      </c>
      <c r="I1731" s="23" t="s">
        <v>53</v>
      </c>
      <c r="J1731" s="23" t="s">
        <v>143</v>
      </c>
      <c r="K1731" s="23" t="s">
        <v>90</v>
      </c>
      <c r="L1731" s="23" t="s">
        <v>2684</v>
      </c>
      <c r="M1731" s="23" t="s">
        <v>30</v>
      </c>
      <c r="N1731" s="23" t="s">
        <v>75</v>
      </c>
      <c r="O1731" s="23">
        <v>43</v>
      </c>
      <c r="P1731" s="23">
        <v>102.99</v>
      </c>
      <c r="Q1731" s="23">
        <v>66.81</v>
      </c>
      <c r="R1731" s="23">
        <v>4428.76</v>
      </c>
      <c r="S1731" s="23">
        <v>0.05</v>
      </c>
      <c r="T1731" s="23">
        <v>221.44</v>
      </c>
      <c r="U1731" s="23">
        <v>4207.32</v>
      </c>
      <c r="V1731" s="23">
        <v>2872.83</v>
      </c>
      <c r="W1731" s="23">
        <v>1334.49</v>
      </c>
      <c r="X1731" s="23" t="s">
        <v>45</v>
      </c>
    </row>
    <row r="1732" spans="1:24" x14ac:dyDescent="0.25">
      <c r="A1732" s="20" t="s">
        <v>2255</v>
      </c>
      <c r="B1732" s="19">
        <v>45562</v>
      </c>
      <c r="C1732" s="20" t="s">
        <v>172</v>
      </c>
      <c r="D1732" s="20" t="s">
        <v>22</v>
      </c>
      <c r="E1732" s="20" t="s">
        <v>49</v>
      </c>
      <c r="F1732" s="20" t="s">
        <v>2580</v>
      </c>
      <c r="G1732" s="20" t="s">
        <v>2581</v>
      </c>
      <c r="H1732" s="20" t="s">
        <v>52</v>
      </c>
      <c r="I1732" s="20" t="s">
        <v>58</v>
      </c>
      <c r="J1732" s="20" t="s">
        <v>345</v>
      </c>
      <c r="K1732" s="20" t="s">
        <v>42</v>
      </c>
      <c r="L1732" s="20" t="s">
        <v>2680</v>
      </c>
      <c r="M1732" s="20" t="s">
        <v>30</v>
      </c>
      <c r="N1732" s="20" t="s">
        <v>84</v>
      </c>
      <c r="O1732" s="20">
        <v>6</v>
      </c>
      <c r="P1732" s="20">
        <v>24.11</v>
      </c>
      <c r="Q1732" s="20">
        <v>12.35</v>
      </c>
      <c r="R1732" s="20">
        <v>144.66</v>
      </c>
      <c r="S1732" s="20">
        <v>0.02</v>
      </c>
      <c r="T1732" s="20">
        <v>2.89</v>
      </c>
      <c r="U1732" s="20">
        <v>141.76</v>
      </c>
      <c r="V1732" s="20">
        <v>74.11</v>
      </c>
      <c r="W1732" s="20">
        <v>67.66</v>
      </c>
      <c r="X1732" s="20" t="s">
        <v>45</v>
      </c>
    </row>
    <row r="1733" spans="1:24" x14ac:dyDescent="0.25">
      <c r="A1733" s="23" t="s">
        <v>2256</v>
      </c>
      <c r="B1733" s="22">
        <v>45327</v>
      </c>
      <c r="C1733" s="23" t="s">
        <v>611</v>
      </c>
      <c r="D1733" s="23" t="s">
        <v>264</v>
      </c>
      <c r="E1733" s="23" t="s">
        <v>141</v>
      </c>
      <c r="F1733" s="23" t="s">
        <v>2590</v>
      </c>
      <c r="G1733" s="23" t="s">
        <v>2577</v>
      </c>
      <c r="H1733" s="23" t="s">
        <v>26</v>
      </c>
      <c r="I1733" s="23" t="s">
        <v>27</v>
      </c>
      <c r="J1733" s="23" t="s">
        <v>106</v>
      </c>
      <c r="K1733" s="23" t="s">
        <v>218</v>
      </c>
      <c r="L1733" s="23" t="s">
        <v>2692</v>
      </c>
      <c r="M1733" s="23" t="s">
        <v>30</v>
      </c>
      <c r="N1733" s="23" t="s">
        <v>75</v>
      </c>
      <c r="O1733" s="23">
        <v>23</v>
      </c>
      <c r="P1733" s="23">
        <v>96.39</v>
      </c>
      <c r="Q1733" s="23">
        <v>55.09</v>
      </c>
      <c r="R1733" s="23">
        <v>2216.86</v>
      </c>
      <c r="S1733" s="23">
        <v>0.02</v>
      </c>
      <c r="T1733" s="23">
        <v>44.34</v>
      </c>
      <c r="U1733" s="23">
        <v>2172.52</v>
      </c>
      <c r="V1733" s="23">
        <v>1267.01</v>
      </c>
      <c r="W1733" s="23">
        <v>905.51</v>
      </c>
      <c r="X1733" s="23" t="s">
        <v>45</v>
      </c>
    </row>
    <row r="1734" spans="1:24" x14ac:dyDescent="0.25">
      <c r="A1734" s="20" t="s">
        <v>2257</v>
      </c>
      <c r="B1734" s="19">
        <v>45425</v>
      </c>
      <c r="C1734" s="20" t="s">
        <v>750</v>
      </c>
      <c r="D1734" s="20" t="s">
        <v>121</v>
      </c>
      <c r="E1734" s="20" t="s">
        <v>150</v>
      </c>
      <c r="F1734" s="20" t="s">
        <v>2591</v>
      </c>
      <c r="G1734" s="20" t="s">
        <v>2587</v>
      </c>
      <c r="H1734" s="20" t="s">
        <v>134</v>
      </c>
      <c r="I1734" s="20" t="s">
        <v>27</v>
      </c>
      <c r="J1734" s="20" t="s">
        <v>28</v>
      </c>
      <c r="K1734" s="20" t="s">
        <v>42</v>
      </c>
      <c r="L1734" s="20" t="s">
        <v>2680</v>
      </c>
      <c r="M1734" s="20" t="s">
        <v>153</v>
      </c>
      <c r="N1734" s="20" t="s">
        <v>2578</v>
      </c>
      <c r="O1734" s="20">
        <v>67</v>
      </c>
      <c r="P1734" s="20">
        <v>84.39</v>
      </c>
      <c r="Q1734" s="20">
        <v>52.37</v>
      </c>
      <c r="R1734" s="20">
        <v>5654.15</v>
      </c>
      <c r="S1734" s="20">
        <v>0.1</v>
      </c>
      <c r="T1734" s="20">
        <v>565.41999999999996</v>
      </c>
      <c r="U1734" s="20">
        <v>5088.74</v>
      </c>
      <c r="V1734" s="20">
        <v>3508.72</v>
      </c>
      <c r="W1734" s="20">
        <v>1580.02</v>
      </c>
      <c r="X1734" s="20" t="s">
        <v>129</v>
      </c>
    </row>
    <row r="1735" spans="1:24" x14ac:dyDescent="0.25">
      <c r="A1735" s="23" t="s">
        <v>2258</v>
      </c>
      <c r="B1735" s="22">
        <v>45442</v>
      </c>
      <c r="C1735" s="23" t="s">
        <v>658</v>
      </c>
      <c r="D1735" s="23" t="s">
        <v>264</v>
      </c>
      <c r="E1735" s="23" t="s">
        <v>132</v>
      </c>
      <c r="F1735" s="23" t="s">
        <v>133</v>
      </c>
      <c r="G1735" s="23" t="s">
        <v>2581</v>
      </c>
      <c r="H1735" s="23" t="s">
        <v>134</v>
      </c>
      <c r="I1735" s="23" t="s">
        <v>88</v>
      </c>
      <c r="J1735" s="23" t="s">
        <v>173</v>
      </c>
      <c r="K1735" s="23" t="s">
        <v>178</v>
      </c>
      <c r="L1735" s="23" t="s">
        <v>2689</v>
      </c>
      <c r="M1735" s="23" t="s">
        <v>153</v>
      </c>
      <c r="N1735" s="23" t="s">
        <v>75</v>
      </c>
      <c r="O1735" s="23">
        <v>74</v>
      </c>
      <c r="P1735" s="23">
        <v>57.41</v>
      </c>
      <c r="Q1735" s="23">
        <v>34.29</v>
      </c>
      <c r="R1735" s="23">
        <v>4248.07</v>
      </c>
      <c r="S1735" s="23">
        <v>0.02</v>
      </c>
      <c r="T1735" s="23">
        <v>84.96</v>
      </c>
      <c r="U1735" s="23">
        <v>3860.74</v>
      </c>
      <c r="V1735" s="23">
        <v>2537.1999999999998</v>
      </c>
      <c r="W1735" s="23">
        <v>1625.91</v>
      </c>
      <c r="X1735" s="23" t="s">
        <v>32</v>
      </c>
    </row>
    <row r="1736" spans="1:24" x14ac:dyDescent="0.25">
      <c r="A1736" s="20" t="s">
        <v>2259</v>
      </c>
      <c r="B1736" s="19">
        <v>45580</v>
      </c>
      <c r="C1736" s="20" t="s">
        <v>280</v>
      </c>
      <c r="D1736" s="20" t="s">
        <v>35</v>
      </c>
      <c r="E1736" s="20" t="s">
        <v>141</v>
      </c>
      <c r="F1736" s="20" t="s">
        <v>2590</v>
      </c>
      <c r="G1736" s="20" t="s">
        <v>2577</v>
      </c>
      <c r="H1736" s="20" t="s">
        <v>26</v>
      </c>
      <c r="I1736" s="20" t="s">
        <v>53</v>
      </c>
      <c r="J1736" s="20" t="s">
        <v>54</v>
      </c>
      <c r="K1736" s="20" t="s">
        <v>83</v>
      </c>
      <c r="L1736" s="20" t="s">
        <v>2683</v>
      </c>
      <c r="M1736" s="20" t="s">
        <v>61</v>
      </c>
      <c r="N1736" s="20" t="s">
        <v>70</v>
      </c>
      <c r="O1736" s="20">
        <v>72</v>
      </c>
      <c r="P1736" s="20">
        <v>101.31</v>
      </c>
      <c r="Q1736" s="20">
        <v>55.69</v>
      </c>
      <c r="R1736" s="20">
        <v>7294.24</v>
      </c>
      <c r="S1736" s="20">
        <v>0.15</v>
      </c>
      <c r="T1736" s="20">
        <v>1094.1400000000001</v>
      </c>
      <c r="U1736" s="20">
        <v>6200.11</v>
      </c>
      <c r="V1736" s="20">
        <v>4009.74</v>
      </c>
      <c r="W1736" s="20">
        <v>2190.36</v>
      </c>
      <c r="X1736" s="20" t="s">
        <v>45</v>
      </c>
    </row>
    <row r="1737" spans="1:24" x14ac:dyDescent="0.25">
      <c r="A1737" s="23" t="s">
        <v>2260</v>
      </c>
      <c r="B1737" s="22">
        <v>45337</v>
      </c>
      <c r="C1737" s="23" t="s">
        <v>267</v>
      </c>
      <c r="D1737" s="23" t="s">
        <v>65</v>
      </c>
      <c r="E1737" s="23" t="s">
        <v>109</v>
      </c>
      <c r="F1737" s="23" t="s">
        <v>110</v>
      </c>
      <c r="G1737" s="23" t="s">
        <v>2584</v>
      </c>
      <c r="H1737" s="23" t="s">
        <v>81</v>
      </c>
      <c r="I1737" s="23" t="s">
        <v>58</v>
      </c>
      <c r="J1737" s="23" t="s">
        <v>73</v>
      </c>
      <c r="K1737" s="23" t="s">
        <v>253</v>
      </c>
      <c r="L1737" s="23" t="s">
        <v>2694</v>
      </c>
      <c r="M1737" s="23" t="s">
        <v>153</v>
      </c>
      <c r="N1737" s="23" t="s">
        <v>44</v>
      </c>
      <c r="O1737" s="23">
        <v>67</v>
      </c>
      <c r="P1737" s="23">
        <v>130.66999999999999</v>
      </c>
      <c r="Q1737" s="23">
        <v>74.78</v>
      </c>
      <c r="R1737" s="23">
        <v>8755.2099999999991</v>
      </c>
      <c r="S1737" s="23">
        <v>0.05</v>
      </c>
      <c r="T1737" s="23">
        <v>437.76</v>
      </c>
      <c r="U1737" s="23">
        <v>8317.4500000000007</v>
      </c>
      <c r="V1737" s="23">
        <v>5010.5</v>
      </c>
      <c r="W1737" s="23">
        <v>3306.95</v>
      </c>
      <c r="X1737" s="23" t="s">
        <v>45</v>
      </c>
    </row>
    <row r="1738" spans="1:24" x14ac:dyDescent="0.25">
      <c r="A1738" s="20" t="s">
        <v>2261</v>
      </c>
      <c r="B1738" s="19">
        <v>45458</v>
      </c>
      <c r="C1738" s="20" t="s">
        <v>814</v>
      </c>
      <c r="D1738" s="20" t="s">
        <v>22</v>
      </c>
      <c r="E1738" s="20" t="s">
        <v>114</v>
      </c>
      <c r="F1738" s="20" t="s">
        <v>2588</v>
      </c>
      <c r="G1738" s="20" t="s">
        <v>2586</v>
      </c>
      <c r="H1738" s="20" t="s">
        <v>116</v>
      </c>
      <c r="I1738" s="20" t="s">
        <v>40</v>
      </c>
      <c r="J1738" s="20" t="s">
        <v>289</v>
      </c>
      <c r="K1738" s="20" t="s">
        <v>218</v>
      </c>
      <c r="L1738" s="20" t="s">
        <v>2692</v>
      </c>
      <c r="M1738" s="20" t="s">
        <v>43</v>
      </c>
      <c r="N1738" s="20" t="s">
        <v>44</v>
      </c>
      <c r="O1738" s="20">
        <v>14</v>
      </c>
      <c r="P1738" s="20">
        <v>36.76</v>
      </c>
      <c r="Q1738" s="20">
        <v>21.38</v>
      </c>
      <c r="R1738" s="20">
        <v>514.66999999999996</v>
      </c>
      <c r="S1738" s="20">
        <v>0</v>
      </c>
      <c r="T1738" s="20">
        <v>0</v>
      </c>
      <c r="U1738" s="20">
        <v>514.66999999999996</v>
      </c>
      <c r="V1738" s="20">
        <v>299.26</v>
      </c>
      <c r="W1738" s="20">
        <v>215.41</v>
      </c>
      <c r="X1738" s="20" t="s">
        <v>45</v>
      </c>
    </row>
    <row r="1739" spans="1:24" x14ac:dyDescent="0.25">
      <c r="A1739" s="23" t="s">
        <v>2262</v>
      </c>
      <c r="B1739" s="22">
        <v>45302</v>
      </c>
      <c r="C1739" s="23" t="s">
        <v>891</v>
      </c>
      <c r="D1739" s="23" t="s">
        <v>156</v>
      </c>
      <c r="E1739" s="23" t="s">
        <v>126</v>
      </c>
      <c r="F1739" s="23" t="s">
        <v>2589</v>
      </c>
      <c r="G1739" s="23" t="s">
        <v>2586</v>
      </c>
      <c r="H1739" s="23" t="s">
        <v>128</v>
      </c>
      <c r="I1739" s="23" t="s">
        <v>53</v>
      </c>
      <c r="J1739" s="23" t="s">
        <v>143</v>
      </c>
      <c r="K1739" s="23" t="s">
        <v>261</v>
      </c>
      <c r="L1739" s="23" t="s">
        <v>2695</v>
      </c>
      <c r="M1739" s="23" t="s">
        <v>30</v>
      </c>
      <c r="N1739" s="23" t="s">
        <v>84</v>
      </c>
      <c r="O1739" s="23">
        <v>64</v>
      </c>
      <c r="P1739" s="23">
        <v>84.05</v>
      </c>
      <c r="Q1739" s="23">
        <v>53.99</v>
      </c>
      <c r="R1739" s="23">
        <v>5379.46</v>
      </c>
      <c r="S1739" s="23">
        <v>0</v>
      </c>
      <c r="T1739" s="23">
        <v>0</v>
      </c>
      <c r="U1739" s="23">
        <v>5379.46</v>
      </c>
      <c r="V1739" s="23">
        <v>3455.53</v>
      </c>
      <c r="W1739" s="23">
        <v>1923.93</v>
      </c>
      <c r="X1739" s="23" t="s">
        <v>45</v>
      </c>
    </row>
    <row r="1740" spans="1:24" x14ac:dyDescent="0.25">
      <c r="A1740" s="20" t="s">
        <v>2263</v>
      </c>
      <c r="B1740" s="19">
        <v>45338</v>
      </c>
      <c r="C1740" s="20" t="s">
        <v>1071</v>
      </c>
      <c r="D1740" s="20" t="s">
        <v>105</v>
      </c>
      <c r="E1740" s="20" t="s">
        <v>23</v>
      </c>
      <c r="F1740" s="20" t="s">
        <v>2576</v>
      </c>
      <c r="G1740" s="20" t="s">
        <v>2577</v>
      </c>
      <c r="H1740" s="20" t="s">
        <v>26</v>
      </c>
      <c r="I1740" s="20" t="s">
        <v>53</v>
      </c>
      <c r="J1740" s="20" t="s">
        <v>122</v>
      </c>
      <c r="K1740" s="20" t="s">
        <v>118</v>
      </c>
      <c r="L1740" s="20" t="s">
        <v>2686</v>
      </c>
      <c r="M1740" s="20" t="s">
        <v>61</v>
      </c>
      <c r="N1740" s="20" t="s">
        <v>44</v>
      </c>
      <c r="O1740" s="20">
        <v>75</v>
      </c>
      <c r="P1740" s="20">
        <v>78.2</v>
      </c>
      <c r="Q1740" s="20">
        <v>44.59</v>
      </c>
      <c r="R1740" s="20">
        <v>5864.86</v>
      </c>
      <c r="S1740" s="20">
        <v>0</v>
      </c>
      <c r="T1740" s="20">
        <v>0</v>
      </c>
      <c r="U1740" s="20">
        <v>5864.86</v>
      </c>
      <c r="V1740" s="20">
        <v>3344.2</v>
      </c>
      <c r="W1740" s="20">
        <v>2520.66</v>
      </c>
      <c r="X1740" s="20" t="s">
        <v>45</v>
      </c>
    </row>
    <row r="1741" spans="1:24" x14ac:dyDescent="0.25">
      <c r="A1741" s="23" t="s">
        <v>2264</v>
      </c>
      <c r="B1741" s="22">
        <v>45356</v>
      </c>
      <c r="C1741" s="23" t="s">
        <v>433</v>
      </c>
      <c r="D1741" s="23" t="s">
        <v>22</v>
      </c>
      <c r="E1741" s="23" t="s">
        <v>165</v>
      </c>
      <c r="F1741" s="23" t="s">
        <v>2592</v>
      </c>
      <c r="G1741" s="23" t="s">
        <v>2586</v>
      </c>
      <c r="H1741" s="23" t="s">
        <v>167</v>
      </c>
      <c r="I1741" s="23" t="s">
        <v>88</v>
      </c>
      <c r="J1741" s="23" t="s">
        <v>135</v>
      </c>
      <c r="K1741" s="23" t="s">
        <v>111</v>
      </c>
      <c r="L1741" s="23" t="s">
        <v>2685</v>
      </c>
      <c r="M1741" s="23" t="s">
        <v>43</v>
      </c>
      <c r="N1741" s="23" t="s">
        <v>2578</v>
      </c>
      <c r="O1741" s="23">
        <v>46</v>
      </c>
      <c r="P1741" s="23">
        <v>39.93</v>
      </c>
      <c r="Q1741" s="23">
        <v>26.67</v>
      </c>
      <c r="R1741" s="23">
        <v>1836.67</v>
      </c>
      <c r="S1741" s="23">
        <v>0.02</v>
      </c>
      <c r="T1741" s="23">
        <v>36.729999999999997</v>
      </c>
      <c r="U1741" s="23">
        <v>1799.93</v>
      </c>
      <c r="V1741" s="23">
        <v>1226.96</v>
      </c>
      <c r="W1741" s="23">
        <v>572.98</v>
      </c>
      <c r="X1741" s="23" t="s">
        <v>129</v>
      </c>
    </row>
    <row r="1742" spans="1:24" x14ac:dyDescent="0.25">
      <c r="A1742" s="20" t="s">
        <v>2265</v>
      </c>
      <c r="B1742" s="19">
        <v>45572</v>
      </c>
      <c r="C1742" s="20" t="s">
        <v>519</v>
      </c>
      <c r="D1742" s="20" t="s">
        <v>121</v>
      </c>
      <c r="E1742" s="20" t="s">
        <v>126</v>
      </c>
      <c r="F1742" s="20" t="s">
        <v>2589</v>
      </c>
      <c r="G1742" s="20" t="s">
        <v>2586</v>
      </c>
      <c r="H1742" s="20" t="s">
        <v>128</v>
      </c>
      <c r="I1742" s="20" t="s">
        <v>53</v>
      </c>
      <c r="J1742" s="20" t="s">
        <v>143</v>
      </c>
      <c r="K1742" s="20" t="s">
        <v>69</v>
      </c>
      <c r="L1742" s="20" t="s">
        <v>2681</v>
      </c>
      <c r="M1742" s="20" t="s">
        <v>43</v>
      </c>
      <c r="N1742" s="20" t="s">
        <v>84</v>
      </c>
      <c r="O1742" s="20">
        <v>33</v>
      </c>
      <c r="P1742" s="20">
        <v>87.73</v>
      </c>
      <c r="Q1742" s="20">
        <v>55.72</v>
      </c>
      <c r="R1742" s="20">
        <v>2894.96</v>
      </c>
      <c r="S1742" s="20">
        <v>0.1</v>
      </c>
      <c r="T1742" s="20">
        <v>289.5</v>
      </c>
      <c r="U1742" s="20">
        <v>2605.46</v>
      </c>
      <c r="V1742" s="20">
        <v>1838.9</v>
      </c>
      <c r="W1742" s="20">
        <v>766.56</v>
      </c>
      <c r="X1742" s="20" t="s">
        <v>45</v>
      </c>
    </row>
    <row r="1743" spans="1:24" x14ac:dyDescent="0.25">
      <c r="A1743" s="23" t="s">
        <v>2266</v>
      </c>
      <c r="B1743" s="22">
        <v>45364</v>
      </c>
      <c r="C1743" s="23" t="s">
        <v>594</v>
      </c>
      <c r="D1743" s="23" t="s">
        <v>105</v>
      </c>
      <c r="E1743" s="23" t="s">
        <v>250</v>
      </c>
      <c r="F1743" s="23" t="s">
        <v>2598</v>
      </c>
      <c r="G1743" s="23" t="s">
        <v>2581</v>
      </c>
      <c r="H1743" s="23" t="s">
        <v>252</v>
      </c>
      <c r="I1743" s="23" t="s">
        <v>53</v>
      </c>
      <c r="J1743" s="23" t="s">
        <v>143</v>
      </c>
      <c r="K1743" s="23" t="s">
        <v>29</v>
      </c>
      <c r="L1743" s="23" t="s">
        <v>2679</v>
      </c>
      <c r="M1743" s="23" t="s">
        <v>153</v>
      </c>
      <c r="N1743" s="23" t="s">
        <v>44</v>
      </c>
      <c r="O1743" s="23">
        <v>36</v>
      </c>
      <c r="P1743" s="23">
        <v>68.39</v>
      </c>
      <c r="Q1743" s="23">
        <v>36.700000000000003</v>
      </c>
      <c r="R1743" s="23">
        <v>2461.9499999999998</v>
      </c>
      <c r="S1743" s="23">
        <v>0.02</v>
      </c>
      <c r="T1743" s="23">
        <v>49.24</v>
      </c>
      <c r="U1743" s="23">
        <v>2412.71</v>
      </c>
      <c r="V1743" s="23">
        <v>1321.1</v>
      </c>
      <c r="W1743" s="23">
        <v>1091.6099999999999</v>
      </c>
      <c r="X1743" s="23" t="s">
        <v>45</v>
      </c>
    </row>
    <row r="1744" spans="1:24" x14ac:dyDescent="0.25">
      <c r="A1744" s="20" t="s">
        <v>2267</v>
      </c>
      <c r="B1744" s="19">
        <v>45347</v>
      </c>
      <c r="C1744" s="20" t="s">
        <v>1293</v>
      </c>
      <c r="D1744" s="20" t="s">
        <v>264</v>
      </c>
      <c r="E1744" s="20" t="s">
        <v>141</v>
      </c>
      <c r="F1744" s="20" t="s">
        <v>2590</v>
      </c>
      <c r="G1744" s="20" t="s">
        <v>2577</v>
      </c>
      <c r="H1744" s="20" t="s">
        <v>26</v>
      </c>
      <c r="I1744" s="20" t="s">
        <v>58</v>
      </c>
      <c r="J1744" s="20" t="s">
        <v>73</v>
      </c>
      <c r="K1744" s="20" t="s">
        <v>90</v>
      </c>
      <c r="L1744" s="20" t="s">
        <v>2684</v>
      </c>
      <c r="M1744" s="20" t="s">
        <v>61</v>
      </c>
      <c r="N1744" s="20" t="s">
        <v>75</v>
      </c>
      <c r="O1744" s="20">
        <v>42</v>
      </c>
      <c r="P1744" s="20">
        <v>88.48</v>
      </c>
      <c r="Q1744" s="20">
        <v>55.32</v>
      </c>
      <c r="R1744" s="20">
        <v>3716.15</v>
      </c>
      <c r="S1744" s="20">
        <v>0.05</v>
      </c>
      <c r="T1744" s="20">
        <v>185.81</v>
      </c>
      <c r="U1744" s="20">
        <v>3530.34</v>
      </c>
      <c r="V1744" s="20">
        <v>2323.2800000000002</v>
      </c>
      <c r="W1744" s="20">
        <v>1207.06</v>
      </c>
      <c r="X1744" s="20" t="s">
        <v>45</v>
      </c>
    </row>
    <row r="1745" spans="1:24" x14ac:dyDescent="0.25">
      <c r="A1745" s="23" t="s">
        <v>2268</v>
      </c>
      <c r="B1745" s="22">
        <v>45315</v>
      </c>
      <c r="C1745" s="23" t="s">
        <v>1724</v>
      </c>
      <c r="D1745" s="23" t="s">
        <v>121</v>
      </c>
      <c r="E1745" s="23" t="s">
        <v>132</v>
      </c>
      <c r="F1745" s="23" t="s">
        <v>133</v>
      </c>
      <c r="G1745" s="23" t="s">
        <v>2581</v>
      </c>
      <c r="H1745" s="23" t="s">
        <v>134</v>
      </c>
      <c r="I1745" s="23" t="s">
        <v>53</v>
      </c>
      <c r="J1745" s="23" t="s">
        <v>232</v>
      </c>
      <c r="K1745" s="23" t="s">
        <v>253</v>
      </c>
      <c r="L1745" s="23" t="s">
        <v>2694</v>
      </c>
      <c r="M1745" s="23" t="s">
        <v>153</v>
      </c>
      <c r="N1745" s="23" t="s">
        <v>75</v>
      </c>
      <c r="O1745" s="23">
        <v>79</v>
      </c>
      <c r="P1745" s="23">
        <v>61.15</v>
      </c>
      <c r="Q1745" s="23">
        <v>34.82</v>
      </c>
      <c r="R1745" s="23">
        <v>4830.7</v>
      </c>
      <c r="S1745" s="23">
        <v>0.15</v>
      </c>
      <c r="T1745" s="23">
        <v>724.6</v>
      </c>
      <c r="U1745" s="23">
        <v>4106.09</v>
      </c>
      <c r="V1745" s="23">
        <v>2750.55</v>
      </c>
      <c r="W1745" s="23">
        <v>1355.54</v>
      </c>
      <c r="X1745" s="23" t="s">
        <v>45</v>
      </c>
    </row>
    <row r="1746" spans="1:24" x14ac:dyDescent="0.25">
      <c r="A1746" s="20" t="s">
        <v>2269</v>
      </c>
      <c r="B1746" s="19">
        <v>45441</v>
      </c>
      <c r="C1746" s="20" t="s">
        <v>1184</v>
      </c>
      <c r="D1746" s="20" t="s">
        <v>65</v>
      </c>
      <c r="E1746" s="20" t="s">
        <v>150</v>
      </c>
      <c r="F1746" s="20" t="s">
        <v>2591</v>
      </c>
      <c r="G1746" s="20" t="s">
        <v>2587</v>
      </c>
      <c r="H1746" s="20" t="s">
        <v>134</v>
      </c>
      <c r="I1746" s="20" t="s">
        <v>27</v>
      </c>
      <c r="J1746" s="20" t="s">
        <v>28</v>
      </c>
      <c r="K1746" s="20" t="s">
        <v>42</v>
      </c>
      <c r="L1746" s="20" t="s">
        <v>2680</v>
      </c>
      <c r="M1746" s="20" t="s">
        <v>43</v>
      </c>
      <c r="N1746" s="20" t="s">
        <v>70</v>
      </c>
      <c r="O1746" s="20">
        <v>47</v>
      </c>
      <c r="P1746" s="20">
        <v>89.27</v>
      </c>
      <c r="Q1746" s="20">
        <v>52.51</v>
      </c>
      <c r="R1746" s="20">
        <v>4195.79</v>
      </c>
      <c r="S1746" s="20">
        <v>0.2</v>
      </c>
      <c r="T1746" s="20">
        <v>839.16</v>
      </c>
      <c r="U1746" s="20">
        <v>3356.63</v>
      </c>
      <c r="V1746" s="20">
        <v>2468</v>
      </c>
      <c r="W1746" s="20">
        <v>888.63</v>
      </c>
      <c r="X1746" s="20" t="s">
        <v>45</v>
      </c>
    </row>
    <row r="1747" spans="1:24" x14ac:dyDescent="0.25">
      <c r="A1747" s="23" t="s">
        <v>2270</v>
      </c>
      <c r="B1747" s="22">
        <v>45320</v>
      </c>
      <c r="C1747" s="23" t="s">
        <v>931</v>
      </c>
      <c r="D1747" s="23" t="s">
        <v>105</v>
      </c>
      <c r="E1747" s="23" t="s">
        <v>222</v>
      </c>
      <c r="F1747" s="23" t="s">
        <v>2597</v>
      </c>
      <c r="G1747" s="23" t="s">
        <v>2587</v>
      </c>
      <c r="H1747" s="23" t="s">
        <v>68</v>
      </c>
      <c r="I1747" s="23" t="s">
        <v>40</v>
      </c>
      <c r="J1747" s="23" t="s">
        <v>82</v>
      </c>
      <c r="K1747" s="23" t="s">
        <v>111</v>
      </c>
      <c r="L1747" s="23" t="s">
        <v>2685</v>
      </c>
      <c r="M1747" s="23" t="s">
        <v>30</v>
      </c>
      <c r="N1747" s="23" t="s">
        <v>44</v>
      </c>
      <c r="O1747" s="23">
        <v>59</v>
      </c>
      <c r="P1747" s="23">
        <v>123.96</v>
      </c>
      <c r="Q1747" s="23">
        <v>72.78</v>
      </c>
      <c r="R1747" s="23">
        <v>7313.63</v>
      </c>
      <c r="S1747" s="23">
        <v>0.02</v>
      </c>
      <c r="T1747" s="23">
        <v>146.27000000000001</v>
      </c>
      <c r="U1747" s="23">
        <v>7167.36</v>
      </c>
      <c r="V1747" s="23">
        <v>4293.74</v>
      </c>
      <c r="W1747" s="23">
        <v>2873.62</v>
      </c>
      <c r="X1747" s="23" t="s">
        <v>45</v>
      </c>
    </row>
    <row r="1748" spans="1:24" x14ac:dyDescent="0.25">
      <c r="A1748" s="20" t="s">
        <v>2271</v>
      </c>
      <c r="B1748" s="19">
        <v>45391</v>
      </c>
      <c r="C1748" s="20" t="s">
        <v>1709</v>
      </c>
      <c r="D1748" s="20" t="s">
        <v>159</v>
      </c>
      <c r="E1748" s="20" t="s">
        <v>216</v>
      </c>
      <c r="F1748" s="20" t="s">
        <v>2596</v>
      </c>
      <c r="G1748" s="20" t="s">
        <v>2579</v>
      </c>
      <c r="H1748" s="20" t="s">
        <v>134</v>
      </c>
      <c r="I1748" s="20" t="s">
        <v>58</v>
      </c>
      <c r="J1748" s="20" t="s">
        <v>345</v>
      </c>
      <c r="K1748" s="20" t="s">
        <v>184</v>
      </c>
      <c r="L1748" s="20" t="s">
        <v>2690</v>
      </c>
      <c r="M1748" s="20" t="s">
        <v>61</v>
      </c>
      <c r="N1748" s="20" t="s">
        <v>75</v>
      </c>
      <c r="O1748" s="20">
        <v>15</v>
      </c>
      <c r="P1748" s="20">
        <v>111.05</v>
      </c>
      <c r="Q1748" s="20">
        <v>61.74</v>
      </c>
      <c r="R1748" s="20">
        <v>1665.75</v>
      </c>
      <c r="S1748" s="20">
        <v>0.02</v>
      </c>
      <c r="T1748" s="20">
        <v>33.31</v>
      </c>
      <c r="U1748" s="20">
        <v>1632.43</v>
      </c>
      <c r="V1748" s="20">
        <v>926.17</v>
      </c>
      <c r="W1748" s="20">
        <v>706.26</v>
      </c>
      <c r="X1748" s="20" t="s">
        <v>129</v>
      </c>
    </row>
    <row r="1749" spans="1:24" x14ac:dyDescent="0.25">
      <c r="A1749" s="23" t="s">
        <v>2272</v>
      </c>
      <c r="B1749" s="22">
        <v>45403</v>
      </c>
      <c r="C1749" s="23" t="s">
        <v>1075</v>
      </c>
      <c r="D1749" s="23" t="s">
        <v>65</v>
      </c>
      <c r="E1749" s="23" t="s">
        <v>114</v>
      </c>
      <c r="F1749" s="23" t="s">
        <v>2588</v>
      </c>
      <c r="G1749" s="23" t="s">
        <v>2586</v>
      </c>
      <c r="H1749" s="23" t="s">
        <v>116</v>
      </c>
      <c r="I1749" s="23" t="s">
        <v>27</v>
      </c>
      <c r="J1749" s="23" t="s">
        <v>189</v>
      </c>
      <c r="K1749" s="23" t="s">
        <v>170</v>
      </c>
      <c r="L1749" s="23" t="s">
        <v>2671</v>
      </c>
      <c r="M1749" s="23" t="s">
        <v>61</v>
      </c>
      <c r="N1749" s="23" t="s">
        <v>44</v>
      </c>
      <c r="O1749" s="23">
        <v>30</v>
      </c>
      <c r="P1749" s="23">
        <v>36.299999999999997</v>
      </c>
      <c r="Q1749" s="23">
        <v>21.33</v>
      </c>
      <c r="R1749" s="23">
        <v>1088.97</v>
      </c>
      <c r="S1749" s="23">
        <v>0.15</v>
      </c>
      <c r="T1749" s="23">
        <v>163.35</v>
      </c>
      <c r="U1749" s="23">
        <v>925.63</v>
      </c>
      <c r="V1749" s="23">
        <v>639.94000000000005</v>
      </c>
      <c r="W1749" s="23">
        <v>285.68</v>
      </c>
      <c r="X1749" s="23" t="s">
        <v>45</v>
      </c>
    </row>
    <row r="1750" spans="1:24" x14ac:dyDescent="0.25">
      <c r="A1750" s="20" t="s">
        <v>2273</v>
      </c>
      <c r="B1750" s="19">
        <v>45542</v>
      </c>
      <c r="C1750" s="20" t="s">
        <v>945</v>
      </c>
      <c r="D1750" s="20" t="s">
        <v>159</v>
      </c>
      <c r="E1750" s="20" t="s">
        <v>93</v>
      </c>
      <c r="F1750" s="20" t="s">
        <v>2585</v>
      </c>
      <c r="G1750" s="20" t="s">
        <v>2586</v>
      </c>
      <c r="H1750" s="20" t="s">
        <v>96</v>
      </c>
      <c r="I1750" s="20" t="s">
        <v>53</v>
      </c>
      <c r="J1750" s="20" t="s">
        <v>143</v>
      </c>
      <c r="K1750" s="20" t="s">
        <v>118</v>
      </c>
      <c r="L1750" s="20" t="s">
        <v>2686</v>
      </c>
      <c r="M1750" s="20" t="s">
        <v>153</v>
      </c>
      <c r="N1750" s="20" t="s">
        <v>75</v>
      </c>
      <c r="O1750" s="20">
        <v>79</v>
      </c>
      <c r="P1750" s="20">
        <v>52.93</v>
      </c>
      <c r="Q1750" s="20">
        <v>30.69</v>
      </c>
      <c r="R1750" s="20">
        <v>4181.7700000000004</v>
      </c>
      <c r="S1750" s="20">
        <v>0.1</v>
      </c>
      <c r="T1750" s="20">
        <v>418.18</v>
      </c>
      <c r="U1750" s="20">
        <v>3763.59</v>
      </c>
      <c r="V1750" s="20">
        <v>2424.4499999999998</v>
      </c>
      <c r="W1750" s="20">
        <v>1339.14</v>
      </c>
      <c r="X1750" s="20" t="s">
        <v>45</v>
      </c>
    </row>
    <row r="1751" spans="1:24" x14ac:dyDescent="0.25">
      <c r="A1751" s="23" t="s">
        <v>2274</v>
      </c>
      <c r="B1751" s="22">
        <v>45334</v>
      </c>
      <c r="C1751" s="23" t="s">
        <v>1317</v>
      </c>
      <c r="D1751" s="23" t="s">
        <v>35</v>
      </c>
      <c r="E1751" s="23" t="s">
        <v>23</v>
      </c>
      <c r="F1751" s="23" t="s">
        <v>2576</v>
      </c>
      <c r="G1751" s="23" t="s">
        <v>2577</v>
      </c>
      <c r="H1751" s="23" t="s">
        <v>26</v>
      </c>
      <c r="I1751" s="23" t="s">
        <v>40</v>
      </c>
      <c r="J1751" s="23" t="s">
        <v>117</v>
      </c>
      <c r="K1751" s="23" t="s">
        <v>178</v>
      </c>
      <c r="L1751" s="23" t="s">
        <v>2689</v>
      </c>
      <c r="M1751" s="23" t="s">
        <v>153</v>
      </c>
      <c r="N1751" s="23" t="s">
        <v>2578</v>
      </c>
      <c r="O1751" s="23">
        <v>42</v>
      </c>
      <c r="P1751" s="23">
        <v>74.17</v>
      </c>
      <c r="Q1751" s="23">
        <v>42.23</v>
      </c>
      <c r="R1751" s="23">
        <v>3115.17</v>
      </c>
      <c r="S1751" s="23">
        <v>0.1</v>
      </c>
      <c r="T1751" s="23">
        <v>311.52</v>
      </c>
      <c r="U1751" s="23">
        <v>2803.65</v>
      </c>
      <c r="V1751" s="23">
        <v>1773.7</v>
      </c>
      <c r="W1751" s="23">
        <v>1029.95</v>
      </c>
      <c r="X1751" s="23" t="s">
        <v>32</v>
      </c>
    </row>
    <row r="1752" spans="1:24" x14ac:dyDescent="0.25">
      <c r="A1752" s="20" t="s">
        <v>2275</v>
      </c>
      <c r="B1752" s="19">
        <v>45306</v>
      </c>
      <c r="C1752" s="20" t="s">
        <v>358</v>
      </c>
      <c r="D1752" s="20" t="s">
        <v>359</v>
      </c>
      <c r="E1752" s="20" t="s">
        <v>36</v>
      </c>
      <c r="F1752" s="20" t="s">
        <v>37</v>
      </c>
      <c r="G1752" s="20" t="s">
        <v>2579</v>
      </c>
      <c r="H1752" s="20" t="s">
        <v>39</v>
      </c>
      <c r="I1752" s="20" t="s">
        <v>88</v>
      </c>
      <c r="J1752" s="20" t="s">
        <v>173</v>
      </c>
      <c r="K1752" s="20" t="s">
        <v>261</v>
      </c>
      <c r="L1752" s="20" t="s">
        <v>2695</v>
      </c>
      <c r="M1752" s="20" t="s">
        <v>43</v>
      </c>
      <c r="N1752" s="20" t="s">
        <v>44</v>
      </c>
      <c r="O1752" s="20">
        <v>34</v>
      </c>
      <c r="P1752" s="20">
        <v>156.31</v>
      </c>
      <c r="Q1752" s="20">
        <v>97.7</v>
      </c>
      <c r="R1752" s="20">
        <v>5314.63</v>
      </c>
      <c r="S1752" s="20">
        <v>0.02</v>
      </c>
      <c r="T1752" s="20">
        <v>106.29</v>
      </c>
      <c r="U1752" s="20">
        <v>5208.34</v>
      </c>
      <c r="V1752" s="20">
        <v>3321.92</v>
      </c>
      <c r="W1752" s="20">
        <v>1886.42</v>
      </c>
      <c r="X1752" s="20" t="s">
        <v>45</v>
      </c>
    </row>
    <row r="1753" spans="1:24" x14ac:dyDescent="0.25">
      <c r="A1753" s="23" t="s">
        <v>2276</v>
      </c>
      <c r="B1753" s="22">
        <v>45506</v>
      </c>
      <c r="C1753" s="23" t="s">
        <v>852</v>
      </c>
      <c r="D1753" s="23" t="s">
        <v>57</v>
      </c>
      <c r="E1753" s="23" t="s">
        <v>36</v>
      </c>
      <c r="F1753" s="23" t="s">
        <v>37</v>
      </c>
      <c r="G1753" s="23" t="s">
        <v>2579</v>
      </c>
      <c r="H1753" s="23" t="s">
        <v>39</v>
      </c>
      <c r="I1753" s="23" t="s">
        <v>40</v>
      </c>
      <c r="J1753" s="23" t="s">
        <v>41</v>
      </c>
      <c r="K1753" s="23" t="s">
        <v>178</v>
      </c>
      <c r="L1753" s="23" t="s">
        <v>2689</v>
      </c>
      <c r="M1753" s="23" t="s">
        <v>43</v>
      </c>
      <c r="N1753" s="23" t="s">
        <v>44</v>
      </c>
      <c r="O1753" s="23">
        <v>20</v>
      </c>
      <c r="P1753" s="23">
        <v>171.89</v>
      </c>
      <c r="Q1753" s="23">
        <v>91.64</v>
      </c>
      <c r="R1753" s="23">
        <v>3437.8</v>
      </c>
      <c r="S1753" s="23">
        <v>0.05</v>
      </c>
      <c r="T1753" s="23">
        <v>171.89</v>
      </c>
      <c r="U1753" s="23">
        <v>3265.91</v>
      </c>
      <c r="V1753" s="23">
        <v>1832.79</v>
      </c>
      <c r="W1753" s="23">
        <v>1433.13</v>
      </c>
      <c r="X1753" s="23" t="s">
        <v>45</v>
      </c>
    </row>
    <row r="1754" spans="1:24" x14ac:dyDescent="0.25">
      <c r="A1754" s="20" t="s">
        <v>2277</v>
      </c>
      <c r="B1754" s="19">
        <v>45410</v>
      </c>
      <c r="C1754" s="20" t="s">
        <v>361</v>
      </c>
      <c r="D1754" s="20" t="s">
        <v>35</v>
      </c>
      <c r="E1754" s="20" t="s">
        <v>222</v>
      </c>
      <c r="F1754" s="20" t="s">
        <v>2597</v>
      </c>
      <c r="G1754" s="20" t="s">
        <v>2587</v>
      </c>
      <c r="H1754" s="20" t="s">
        <v>68</v>
      </c>
      <c r="I1754" s="20" t="s">
        <v>27</v>
      </c>
      <c r="J1754" s="20" t="s">
        <v>28</v>
      </c>
      <c r="K1754" s="20" t="s">
        <v>248</v>
      </c>
      <c r="L1754" s="20" t="s">
        <v>2693</v>
      </c>
      <c r="M1754" s="20" t="s">
        <v>30</v>
      </c>
      <c r="N1754" s="20" t="s">
        <v>44</v>
      </c>
      <c r="O1754" s="20">
        <v>53</v>
      </c>
      <c r="P1754" s="24">
        <f>Cleaned_Sales!$R1754/Cleaned_Sales!$O1754</f>
        <v>122.8477358490566</v>
      </c>
      <c r="Q1754" s="20">
        <v>72.680000000000007</v>
      </c>
      <c r="R1754" s="20">
        <v>6510.93</v>
      </c>
      <c r="S1754" s="20">
        <v>0</v>
      </c>
      <c r="T1754" s="20">
        <v>0</v>
      </c>
      <c r="U1754" s="20">
        <v>6510.93</v>
      </c>
      <c r="V1754" s="20">
        <v>3852.3</v>
      </c>
      <c r="W1754" s="20">
        <v>2658.63</v>
      </c>
      <c r="X1754" s="20" t="s">
        <v>129</v>
      </c>
    </row>
    <row r="1755" spans="1:24" x14ac:dyDescent="0.25">
      <c r="A1755" s="23" t="s">
        <v>2278</v>
      </c>
      <c r="B1755" s="22">
        <v>45519</v>
      </c>
      <c r="C1755" s="23" t="s">
        <v>267</v>
      </c>
      <c r="D1755" s="23" t="s">
        <v>65</v>
      </c>
      <c r="E1755" s="23" t="s">
        <v>49</v>
      </c>
      <c r="F1755" s="23" t="s">
        <v>2580</v>
      </c>
      <c r="G1755" s="23" t="s">
        <v>2581</v>
      </c>
      <c r="H1755" s="23" t="s">
        <v>52</v>
      </c>
      <c r="I1755" s="23" t="s">
        <v>53</v>
      </c>
      <c r="J1755" s="23" t="s">
        <v>54</v>
      </c>
      <c r="K1755" s="23" t="s">
        <v>69</v>
      </c>
      <c r="L1755" s="23" t="s">
        <v>2681</v>
      </c>
      <c r="M1755" s="23" t="s">
        <v>30</v>
      </c>
      <c r="N1755" s="23" t="s">
        <v>84</v>
      </c>
      <c r="O1755" s="23">
        <v>26</v>
      </c>
      <c r="P1755" s="23">
        <v>25.89</v>
      </c>
      <c r="Q1755" s="23">
        <v>13.07</v>
      </c>
      <c r="R1755" s="23">
        <v>673.24</v>
      </c>
      <c r="S1755" s="23">
        <v>0.2</v>
      </c>
      <c r="T1755" s="23">
        <v>134.65</v>
      </c>
      <c r="U1755" s="23">
        <v>538.59</v>
      </c>
      <c r="V1755" s="23">
        <v>339.93</v>
      </c>
      <c r="W1755" s="23">
        <v>198.66</v>
      </c>
      <c r="X1755" s="23" t="s">
        <v>45</v>
      </c>
    </row>
    <row r="1756" spans="1:24" x14ac:dyDescent="0.25">
      <c r="A1756" s="20" t="s">
        <v>2279</v>
      </c>
      <c r="B1756" s="19">
        <v>45321</v>
      </c>
      <c r="C1756" s="20" t="s">
        <v>1267</v>
      </c>
      <c r="D1756" s="20" t="s">
        <v>149</v>
      </c>
      <c r="E1756" s="20" t="s">
        <v>187</v>
      </c>
      <c r="F1756" s="20" t="s">
        <v>2594</v>
      </c>
      <c r="G1756" s="20" t="s">
        <v>2577</v>
      </c>
      <c r="H1756" s="20" t="s">
        <v>26</v>
      </c>
      <c r="I1756" s="20" t="s">
        <v>40</v>
      </c>
      <c r="J1756" s="20" t="s">
        <v>41</v>
      </c>
      <c r="K1756" s="20" t="s">
        <v>42</v>
      </c>
      <c r="L1756" s="20" t="s">
        <v>2680</v>
      </c>
      <c r="M1756" s="20" t="s">
        <v>30</v>
      </c>
      <c r="N1756" s="20" t="s">
        <v>2578</v>
      </c>
      <c r="O1756" s="20">
        <v>79</v>
      </c>
      <c r="P1756" s="20">
        <v>47.65</v>
      </c>
      <c r="Q1756" s="20">
        <v>30.22</v>
      </c>
      <c r="R1756" s="20">
        <v>3764.08</v>
      </c>
      <c r="S1756" s="20">
        <v>0.02</v>
      </c>
      <c r="T1756" s="20">
        <v>75.28</v>
      </c>
      <c r="U1756" s="20">
        <v>3688.8</v>
      </c>
      <c r="V1756" s="20">
        <v>2387.1999999999998</v>
      </c>
      <c r="W1756" s="20">
        <v>1301.5999999999999</v>
      </c>
      <c r="X1756" s="20" t="s">
        <v>45</v>
      </c>
    </row>
    <row r="1757" spans="1:24" x14ac:dyDescent="0.25">
      <c r="A1757" s="23" t="s">
        <v>2280</v>
      </c>
      <c r="B1757" s="22">
        <v>45640</v>
      </c>
      <c r="C1757" s="23" t="s">
        <v>717</v>
      </c>
      <c r="D1757" s="23" t="s">
        <v>35</v>
      </c>
      <c r="E1757" s="23" t="s">
        <v>132</v>
      </c>
      <c r="F1757" s="23" t="s">
        <v>133</v>
      </c>
      <c r="G1757" s="23" t="s">
        <v>2581</v>
      </c>
      <c r="H1757" s="23" t="s">
        <v>134</v>
      </c>
      <c r="I1757" s="23" t="s">
        <v>58</v>
      </c>
      <c r="J1757" s="23" t="s">
        <v>73</v>
      </c>
      <c r="K1757" s="23" t="s">
        <v>218</v>
      </c>
      <c r="L1757" s="23" t="s">
        <v>2692</v>
      </c>
      <c r="M1757" s="23" t="s">
        <v>61</v>
      </c>
      <c r="N1757" s="23" t="s">
        <v>84</v>
      </c>
      <c r="O1757" s="23">
        <v>74</v>
      </c>
      <c r="P1757" s="23">
        <v>64.09</v>
      </c>
      <c r="Q1757" s="23">
        <v>32.520000000000003</v>
      </c>
      <c r="R1757" s="23">
        <v>4742.7700000000004</v>
      </c>
      <c r="S1757" s="23">
        <v>0.2</v>
      </c>
      <c r="T1757" s="23">
        <v>948.55</v>
      </c>
      <c r="U1757" s="23">
        <v>3794.21</v>
      </c>
      <c r="V1757" s="23">
        <v>2406.7800000000002</v>
      </c>
      <c r="W1757" s="23">
        <v>1387.44</v>
      </c>
      <c r="X1757" s="23" t="s">
        <v>45</v>
      </c>
    </row>
    <row r="1758" spans="1:24" x14ac:dyDescent="0.25">
      <c r="A1758" s="20" t="s">
        <v>2281</v>
      </c>
      <c r="B1758" s="19">
        <v>45408</v>
      </c>
      <c r="C1758" s="20" t="s">
        <v>800</v>
      </c>
      <c r="D1758" s="20" t="s">
        <v>264</v>
      </c>
      <c r="E1758" s="20" t="s">
        <v>141</v>
      </c>
      <c r="F1758" s="20" t="s">
        <v>2590</v>
      </c>
      <c r="G1758" s="20" t="s">
        <v>2577</v>
      </c>
      <c r="H1758" s="20" t="s">
        <v>26</v>
      </c>
      <c r="I1758" s="20" t="s">
        <v>88</v>
      </c>
      <c r="J1758" s="20" t="s">
        <v>135</v>
      </c>
      <c r="K1758" s="20" t="s">
        <v>2619</v>
      </c>
      <c r="L1758" s="20" t="s">
        <v>2619</v>
      </c>
      <c r="M1758" s="20" t="s">
        <v>61</v>
      </c>
      <c r="N1758" s="20" t="s">
        <v>44</v>
      </c>
      <c r="O1758" s="20">
        <v>48</v>
      </c>
      <c r="P1758" s="20">
        <v>87.54</v>
      </c>
      <c r="Q1758" s="20">
        <v>56.67</v>
      </c>
      <c r="R1758" s="20">
        <v>4201.79</v>
      </c>
      <c r="S1758" s="20">
        <v>0.1</v>
      </c>
      <c r="T1758" s="20">
        <v>420.18</v>
      </c>
      <c r="U1758" s="20">
        <v>3781.62</v>
      </c>
      <c r="V1758" s="20">
        <v>2720.32</v>
      </c>
      <c r="W1758" s="20">
        <v>1061.3</v>
      </c>
      <c r="X1758" s="20" t="s">
        <v>45</v>
      </c>
    </row>
    <row r="1759" spans="1:24" x14ac:dyDescent="0.25">
      <c r="A1759" s="23" t="s">
        <v>2282</v>
      </c>
      <c r="B1759" s="22">
        <v>45493</v>
      </c>
      <c r="C1759" s="23" t="s">
        <v>557</v>
      </c>
      <c r="D1759" s="23" t="s">
        <v>159</v>
      </c>
      <c r="E1759" s="23" t="s">
        <v>114</v>
      </c>
      <c r="F1759" s="23" t="s">
        <v>2588</v>
      </c>
      <c r="G1759" s="23" t="s">
        <v>2586</v>
      </c>
      <c r="H1759" s="23" t="s">
        <v>116</v>
      </c>
      <c r="I1759" s="23" t="s">
        <v>58</v>
      </c>
      <c r="J1759" s="23" t="s">
        <v>59</v>
      </c>
      <c r="K1759" s="23" t="s">
        <v>83</v>
      </c>
      <c r="L1759" s="23" t="s">
        <v>2683</v>
      </c>
      <c r="M1759" s="23" t="s">
        <v>153</v>
      </c>
      <c r="N1759" s="23" t="s">
        <v>44</v>
      </c>
      <c r="O1759" s="23">
        <v>36</v>
      </c>
      <c r="P1759" s="23">
        <v>32.28</v>
      </c>
      <c r="Q1759" s="23">
        <v>22.56</v>
      </c>
      <c r="R1759" s="23">
        <v>1162.25</v>
      </c>
      <c r="S1759" s="23">
        <v>0.1</v>
      </c>
      <c r="T1759" s="23">
        <v>116.22</v>
      </c>
      <c r="U1759" s="23">
        <v>1046.02</v>
      </c>
      <c r="V1759" s="23">
        <v>812.25</v>
      </c>
      <c r="W1759" s="23">
        <v>233.77</v>
      </c>
      <c r="X1759" s="23" t="s">
        <v>32</v>
      </c>
    </row>
    <row r="1760" spans="1:24" x14ac:dyDescent="0.25">
      <c r="A1760" s="20" t="s">
        <v>2283</v>
      </c>
      <c r="B1760" s="19">
        <v>45516</v>
      </c>
      <c r="C1760" s="20" t="s">
        <v>220</v>
      </c>
      <c r="D1760" s="20" t="s">
        <v>221</v>
      </c>
      <c r="E1760" s="20" t="s">
        <v>165</v>
      </c>
      <c r="F1760" s="20" t="s">
        <v>2592</v>
      </c>
      <c r="G1760" s="20" t="s">
        <v>2586</v>
      </c>
      <c r="H1760" s="20" t="s">
        <v>167</v>
      </c>
      <c r="I1760" s="20" t="s">
        <v>27</v>
      </c>
      <c r="J1760" s="20" t="s">
        <v>189</v>
      </c>
      <c r="K1760" s="20" t="s">
        <v>218</v>
      </c>
      <c r="L1760" s="20" t="s">
        <v>2692</v>
      </c>
      <c r="M1760" s="20" t="s">
        <v>30</v>
      </c>
      <c r="N1760" s="20" t="s">
        <v>70</v>
      </c>
      <c r="O1760" s="20">
        <v>62</v>
      </c>
      <c r="P1760" s="20">
        <v>42.02</v>
      </c>
      <c r="Q1760" s="20">
        <v>24.8</v>
      </c>
      <c r="R1760" s="20">
        <v>2605.2800000000002</v>
      </c>
      <c r="S1760" s="20">
        <v>0.2</v>
      </c>
      <c r="T1760" s="20">
        <v>521.05999999999995</v>
      </c>
      <c r="U1760" s="20">
        <v>2084.23</v>
      </c>
      <c r="V1760" s="20">
        <v>1537.44</v>
      </c>
      <c r="W1760" s="20">
        <v>546.79</v>
      </c>
      <c r="X1760" s="20" t="s">
        <v>45</v>
      </c>
    </row>
    <row r="1761" spans="1:24" x14ac:dyDescent="0.25">
      <c r="A1761" s="23" t="s">
        <v>2284</v>
      </c>
      <c r="B1761" s="22">
        <v>45629</v>
      </c>
      <c r="C1761" s="23" t="s">
        <v>205</v>
      </c>
      <c r="D1761" s="23" t="s">
        <v>22</v>
      </c>
      <c r="E1761" s="23" t="s">
        <v>99</v>
      </c>
      <c r="F1761" s="23" t="s">
        <v>100</v>
      </c>
      <c r="G1761" s="23" t="s">
        <v>2587</v>
      </c>
      <c r="H1761" s="23" t="s">
        <v>102</v>
      </c>
      <c r="I1761" s="23" t="s">
        <v>58</v>
      </c>
      <c r="J1761" s="23" t="s">
        <v>59</v>
      </c>
      <c r="K1761" s="23" t="s">
        <v>152</v>
      </c>
      <c r="L1761" s="23" t="s">
        <v>2688</v>
      </c>
      <c r="M1761" s="23" t="s">
        <v>61</v>
      </c>
      <c r="N1761" s="23" t="s">
        <v>44</v>
      </c>
      <c r="O1761" s="23">
        <v>7</v>
      </c>
      <c r="P1761" s="23">
        <v>72.31</v>
      </c>
      <c r="Q1761" s="23">
        <v>41.8</v>
      </c>
      <c r="R1761" s="23">
        <v>506.17</v>
      </c>
      <c r="S1761" s="23">
        <v>0</v>
      </c>
      <c r="T1761" s="23">
        <v>0</v>
      </c>
      <c r="U1761" s="23">
        <v>506.17</v>
      </c>
      <c r="V1761" s="23">
        <v>292.63</v>
      </c>
      <c r="W1761" s="23">
        <v>213.54</v>
      </c>
      <c r="X1761" s="23" t="s">
        <v>129</v>
      </c>
    </row>
    <row r="1762" spans="1:24" x14ac:dyDescent="0.25">
      <c r="A1762" s="20" t="s">
        <v>2285</v>
      </c>
      <c r="B1762" s="19">
        <v>45581</v>
      </c>
      <c r="C1762" s="20" t="s">
        <v>267</v>
      </c>
      <c r="D1762" s="20" t="s">
        <v>65</v>
      </c>
      <c r="E1762" s="20" t="s">
        <v>126</v>
      </c>
      <c r="F1762" s="20" t="s">
        <v>2589</v>
      </c>
      <c r="G1762" s="20" t="s">
        <v>2586</v>
      </c>
      <c r="H1762" s="20" t="s">
        <v>128</v>
      </c>
      <c r="I1762" s="20" t="s">
        <v>88</v>
      </c>
      <c r="J1762" s="20" t="s">
        <v>2112</v>
      </c>
      <c r="K1762" s="20" t="s">
        <v>184</v>
      </c>
      <c r="L1762" s="20" t="s">
        <v>2690</v>
      </c>
      <c r="M1762" s="20" t="s">
        <v>153</v>
      </c>
      <c r="N1762" s="20" t="s">
        <v>70</v>
      </c>
      <c r="O1762" s="20">
        <v>73</v>
      </c>
      <c r="P1762" s="20">
        <v>83.08</v>
      </c>
      <c r="Q1762" s="20">
        <v>49.64</v>
      </c>
      <c r="R1762" s="20">
        <v>6065.12</v>
      </c>
      <c r="S1762" s="20">
        <v>0.2</v>
      </c>
      <c r="T1762" s="20">
        <v>1213.02</v>
      </c>
      <c r="U1762" s="20">
        <v>4852.1000000000004</v>
      </c>
      <c r="V1762" s="20">
        <v>3623.93</v>
      </c>
      <c r="W1762" s="20">
        <v>1228.17</v>
      </c>
      <c r="X1762" s="20" t="s">
        <v>45</v>
      </c>
    </row>
    <row r="1763" spans="1:24" x14ac:dyDescent="0.25">
      <c r="A1763" s="23" t="s">
        <v>2286</v>
      </c>
      <c r="B1763" s="22">
        <v>45519</v>
      </c>
      <c r="C1763" s="23" t="s">
        <v>1236</v>
      </c>
      <c r="D1763" s="23" t="s">
        <v>156</v>
      </c>
      <c r="E1763" s="23" t="s">
        <v>99</v>
      </c>
      <c r="F1763" s="23" t="s">
        <v>100</v>
      </c>
      <c r="G1763" s="23" t="s">
        <v>2587</v>
      </c>
      <c r="H1763" s="23" t="s">
        <v>102</v>
      </c>
      <c r="I1763" s="23" t="s">
        <v>53</v>
      </c>
      <c r="J1763" s="23" t="s">
        <v>232</v>
      </c>
      <c r="K1763" s="23" t="s">
        <v>60</v>
      </c>
      <c r="L1763" s="23" t="s">
        <v>2677</v>
      </c>
      <c r="M1763" s="23" t="s">
        <v>61</v>
      </c>
      <c r="N1763" s="23" t="s">
        <v>44</v>
      </c>
      <c r="O1763" s="23">
        <v>15</v>
      </c>
      <c r="P1763" s="23">
        <v>66.41</v>
      </c>
      <c r="Q1763" s="23">
        <v>44.09</v>
      </c>
      <c r="R1763" s="23">
        <v>996.13</v>
      </c>
      <c r="S1763" s="23">
        <v>0</v>
      </c>
      <c r="T1763" s="23">
        <v>0</v>
      </c>
      <c r="U1763" s="23">
        <v>996.13</v>
      </c>
      <c r="V1763" s="23">
        <v>661.31</v>
      </c>
      <c r="W1763" s="23">
        <v>334.82</v>
      </c>
      <c r="X1763" s="23" t="s">
        <v>32</v>
      </c>
    </row>
    <row r="1764" spans="1:24" x14ac:dyDescent="0.25">
      <c r="A1764" s="20" t="s">
        <v>2287</v>
      </c>
      <c r="B1764" s="19">
        <v>45474</v>
      </c>
      <c r="C1764" s="20" t="s">
        <v>404</v>
      </c>
      <c r="D1764" s="20" t="s">
        <v>87</v>
      </c>
      <c r="E1764" s="20" t="s">
        <v>99</v>
      </c>
      <c r="F1764" s="20" t="s">
        <v>100</v>
      </c>
      <c r="G1764" s="20" t="s">
        <v>2587</v>
      </c>
      <c r="H1764" s="20" t="s">
        <v>102</v>
      </c>
      <c r="I1764" s="20" t="s">
        <v>53</v>
      </c>
      <c r="J1764" s="20" t="s">
        <v>54</v>
      </c>
      <c r="K1764" s="20" t="s">
        <v>265</v>
      </c>
      <c r="L1764" s="20" t="s">
        <v>2663</v>
      </c>
      <c r="M1764" s="20" t="s">
        <v>30</v>
      </c>
      <c r="N1764" s="20" t="s">
        <v>2578</v>
      </c>
      <c r="O1764" s="20">
        <v>80</v>
      </c>
      <c r="P1764" s="20">
        <v>69.86</v>
      </c>
      <c r="Q1764" s="20">
        <v>42</v>
      </c>
      <c r="R1764" s="20">
        <v>5588.95</v>
      </c>
      <c r="S1764" s="20">
        <v>0.15</v>
      </c>
      <c r="T1764" s="20">
        <v>838.34</v>
      </c>
      <c r="U1764" s="20">
        <v>4750.6099999999997</v>
      </c>
      <c r="V1764" s="20">
        <v>3359.89</v>
      </c>
      <c r="W1764" s="20">
        <v>1390.72</v>
      </c>
      <c r="X1764" s="20" t="s">
        <v>129</v>
      </c>
    </row>
    <row r="1765" spans="1:24" x14ac:dyDescent="0.25">
      <c r="A1765" s="23" t="s">
        <v>2288</v>
      </c>
      <c r="B1765" s="22">
        <v>45500</v>
      </c>
      <c r="C1765" s="23" t="s">
        <v>451</v>
      </c>
      <c r="D1765" s="23" t="s">
        <v>87</v>
      </c>
      <c r="E1765" s="23" t="s">
        <v>99</v>
      </c>
      <c r="F1765" s="23" t="s">
        <v>100</v>
      </c>
      <c r="G1765" s="23" t="s">
        <v>2587</v>
      </c>
      <c r="H1765" s="23" t="s">
        <v>102</v>
      </c>
      <c r="I1765" s="23" t="s">
        <v>53</v>
      </c>
      <c r="J1765" s="23" t="s">
        <v>54</v>
      </c>
      <c r="K1765" s="23" t="s">
        <v>253</v>
      </c>
      <c r="L1765" s="23" t="s">
        <v>2694</v>
      </c>
      <c r="M1765" s="23" t="s">
        <v>30</v>
      </c>
      <c r="N1765" s="23" t="s">
        <v>2578</v>
      </c>
      <c r="O1765" s="23">
        <v>10</v>
      </c>
      <c r="P1765" s="23">
        <v>70.91</v>
      </c>
      <c r="Q1765" s="23">
        <v>44.22</v>
      </c>
      <c r="R1765" s="23">
        <v>709.07</v>
      </c>
      <c r="S1765" s="23">
        <v>0.02</v>
      </c>
      <c r="T1765" s="23">
        <v>14.18</v>
      </c>
      <c r="U1765" s="23">
        <v>694.89</v>
      </c>
      <c r="V1765" s="23">
        <v>442.19</v>
      </c>
      <c r="W1765" s="23">
        <v>252.7</v>
      </c>
      <c r="X1765" s="23" t="s">
        <v>45</v>
      </c>
    </row>
    <row r="1766" spans="1:24" x14ac:dyDescent="0.25">
      <c r="A1766" s="20" t="s">
        <v>2289</v>
      </c>
      <c r="B1766" s="19">
        <v>45360</v>
      </c>
      <c r="C1766" s="20" t="s">
        <v>1426</v>
      </c>
      <c r="D1766" s="20" t="s">
        <v>22</v>
      </c>
      <c r="E1766" s="20" t="s">
        <v>109</v>
      </c>
      <c r="F1766" s="20" t="s">
        <v>110</v>
      </c>
      <c r="G1766" s="20" t="s">
        <v>2584</v>
      </c>
      <c r="H1766" s="20" t="s">
        <v>81</v>
      </c>
      <c r="I1766" s="20" t="s">
        <v>88</v>
      </c>
      <c r="J1766" s="20" t="s">
        <v>183</v>
      </c>
      <c r="K1766" s="20" t="s">
        <v>111</v>
      </c>
      <c r="L1766" s="20" t="s">
        <v>2685</v>
      </c>
      <c r="M1766" s="20" t="s">
        <v>30</v>
      </c>
      <c r="N1766" s="20" t="s">
        <v>44</v>
      </c>
      <c r="O1766" s="20">
        <v>52</v>
      </c>
      <c r="P1766" s="20">
        <v>123.97</v>
      </c>
      <c r="Q1766" s="20">
        <v>74.12</v>
      </c>
      <c r="R1766" s="20">
        <v>6446.25</v>
      </c>
      <c r="S1766" s="20">
        <v>0.05</v>
      </c>
      <c r="T1766" s="20">
        <v>322.31</v>
      </c>
      <c r="U1766" s="20">
        <v>6123.94</v>
      </c>
      <c r="V1766" s="20">
        <v>3854.42</v>
      </c>
      <c r="W1766" s="20">
        <v>2269.52</v>
      </c>
      <c r="X1766" s="20" t="s">
        <v>45</v>
      </c>
    </row>
    <row r="1767" spans="1:24" x14ac:dyDescent="0.25">
      <c r="A1767" s="23" t="s">
        <v>2290</v>
      </c>
      <c r="B1767" s="22">
        <v>45293</v>
      </c>
      <c r="C1767" s="23" t="s">
        <v>1071</v>
      </c>
      <c r="D1767" s="23" t="s">
        <v>105</v>
      </c>
      <c r="E1767" s="23" t="s">
        <v>141</v>
      </c>
      <c r="F1767" s="23" t="s">
        <v>2590</v>
      </c>
      <c r="G1767" s="23" t="s">
        <v>2577</v>
      </c>
      <c r="H1767" s="23" t="s">
        <v>26</v>
      </c>
      <c r="I1767" s="23" t="s">
        <v>53</v>
      </c>
      <c r="J1767" s="23" t="s">
        <v>232</v>
      </c>
      <c r="K1767" s="23" t="s">
        <v>29</v>
      </c>
      <c r="L1767" s="23" t="s">
        <v>2679</v>
      </c>
      <c r="M1767" s="23" t="s">
        <v>30</v>
      </c>
      <c r="N1767" s="23" t="s">
        <v>70</v>
      </c>
      <c r="O1767" s="23">
        <v>74</v>
      </c>
      <c r="P1767" s="23">
        <v>90.58</v>
      </c>
      <c r="Q1767" s="23">
        <v>54.15</v>
      </c>
      <c r="R1767" s="23">
        <v>6702.75</v>
      </c>
      <c r="S1767" s="23">
        <v>0.02</v>
      </c>
      <c r="T1767" s="23">
        <v>134.05000000000001</v>
      </c>
      <c r="U1767" s="23">
        <v>6568.69</v>
      </c>
      <c r="V1767" s="23">
        <v>4006.8</v>
      </c>
      <c r="W1767" s="23">
        <v>2561.9</v>
      </c>
      <c r="X1767" s="23" t="s">
        <v>129</v>
      </c>
    </row>
    <row r="1768" spans="1:24" x14ac:dyDescent="0.25">
      <c r="A1768" s="20" t="s">
        <v>2291</v>
      </c>
      <c r="B1768" s="19">
        <v>45594</v>
      </c>
      <c r="C1768" s="20" t="s">
        <v>866</v>
      </c>
      <c r="D1768" s="20" t="s">
        <v>156</v>
      </c>
      <c r="E1768" s="20" t="s">
        <v>78</v>
      </c>
      <c r="F1768" s="20" t="s">
        <v>2583</v>
      </c>
      <c r="G1768" s="20" t="s">
        <v>2584</v>
      </c>
      <c r="H1768" s="20" t="s">
        <v>81</v>
      </c>
      <c r="I1768" s="20" t="s">
        <v>88</v>
      </c>
      <c r="J1768" s="20" t="s">
        <v>135</v>
      </c>
      <c r="K1768" s="20" t="s">
        <v>261</v>
      </c>
      <c r="L1768" s="20" t="s">
        <v>2695</v>
      </c>
      <c r="M1768" s="20" t="s">
        <v>61</v>
      </c>
      <c r="N1768" s="20" t="s">
        <v>44</v>
      </c>
      <c r="O1768" s="20">
        <v>53</v>
      </c>
      <c r="P1768" s="20">
        <v>138.19</v>
      </c>
      <c r="Q1768" s="20">
        <v>75.680000000000007</v>
      </c>
      <c r="R1768" s="20">
        <v>7324.16</v>
      </c>
      <c r="S1768" s="20">
        <v>0.15</v>
      </c>
      <c r="T1768" s="20">
        <v>1098.6199999999999</v>
      </c>
      <c r="U1768" s="20">
        <v>6225.54</v>
      </c>
      <c r="V1768" s="20">
        <v>4010.92</v>
      </c>
      <c r="W1768" s="20">
        <v>2214.61</v>
      </c>
      <c r="X1768" s="20" t="s">
        <v>45</v>
      </c>
    </row>
    <row r="1769" spans="1:24" x14ac:dyDescent="0.25">
      <c r="A1769" s="23" t="s">
        <v>2292</v>
      </c>
      <c r="B1769" s="22">
        <v>45500</v>
      </c>
      <c r="C1769" s="23" t="s">
        <v>933</v>
      </c>
      <c r="D1769" s="23" t="s">
        <v>159</v>
      </c>
      <c r="E1769" s="23" t="s">
        <v>141</v>
      </c>
      <c r="F1769" s="23" t="s">
        <v>2590</v>
      </c>
      <c r="G1769" s="23" t="s">
        <v>2577</v>
      </c>
      <c r="H1769" s="23" t="s">
        <v>26</v>
      </c>
      <c r="I1769" s="23" t="s">
        <v>27</v>
      </c>
      <c r="J1769" s="23" t="s">
        <v>28</v>
      </c>
      <c r="K1769" s="23" t="s">
        <v>69</v>
      </c>
      <c r="L1769" s="23" t="s">
        <v>2681</v>
      </c>
      <c r="M1769" s="23" t="s">
        <v>61</v>
      </c>
      <c r="N1769" s="23" t="s">
        <v>70</v>
      </c>
      <c r="O1769" s="23">
        <v>25</v>
      </c>
      <c r="P1769" s="23">
        <v>92.31</v>
      </c>
      <c r="Q1769" s="23">
        <v>61.69</v>
      </c>
      <c r="R1769" s="23">
        <v>2307.75</v>
      </c>
      <c r="S1769" s="23">
        <v>0.02</v>
      </c>
      <c r="T1769" s="23">
        <v>46.16</v>
      </c>
      <c r="U1769" s="23">
        <v>2261.6</v>
      </c>
      <c r="V1769" s="23">
        <v>1542.32</v>
      </c>
      <c r="W1769" s="23">
        <v>719.28</v>
      </c>
      <c r="X1769" s="23" t="s">
        <v>45</v>
      </c>
    </row>
    <row r="1770" spans="1:24" x14ac:dyDescent="0.25">
      <c r="A1770" s="20" t="s">
        <v>2293</v>
      </c>
      <c r="B1770" s="19">
        <v>45653</v>
      </c>
      <c r="C1770" s="20" t="s">
        <v>924</v>
      </c>
      <c r="D1770" s="20" t="s">
        <v>48</v>
      </c>
      <c r="E1770" s="20" t="s">
        <v>99</v>
      </c>
      <c r="F1770" s="20" t="s">
        <v>100</v>
      </c>
      <c r="G1770" s="20" t="s">
        <v>2587</v>
      </c>
      <c r="H1770" s="20" t="s">
        <v>102</v>
      </c>
      <c r="I1770" s="20" t="s">
        <v>88</v>
      </c>
      <c r="J1770" s="20" t="s">
        <v>135</v>
      </c>
      <c r="K1770" s="20" t="s">
        <v>248</v>
      </c>
      <c r="L1770" s="20" t="s">
        <v>2693</v>
      </c>
      <c r="M1770" s="20" t="s">
        <v>43</v>
      </c>
      <c r="N1770" s="20" t="s">
        <v>44</v>
      </c>
      <c r="O1770" s="20">
        <v>23</v>
      </c>
      <c r="P1770" s="20">
        <v>69.290000000000006</v>
      </c>
      <c r="Q1770" s="20">
        <v>41.61</v>
      </c>
      <c r="R1770" s="20">
        <v>1593.77</v>
      </c>
      <c r="S1770" s="20">
        <v>0.15</v>
      </c>
      <c r="T1770" s="20">
        <v>239.07</v>
      </c>
      <c r="U1770" s="20">
        <v>1354.7</v>
      </c>
      <c r="V1770" s="20">
        <v>957.12</v>
      </c>
      <c r="W1770" s="20">
        <v>397.59</v>
      </c>
      <c r="X1770" s="20" t="s">
        <v>45</v>
      </c>
    </row>
    <row r="1771" spans="1:24" x14ac:dyDescent="0.25">
      <c r="A1771" s="23" t="s">
        <v>2294</v>
      </c>
      <c r="B1771" s="22">
        <v>45469</v>
      </c>
      <c r="C1771" s="23" t="s">
        <v>1028</v>
      </c>
      <c r="D1771" s="23" t="s">
        <v>57</v>
      </c>
      <c r="E1771" s="23" t="s">
        <v>165</v>
      </c>
      <c r="F1771" s="23" t="s">
        <v>2592</v>
      </c>
      <c r="G1771" s="23" t="s">
        <v>2586</v>
      </c>
      <c r="H1771" s="23" t="s">
        <v>167</v>
      </c>
      <c r="I1771" s="23" t="s">
        <v>88</v>
      </c>
      <c r="J1771" s="23" t="s">
        <v>135</v>
      </c>
      <c r="K1771" s="23" t="s">
        <v>170</v>
      </c>
      <c r="L1771" s="23" t="s">
        <v>2671</v>
      </c>
      <c r="M1771" s="23" t="s">
        <v>153</v>
      </c>
      <c r="N1771" s="23" t="s">
        <v>75</v>
      </c>
      <c r="O1771" s="23">
        <v>54</v>
      </c>
      <c r="P1771" s="23">
        <v>39.86</v>
      </c>
      <c r="Q1771" s="23">
        <v>26.16</v>
      </c>
      <c r="R1771" s="23">
        <v>2152.65</v>
      </c>
      <c r="S1771" s="23">
        <v>0.1</v>
      </c>
      <c r="T1771" s="23">
        <v>215.26</v>
      </c>
      <c r="U1771" s="23">
        <v>1937.38</v>
      </c>
      <c r="V1771" s="23">
        <v>1412.57</v>
      </c>
      <c r="W1771" s="23">
        <v>524.80999999999995</v>
      </c>
      <c r="X1771" s="23" t="s">
        <v>45</v>
      </c>
    </row>
    <row r="1772" spans="1:24" x14ac:dyDescent="0.25">
      <c r="A1772" s="20" t="s">
        <v>2295</v>
      </c>
      <c r="B1772" s="19">
        <v>45510</v>
      </c>
      <c r="C1772" s="20" t="s">
        <v>1122</v>
      </c>
      <c r="D1772" s="20" t="s">
        <v>159</v>
      </c>
      <c r="E1772" s="20" t="s">
        <v>78</v>
      </c>
      <c r="F1772" s="20" t="s">
        <v>2583</v>
      </c>
      <c r="G1772" s="20" t="s">
        <v>2584</v>
      </c>
      <c r="H1772" s="20" t="s">
        <v>81</v>
      </c>
      <c r="I1772" s="20" t="s">
        <v>58</v>
      </c>
      <c r="J1772" s="20" t="s">
        <v>59</v>
      </c>
      <c r="K1772" s="20" t="s">
        <v>253</v>
      </c>
      <c r="L1772" s="20" t="s">
        <v>2694</v>
      </c>
      <c r="M1772" s="20" t="s">
        <v>153</v>
      </c>
      <c r="N1772" s="20" t="s">
        <v>70</v>
      </c>
      <c r="O1772" s="20">
        <v>7</v>
      </c>
      <c r="P1772" s="20">
        <v>142.15</v>
      </c>
      <c r="Q1772" s="20">
        <v>81.13</v>
      </c>
      <c r="R1772" s="20">
        <v>995.07</v>
      </c>
      <c r="S1772" s="20">
        <v>0.15</v>
      </c>
      <c r="T1772" s="20">
        <v>149.26</v>
      </c>
      <c r="U1772" s="20">
        <v>845.81</v>
      </c>
      <c r="V1772" s="20">
        <v>567.91999999999996</v>
      </c>
      <c r="W1772" s="20">
        <v>277.88</v>
      </c>
      <c r="X1772" s="20" t="s">
        <v>45</v>
      </c>
    </row>
    <row r="1773" spans="1:24" x14ac:dyDescent="0.25">
      <c r="A1773" s="23" t="s">
        <v>2296</v>
      </c>
      <c r="B1773" s="22">
        <v>45405</v>
      </c>
      <c r="C1773" s="23" t="s">
        <v>276</v>
      </c>
      <c r="D1773" s="23" t="s">
        <v>221</v>
      </c>
      <c r="E1773" s="23" t="s">
        <v>78</v>
      </c>
      <c r="F1773" s="23" t="s">
        <v>2583</v>
      </c>
      <c r="G1773" s="23" t="s">
        <v>2584</v>
      </c>
      <c r="H1773" s="23" t="s">
        <v>81</v>
      </c>
      <c r="I1773" s="23" t="s">
        <v>53</v>
      </c>
      <c r="J1773" s="23" t="s">
        <v>143</v>
      </c>
      <c r="K1773" s="23" t="s">
        <v>29</v>
      </c>
      <c r="L1773" s="23" t="s">
        <v>2679</v>
      </c>
      <c r="M1773" s="23" t="s">
        <v>153</v>
      </c>
      <c r="N1773" s="23" t="s">
        <v>84</v>
      </c>
      <c r="O1773" s="23">
        <v>78</v>
      </c>
      <c r="P1773" s="23">
        <v>142.84</v>
      </c>
      <c r="Q1773" s="23">
        <v>87.59</v>
      </c>
      <c r="R1773" s="23">
        <v>11141.18</v>
      </c>
      <c r="S1773" s="23">
        <v>0.02</v>
      </c>
      <c r="T1773" s="23">
        <v>222.82</v>
      </c>
      <c r="U1773" s="23">
        <v>10918.36</v>
      </c>
      <c r="V1773" s="23">
        <v>6832.34</v>
      </c>
      <c r="W1773" s="23">
        <v>4086.02</v>
      </c>
      <c r="X1773" s="23" t="s">
        <v>32</v>
      </c>
    </row>
    <row r="1774" spans="1:24" x14ac:dyDescent="0.25">
      <c r="A1774" s="20" t="s">
        <v>2297</v>
      </c>
      <c r="B1774" s="19">
        <v>45510</v>
      </c>
      <c r="C1774" s="20" t="s">
        <v>723</v>
      </c>
      <c r="D1774" s="20" t="s">
        <v>156</v>
      </c>
      <c r="E1774" s="20" t="s">
        <v>49</v>
      </c>
      <c r="F1774" s="20" t="s">
        <v>2580</v>
      </c>
      <c r="G1774" s="20" t="s">
        <v>2581</v>
      </c>
      <c r="H1774" s="20" t="s">
        <v>52</v>
      </c>
      <c r="I1774" s="20" t="s">
        <v>27</v>
      </c>
      <c r="J1774" s="20" t="s">
        <v>106</v>
      </c>
      <c r="K1774" s="20" t="s">
        <v>195</v>
      </c>
      <c r="L1774" s="20" t="s">
        <v>2691</v>
      </c>
      <c r="M1774" s="20" t="s">
        <v>61</v>
      </c>
      <c r="N1774" s="20" t="s">
        <v>2578</v>
      </c>
      <c r="O1774" s="20">
        <v>6</v>
      </c>
      <c r="P1774" s="20">
        <f>Cleaned_Sales!$R1774/Cleaned_Sales!$O1774</f>
        <v>26.204999999999998</v>
      </c>
      <c r="Q1774" s="20">
        <v>12.78</v>
      </c>
      <c r="R1774" s="20">
        <v>157.22999999999999</v>
      </c>
      <c r="S1774" s="20">
        <v>0.1</v>
      </c>
      <c r="T1774" s="20">
        <v>15.72</v>
      </c>
      <c r="U1774" s="20">
        <v>141.51</v>
      </c>
      <c r="V1774" s="20">
        <v>76.650000000000006</v>
      </c>
      <c r="W1774" s="20">
        <v>64.86</v>
      </c>
      <c r="X1774" s="20" t="s">
        <v>45</v>
      </c>
    </row>
    <row r="1775" spans="1:24" x14ac:dyDescent="0.25">
      <c r="A1775" s="23" t="s">
        <v>2298</v>
      </c>
      <c r="B1775" s="22">
        <v>45400</v>
      </c>
      <c r="C1775" s="23" t="s">
        <v>375</v>
      </c>
      <c r="D1775" s="23" t="s">
        <v>221</v>
      </c>
      <c r="E1775" s="23" t="s">
        <v>126</v>
      </c>
      <c r="F1775" s="23" t="s">
        <v>2589</v>
      </c>
      <c r="G1775" s="23" t="s">
        <v>2586</v>
      </c>
      <c r="H1775" s="23" t="s">
        <v>128</v>
      </c>
      <c r="I1775" s="23" t="s">
        <v>27</v>
      </c>
      <c r="J1775" s="23" t="s">
        <v>106</v>
      </c>
      <c r="K1775" s="23" t="s">
        <v>261</v>
      </c>
      <c r="L1775" s="23" t="s">
        <v>2695</v>
      </c>
      <c r="M1775" s="23" t="s">
        <v>153</v>
      </c>
      <c r="N1775" s="23" t="s">
        <v>84</v>
      </c>
      <c r="O1775" s="23">
        <v>13</v>
      </c>
      <c r="P1775" s="23">
        <v>83.77</v>
      </c>
      <c r="Q1775" s="23">
        <v>49.56</v>
      </c>
      <c r="R1775" s="23">
        <v>1088.99</v>
      </c>
      <c r="S1775" s="23">
        <v>0.02</v>
      </c>
      <c r="T1775" s="23">
        <v>21.78</v>
      </c>
      <c r="U1775" s="23">
        <v>1067.21</v>
      </c>
      <c r="V1775" s="23">
        <v>644.34</v>
      </c>
      <c r="W1775" s="23">
        <v>422.87</v>
      </c>
      <c r="X1775" s="23" t="s">
        <v>45</v>
      </c>
    </row>
    <row r="1776" spans="1:24" x14ac:dyDescent="0.25">
      <c r="A1776" s="20" t="s">
        <v>2299</v>
      </c>
      <c r="B1776" s="19">
        <v>45431</v>
      </c>
      <c r="C1776" s="20" t="s">
        <v>1293</v>
      </c>
      <c r="D1776" s="20" t="s">
        <v>264</v>
      </c>
      <c r="E1776" s="20" t="s">
        <v>141</v>
      </c>
      <c r="F1776" s="20" t="s">
        <v>2590</v>
      </c>
      <c r="G1776" s="20" t="s">
        <v>2577</v>
      </c>
      <c r="H1776" s="20" t="s">
        <v>26</v>
      </c>
      <c r="I1776" s="20" t="s">
        <v>58</v>
      </c>
      <c r="J1776" s="20" t="s">
        <v>73</v>
      </c>
      <c r="K1776" s="20" t="s">
        <v>60</v>
      </c>
      <c r="L1776" s="20" t="s">
        <v>2677</v>
      </c>
      <c r="M1776" s="20" t="s">
        <v>43</v>
      </c>
      <c r="N1776" s="20" t="s">
        <v>75</v>
      </c>
      <c r="O1776" s="20">
        <v>30</v>
      </c>
      <c r="P1776" s="20">
        <v>89.03</v>
      </c>
      <c r="Q1776" s="20">
        <v>57.51</v>
      </c>
      <c r="R1776" s="20">
        <v>2670.87</v>
      </c>
      <c r="S1776" s="20">
        <v>0</v>
      </c>
      <c r="T1776" s="20">
        <v>0</v>
      </c>
      <c r="U1776" s="20">
        <v>2670.87</v>
      </c>
      <c r="V1776" s="20">
        <v>1725.36</v>
      </c>
      <c r="W1776" s="20">
        <v>945.51</v>
      </c>
      <c r="X1776" s="20" t="s">
        <v>45</v>
      </c>
    </row>
    <row r="1777" spans="1:24" x14ac:dyDescent="0.25">
      <c r="A1777" s="23" t="s">
        <v>2300</v>
      </c>
      <c r="B1777" s="22">
        <v>45506</v>
      </c>
      <c r="C1777" s="23" t="s">
        <v>531</v>
      </c>
      <c r="D1777" s="23" t="s">
        <v>264</v>
      </c>
      <c r="E1777" s="23" t="s">
        <v>66</v>
      </c>
      <c r="F1777" s="23" t="s">
        <v>2582</v>
      </c>
      <c r="G1777" s="23" t="s">
        <v>2579</v>
      </c>
      <c r="H1777" s="23" t="s">
        <v>68</v>
      </c>
      <c r="I1777" s="23" t="s">
        <v>53</v>
      </c>
      <c r="J1777" s="23" t="s">
        <v>122</v>
      </c>
      <c r="K1777" s="23" t="s">
        <v>218</v>
      </c>
      <c r="L1777" s="23" t="s">
        <v>2692</v>
      </c>
      <c r="M1777" s="23" t="s">
        <v>61</v>
      </c>
      <c r="N1777" s="23" t="s">
        <v>44</v>
      </c>
      <c r="O1777" s="23">
        <v>22</v>
      </c>
      <c r="P1777" s="23">
        <v>151.49</v>
      </c>
      <c r="Q1777" s="23">
        <v>97.42</v>
      </c>
      <c r="R1777" s="23">
        <v>3332.73</v>
      </c>
      <c r="S1777" s="23">
        <v>0.05</v>
      </c>
      <c r="T1777" s="23">
        <v>166.64</v>
      </c>
      <c r="U1777" s="23">
        <v>3166.09</v>
      </c>
      <c r="V1777" s="23">
        <v>2143.2399999999998</v>
      </c>
      <c r="W1777" s="23">
        <v>1022.85</v>
      </c>
      <c r="X1777" s="23" t="s">
        <v>45</v>
      </c>
    </row>
    <row r="1778" spans="1:24" x14ac:dyDescent="0.25">
      <c r="A1778" s="20" t="s">
        <v>2301</v>
      </c>
      <c r="B1778" s="19">
        <v>45401</v>
      </c>
      <c r="C1778" s="20" t="s">
        <v>511</v>
      </c>
      <c r="D1778" s="20" t="s">
        <v>163</v>
      </c>
      <c r="E1778" s="20" t="s">
        <v>78</v>
      </c>
      <c r="F1778" s="20" t="s">
        <v>2583</v>
      </c>
      <c r="G1778" s="20" t="s">
        <v>2584</v>
      </c>
      <c r="H1778" s="20" t="s">
        <v>81</v>
      </c>
      <c r="I1778" s="20" t="s">
        <v>88</v>
      </c>
      <c r="J1778" s="20" t="s">
        <v>2619</v>
      </c>
      <c r="K1778" s="20" t="s">
        <v>152</v>
      </c>
      <c r="L1778" s="20" t="s">
        <v>2688</v>
      </c>
      <c r="M1778" s="20" t="s">
        <v>153</v>
      </c>
      <c r="N1778" s="20" t="s">
        <v>75</v>
      </c>
      <c r="O1778" s="20">
        <v>40</v>
      </c>
      <c r="P1778" s="20">
        <v>135.13</v>
      </c>
      <c r="Q1778" s="20">
        <v>80.069999999999993</v>
      </c>
      <c r="R1778" s="20">
        <v>5405.12</v>
      </c>
      <c r="S1778" s="20">
        <v>0</v>
      </c>
      <c r="T1778" s="20">
        <v>0</v>
      </c>
      <c r="U1778" s="20">
        <v>5405.12</v>
      </c>
      <c r="V1778" s="20">
        <v>3202.88</v>
      </c>
      <c r="W1778" s="20">
        <v>2202.2399999999998</v>
      </c>
      <c r="X1778" s="20" t="s">
        <v>45</v>
      </c>
    </row>
    <row r="1779" spans="1:24" x14ac:dyDescent="0.25">
      <c r="A1779" s="23" t="s">
        <v>2302</v>
      </c>
      <c r="B1779" s="22">
        <v>45359</v>
      </c>
      <c r="C1779" s="23" t="s">
        <v>823</v>
      </c>
      <c r="D1779" s="23" t="s">
        <v>87</v>
      </c>
      <c r="E1779" s="23" t="s">
        <v>114</v>
      </c>
      <c r="F1779" s="23" t="s">
        <v>2588</v>
      </c>
      <c r="G1779" s="23" t="s">
        <v>2586</v>
      </c>
      <c r="H1779" s="23" t="s">
        <v>116</v>
      </c>
      <c r="I1779" s="23" t="s">
        <v>40</v>
      </c>
      <c r="J1779" s="23" t="s">
        <v>117</v>
      </c>
      <c r="K1779" s="23" t="s">
        <v>60</v>
      </c>
      <c r="L1779" s="23" t="s">
        <v>2677</v>
      </c>
      <c r="M1779" s="23" t="s">
        <v>61</v>
      </c>
      <c r="N1779" s="23" t="s">
        <v>70</v>
      </c>
      <c r="O1779" s="23">
        <v>64</v>
      </c>
      <c r="P1779" s="23">
        <v>33.729999999999997</v>
      </c>
      <c r="Q1779" s="23">
        <v>22.03</v>
      </c>
      <c r="R1779" s="23">
        <v>2159.0300000000002</v>
      </c>
      <c r="S1779" s="23">
        <v>0</v>
      </c>
      <c r="T1779" s="23">
        <v>0</v>
      </c>
      <c r="U1779" s="23">
        <v>2159.0300000000002</v>
      </c>
      <c r="V1779" s="23">
        <v>1410.03</v>
      </c>
      <c r="W1779" s="23">
        <v>748.99</v>
      </c>
      <c r="X1779" s="23" t="s">
        <v>32</v>
      </c>
    </row>
    <row r="1780" spans="1:24" x14ac:dyDescent="0.25">
      <c r="A1780" s="20" t="s">
        <v>2303</v>
      </c>
      <c r="B1780" s="19">
        <v>45491</v>
      </c>
      <c r="C1780" s="20" t="s">
        <v>316</v>
      </c>
      <c r="D1780" s="20" t="s">
        <v>156</v>
      </c>
      <c r="E1780" s="20" t="s">
        <v>49</v>
      </c>
      <c r="F1780" s="20" t="s">
        <v>2580</v>
      </c>
      <c r="G1780" s="20" t="s">
        <v>2581</v>
      </c>
      <c r="H1780" s="20" t="s">
        <v>52</v>
      </c>
      <c r="I1780" s="20" t="s">
        <v>88</v>
      </c>
      <c r="J1780" s="20" t="s">
        <v>183</v>
      </c>
      <c r="K1780" s="20" t="s">
        <v>184</v>
      </c>
      <c r="L1780" s="20" t="s">
        <v>2690</v>
      </c>
      <c r="M1780" s="20" t="s">
        <v>30</v>
      </c>
      <c r="N1780" s="20" t="s">
        <v>2578</v>
      </c>
      <c r="O1780" s="20">
        <v>63</v>
      </c>
      <c r="P1780" s="20">
        <v>24.81</v>
      </c>
      <c r="Q1780" s="20">
        <v>13.9</v>
      </c>
      <c r="R1780" s="20">
        <v>1562.95</v>
      </c>
      <c r="S1780" s="20">
        <v>0</v>
      </c>
      <c r="T1780" s="20">
        <v>0</v>
      </c>
      <c r="U1780" s="20">
        <v>1562.95</v>
      </c>
      <c r="V1780" s="20">
        <v>875.85</v>
      </c>
      <c r="W1780" s="20">
        <v>687.1</v>
      </c>
      <c r="X1780" s="20" t="s">
        <v>32</v>
      </c>
    </row>
    <row r="1781" spans="1:24" x14ac:dyDescent="0.25">
      <c r="A1781" s="23" t="s">
        <v>2304</v>
      </c>
      <c r="B1781" s="22">
        <v>45503</v>
      </c>
      <c r="C1781" s="23" t="s">
        <v>985</v>
      </c>
      <c r="D1781" s="23" t="s">
        <v>393</v>
      </c>
      <c r="E1781" s="23" t="s">
        <v>165</v>
      </c>
      <c r="F1781" s="23" t="s">
        <v>2592</v>
      </c>
      <c r="G1781" s="23" t="s">
        <v>2586</v>
      </c>
      <c r="H1781" s="23" t="s">
        <v>167</v>
      </c>
      <c r="I1781" s="23" t="s">
        <v>40</v>
      </c>
      <c r="J1781" s="23" t="s">
        <v>41</v>
      </c>
      <c r="K1781" s="23" t="s">
        <v>178</v>
      </c>
      <c r="L1781" s="23" t="s">
        <v>2689</v>
      </c>
      <c r="M1781" s="23" t="s">
        <v>30</v>
      </c>
      <c r="N1781" s="23" t="s">
        <v>84</v>
      </c>
      <c r="O1781" s="23">
        <v>24</v>
      </c>
      <c r="P1781" s="23">
        <v>39.54</v>
      </c>
      <c r="Q1781" s="23">
        <v>26.83</v>
      </c>
      <c r="R1781" s="23">
        <v>949.02</v>
      </c>
      <c r="S1781" s="23">
        <v>0.15</v>
      </c>
      <c r="T1781" s="23">
        <v>142.35</v>
      </c>
      <c r="U1781" s="23">
        <v>806.66</v>
      </c>
      <c r="V1781" s="23">
        <v>643.96</v>
      </c>
      <c r="W1781" s="23">
        <v>162.69999999999999</v>
      </c>
      <c r="X1781" s="23" t="s">
        <v>129</v>
      </c>
    </row>
    <row r="1782" spans="1:24" x14ac:dyDescent="0.25">
      <c r="A1782" s="20" t="s">
        <v>2305</v>
      </c>
      <c r="B1782" s="19">
        <v>45632</v>
      </c>
      <c r="C1782" s="20" t="s">
        <v>331</v>
      </c>
      <c r="D1782" s="20" t="s">
        <v>48</v>
      </c>
      <c r="E1782" s="20" t="s">
        <v>141</v>
      </c>
      <c r="F1782" s="20" t="s">
        <v>2590</v>
      </c>
      <c r="G1782" s="20" t="s">
        <v>2577</v>
      </c>
      <c r="H1782" s="20" t="s">
        <v>26</v>
      </c>
      <c r="I1782" s="20" t="s">
        <v>58</v>
      </c>
      <c r="J1782" s="20" t="s">
        <v>345</v>
      </c>
      <c r="K1782" s="20" t="s">
        <v>253</v>
      </c>
      <c r="L1782" s="20" t="s">
        <v>2694</v>
      </c>
      <c r="M1782" s="20" t="s">
        <v>30</v>
      </c>
      <c r="N1782" s="20" t="s">
        <v>75</v>
      </c>
      <c r="O1782" s="20">
        <v>41</v>
      </c>
      <c r="P1782" s="20">
        <v>93.52</v>
      </c>
      <c r="Q1782" s="20">
        <v>56.1</v>
      </c>
      <c r="R1782" s="20">
        <v>3834.47</v>
      </c>
      <c r="S1782" s="20">
        <v>0.15</v>
      </c>
      <c r="T1782" s="20">
        <v>575.16999999999996</v>
      </c>
      <c r="U1782" s="20">
        <v>3259.3</v>
      </c>
      <c r="V1782" s="20">
        <v>2300.11</v>
      </c>
      <c r="W1782" s="20">
        <v>959.19</v>
      </c>
      <c r="X1782" s="20" t="s">
        <v>45</v>
      </c>
    </row>
    <row r="1783" spans="1:24" x14ac:dyDescent="0.25">
      <c r="A1783" s="23" t="s">
        <v>2306</v>
      </c>
      <c r="B1783" s="22">
        <v>45619</v>
      </c>
      <c r="C1783" s="23" t="s">
        <v>600</v>
      </c>
      <c r="D1783" s="23" t="s">
        <v>87</v>
      </c>
      <c r="E1783" s="23" t="s">
        <v>93</v>
      </c>
      <c r="F1783" s="23" t="s">
        <v>2585</v>
      </c>
      <c r="G1783" s="23" t="s">
        <v>2586</v>
      </c>
      <c r="H1783" s="23" t="s">
        <v>96</v>
      </c>
      <c r="I1783" s="23" t="s">
        <v>58</v>
      </c>
      <c r="J1783" s="23" t="s">
        <v>59</v>
      </c>
      <c r="K1783" s="23" t="s">
        <v>195</v>
      </c>
      <c r="L1783" s="23" t="s">
        <v>2691</v>
      </c>
      <c r="M1783" s="23" t="s">
        <v>43</v>
      </c>
      <c r="N1783" s="23" t="s">
        <v>75</v>
      </c>
      <c r="O1783" s="23">
        <v>30</v>
      </c>
      <c r="P1783" s="23">
        <v>52.86</v>
      </c>
      <c r="Q1783" s="23">
        <v>31.26</v>
      </c>
      <c r="R1783" s="23">
        <v>1585.71</v>
      </c>
      <c r="S1783" s="23">
        <v>0.15</v>
      </c>
      <c r="T1783" s="23">
        <v>237.86</v>
      </c>
      <c r="U1783" s="23">
        <v>1347.85</v>
      </c>
      <c r="V1783" s="23">
        <v>937.78</v>
      </c>
      <c r="W1783" s="23">
        <v>410.07</v>
      </c>
      <c r="X1783" s="23" t="s">
        <v>45</v>
      </c>
    </row>
    <row r="1784" spans="1:24" x14ac:dyDescent="0.25">
      <c r="A1784" s="20" t="s">
        <v>2307</v>
      </c>
      <c r="B1784" s="19">
        <v>45458</v>
      </c>
      <c r="C1784" s="20" t="s">
        <v>258</v>
      </c>
      <c r="D1784" s="20" t="s">
        <v>259</v>
      </c>
      <c r="E1784" s="20" t="s">
        <v>165</v>
      </c>
      <c r="F1784" s="20" t="s">
        <v>2592</v>
      </c>
      <c r="G1784" s="20" t="s">
        <v>2586</v>
      </c>
      <c r="H1784" s="20" t="s">
        <v>167</v>
      </c>
      <c r="I1784" s="20" t="s">
        <v>53</v>
      </c>
      <c r="J1784" s="20" t="s">
        <v>232</v>
      </c>
      <c r="K1784" s="20" t="s">
        <v>60</v>
      </c>
      <c r="L1784" s="20" t="s">
        <v>2677</v>
      </c>
      <c r="M1784" s="20" t="s">
        <v>43</v>
      </c>
      <c r="N1784" s="20" t="s">
        <v>70</v>
      </c>
      <c r="O1784" s="20">
        <v>52</v>
      </c>
      <c r="P1784" s="20">
        <v>43.94</v>
      </c>
      <c r="Q1784" s="20">
        <v>25.07</v>
      </c>
      <c r="R1784" s="20">
        <v>2284.85</v>
      </c>
      <c r="S1784" s="20">
        <v>0.15</v>
      </c>
      <c r="T1784" s="20">
        <v>342.73</v>
      </c>
      <c r="U1784" s="20">
        <v>1942.13</v>
      </c>
      <c r="V1784" s="20">
        <v>1303.5899999999999</v>
      </c>
      <c r="W1784" s="20">
        <v>638.53</v>
      </c>
      <c r="X1784" s="20" t="s">
        <v>45</v>
      </c>
    </row>
    <row r="1785" spans="1:24" x14ac:dyDescent="0.25">
      <c r="A1785" s="23" t="s">
        <v>2308</v>
      </c>
      <c r="B1785" s="22">
        <v>45623</v>
      </c>
      <c r="C1785" s="23" t="s">
        <v>447</v>
      </c>
      <c r="D1785" s="23" t="s">
        <v>48</v>
      </c>
      <c r="E1785" s="23" t="s">
        <v>222</v>
      </c>
      <c r="F1785" s="23" t="s">
        <v>2597</v>
      </c>
      <c r="G1785" s="23" t="s">
        <v>2587</v>
      </c>
      <c r="H1785" s="23" t="s">
        <v>68</v>
      </c>
      <c r="I1785" s="23" t="s">
        <v>53</v>
      </c>
      <c r="J1785" s="23" t="s">
        <v>54</v>
      </c>
      <c r="K1785" s="23" t="s">
        <v>118</v>
      </c>
      <c r="L1785" s="23" t="s">
        <v>2686</v>
      </c>
      <c r="M1785" s="23" t="s">
        <v>30</v>
      </c>
      <c r="N1785" s="23" t="s">
        <v>75</v>
      </c>
      <c r="O1785" s="23">
        <v>26</v>
      </c>
      <c r="P1785" s="23">
        <v>123.56</v>
      </c>
      <c r="Q1785" s="23">
        <v>77.13</v>
      </c>
      <c r="R1785" s="23">
        <v>3212.63</v>
      </c>
      <c r="S1785" s="23">
        <v>0.02</v>
      </c>
      <c r="T1785" s="23">
        <v>64.25</v>
      </c>
      <c r="U1785" s="23">
        <v>3148.38</v>
      </c>
      <c r="V1785" s="23">
        <v>2005.39</v>
      </c>
      <c r="W1785" s="23">
        <v>1143</v>
      </c>
      <c r="X1785" s="23" t="s">
        <v>45</v>
      </c>
    </row>
    <row r="1786" spans="1:24" x14ac:dyDescent="0.25">
      <c r="A1786" s="20" t="s">
        <v>2309</v>
      </c>
      <c r="B1786" s="19">
        <v>45342</v>
      </c>
      <c r="C1786" s="20" t="s">
        <v>679</v>
      </c>
      <c r="D1786" s="20" t="s">
        <v>105</v>
      </c>
      <c r="E1786" s="20" t="s">
        <v>99</v>
      </c>
      <c r="F1786" s="20" t="s">
        <v>100</v>
      </c>
      <c r="G1786" s="20" t="s">
        <v>2587</v>
      </c>
      <c r="H1786" s="20" t="s">
        <v>102</v>
      </c>
      <c r="I1786" s="20" t="s">
        <v>53</v>
      </c>
      <c r="J1786" s="20" t="s">
        <v>122</v>
      </c>
      <c r="K1786" s="20" t="s">
        <v>265</v>
      </c>
      <c r="L1786" s="20" t="s">
        <v>2663</v>
      </c>
      <c r="M1786" s="20" t="s">
        <v>61</v>
      </c>
      <c r="N1786" s="20" t="s">
        <v>2578</v>
      </c>
      <c r="O1786" s="20">
        <v>69</v>
      </c>
      <c r="P1786" s="20">
        <v>67.16</v>
      </c>
      <c r="Q1786" s="20">
        <v>42.58</v>
      </c>
      <c r="R1786" s="20">
        <v>4634.3500000000004</v>
      </c>
      <c r="S1786" s="20">
        <v>0</v>
      </c>
      <c r="T1786" s="20">
        <v>0</v>
      </c>
      <c r="U1786" s="20">
        <v>4634.3500000000004</v>
      </c>
      <c r="V1786" s="20">
        <v>2938.04</v>
      </c>
      <c r="W1786" s="20">
        <v>1696.3</v>
      </c>
      <c r="X1786" s="20" t="s">
        <v>32</v>
      </c>
    </row>
    <row r="1787" spans="1:24" x14ac:dyDescent="0.25">
      <c r="A1787" s="23" t="s">
        <v>2310</v>
      </c>
      <c r="B1787" s="22">
        <v>45418</v>
      </c>
      <c r="C1787" s="23" t="s">
        <v>243</v>
      </c>
      <c r="D1787" s="23" t="s">
        <v>35</v>
      </c>
      <c r="E1787" s="23" t="s">
        <v>165</v>
      </c>
      <c r="F1787" s="23" t="s">
        <v>2592</v>
      </c>
      <c r="G1787" s="23" t="s">
        <v>2586</v>
      </c>
      <c r="H1787" s="23" t="s">
        <v>167</v>
      </c>
      <c r="I1787" s="23" t="s">
        <v>27</v>
      </c>
      <c r="J1787" s="23" t="s">
        <v>106</v>
      </c>
      <c r="K1787" s="23" t="s">
        <v>184</v>
      </c>
      <c r="L1787" s="23" t="s">
        <v>2690</v>
      </c>
      <c r="M1787" s="23" t="s">
        <v>30</v>
      </c>
      <c r="N1787" s="23" t="s">
        <v>2578</v>
      </c>
      <c r="O1787" s="23">
        <v>47</v>
      </c>
      <c r="P1787" s="23">
        <v>43.97</v>
      </c>
      <c r="Q1787" s="23">
        <v>26.63</v>
      </c>
      <c r="R1787" s="23">
        <v>2066.41</v>
      </c>
      <c r="S1787" s="23">
        <v>0.02</v>
      </c>
      <c r="T1787" s="23">
        <v>41.33</v>
      </c>
      <c r="U1787" s="23">
        <v>2025.08</v>
      </c>
      <c r="V1787" s="23">
        <v>1251.68</v>
      </c>
      <c r="W1787" s="23">
        <v>773.4</v>
      </c>
      <c r="X1787" s="23" t="s">
        <v>45</v>
      </c>
    </row>
    <row r="1788" spans="1:24" x14ac:dyDescent="0.25">
      <c r="A1788" s="20" t="s">
        <v>2311</v>
      </c>
      <c r="B1788" s="19">
        <v>45315</v>
      </c>
      <c r="C1788" s="20" t="s">
        <v>1317</v>
      </c>
      <c r="D1788" s="20" t="s">
        <v>35</v>
      </c>
      <c r="E1788" s="20" t="s">
        <v>99</v>
      </c>
      <c r="F1788" s="20" t="s">
        <v>100</v>
      </c>
      <c r="G1788" s="20" t="s">
        <v>2587</v>
      </c>
      <c r="H1788" s="20" t="s">
        <v>102</v>
      </c>
      <c r="I1788" s="20" t="s">
        <v>40</v>
      </c>
      <c r="J1788" s="20" t="s">
        <v>117</v>
      </c>
      <c r="K1788" s="20" t="s">
        <v>218</v>
      </c>
      <c r="L1788" s="20" t="s">
        <v>2692</v>
      </c>
      <c r="M1788" s="20" t="s">
        <v>43</v>
      </c>
      <c r="N1788" s="20" t="s">
        <v>75</v>
      </c>
      <c r="O1788" s="20">
        <v>49</v>
      </c>
      <c r="P1788" s="20">
        <v>69.989999999999995</v>
      </c>
      <c r="Q1788" s="20">
        <v>37.799999999999997</v>
      </c>
      <c r="R1788" s="20">
        <v>3429.39</v>
      </c>
      <c r="S1788" s="20">
        <v>0.02</v>
      </c>
      <c r="T1788" s="20">
        <v>68.59</v>
      </c>
      <c r="U1788" s="20">
        <v>3360.81</v>
      </c>
      <c r="V1788" s="20">
        <v>1852.17</v>
      </c>
      <c r="W1788" s="20">
        <v>1508.64</v>
      </c>
      <c r="X1788" s="20" t="s">
        <v>129</v>
      </c>
    </row>
    <row r="1789" spans="1:24" x14ac:dyDescent="0.25">
      <c r="A1789" s="23" t="s">
        <v>2312</v>
      </c>
      <c r="B1789" s="22">
        <v>45571</v>
      </c>
      <c r="C1789" s="23" t="s">
        <v>418</v>
      </c>
      <c r="D1789" s="23" t="s">
        <v>159</v>
      </c>
      <c r="E1789" s="23" t="s">
        <v>23</v>
      </c>
      <c r="F1789" s="23" t="s">
        <v>2576</v>
      </c>
      <c r="G1789" s="23" t="s">
        <v>2577</v>
      </c>
      <c r="H1789" s="23" t="s">
        <v>26</v>
      </c>
      <c r="I1789" s="23" t="s">
        <v>88</v>
      </c>
      <c r="J1789" s="23" t="s">
        <v>135</v>
      </c>
      <c r="K1789" s="23" t="s">
        <v>152</v>
      </c>
      <c r="L1789" s="23" t="s">
        <v>2688</v>
      </c>
      <c r="M1789" s="23" t="s">
        <v>30</v>
      </c>
      <c r="N1789" s="23" t="s">
        <v>44</v>
      </c>
      <c r="O1789" s="23">
        <v>24</v>
      </c>
      <c r="P1789" s="23">
        <v>75.930000000000007</v>
      </c>
      <c r="Q1789" s="23">
        <v>46.57</v>
      </c>
      <c r="R1789" s="23">
        <v>1822.26</v>
      </c>
      <c r="S1789" s="23">
        <v>0</v>
      </c>
      <c r="T1789" s="23">
        <v>0</v>
      </c>
      <c r="U1789" s="23">
        <v>1822.26</v>
      </c>
      <c r="V1789" s="23">
        <v>1117.77</v>
      </c>
      <c r="W1789" s="23">
        <v>704.49</v>
      </c>
      <c r="X1789" s="23" t="s">
        <v>32</v>
      </c>
    </row>
    <row r="1790" spans="1:24" x14ac:dyDescent="0.25">
      <c r="A1790" s="20" t="s">
        <v>2313</v>
      </c>
      <c r="B1790" s="19">
        <v>45642</v>
      </c>
      <c r="C1790" s="20" t="s">
        <v>1267</v>
      </c>
      <c r="D1790" s="20" t="s">
        <v>149</v>
      </c>
      <c r="E1790" s="20" t="s">
        <v>222</v>
      </c>
      <c r="F1790" s="20" t="s">
        <v>2597</v>
      </c>
      <c r="G1790" s="20" t="s">
        <v>2587</v>
      </c>
      <c r="H1790" s="20" t="s">
        <v>68</v>
      </c>
      <c r="I1790" s="20" t="s">
        <v>88</v>
      </c>
      <c r="J1790" s="20" t="s">
        <v>2112</v>
      </c>
      <c r="K1790" s="20" t="s">
        <v>184</v>
      </c>
      <c r="L1790" s="20" t="s">
        <v>2690</v>
      </c>
      <c r="M1790" s="20" t="s">
        <v>61</v>
      </c>
      <c r="N1790" s="20" t="s">
        <v>84</v>
      </c>
      <c r="O1790" s="20">
        <v>72</v>
      </c>
      <c r="P1790" s="20">
        <v>126.66</v>
      </c>
      <c r="Q1790" s="20">
        <v>82.91</v>
      </c>
      <c r="R1790" s="20">
        <v>9119.65</v>
      </c>
      <c r="S1790" s="20">
        <v>0.05</v>
      </c>
      <c r="T1790" s="20">
        <v>455.98</v>
      </c>
      <c r="U1790" s="20">
        <v>8663.67</v>
      </c>
      <c r="V1790" s="20">
        <v>5969.22</v>
      </c>
      <c r="W1790" s="20">
        <v>2694.45</v>
      </c>
      <c r="X1790" s="20" t="s">
        <v>45</v>
      </c>
    </row>
    <row r="1791" spans="1:24" x14ac:dyDescent="0.25">
      <c r="A1791" s="23" t="s">
        <v>2314</v>
      </c>
      <c r="B1791" s="22">
        <v>45299</v>
      </c>
      <c r="C1791" s="23" t="s">
        <v>276</v>
      </c>
      <c r="D1791" s="23" t="s">
        <v>221</v>
      </c>
      <c r="E1791" s="23" t="s">
        <v>209</v>
      </c>
      <c r="F1791" s="23" t="s">
        <v>2595</v>
      </c>
      <c r="G1791" s="23" t="s">
        <v>2581</v>
      </c>
      <c r="H1791" s="23" t="s">
        <v>116</v>
      </c>
      <c r="I1791" s="23" t="s">
        <v>53</v>
      </c>
      <c r="J1791" s="23" t="s">
        <v>2619</v>
      </c>
      <c r="K1791" s="23" t="s">
        <v>248</v>
      </c>
      <c r="L1791" s="23" t="s">
        <v>2693</v>
      </c>
      <c r="M1791" s="23" t="s">
        <v>153</v>
      </c>
      <c r="N1791" s="23" t="s">
        <v>84</v>
      </c>
      <c r="O1791" s="23">
        <v>15</v>
      </c>
      <c r="P1791" s="23">
        <v>18.149999999999999</v>
      </c>
      <c r="Q1791" s="23">
        <v>9.83</v>
      </c>
      <c r="R1791" s="23">
        <v>272.27999999999997</v>
      </c>
      <c r="S1791" s="23">
        <v>0</v>
      </c>
      <c r="T1791" s="23">
        <v>0</v>
      </c>
      <c r="U1791" s="23">
        <v>272.27999999999997</v>
      </c>
      <c r="V1791" s="23">
        <v>147.52000000000001</v>
      </c>
      <c r="W1791" s="23">
        <v>124.76</v>
      </c>
      <c r="X1791" s="23" t="s">
        <v>45</v>
      </c>
    </row>
    <row r="1792" spans="1:24" x14ac:dyDescent="0.25">
      <c r="A1792" s="20" t="s">
        <v>2315</v>
      </c>
      <c r="B1792" s="19">
        <v>45634</v>
      </c>
      <c r="C1792" s="20" t="s">
        <v>322</v>
      </c>
      <c r="D1792" s="20" t="s">
        <v>65</v>
      </c>
      <c r="E1792" s="20" t="s">
        <v>114</v>
      </c>
      <c r="F1792" s="20" t="s">
        <v>2588</v>
      </c>
      <c r="G1792" s="20" t="s">
        <v>2586</v>
      </c>
      <c r="H1792" s="20" t="s">
        <v>116</v>
      </c>
      <c r="I1792" s="20" t="s">
        <v>53</v>
      </c>
      <c r="J1792" s="20" t="s">
        <v>122</v>
      </c>
      <c r="K1792" s="20" t="s">
        <v>144</v>
      </c>
      <c r="L1792" s="20" t="s">
        <v>2687</v>
      </c>
      <c r="M1792" s="20" t="s">
        <v>43</v>
      </c>
      <c r="N1792" s="20" t="s">
        <v>84</v>
      </c>
      <c r="O1792" s="20">
        <v>4</v>
      </c>
      <c r="P1792" s="20">
        <v>33.299999999999997</v>
      </c>
      <c r="Q1792" s="20">
        <v>19.79</v>
      </c>
      <c r="R1792" s="20">
        <v>133.19</v>
      </c>
      <c r="S1792" s="20">
        <v>0.02</v>
      </c>
      <c r="T1792" s="20">
        <v>2.66</v>
      </c>
      <c r="U1792" s="20">
        <v>130.52000000000001</v>
      </c>
      <c r="V1792" s="20">
        <v>79.17</v>
      </c>
      <c r="W1792" s="20">
        <v>51.35</v>
      </c>
      <c r="X1792" s="20" t="s">
        <v>45</v>
      </c>
    </row>
    <row r="1793" spans="1:24" x14ac:dyDescent="0.25">
      <c r="A1793" s="23" t="s">
        <v>2316</v>
      </c>
      <c r="B1793" s="22">
        <v>45612</v>
      </c>
      <c r="C1793" s="23" t="s">
        <v>511</v>
      </c>
      <c r="D1793" s="23" t="s">
        <v>163</v>
      </c>
      <c r="E1793" s="23" t="s">
        <v>99</v>
      </c>
      <c r="F1793" s="23" t="s">
        <v>100</v>
      </c>
      <c r="G1793" s="23" t="s">
        <v>2587</v>
      </c>
      <c r="H1793" s="23" t="s">
        <v>102</v>
      </c>
      <c r="I1793" s="23" t="s">
        <v>88</v>
      </c>
      <c r="J1793" s="23" t="s">
        <v>2112</v>
      </c>
      <c r="K1793" s="23" t="s">
        <v>195</v>
      </c>
      <c r="L1793" s="23" t="s">
        <v>2691</v>
      </c>
      <c r="M1793" s="23" t="s">
        <v>153</v>
      </c>
      <c r="N1793" s="23" t="s">
        <v>2578</v>
      </c>
      <c r="O1793" s="23">
        <v>53</v>
      </c>
      <c r="P1793" s="23">
        <v>65.25</v>
      </c>
      <c r="Q1793" s="23">
        <v>43.96</v>
      </c>
      <c r="R1793" s="23">
        <v>3458.07</v>
      </c>
      <c r="S1793" s="23">
        <f>ROUND(Cleaned_Sales!$T1793/Cleaned_Sales!$R1793,2)</f>
        <v>0.2</v>
      </c>
      <c r="T1793" s="23">
        <v>691.61</v>
      </c>
      <c r="U1793" s="23">
        <v>2766.45</v>
      </c>
      <c r="V1793" s="23">
        <v>2329.9499999999998</v>
      </c>
      <c r="W1793" s="23">
        <v>436.5</v>
      </c>
      <c r="X1793" s="23" t="s">
        <v>45</v>
      </c>
    </row>
    <row r="1794" spans="1:24" x14ac:dyDescent="0.25">
      <c r="A1794" s="20" t="s">
        <v>2317</v>
      </c>
      <c r="B1794" s="19">
        <v>45552</v>
      </c>
      <c r="C1794" s="20" t="s">
        <v>489</v>
      </c>
      <c r="D1794" s="20" t="s">
        <v>105</v>
      </c>
      <c r="E1794" s="20" t="s">
        <v>93</v>
      </c>
      <c r="F1794" s="20" t="s">
        <v>2585</v>
      </c>
      <c r="G1794" s="20" t="s">
        <v>2586</v>
      </c>
      <c r="H1794" s="20" t="s">
        <v>96</v>
      </c>
      <c r="I1794" s="20" t="s">
        <v>88</v>
      </c>
      <c r="J1794" s="20" t="s">
        <v>173</v>
      </c>
      <c r="K1794" s="20" t="s">
        <v>195</v>
      </c>
      <c r="L1794" s="20" t="s">
        <v>2691</v>
      </c>
      <c r="M1794" s="20" t="s">
        <v>43</v>
      </c>
      <c r="N1794" s="20" t="s">
        <v>84</v>
      </c>
      <c r="O1794" s="20">
        <v>78</v>
      </c>
      <c r="P1794" s="20">
        <v>57.67</v>
      </c>
      <c r="Q1794" s="20">
        <v>32.090000000000003</v>
      </c>
      <c r="R1794" s="20">
        <v>4497.9799999999996</v>
      </c>
      <c r="S1794" s="20">
        <v>0.15</v>
      </c>
      <c r="T1794" s="20">
        <v>674.7</v>
      </c>
      <c r="U1794" s="20">
        <v>3823.28</v>
      </c>
      <c r="V1794" s="20">
        <v>2503.19</v>
      </c>
      <c r="W1794" s="20">
        <v>1320.09</v>
      </c>
      <c r="X1794" s="20" t="s">
        <v>32</v>
      </c>
    </row>
    <row r="1795" spans="1:24" x14ac:dyDescent="0.25">
      <c r="A1795" s="23" t="s">
        <v>2318</v>
      </c>
      <c r="B1795" s="22">
        <v>45340</v>
      </c>
      <c r="C1795" s="23" t="s">
        <v>878</v>
      </c>
      <c r="D1795" s="23" t="s">
        <v>65</v>
      </c>
      <c r="E1795" s="23" t="s">
        <v>49</v>
      </c>
      <c r="F1795" s="23" t="s">
        <v>2580</v>
      </c>
      <c r="G1795" s="23" t="s">
        <v>2581</v>
      </c>
      <c r="H1795" s="23" t="s">
        <v>52</v>
      </c>
      <c r="I1795" s="23" t="s">
        <v>27</v>
      </c>
      <c r="J1795" s="23" t="s">
        <v>28</v>
      </c>
      <c r="K1795" s="23" t="s">
        <v>90</v>
      </c>
      <c r="L1795" s="23" t="s">
        <v>2684</v>
      </c>
      <c r="M1795" s="23" t="s">
        <v>385</v>
      </c>
      <c r="N1795" s="23" t="s">
        <v>75</v>
      </c>
      <c r="O1795" s="23">
        <v>30</v>
      </c>
      <c r="P1795" s="23">
        <v>23.07</v>
      </c>
      <c r="Q1795" s="23">
        <v>12.57</v>
      </c>
      <c r="R1795" s="23">
        <v>692.11</v>
      </c>
      <c r="S1795" s="23">
        <v>0.1</v>
      </c>
      <c r="T1795" s="23">
        <v>69.209999999999994</v>
      </c>
      <c r="U1795" s="23">
        <v>622.9</v>
      </c>
      <c r="V1795" s="23">
        <v>377.1</v>
      </c>
      <c r="W1795" s="23">
        <v>245.79</v>
      </c>
      <c r="X1795" s="23" t="s">
        <v>45</v>
      </c>
    </row>
    <row r="1796" spans="1:24" x14ac:dyDescent="0.25">
      <c r="A1796" s="20" t="s">
        <v>2319</v>
      </c>
      <c r="B1796" s="19">
        <v>45326</v>
      </c>
      <c r="C1796" s="20" t="s">
        <v>420</v>
      </c>
      <c r="D1796" s="20" t="s">
        <v>156</v>
      </c>
      <c r="E1796" s="20" t="s">
        <v>141</v>
      </c>
      <c r="F1796" s="20" t="s">
        <v>2590</v>
      </c>
      <c r="G1796" s="20" t="s">
        <v>2577</v>
      </c>
      <c r="H1796" s="20" t="s">
        <v>26</v>
      </c>
      <c r="I1796" s="20" t="s">
        <v>40</v>
      </c>
      <c r="J1796" s="20" t="s">
        <v>117</v>
      </c>
      <c r="K1796" s="20" t="s">
        <v>42</v>
      </c>
      <c r="L1796" s="20" t="s">
        <v>2680</v>
      </c>
      <c r="M1796" s="20" t="s">
        <v>30</v>
      </c>
      <c r="N1796" s="20" t="s">
        <v>2578</v>
      </c>
      <c r="O1796" s="20">
        <v>15</v>
      </c>
      <c r="P1796" s="20">
        <v>94.51</v>
      </c>
      <c r="Q1796" s="20">
        <v>57.69</v>
      </c>
      <c r="R1796" s="20">
        <v>1417.72</v>
      </c>
      <c r="S1796" s="20">
        <v>0</v>
      </c>
      <c r="T1796" s="20">
        <v>0</v>
      </c>
      <c r="U1796" s="20">
        <v>1417.72</v>
      </c>
      <c r="V1796" s="20">
        <v>865.31</v>
      </c>
      <c r="W1796" s="20">
        <v>552.41</v>
      </c>
      <c r="X1796" s="20" t="s">
        <v>45</v>
      </c>
    </row>
    <row r="1797" spans="1:24" x14ac:dyDescent="0.25">
      <c r="A1797" s="23" t="s">
        <v>2320</v>
      </c>
      <c r="B1797" s="22">
        <v>45565</v>
      </c>
      <c r="C1797" s="23" t="s">
        <v>1068</v>
      </c>
      <c r="D1797" s="23" t="s">
        <v>105</v>
      </c>
      <c r="E1797" s="23" t="s">
        <v>36</v>
      </c>
      <c r="F1797" s="23" t="s">
        <v>37</v>
      </c>
      <c r="G1797" s="23" t="s">
        <v>2579</v>
      </c>
      <c r="H1797" s="23" t="s">
        <v>39</v>
      </c>
      <c r="I1797" s="23" t="s">
        <v>40</v>
      </c>
      <c r="J1797" s="23" t="s">
        <v>117</v>
      </c>
      <c r="K1797" s="23" t="s">
        <v>90</v>
      </c>
      <c r="L1797" s="23" t="s">
        <v>2684</v>
      </c>
      <c r="M1797" s="23" t="s">
        <v>30</v>
      </c>
      <c r="N1797" s="23" t="s">
        <v>75</v>
      </c>
      <c r="O1797" s="23">
        <v>64</v>
      </c>
      <c r="P1797" s="23">
        <v>157.91</v>
      </c>
      <c r="Q1797" s="23">
        <v>104.84</v>
      </c>
      <c r="R1797" s="23">
        <v>10106.299999999999</v>
      </c>
      <c r="S1797" s="23">
        <v>0.15</v>
      </c>
      <c r="T1797" s="23">
        <v>1515.95</v>
      </c>
      <c r="U1797" s="23">
        <v>8590.36</v>
      </c>
      <c r="V1797" s="23">
        <v>6709.48</v>
      </c>
      <c r="W1797" s="23">
        <v>1880.88</v>
      </c>
      <c r="X1797" s="23" t="s">
        <v>129</v>
      </c>
    </row>
    <row r="1798" spans="1:24" x14ac:dyDescent="0.25">
      <c r="A1798" s="20" t="s">
        <v>2321</v>
      </c>
      <c r="B1798" s="19">
        <v>45488</v>
      </c>
      <c r="C1798" s="20" t="s">
        <v>531</v>
      </c>
      <c r="D1798" s="20" t="s">
        <v>264</v>
      </c>
      <c r="E1798" s="20" t="s">
        <v>93</v>
      </c>
      <c r="F1798" s="20" t="s">
        <v>2585</v>
      </c>
      <c r="G1798" s="20" t="s">
        <v>2586</v>
      </c>
      <c r="H1798" s="20" t="s">
        <v>96</v>
      </c>
      <c r="I1798" s="20" t="s">
        <v>27</v>
      </c>
      <c r="J1798" s="20" t="s">
        <v>189</v>
      </c>
      <c r="K1798" s="20" t="s">
        <v>60</v>
      </c>
      <c r="L1798" s="20" t="s">
        <v>2677</v>
      </c>
      <c r="M1798" s="20" t="s">
        <v>43</v>
      </c>
      <c r="N1798" s="20" t="s">
        <v>84</v>
      </c>
      <c r="O1798" s="20">
        <v>51</v>
      </c>
      <c r="P1798" s="20">
        <v>54.4</v>
      </c>
      <c r="Q1798" s="20">
        <v>31.38</v>
      </c>
      <c r="R1798" s="20">
        <v>2774.17</v>
      </c>
      <c r="S1798" s="20">
        <v>0.1</v>
      </c>
      <c r="T1798" s="20">
        <v>277.42</v>
      </c>
      <c r="U1798" s="20">
        <v>2496.75</v>
      </c>
      <c r="V1798" s="20">
        <v>1600.42</v>
      </c>
      <c r="W1798" s="20">
        <v>896.34</v>
      </c>
      <c r="X1798" s="20" t="s">
        <v>129</v>
      </c>
    </row>
    <row r="1799" spans="1:24" x14ac:dyDescent="0.25">
      <c r="A1799" s="23" t="s">
        <v>2322</v>
      </c>
      <c r="B1799" s="22">
        <v>45415</v>
      </c>
      <c r="C1799" s="23" t="s">
        <v>1159</v>
      </c>
      <c r="D1799" s="23" t="s">
        <v>159</v>
      </c>
      <c r="E1799" s="23" t="s">
        <v>222</v>
      </c>
      <c r="F1799" s="23" t="s">
        <v>2597</v>
      </c>
      <c r="G1799" s="23" t="s">
        <v>2587</v>
      </c>
      <c r="H1799" s="23" t="s">
        <v>68</v>
      </c>
      <c r="I1799" s="23" t="s">
        <v>40</v>
      </c>
      <c r="J1799" s="23" t="s">
        <v>117</v>
      </c>
      <c r="K1799" s="23" t="s">
        <v>253</v>
      </c>
      <c r="L1799" s="23" t="s">
        <v>2694</v>
      </c>
      <c r="M1799" s="23" t="s">
        <v>61</v>
      </c>
      <c r="N1799" s="23" t="s">
        <v>2578</v>
      </c>
      <c r="O1799" s="23">
        <v>37</v>
      </c>
      <c r="P1799" s="23">
        <v>117.85</v>
      </c>
      <c r="Q1799" s="23">
        <v>81.790000000000006</v>
      </c>
      <c r="R1799" s="23">
        <v>4360.3100000000004</v>
      </c>
      <c r="S1799" s="23">
        <v>0.05</v>
      </c>
      <c r="T1799" s="23">
        <v>218.02</v>
      </c>
      <c r="U1799" s="23">
        <v>4142.3</v>
      </c>
      <c r="V1799" s="23">
        <v>3026.16</v>
      </c>
      <c r="W1799" s="23">
        <v>1116.1300000000001</v>
      </c>
      <c r="X1799" s="23" t="s">
        <v>32</v>
      </c>
    </row>
    <row r="1800" spans="1:24" x14ac:dyDescent="0.25">
      <c r="A1800" s="20" t="s">
        <v>2323</v>
      </c>
      <c r="B1800" s="19">
        <v>45434</v>
      </c>
      <c r="C1800" s="20" t="s">
        <v>785</v>
      </c>
      <c r="D1800" s="20" t="s">
        <v>264</v>
      </c>
      <c r="E1800" s="20" t="s">
        <v>150</v>
      </c>
      <c r="F1800" s="20" t="s">
        <v>2591</v>
      </c>
      <c r="G1800" s="20" t="s">
        <v>2587</v>
      </c>
      <c r="H1800" s="20" t="s">
        <v>134</v>
      </c>
      <c r="I1800" s="20" t="s">
        <v>27</v>
      </c>
      <c r="J1800" s="20" t="s">
        <v>106</v>
      </c>
      <c r="K1800" s="20" t="s">
        <v>178</v>
      </c>
      <c r="L1800" s="20" t="s">
        <v>2689</v>
      </c>
      <c r="M1800" s="20" t="s">
        <v>30</v>
      </c>
      <c r="N1800" s="20" t="s">
        <v>70</v>
      </c>
      <c r="O1800" s="20">
        <v>43</v>
      </c>
      <c r="P1800" s="20">
        <v>78.64</v>
      </c>
      <c r="Q1800" s="20">
        <v>52.3</v>
      </c>
      <c r="R1800" s="20">
        <v>3381.57</v>
      </c>
      <c r="S1800" s="20">
        <v>0.2</v>
      </c>
      <c r="T1800" s="20">
        <v>676.31</v>
      </c>
      <c r="U1800" s="20">
        <v>2705.26</v>
      </c>
      <c r="V1800" s="20">
        <v>2248.69</v>
      </c>
      <c r="W1800" s="20">
        <v>456.57</v>
      </c>
      <c r="X1800" s="20" t="s">
        <v>32</v>
      </c>
    </row>
    <row r="1801" spans="1:24" x14ac:dyDescent="0.25">
      <c r="A1801" s="23" t="s">
        <v>2324</v>
      </c>
      <c r="B1801" s="22">
        <v>45355</v>
      </c>
      <c r="C1801" s="23" t="s">
        <v>205</v>
      </c>
      <c r="D1801" s="23" t="s">
        <v>22</v>
      </c>
      <c r="E1801" s="23" t="s">
        <v>187</v>
      </c>
      <c r="F1801" s="23" t="s">
        <v>2594</v>
      </c>
      <c r="G1801" s="23" t="s">
        <v>2577</v>
      </c>
      <c r="H1801" s="23" t="s">
        <v>26</v>
      </c>
      <c r="I1801" s="23" t="s">
        <v>40</v>
      </c>
      <c r="J1801" s="23" t="s">
        <v>289</v>
      </c>
      <c r="K1801" s="23" t="s">
        <v>248</v>
      </c>
      <c r="L1801" s="23" t="s">
        <v>2693</v>
      </c>
      <c r="M1801" s="23" t="s">
        <v>153</v>
      </c>
      <c r="N1801" s="23" t="s">
        <v>44</v>
      </c>
      <c r="O1801" s="23">
        <v>7</v>
      </c>
      <c r="P1801" s="23">
        <v>49.48</v>
      </c>
      <c r="Q1801" s="23">
        <v>31.28</v>
      </c>
      <c r="R1801" s="23">
        <v>346.35</v>
      </c>
      <c r="S1801" s="23">
        <v>0.2</v>
      </c>
      <c r="T1801" s="23">
        <v>69.27</v>
      </c>
      <c r="U1801" s="23">
        <v>277.08</v>
      </c>
      <c r="V1801" s="23">
        <v>218.96</v>
      </c>
      <c r="W1801" s="23">
        <v>58.12</v>
      </c>
      <c r="X1801" s="23" t="s">
        <v>129</v>
      </c>
    </row>
    <row r="1802" spans="1:24" x14ac:dyDescent="0.25">
      <c r="A1802" s="20" t="s">
        <v>2325</v>
      </c>
      <c r="B1802" s="19">
        <v>45503</v>
      </c>
      <c r="C1802" s="20" t="s">
        <v>531</v>
      </c>
      <c r="D1802" s="20" t="s">
        <v>264</v>
      </c>
      <c r="E1802" s="20" t="s">
        <v>250</v>
      </c>
      <c r="F1802" s="20" t="s">
        <v>2598</v>
      </c>
      <c r="G1802" s="20" t="s">
        <v>2581</v>
      </c>
      <c r="H1802" s="20" t="s">
        <v>252</v>
      </c>
      <c r="I1802" s="20" t="s">
        <v>27</v>
      </c>
      <c r="J1802" s="20" t="s">
        <v>28</v>
      </c>
      <c r="K1802" s="20" t="s">
        <v>265</v>
      </c>
      <c r="L1802" s="20" t="s">
        <v>2663</v>
      </c>
      <c r="M1802" s="20" t="s">
        <v>30</v>
      </c>
      <c r="N1802" s="20" t="s">
        <v>44</v>
      </c>
      <c r="O1802" s="20">
        <v>26</v>
      </c>
      <c r="P1802" s="20">
        <v>63.93</v>
      </c>
      <c r="Q1802" s="20">
        <v>35.770000000000003</v>
      </c>
      <c r="R1802" s="20">
        <v>1662.13</v>
      </c>
      <c r="S1802" s="20">
        <v>0.1</v>
      </c>
      <c r="T1802" s="20">
        <v>166.21</v>
      </c>
      <c r="U1802" s="20">
        <v>1495.92</v>
      </c>
      <c r="V1802" s="20">
        <v>929.94</v>
      </c>
      <c r="W1802" s="20">
        <v>565.98</v>
      </c>
      <c r="X1802" s="20" t="s">
        <v>45</v>
      </c>
    </row>
    <row r="1803" spans="1:24" x14ac:dyDescent="0.25">
      <c r="A1803" s="23" t="s">
        <v>2326</v>
      </c>
      <c r="B1803" s="22">
        <v>45348</v>
      </c>
      <c r="C1803" s="23" t="s">
        <v>515</v>
      </c>
      <c r="D1803" s="23" t="s">
        <v>48</v>
      </c>
      <c r="E1803" s="23" t="s">
        <v>165</v>
      </c>
      <c r="F1803" s="23" t="s">
        <v>2592</v>
      </c>
      <c r="G1803" s="23" t="s">
        <v>2586</v>
      </c>
      <c r="H1803" s="23" t="s">
        <v>167</v>
      </c>
      <c r="I1803" s="23" t="s">
        <v>53</v>
      </c>
      <c r="J1803" s="23" t="s">
        <v>232</v>
      </c>
      <c r="K1803" s="23" t="s">
        <v>60</v>
      </c>
      <c r="L1803" s="23" t="s">
        <v>2677</v>
      </c>
      <c r="M1803" s="23" t="s">
        <v>153</v>
      </c>
      <c r="N1803" s="23" t="s">
        <v>2578</v>
      </c>
      <c r="O1803" s="23">
        <v>8</v>
      </c>
      <c r="P1803" s="23">
        <v>41.45</v>
      </c>
      <c r="Q1803" s="23">
        <v>24.04</v>
      </c>
      <c r="R1803" s="23">
        <v>331.63</v>
      </c>
      <c r="S1803" s="23">
        <v>0.05</v>
      </c>
      <c r="T1803" s="23">
        <v>16.579999999999998</v>
      </c>
      <c r="U1803" s="23">
        <v>315.05</v>
      </c>
      <c r="V1803" s="23">
        <v>192.33</v>
      </c>
      <c r="W1803" s="23">
        <v>122.73</v>
      </c>
      <c r="X1803" s="23" t="s">
        <v>45</v>
      </c>
    </row>
    <row r="1804" spans="1:24" x14ac:dyDescent="0.25">
      <c r="A1804" s="20" t="s">
        <v>2327</v>
      </c>
      <c r="B1804" s="19">
        <v>45432</v>
      </c>
      <c r="C1804" s="20" t="s">
        <v>404</v>
      </c>
      <c r="D1804" s="20" t="s">
        <v>87</v>
      </c>
      <c r="E1804" s="20" t="s">
        <v>93</v>
      </c>
      <c r="F1804" s="20" t="s">
        <v>2585</v>
      </c>
      <c r="G1804" s="20" t="s">
        <v>2586</v>
      </c>
      <c r="H1804" s="20" t="s">
        <v>96</v>
      </c>
      <c r="I1804" s="20" t="s">
        <v>53</v>
      </c>
      <c r="J1804" s="20" t="s">
        <v>143</v>
      </c>
      <c r="K1804" s="20" t="s">
        <v>261</v>
      </c>
      <c r="L1804" s="20" t="s">
        <v>2695</v>
      </c>
      <c r="M1804" s="20" t="s">
        <v>30</v>
      </c>
      <c r="N1804" s="20" t="s">
        <v>75</v>
      </c>
      <c r="O1804" s="20">
        <v>58</v>
      </c>
      <c r="P1804" s="20">
        <v>56.4</v>
      </c>
      <c r="Q1804" s="20">
        <v>34.21</v>
      </c>
      <c r="R1804" s="20">
        <v>3270.98</v>
      </c>
      <c r="S1804" s="20">
        <v>0.2</v>
      </c>
      <c r="T1804" s="20">
        <v>654.20000000000005</v>
      </c>
      <c r="U1804" s="20">
        <v>2616.7800000000002</v>
      </c>
      <c r="V1804" s="20">
        <v>1984.15</v>
      </c>
      <c r="W1804" s="20">
        <v>632.63</v>
      </c>
      <c r="X1804" s="20" t="s">
        <v>45</v>
      </c>
    </row>
    <row r="1805" spans="1:24" x14ac:dyDescent="0.25">
      <c r="A1805" s="23" t="s">
        <v>2328</v>
      </c>
      <c r="B1805" s="22">
        <v>45524</v>
      </c>
      <c r="C1805" s="23" t="s">
        <v>454</v>
      </c>
      <c r="D1805" s="23" t="s">
        <v>156</v>
      </c>
      <c r="E1805" s="23" t="s">
        <v>150</v>
      </c>
      <c r="F1805" s="23" t="s">
        <v>2591</v>
      </c>
      <c r="G1805" s="23" t="s">
        <v>2587</v>
      </c>
      <c r="H1805" s="23" t="s">
        <v>134</v>
      </c>
      <c r="I1805" s="23" t="s">
        <v>53</v>
      </c>
      <c r="J1805" s="23" t="s">
        <v>232</v>
      </c>
      <c r="K1805" s="23" t="s">
        <v>144</v>
      </c>
      <c r="L1805" s="23" t="s">
        <v>2687</v>
      </c>
      <c r="M1805" s="23" t="s">
        <v>43</v>
      </c>
      <c r="N1805" s="23" t="s">
        <v>70</v>
      </c>
      <c r="O1805" s="23">
        <v>12</v>
      </c>
      <c r="P1805" s="23">
        <v>81.239999999999995</v>
      </c>
      <c r="Q1805" s="23">
        <v>51.3</v>
      </c>
      <c r="R1805" s="23">
        <v>974.93</v>
      </c>
      <c r="S1805" s="23">
        <v>0.05</v>
      </c>
      <c r="T1805" s="23">
        <v>48.75</v>
      </c>
      <c r="U1805" s="23">
        <v>926.18</v>
      </c>
      <c r="V1805" s="23">
        <v>615.62</v>
      </c>
      <c r="W1805" s="23">
        <v>310.56</v>
      </c>
      <c r="X1805" s="23" t="s">
        <v>45</v>
      </c>
    </row>
    <row r="1806" spans="1:24" x14ac:dyDescent="0.25">
      <c r="A1806" s="20" t="s">
        <v>2329</v>
      </c>
      <c r="B1806" s="19">
        <v>45306</v>
      </c>
      <c r="C1806" s="20" t="s">
        <v>814</v>
      </c>
      <c r="D1806" s="20" t="s">
        <v>22</v>
      </c>
      <c r="E1806" s="20" t="s">
        <v>150</v>
      </c>
      <c r="F1806" s="20" t="s">
        <v>2591</v>
      </c>
      <c r="G1806" s="20" t="s">
        <v>2587</v>
      </c>
      <c r="H1806" s="20" t="s">
        <v>134</v>
      </c>
      <c r="I1806" s="20" t="s">
        <v>53</v>
      </c>
      <c r="J1806" s="20" t="s">
        <v>232</v>
      </c>
      <c r="K1806" s="20" t="s">
        <v>265</v>
      </c>
      <c r="L1806" s="20" t="s">
        <v>2663</v>
      </c>
      <c r="M1806" s="20" t="s">
        <v>153</v>
      </c>
      <c r="N1806" s="20" t="s">
        <v>44</v>
      </c>
      <c r="O1806" s="20">
        <v>16</v>
      </c>
      <c r="P1806" s="20">
        <v>86.67</v>
      </c>
      <c r="Q1806" s="20">
        <v>52.07</v>
      </c>
      <c r="R1806" s="20">
        <v>1386.76</v>
      </c>
      <c r="S1806" s="20">
        <v>0.05</v>
      </c>
      <c r="T1806" s="20">
        <v>69.34</v>
      </c>
      <c r="U1806" s="20">
        <v>1317.42</v>
      </c>
      <c r="V1806" s="20">
        <v>833.18</v>
      </c>
      <c r="W1806" s="20">
        <v>484.24</v>
      </c>
      <c r="X1806" s="20" t="s">
        <v>45</v>
      </c>
    </row>
    <row r="1807" spans="1:24" x14ac:dyDescent="0.25">
      <c r="A1807" s="23" t="s">
        <v>2330</v>
      </c>
      <c r="B1807" s="22">
        <v>45551</v>
      </c>
      <c r="C1807" s="23" t="s">
        <v>92</v>
      </c>
      <c r="D1807" s="23" t="s">
        <v>48</v>
      </c>
      <c r="E1807" s="23" t="s">
        <v>216</v>
      </c>
      <c r="F1807" s="23" t="s">
        <v>2596</v>
      </c>
      <c r="G1807" s="23" t="s">
        <v>2579</v>
      </c>
      <c r="H1807" s="23" t="s">
        <v>134</v>
      </c>
      <c r="I1807" s="23" t="s">
        <v>27</v>
      </c>
      <c r="J1807" s="23" t="s">
        <v>211</v>
      </c>
      <c r="K1807" s="23" t="s">
        <v>60</v>
      </c>
      <c r="L1807" s="23" t="s">
        <v>2677</v>
      </c>
      <c r="M1807" s="23" t="s">
        <v>61</v>
      </c>
      <c r="N1807" s="23" t="s">
        <v>84</v>
      </c>
      <c r="O1807" s="23">
        <v>4</v>
      </c>
      <c r="P1807" s="23">
        <v>112.09</v>
      </c>
      <c r="Q1807" s="23">
        <v>69.709999999999994</v>
      </c>
      <c r="R1807" s="23">
        <v>448.35</v>
      </c>
      <c r="S1807" s="23">
        <v>0.1</v>
      </c>
      <c r="T1807" s="23">
        <v>44.84</v>
      </c>
      <c r="U1807" s="23">
        <v>403.52</v>
      </c>
      <c r="V1807" s="23">
        <v>278.83999999999997</v>
      </c>
      <c r="W1807" s="23">
        <v>124.68</v>
      </c>
      <c r="X1807" s="23" t="s">
        <v>45</v>
      </c>
    </row>
    <row r="1808" spans="1:24" x14ac:dyDescent="0.25">
      <c r="A1808" s="20" t="s">
        <v>2331</v>
      </c>
      <c r="B1808" s="19">
        <v>45515</v>
      </c>
      <c r="C1808" s="20" t="s">
        <v>77</v>
      </c>
      <c r="D1808" s="20" t="s">
        <v>22</v>
      </c>
      <c r="E1808" s="20" t="s">
        <v>187</v>
      </c>
      <c r="F1808" s="20" t="s">
        <v>2594</v>
      </c>
      <c r="G1808" s="20" t="s">
        <v>2577</v>
      </c>
      <c r="H1808" s="20" t="s">
        <v>26</v>
      </c>
      <c r="I1808" s="20" t="s">
        <v>53</v>
      </c>
      <c r="J1808" s="20" t="s">
        <v>122</v>
      </c>
      <c r="K1808" s="20" t="s">
        <v>42</v>
      </c>
      <c r="L1808" s="20" t="s">
        <v>2680</v>
      </c>
      <c r="M1808" s="20" t="s">
        <v>43</v>
      </c>
      <c r="N1808" s="20" t="s">
        <v>44</v>
      </c>
      <c r="O1808" s="20">
        <v>20</v>
      </c>
      <c r="P1808" s="20">
        <v>46.4</v>
      </c>
      <c r="Q1808" s="20">
        <v>27.64</v>
      </c>
      <c r="R1808" s="20">
        <v>927.97</v>
      </c>
      <c r="S1808" s="20">
        <v>0</v>
      </c>
      <c r="T1808" s="20">
        <v>0</v>
      </c>
      <c r="U1808" s="20">
        <v>927.97</v>
      </c>
      <c r="V1808" s="20">
        <v>552.86</v>
      </c>
      <c r="W1808" s="20">
        <v>375.11</v>
      </c>
      <c r="X1808" s="20" t="s">
        <v>45</v>
      </c>
    </row>
    <row r="1809" spans="1:24" x14ac:dyDescent="0.25">
      <c r="A1809" s="23" t="s">
        <v>2332</v>
      </c>
      <c r="B1809" s="22">
        <v>45430</v>
      </c>
      <c r="C1809" s="23" t="s">
        <v>1131</v>
      </c>
      <c r="D1809" s="23" t="s">
        <v>259</v>
      </c>
      <c r="E1809" s="23" t="s">
        <v>165</v>
      </c>
      <c r="F1809" s="23" t="s">
        <v>2592</v>
      </c>
      <c r="G1809" s="23" t="s">
        <v>2586</v>
      </c>
      <c r="H1809" s="23" t="s">
        <v>167</v>
      </c>
      <c r="I1809" s="23" t="s">
        <v>88</v>
      </c>
      <c r="J1809" s="23" t="s">
        <v>173</v>
      </c>
      <c r="K1809" s="23" t="s">
        <v>2619</v>
      </c>
      <c r="L1809" s="23" t="s">
        <v>2619</v>
      </c>
      <c r="M1809" s="23" t="s">
        <v>43</v>
      </c>
      <c r="N1809" s="23" t="s">
        <v>84</v>
      </c>
      <c r="O1809" s="23">
        <v>19</v>
      </c>
      <c r="P1809" s="23">
        <v>44.5</v>
      </c>
      <c r="Q1809" s="23">
        <v>23.45</v>
      </c>
      <c r="R1809" s="23">
        <v>845.59</v>
      </c>
      <c r="S1809" s="23">
        <v>0.2</v>
      </c>
      <c r="T1809" s="23">
        <v>169.12</v>
      </c>
      <c r="U1809" s="23">
        <v>676.47</v>
      </c>
      <c r="V1809" s="23">
        <v>445.56</v>
      </c>
      <c r="W1809" s="23">
        <v>230.92</v>
      </c>
      <c r="X1809" s="23" t="s">
        <v>45</v>
      </c>
    </row>
    <row r="1810" spans="1:24" x14ac:dyDescent="0.25">
      <c r="A1810" s="20" t="s">
        <v>2333</v>
      </c>
      <c r="B1810" s="19">
        <v>45383</v>
      </c>
      <c r="C1810" s="20" t="s">
        <v>312</v>
      </c>
      <c r="D1810" s="20" t="s">
        <v>57</v>
      </c>
      <c r="E1810" s="20" t="s">
        <v>23</v>
      </c>
      <c r="F1810" s="20" t="s">
        <v>2576</v>
      </c>
      <c r="G1810" s="20" t="s">
        <v>2577</v>
      </c>
      <c r="H1810" s="20" t="s">
        <v>26</v>
      </c>
      <c r="I1810" s="20" t="s">
        <v>27</v>
      </c>
      <c r="J1810" s="20" t="s">
        <v>106</v>
      </c>
      <c r="K1810" s="20" t="s">
        <v>170</v>
      </c>
      <c r="L1810" s="20" t="s">
        <v>2671</v>
      </c>
      <c r="M1810" s="20" t="s">
        <v>30</v>
      </c>
      <c r="N1810" s="20" t="s">
        <v>84</v>
      </c>
      <c r="O1810" s="20">
        <v>38</v>
      </c>
      <c r="P1810" s="20">
        <v>72.540000000000006</v>
      </c>
      <c r="Q1810" s="20">
        <v>40.58</v>
      </c>
      <c r="R1810" s="20">
        <v>2756.35</v>
      </c>
      <c r="S1810" s="20">
        <v>0.05</v>
      </c>
      <c r="T1810" s="20">
        <v>137.82</v>
      </c>
      <c r="U1810" s="20">
        <v>2618.5300000000002</v>
      </c>
      <c r="V1810" s="20">
        <v>1542.07</v>
      </c>
      <c r="W1810" s="20">
        <v>1076.46</v>
      </c>
      <c r="X1810" s="20" t="s">
        <v>45</v>
      </c>
    </row>
    <row r="1811" spans="1:24" x14ac:dyDescent="0.25">
      <c r="A1811" s="23" t="s">
        <v>2334</v>
      </c>
      <c r="B1811" s="22">
        <v>45545</v>
      </c>
      <c r="C1811" s="23" t="s">
        <v>1036</v>
      </c>
      <c r="D1811" s="23" t="s">
        <v>22</v>
      </c>
      <c r="E1811" s="23" t="s">
        <v>187</v>
      </c>
      <c r="F1811" s="23" t="s">
        <v>2594</v>
      </c>
      <c r="G1811" s="23" t="s">
        <v>2577</v>
      </c>
      <c r="H1811" s="23" t="s">
        <v>26</v>
      </c>
      <c r="I1811" s="23" t="s">
        <v>58</v>
      </c>
      <c r="J1811" s="23" t="s">
        <v>345</v>
      </c>
      <c r="K1811" s="23" t="s">
        <v>218</v>
      </c>
      <c r="L1811" s="23" t="s">
        <v>2692</v>
      </c>
      <c r="M1811" s="23" t="s">
        <v>30</v>
      </c>
      <c r="N1811" s="23" t="s">
        <v>75</v>
      </c>
      <c r="O1811" s="23">
        <v>57</v>
      </c>
      <c r="P1811" s="23">
        <v>51.69</v>
      </c>
      <c r="Q1811" s="23">
        <v>29.69</v>
      </c>
      <c r="R1811" s="23">
        <v>2946.61</v>
      </c>
      <c r="S1811" s="23">
        <v>0.1</v>
      </c>
      <c r="T1811" s="23">
        <v>294.66000000000003</v>
      </c>
      <c r="U1811" s="23">
        <v>2651.95</v>
      </c>
      <c r="V1811" s="23">
        <v>1692.54</v>
      </c>
      <c r="W1811" s="23">
        <v>959.41</v>
      </c>
      <c r="X1811" s="23" t="s">
        <v>45</v>
      </c>
    </row>
    <row r="1812" spans="1:24" x14ac:dyDescent="0.25">
      <c r="A1812" s="20" t="s">
        <v>2335</v>
      </c>
      <c r="B1812" s="19">
        <v>45437</v>
      </c>
      <c r="C1812" s="20" t="s">
        <v>866</v>
      </c>
      <c r="D1812" s="20" t="s">
        <v>156</v>
      </c>
      <c r="E1812" s="20" t="s">
        <v>141</v>
      </c>
      <c r="F1812" s="20" t="s">
        <v>2590</v>
      </c>
      <c r="G1812" s="20" t="s">
        <v>2577</v>
      </c>
      <c r="H1812" s="20" t="s">
        <v>26</v>
      </c>
      <c r="I1812" s="20" t="s">
        <v>27</v>
      </c>
      <c r="J1812" s="20" t="s">
        <v>106</v>
      </c>
      <c r="K1812" s="20" t="s">
        <v>261</v>
      </c>
      <c r="L1812" s="20" t="s">
        <v>2695</v>
      </c>
      <c r="M1812" s="20" t="s">
        <v>30</v>
      </c>
      <c r="N1812" s="20" t="s">
        <v>2578</v>
      </c>
      <c r="O1812" s="20">
        <v>22</v>
      </c>
      <c r="P1812" s="20">
        <v>89.27</v>
      </c>
      <c r="Q1812" s="20">
        <v>58.54</v>
      </c>
      <c r="R1812" s="20">
        <v>1963.93</v>
      </c>
      <c r="S1812" s="20">
        <v>0</v>
      </c>
      <c r="T1812" s="20">
        <v>0</v>
      </c>
      <c r="U1812" s="20">
        <v>1963.93</v>
      </c>
      <c r="V1812" s="20">
        <v>1287.97</v>
      </c>
      <c r="W1812" s="20">
        <v>675.96</v>
      </c>
      <c r="X1812" s="20" t="s">
        <v>45</v>
      </c>
    </row>
    <row r="1813" spans="1:24" x14ac:dyDescent="0.25">
      <c r="A1813" s="23" t="s">
        <v>2336</v>
      </c>
      <c r="B1813" s="22">
        <v>45362</v>
      </c>
      <c r="C1813" s="23" t="s">
        <v>596</v>
      </c>
      <c r="D1813" s="23" t="s">
        <v>597</v>
      </c>
      <c r="E1813" s="23" t="s">
        <v>126</v>
      </c>
      <c r="F1813" s="23" t="s">
        <v>2589</v>
      </c>
      <c r="G1813" s="23" t="s">
        <v>2586</v>
      </c>
      <c r="H1813" s="23" t="s">
        <v>128</v>
      </c>
      <c r="I1813" s="23" t="s">
        <v>58</v>
      </c>
      <c r="J1813" s="23" t="s">
        <v>323</v>
      </c>
      <c r="K1813" s="23" t="s">
        <v>195</v>
      </c>
      <c r="L1813" s="23" t="s">
        <v>2691</v>
      </c>
      <c r="M1813" s="23" t="s">
        <v>61</v>
      </c>
      <c r="N1813" s="23" t="s">
        <v>84</v>
      </c>
      <c r="O1813" s="23">
        <v>34</v>
      </c>
      <c r="P1813" s="23">
        <v>95.33</v>
      </c>
      <c r="Q1813" s="23">
        <v>48.94</v>
      </c>
      <c r="R1813" s="23">
        <v>3241.2</v>
      </c>
      <c r="S1813" s="23">
        <v>0.05</v>
      </c>
      <c r="T1813" s="23">
        <v>162.06</v>
      </c>
      <c r="U1813" s="23">
        <v>3079.14</v>
      </c>
      <c r="V1813" s="23">
        <v>1663.97</v>
      </c>
      <c r="W1813" s="23">
        <v>1415.17</v>
      </c>
      <c r="X1813" s="23" t="s">
        <v>45</v>
      </c>
    </row>
    <row r="1814" spans="1:24" x14ac:dyDescent="0.25">
      <c r="A1814" s="20" t="s">
        <v>2337</v>
      </c>
      <c r="B1814" s="19">
        <v>45626</v>
      </c>
      <c r="C1814" s="20" t="s">
        <v>1831</v>
      </c>
      <c r="D1814" s="20" t="s">
        <v>256</v>
      </c>
      <c r="E1814" s="20" t="s">
        <v>78</v>
      </c>
      <c r="F1814" s="20" t="s">
        <v>2583</v>
      </c>
      <c r="G1814" s="20" t="s">
        <v>2584</v>
      </c>
      <c r="H1814" s="20" t="s">
        <v>81</v>
      </c>
      <c r="I1814" s="20" t="s">
        <v>88</v>
      </c>
      <c r="J1814" s="20" t="s">
        <v>2112</v>
      </c>
      <c r="K1814" s="20" t="s">
        <v>253</v>
      </c>
      <c r="L1814" s="20" t="s">
        <v>2694</v>
      </c>
      <c r="M1814" s="20" t="s">
        <v>61</v>
      </c>
      <c r="N1814" s="20" t="s">
        <v>2578</v>
      </c>
      <c r="O1814" s="20">
        <v>29</v>
      </c>
      <c r="P1814" s="20">
        <v>130.66999999999999</v>
      </c>
      <c r="Q1814" s="20">
        <v>87.02</v>
      </c>
      <c r="R1814" s="20">
        <v>3789.42</v>
      </c>
      <c r="S1814" s="20">
        <v>0.05</v>
      </c>
      <c r="T1814" s="20">
        <v>189.47</v>
      </c>
      <c r="U1814" s="20">
        <v>3599.95</v>
      </c>
      <c r="V1814" s="20">
        <v>2523.5</v>
      </c>
      <c r="W1814" s="20">
        <v>1076.45</v>
      </c>
      <c r="X1814" s="20" t="s">
        <v>45</v>
      </c>
    </row>
    <row r="1815" spans="1:24" x14ac:dyDescent="0.25">
      <c r="A1815" s="23" t="s">
        <v>2338</v>
      </c>
      <c r="B1815" s="22">
        <v>45312</v>
      </c>
      <c r="C1815" s="23" t="s">
        <v>186</v>
      </c>
      <c r="D1815" s="23" t="s">
        <v>156</v>
      </c>
      <c r="E1815" s="23" t="s">
        <v>36</v>
      </c>
      <c r="F1815" s="23" t="s">
        <v>37</v>
      </c>
      <c r="G1815" s="23" t="s">
        <v>2579</v>
      </c>
      <c r="H1815" s="23" t="s">
        <v>39</v>
      </c>
      <c r="I1815" s="23" t="s">
        <v>53</v>
      </c>
      <c r="J1815" s="23" t="s">
        <v>143</v>
      </c>
      <c r="K1815" s="23" t="s">
        <v>83</v>
      </c>
      <c r="L1815" s="23" t="s">
        <v>2683</v>
      </c>
      <c r="M1815" s="23" t="s">
        <v>30</v>
      </c>
      <c r="N1815" s="23" t="s">
        <v>2578</v>
      </c>
      <c r="O1815" s="23">
        <v>32</v>
      </c>
      <c r="P1815" s="23">
        <v>172.56</v>
      </c>
      <c r="Q1815" s="23">
        <v>92.5</v>
      </c>
      <c r="R1815" s="23">
        <v>5521.9</v>
      </c>
      <c r="S1815" s="23">
        <v>0.15</v>
      </c>
      <c r="T1815" s="23">
        <v>828.29</v>
      </c>
      <c r="U1815" s="23">
        <v>4693.62</v>
      </c>
      <c r="V1815" s="23">
        <v>2959.88</v>
      </c>
      <c r="W1815" s="23">
        <v>1733.74</v>
      </c>
      <c r="X1815" s="23" t="s">
        <v>129</v>
      </c>
    </row>
    <row r="1816" spans="1:24" x14ac:dyDescent="0.25">
      <c r="A1816" s="20" t="s">
        <v>2339</v>
      </c>
      <c r="B1816" s="19">
        <v>45443</v>
      </c>
      <c r="C1816" s="20" t="s">
        <v>335</v>
      </c>
      <c r="D1816" s="20" t="s">
        <v>156</v>
      </c>
      <c r="E1816" s="20" t="s">
        <v>78</v>
      </c>
      <c r="F1816" s="20" t="s">
        <v>2583</v>
      </c>
      <c r="G1816" s="20" t="s">
        <v>2584</v>
      </c>
      <c r="H1816" s="20" t="s">
        <v>81</v>
      </c>
      <c r="I1816" s="20" t="s">
        <v>40</v>
      </c>
      <c r="J1816" s="20" t="s">
        <v>82</v>
      </c>
      <c r="K1816" s="20" t="s">
        <v>218</v>
      </c>
      <c r="L1816" s="20" t="s">
        <v>2692</v>
      </c>
      <c r="M1816" s="20" t="s">
        <v>30</v>
      </c>
      <c r="N1816" s="20" t="s">
        <v>2578</v>
      </c>
      <c r="O1816" s="20">
        <v>13</v>
      </c>
      <c r="P1816" s="20">
        <v>144.61000000000001</v>
      </c>
      <c r="Q1816" s="20">
        <v>84.47</v>
      </c>
      <c r="R1816" s="20">
        <v>1879.87</v>
      </c>
      <c r="S1816" s="20">
        <v>0.02</v>
      </c>
      <c r="T1816" s="20">
        <v>37.6</v>
      </c>
      <c r="U1816" s="20">
        <v>1842.27</v>
      </c>
      <c r="V1816" s="20">
        <v>1098.1300000000001</v>
      </c>
      <c r="W1816" s="20">
        <v>744.13</v>
      </c>
      <c r="X1816" s="20" t="s">
        <v>45</v>
      </c>
    </row>
    <row r="1817" spans="1:24" x14ac:dyDescent="0.25">
      <c r="A1817" s="23" t="s">
        <v>2340</v>
      </c>
      <c r="B1817" s="22">
        <v>45388</v>
      </c>
      <c r="C1817" s="23" t="s">
        <v>208</v>
      </c>
      <c r="D1817" s="23" t="s">
        <v>35</v>
      </c>
      <c r="E1817" s="23" t="s">
        <v>36</v>
      </c>
      <c r="F1817" s="23" t="s">
        <v>37</v>
      </c>
      <c r="G1817" s="23" t="s">
        <v>2579</v>
      </c>
      <c r="H1817" s="23" t="s">
        <v>39</v>
      </c>
      <c r="I1817" s="23" t="s">
        <v>88</v>
      </c>
      <c r="J1817" s="23" t="s">
        <v>135</v>
      </c>
      <c r="K1817" s="23" t="s">
        <v>178</v>
      </c>
      <c r="L1817" s="23" t="s">
        <v>2689</v>
      </c>
      <c r="M1817" s="23" t="s">
        <v>153</v>
      </c>
      <c r="N1817" s="23" t="s">
        <v>75</v>
      </c>
      <c r="O1817" s="23">
        <v>68</v>
      </c>
      <c r="P1817" s="23">
        <v>170.18</v>
      </c>
      <c r="Q1817" s="23">
        <v>97.14</v>
      </c>
      <c r="R1817" s="23">
        <v>11572.14</v>
      </c>
      <c r="S1817" s="23">
        <v>0.2</v>
      </c>
      <c r="T1817" s="23">
        <v>2314.4299999999998</v>
      </c>
      <c r="U1817" s="23">
        <v>9257.7099999999991</v>
      </c>
      <c r="V1817" s="23">
        <v>6605.76</v>
      </c>
      <c r="W1817" s="23">
        <v>2651.95</v>
      </c>
      <c r="X1817" s="23" t="s">
        <v>45</v>
      </c>
    </row>
    <row r="1818" spans="1:24" x14ac:dyDescent="0.25">
      <c r="A1818" s="20" t="s">
        <v>2341</v>
      </c>
      <c r="B1818" s="19">
        <v>45465</v>
      </c>
      <c r="C1818" s="20" t="s">
        <v>350</v>
      </c>
      <c r="D1818" s="20" t="s">
        <v>22</v>
      </c>
      <c r="E1818" s="20" t="s">
        <v>187</v>
      </c>
      <c r="F1818" s="20" t="s">
        <v>2594</v>
      </c>
      <c r="G1818" s="20" t="s">
        <v>2577</v>
      </c>
      <c r="H1818" s="20" t="s">
        <v>26</v>
      </c>
      <c r="I1818" s="20" t="s">
        <v>88</v>
      </c>
      <c r="J1818" s="20" t="s">
        <v>135</v>
      </c>
      <c r="K1818" s="20" t="s">
        <v>83</v>
      </c>
      <c r="L1818" s="20" t="s">
        <v>2683</v>
      </c>
      <c r="M1818" s="20" t="s">
        <v>30</v>
      </c>
      <c r="N1818" s="20" t="s">
        <v>75</v>
      </c>
      <c r="O1818" s="20">
        <v>60</v>
      </c>
      <c r="P1818" s="20">
        <v>48.92</v>
      </c>
      <c r="Q1818" s="20">
        <v>28.83</v>
      </c>
      <c r="R1818" s="20">
        <v>2935.06</v>
      </c>
      <c r="S1818" s="20">
        <v>0.02</v>
      </c>
      <c r="T1818" s="20">
        <v>58.7</v>
      </c>
      <c r="U1818" s="20">
        <v>2876.36</v>
      </c>
      <c r="V1818" s="20">
        <v>1729.84</v>
      </c>
      <c r="W1818" s="20">
        <v>1146.52</v>
      </c>
      <c r="X1818" s="20" t="s">
        <v>45</v>
      </c>
    </row>
    <row r="1819" spans="1:24" x14ac:dyDescent="0.25">
      <c r="A1819" s="23" t="s">
        <v>2342</v>
      </c>
      <c r="B1819" s="22">
        <v>45606</v>
      </c>
      <c r="C1819" s="23" t="s">
        <v>1068</v>
      </c>
      <c r="D1819" s="23" t="s">
        <v>105</v>
      </c>
      <c r="E1819" s="23" t="s">
        <v>141</v>
      </c>
      <c r="F1819" s="23" t="s">
        <v>2590</v>
      </c>
      <c r="G1819" s="23" t="s">
        <v>2577</v>
      </c>
      <c r="H1819" s="23" t="s">
        <v>26</v>
      </c>
      <c r="I1819" s="23" t="s">
        <v>27</v>
      </c>
      <c r="J1819" s="23" t="s">
        <v>211</v>
      </c>
      <c r="K1819" s="23" t="s">
        <v>184</v>
      </c>
      <c r="L1819" s="23" t="s">
        <v>2690</v>
      </c>
      <c r="M1819" s="23" t="s">
        <v>43</v>
      </c>
      <c r="N1819" s="23" t="s">
        <v>44</v>
      </c>
      <c r="O1819" s="23">
        <v>76</v>
      </c>
      <c r="P1819" s="23">
        <v>91.9</v>
      </c>
      <c r="Q1819" s="23">
        <v>62.07</v>
      </c>
      <c r="R1819" s="23">
        <v>6984.75</v>
      </c>
      <c r="S1819" s="23">
        <v>0.05</v>
      </c>
      <c r="T1819" s="23">
        <v>349.24</v>
      </c>
      <c r="U1819" s="23">
        <v>6635.51</v>
      </c>
      <c r="V1819" s="23">
        <v>4717.1400000000003</v>
      </c>
      <c r="W1819" s="23">
        <v>1918.38</v>
      </c>
      <c r="X1819" s="23" t="s">
        <v>32</v>
      </c>
    </row>
    <row r="1820" spans="1:24" x14ac:dyDescent="0.25">
      <c r="A1820" s="20" t="s">
        <v>2343</v>
      </c>
      <c r="B1820" s="19">
        <v>45403</v>
      </c>
      <c r="C1820" s="20" t="s">
        <v>933</v>
      </c>
      <c r="D1820" s="20" t="s">
        <v>159</v>
      </c>
      <c r="E1820" s="20" t="s">
        <v>49</v>
      </c>
      <c r="F1820" s="20" t="s">
        <v>2580</v>
      </c>
      <c r="G1820" s="20" t="s">
        <v>2581</v>
      </c>
      <c r="H1820" s="20" t="s">
        <v>52</v>
      </c>
      <c r="I1820" s="20" t="s">
        <v>27</v>
      </c>
      <c r="J1820" s="20" t="s">
        <v>28</v>
      </c>
      <c r="K1820" s="20" t="s">
        <v>178</v>
      </c>
      <c r="L1820" s="20" t="s">
        <v>2689</v>
      </c>
      <c r="M1820" s="20" t="s">
        <v>30</v>
      </c>
      <c r="N1820" s="20" t="s">
        <v>75</v>
      </c>
      <c r="O1820" s="20">
        <v>44</v>
      </c>
      <c r="P1820" s="20">
        <v>26.47</v>
      </c>
      <c r="Q1820" s="20">
        <v>12.55</v>
      </c>
      <c r="R1820" s="20">
        <v>1164.55</v>
      </c>
      <c r="S1820" s="20">
        <v>0.15</v>
      </c>
      <c r="T1820" s="20">
        <v>174.68</v>
      </c>
      <c r="U1820" s="20">
        <v>989.87</v>
      </c>
      <c r="V1820" s="20">
        <v>552.09</v>
      </c>
      <c r="W1820" s="20">
        <v>437.78</v>
      </c>
      <c r="X1820" s="20" t="s">
        <v>45</v>
      </c>
    </row>
    <row r="1821" spans="1:24" x14ac:dyDescent="0.25">
      <c r="A1821" s="23" t="s">
        <v>2344</v>
      </c>
      <c r="B1821" s="22">
        <v>45520</v>
      </c>
      <c r="C1821" s="23" t="s">
        <v>1493</v>
      </c>
      <c r="D1821" s="23" t="s">
        <v>159</v>
      </c>
      <c r="E1821" s="23" t="s">
        <v>141</v>
      </c>
      <c r="F1821" s="23" t="s">
        <v>2590</v>
      </c>
      <c r="G1821" s="23" t="s">
        <v>2577</v>
      </c>
      <c r="H1821" s="23" t="s">
        <v>26</v>
      </c>
      <c r="I1821" s="23" t="s">
        <v>40</v>
      </c>
      <c r="J1821" s="23" t="s">
        <v>82</v>
      </c>
      <c r="K1821" s="23" t="s">
        <v>218</v>
      </c>
      <c r="L1821" s="23" t="s">
        <v>2692</v>
      </c>
      <c r="M1821" s="23" t="s">
        <v>30</v>
      </c>
      <c r="N1821" s="23" t="s">
        <v>2578</v>
      </c>
      <c r="O1821" s="23">
        <v>11</v>
      </c>
      <c r="P1821" s="23">
        <v>96.01</v>
      </c>
      <c r="Q1821" s="23">
        <v>57.78</v>
      </c>
      <c r="R1821" s="23">
        <v>1056.0999999999999</v>
      </c>
      <c r="S1821" s="23">
        <v>0.1</v>
      </c>
      <c r="T1821" s="23">
        <v>105.61</v>
      </c>
      <c r="U1821" s="23">
        <v>950.49</v>
      </c>
      <c r="V1821" s="23">
        <v>635.55999999999995</v>
      </c>
      <c r="W1821" s="23">
        <v>314.94</v>
      </c>
      <c r="X1821" s="23" t="s">
        <v>45</v>
      </c>
    </row>
    <row r="1822" spans="1:24" x14ac:dyDescent="0.25">
      <c r="A1822" s="20" t="s">
        <v>2345</v>
      </c>
      <c r="B1822" s="19">
        <v>45349</v>
      </c>
      <c r="C1822" s="20" t="s">
        <v>278</v>
      </c>
      <c r="D1822" s="20" t="s">
        <v>48</v>
      </c>
      <c r="E1822" s="20" t="s">
        <v>132</v>
      </c>
      <c r="F1822" s="20" t="s">
        <v>133</v>
      </c>
      <c r="G1822" s="20" t="s">
        <v>2581</v>
      </c>
      <c r="H1822" s="20" t="s">
        <v>134</v>
      </c>
      <c r="I1822" s="20" t="s">
        <v>27</v>
      </c>
      <c r="J1822" s="20" t="s">
        <v>189</v>
      </c>
      <c r="K1822" s="20" t="s">
        <v>144</v>
      </c>
      <c r="L1822" s="20" t="s">
        <v>2687</v>
      </c>
      <c r="M1822" s="20" t="s">
        <v>43</v>
      </c>
      <c r="N1822" s="20" t="s">
        <v>75</v>
      </c>
      <c r="O1822" s="20">
        <v>62</v>
      </c>
      <c r="P1822" s="20">
        <v>63.38</v>
      </c>
      <c r="Q1822" s="20">
        <v>36.380000000000003</v>
      </c>
      <c r="R1822" s="20">
        <v>3929.84</v>
      </c>
      <c r="S1822" s="20">
        <f>ROUND(Cleaned_Sales!$T1822/Cleaned_Sales!$R1822,2)</f>
        <v>0.15</v>
      </c>
      <c r="T1822" s="20">
        <v>589.48</v>
      </c>
      <c r="U1822" s="20">
        <v>3340.36</v>
      </c>
      <c r="V1822" s="20">
        <v>2255.7199999999998</v>
      </c>
      <c r="W1822" s="20">
        <v>1084.6400000000001</v>
      </c>
      <c r="X1822" s="20" t="s">
        <v>32</v>
      </c>
    </row>
    <row r="1823" spans="1:24" x14ac:dyDescent="0.25">
      <c r="A1823" s="23" t="s">
        <v>2346</v>
      </c>
      <c r="B1823" s="22">
        <v>45646</v>
      </c>
      <c r="C1823" s="23" t="s">
        <v>86</v>
      </c>
      <c r="D1823" s="23" t="s">
        <v>87</v>
      </c>
      <c r="E1823" s="23" t="s">
        <v>165</v>
      </c>
      <c r="F1823" s="23" t="s">
        <v>2592</v>
      </c>
      <c r="G1823" s="23" t="s">
        <v>2586</v>
      </c>
      <c r="H1823" s="23" t="s">
        <v>167</v>
      </c>
      <c r="I1823" s="23" t="s">
        <v>40</v>
      </c>
      <c r="J1823" s="23" t="s">
        <v>117</v>
      </c>
      <c r="K1823" s="23" t="s">
        <v>178</v>
      </c>
      <c r="L1823" s="23" t="s">
        <v>2689</v>
      </c>
      <c r="M1823" s="23" t="s">
        <v>30</v>
      </c>
      <c r="N1823" s="23" t="s">
        <v>75</v>
      </c>
      <c r="O1823" s="23">
        <v>60</v>
      </c>
      <c r="P1823" s="23">
        <v>44.36</v>
      </c>
      <c r="Q1823" s="23">
        <v>25.24</v>
      </c>
      <c r="R1823" s="23">
        <v>2661.37</v>
      </c>
      <c r="S1823" s="23">
        <v>0.1</v>
      </c>
      <c r="T1823" s="23">
        <v>266.14</v>
      </c>
      <c r="U1823" s="23">
        <v>2395.23</v>
      </c>
      <c r="V1823" s="23">
        <v>1514.69</v>
      </c>
      <c r="W1823" s="23">
        <v>880.54</v>
      </c>
      <c r="X1823" s="23" t="s">
        <v>45</v>
      </c>
    </row>
    <row r="1824" spans="1:24" x14ac:dyDescent="0.25">
      <c r="A1824" s="20" t="s">
        <v>2347</v>
      </c>
      <c r="B1824" s="19">
        <v>45461</v>
      </c>
      <c r="C1824" s="20" t="s">
        <v>199</v>
      </c>
      <c r="D1824" s="20" t="s">
        <v>105</v>
      </c>
      <c r="E1824" s="20" t="s">
        <v>99</v>
      </c>
      <c r="F1824" s="20" t="s">
        <v>100</v>
      </c>
      <c r="G1824" s="20" t="s">
        <v>2587</v>
      </c>
      <c r="H1824" s="20" t="s">
        <v>102</v>
      </c>
      <c r="I1824" s="20" t="s">
        <v>40</v>
      </c>
      <c r="J1824" s="20" t="s">
        <v>289</v>
      </c>
      <c r="K1824" s="20" t="s">
        <v>111</v>
      </c>
      <c r="L1824" s="20" t="s">
        <v>2685</v>
      </c>
      <c r="M1824" s="20" t="s">
        <v>61</v>
      </c>
      <c r="N1824" s="20" t="s">
        <v>75</v>
      </c>
      <c r="O1824" s="20">
        <v>12</v>
      </c>
      <c r="P1824" s="20">
        <v>65.37</v>
      </c>
      <c r="Q1824" s="20">
        <v>40.4</v>
      </c>
      <c r="R1824" s="20">
        <v>784.49</v>
      </c>
      <c r="S1824" s="20">
        <v>0</v>
      </c>
      <c r="T1824" s="20">
        <v>0</v>
      </c>
      <c r="U1824" s="20">
        <v>784.49</v>
      </c>
      <c r="V1824" s="20">
        <v>484.79</v>
      </c>
      <c r="W1824" s="20">
        <v>299.7</v>
      </c>
      <c r="X1824" s="20" t="s">
        <v>129</v>
      </c>
    </row>
    <row r="1825" spans="1:24" x14ac:dyDescent="0.25">
      <c r="A1825" s="23" t="s">
        <v>2348</v>
      </c>
      <c r="B1825" s="22">
        <v>45393</v>
      </c>
      <c r="C1825" s="23" t="s">
        <v>337</v>
      </c>
      <c r="D1825" s="23" t="s">
        <v>87</v>
      </c>
      <c r="E1825" s="23" t="s">
        <v>141</v>
      </c>
      <c r="F1825" s="23" t="s">
        <v>2590</v>
      </c>
      <c r="G1825" s="23" t="s">
        <v>2577</v>
      </c>
      <c r="H1825" s="23" t="s">
        <v>26</v>
      </c>
      <c r="I1825" s="23" t="s">
        <v>40</v>
      </c>
      <c r="J1825" s="23" t="s">
        <v>289</v>
      </c>
      <c r="K1825" s="23" t="s">
        <v>111</v>
      </c>
      <c r="L1825" s="23" t="s">
        <v>2685</v>
      </c>
      <c r="M1825" s="23" t="s">
        <v>43</v>
      </c>
      <c r="N1825" s="23" t="s">
        <v>2578</v>
      </c>
      <c r="O1825" s="23">
        <v>66</v>
      </c>
      <c r="P1825" s="23">
        <v>87.53</v>
      </c>
      <c r="Q1825" s="23">
        <v>62.62</v>
      </c>
      <c r="R1825" s="23">
        <v>5777.29</v>
      </c>
      <c r="S1825" s="23">
        <v>0.15</v>
      </c>
      <c r="T1825" s="23">
        <v>866.59</v>
      </c>
      <c r="U1825" s="23">
        <v>4910.7</v>
      </c>
      <c r="V1825" s="23">
        <v>4132.91</v>
      </c>
      <c r="W1825" s="23">
        <v>777.79</v>
      </c>
      <c r="X1825" s="23" t="s">
        <v>45</v>
      </c>
    </row>
    <row r="1826" spans="1:24" x14ac:dyDescent="0.25">
      <c r="A1826" s="20" t="s">
        <v>2349</v>
      </c>
      <c r="B1826" s="19">
        <v>45439</v>
      </c>
      <c r="C1826" s="20" t="s">
        <v>430</v>
      </c>
      <c r="D1826" s="20" t="s">
        <v>156</v>
      </c>
      <c r="E1826" s="20" t="s">
        <v>216</v>
      </c>
      <c r="F1826" s="20" t="s">
        <v>2596</v>
      </c>
      <c r="G1826" s="20" t="s">
        <v>2579</v>
      </c>
      <c r="H1826" s="20" t="s">
        <v>134</v>
      </c>
      <c r="I1826" s="20" t="s">
        <v>88</v>
      </c>
      <c r="J1826" s="20" t="s">
        <v>183</v>
      </c>
      <c r="K1826" s="20" t="s">
        <v>111</v>
      </c>
      <c r="L1826" s="20" t="s">
        <v>2685</v>
      </c>
      <c r="M1826" s="20" t="s">
        <v>61</v>
      </c>
      <c r="N1826" s="20" t="s">
        <v>44</v>
      </c>
      <c r="O1826" s="20">
        <v>64</v>
      </c>
      <c r="P1826" s="20">
        <v>106.91</v>
      </c>
      <c r="Q1826" s="20">
        <v>65.569999999999993</v>
      </c>
      <c r="R1826" s="20">
        <v>6842.41</v>
      </c>
      <c r="S1826" s="20">
        <v>0.1</v>
      </c>
      <c r="T1826" s="20">
        <v>684.24</v>
      </c>
      <c r="U1826" s="20">
        <v>6158.17</v>
      </c>
      <c r="V1826" s="20">
        <v>4196.38</v>
      </c>
      <c r="W1826" s="20">
        <v>1961.79</v>
      </c>
      <c r="X1826" s="20" t="s">
        <v>45</v>
      </c>
    </row>
    <row r="1827" spans="1:24" x14ac:dyDescent="0.25">
      <c r="A1827" s="23" t="s">
        <v>2350</v>
      </c>
      <c r="B1827" s="22">
        <v>45476</v>
      </c>
      <c r="C1827" s="23" t="s">
        <v>559</v>
      </c>
      <c r="D1827" s="23" t="s">
        <v>221</v>
      </c>
      <c r="E1827" s="23" t="s">
        <v>66</v>
      </c>
      <c r="F1827" s="23" t="s">
        <v>2582</v>
      </c>
      <c r="G1827" s="23" t="s">
        <v>2579</v>
      </c>
      <c r="H1827" s="23" t="s">
        <v>68</v>
      </c>
      <c r="I1827" s="23" t="s">
        <v>27</v>
      </c>
      <c r="J1827" s="23" t="s">
        <v>189</v>
      </c>
      <c r="K1827" s="23" t="s">
        <v>83</v>
      </c>
      <c r="L1827" s="23" t="s">
        <v>2683</v>
      </c>
      <c r="M1827" s="23" t="s">
        <v>61</v>
      </c>
      <c r="N1827" s="23" t="s">
        <v>84</v>
      </c>
      <c r="O1827" s="23">
        <v>5</v>
      </c>
      <c r="P1827" s="23">
        <v>160.24</v>
      </c>
      <c r="Q1827" s="23">
        <v>112.27</v>
      </c>
      <c r="R1827" s="23">
        <v>801.21</v>
      </c>
      <c r="S1827" s="23">
        <v>0.15</v>
      </c>
      <c r="T1827" s="23">
        <v>120.18</v>
      </c>
      <c r="U1827" s="23">
        <v>681.03</v>
      </c>
      <c r="V1827" s="23">
        <v>561.33000000000004</v>
      </c>
      <c r="W1827" s="23">
        <v>119.7</v>
      </c>
      <c r="X1827" s="23" t="s">
        <v>45</v>
      </c>
    </row>
    <row r="1828" spans="1:24" x14ac:dyDescent="0.25">
      <c r="A1828" s="20" t="s">
        <v>2351</v>
      </c>
      <c r="B1828" s="19">
        <v>45317</v>
      </c>
      <c r="C1828" s="20" t="s">
        <v>258</v>
      </c>
      <c r="D1828" s="20" t="s">
        <v>259</v>
      </c>
      <c r="E1828" s="20" t="s">
        <v>216</v>
      </c>
      <c r="F1828" s="20" t="s">
        <v>2596</v>
      </c>
      <c r="G1828" s="20" t="s">
        <v>2579</v>
      </c>
      <c r="H1828" s="20" t="s">
        <v>134</v>
      </c>
      <c r="I1828" s="20" t="s">
        <v>58</v>
      </c>
      <c r="J1828" s="20" t="s">
        <v>345</v>
      </c>
      <c r="K1828" s="20" t="s">
        <v>144</v>
      </c>
      <c r="L1828" s="20" t="s">
        <v>2687</v>
      </c>
      <c r="M1828" s="20" t="s">
        <v>30</v>
      </c>
      <c r="N1828" s="20" t="s">
        <v>2578</v>
      </c>
      <c r="O1828" s="20">
        <v>5</v>
      </c>
      <c r="P1828" s="20">
        <v>117.76</v>
      </c>
      <c r="Q1828" s="20">
        <v>71.03</v>
      </c>
      <c r="R1828" s="20">
        <v>588.82000000000005</v>
      </c>
      <c r="S1828" s="20">
        <v>0.05</v>
      </c>
      <c r="T1828" s="20">
        <v>29.44</v>
      </c>
      <c r="U1828" s="20">
        <v>559.38</v>
      </c>
      <c r="V1828" s="20">
        <v>355.17</v>
      </c>
      <c r="W1828" s="20">
        <v>204.21</v>
      </c>
      <c r="X1828" s="20" t="s">
        <v>129</v>
      </c>
    </row>
    <row r="1829" spans="1:24" x14ac:dyDescent="0.25">
      <c r="A1829" s="23" t="s">
        <v>2352</v>
      </c>
      <c r="B1829" s="22">
        <v>45570</v>
      </c>
      <c r="C1829" s="23" t="s">
        <v>194</v>
      </c>
      <c r="D1829" s="23" t="s">
        <v>163</v>
      </c>
      <c r="E1829" s="23" t="s">
        <v>109</v>
      </c>
      <c r="F1829" s="23" t="s">
        <v>110</v>
      </c>
      <c r="G1829" s="23" t="s">
        <v>2584</v>
      </c>
      <c r="H1829" s="23" t="s">
        <v>81</v>
      </c>
      <c r="I1829" s="23" t="s">
        <v>40</v>
      </c>
      <c r="J1829" s="23" t="s">
        <v>289</v>
      </c>
      <c r="K1829" s="23" t="s">
        <v>261</v>
      </c>
      <c r="L1829" s="23" t="s">
        <v>2695</v>
      </c>
      <c r="M1829" s="23" t="s">
        <v>43</v>
      </c>
      <c r="N1829" s="23" t="s">
        <v>44</v>
      </c>
      <c r="O1829" s="23">
        <v>19</v>
      </c>
      <c r="P1829" s="23">
        <v>132.29</v>
      </c>
      <c r="Q1829" s="23">
        <v>75.03</v>
      </c>
      <c r="R1829" s="23">
        <v>2513.48</v>
      </c>
      <c r="S1829" s="23">
        <v>0.1</v>
      </c>
      <c r="T1829" s="23">
        <v>251.35</v>
      </c>
      <c r="U1829" s="23">
        <v>2262.14</v>
      </c>
      <c r="V1829" s="23">
        <v>1425.56</v>
      </c>
      <c r="W1829" s="23">
        <v>836.58</v>
      </c>
      <c r="X1829" s="23" t="s">
        <v>45</v>
      </c>
    </row>
    <row r="1830" spans="1:24" x14ac:dyDescent="0.25">
      <c r="A1830" s="20" t="s">
        <v>2353</v>
      </c>
      <c r="B1830" s="19">
        <v>45544</v>
      </c>
      <c r="C1830" s="20" t="s">
        <v>1617</v>
      </c>
      <c r="D1830" s="20" t="s">
        <v>35</v>
      </c>
      <c r="E1830" s="20" t="s">
        <v>109</v>
      </c>
      <c r="F1830" s="20" t="s">
        <v>110</v>
      </c>
      <c r="G1830" s="20" t="s">
        <v>2584</v>
      </c>
      <c r="H1830" s="20" t="s">
        <v>81</v>
      </c>
      <c r="I1830" s="20" t="s">
        <v>27</v>
      </c>
      <c r="J1830" s="20" t="s">
        <v>106</v>
      </c>
      <c r="K1830" s="20" t="s">
        <v>253</v>
      </c>
      <c r="L1830" s="20" t="s">
        <v>2694</v>
      </c>
      <c r="M1830" s="20" t="s">
        <v>43</v>
      </c>
      <c r="N1830" s="20" t="s">
        <v>70</v>
      </c>
      <c r="O1830" s="20">
        <v>4</v>
      </c>
      <c r="P1830" s="20">
        <v>133.94</v>
      </c>
      <c r="Q1830" s="20">
        <v>73.959999999999994</v>
      </c>
      <c r="R1830" s="20">
        <v>535.77</v>
      </c>
      <c r="S1830" s="20">
        <v>0.2</v>
      </c>
      <c r="T1830" s="20">
        <v>107.15</v>
      </c>
      <c r="U1830" s="20">
        <v>428.61</v>
      </c>
      <c r="V1830" s="20">
        <v>295.82</v>
      </c>
      <c r="W1830" s="20">
        <v>132.79</v>
      </c>
      <c r="X1830" s="20" t="s">
        <v>45</v>
      </c>
    </row>
    <row r="1831" spans="1:24" x14ac:dyDescent="0.25">
      <c r="A1831" s="23" t="s">
        <v>2354</v>
      </c>
      <c r="B1831" s="22">
        <v>45628</v>
      </c>
      <c r="C1831" s="23" t="s">
        <v>611</v>
      </c>
      <c r="D1831" s="23" t="s">
        <v>264</v>
      </c>
      <c r="E1831" s="23" t="s">
        <v>126</v>
      </c>
      <c r="F1831" s="23" t="s">
        <v>2589</v>
      </c>
      <c r="G1831" s="23" t="s">
        <v>2586</v>
      </c>
      <c r="H1831" s="23" t="s">
        <v>128</v>
      </c>
      <c r="I1831" s="23" t="s">
        <v>88</v>
      </c>
      <c r="J1831" s="23" t="s">
        <v>173</v>
      </c>
      <c r="K1831" s="23" t="s">
        <v>29</v>
      </c>
      <c r="L1831" s="23" t="s">
        <v>2679</v>
      </c>
      <c r="M1831" s="23" t="s">
        <v>43</v>
      </c>
      <c r="N1831" s="23" t="s">
        <v>70</v>
      </c>
      <c r="O1831" s="23">
        <v>36</v>
      </c>
      <c r="P1831" s="23">
        <v>89.45</v>
      </c>
      <c r="Q1831" s="23">
        <v>54.16</v>
      </c>
      <c r="R1831" s="23">
        <v>3220.03</v>
      </c>
      <c r="S1831" s="23">
        <v>0.2</v>
      </c>
      <c r="T1831" s="23">
        <v>644.01</v>
      </c>
      <c r="U1831" s="23">
        <v>2576.02</v>
      </c>
      <c r="V1831" s="23">
        <v>1949.88</v>
      </c>
      <c r="W1831" s="23">
        <v>626.14</v>
      </c>
      <c r="X1831" s="23" t="s">
        <v>45</v>
      </c>
    </row>
    <row r="1832" spans="1:24" x14ac:dyDescent="0.25">
      <c r="A1832" s="20" t="s">
        <v>2355</v>
      </c>
      <c r="B1832" s="19">
        <v>45447</v>
      </c>
      <c r="C1832" s="20" t="s">
        <v>1831</v>
      </c>
      <c r="D1832" s="20" t="s">
        <v>256</v>
      </c>
      <c r="E1832" s="20" t="s">
        <v>250</v>
      </c>
      <c r="F1832" s="20" t="s">
        <v>2598</v>
      </c>
      <c r="G1832" s="20" t="s">
        <v>2581</v>
      </c>
      <c r="H1832" s="20" t="s">
        <v>252</v>
      </c>
      <c r="I1832" s="20" t="s">
        <v>27</v>
      </c>
      <c r="J1832" s="20" t="s">
        <v>189</v>
      </c>
      <c r="K1832" s="20" t="s">
        <v>111</v>
      </c>
      <c r="L1832" s="20" t="s">
        <v>2685</v>
      </c>
      <c r="M1832" s="20" t="s">
        <v>61</v>
      </c>
      <c r="N1832" s="20" t="s">
        <v>2578</v>
      </c>
      <c r="O1832" s="20">
        <v>2</v>
      </c>
      <c r="P1832" s="20">
        <v>64.400000000000006</v>
      </c>
      <c r="Q1832" s="20">
        <v>38.909999999999997</v>
      </c>
      <c r="R1832" s="20">
        <v>128.80000000000001</v>
      </c>
      <c r="S1832" s="20">
        <v>0.02</v>
      </c>
      <c r="T1832" s="20">
        <v>2.58</v>
      </c>
      <c r="U1832" s="20">
        <v>126.23</v>
      </c>
      <c r="V1832" s="20">
        <v>77.819999999999993</v>
      </c>
      <c r="W1832" s="20">
        <v>48.41</v>
      </c>
      <c r="X1832" s="20" t="s">
        <v>45</v>
      </c>
    </row>
    <row r="1833" spans="1:24" x14ac:dyDescent="0.25">
      <c r="A1833" s="23" t="s">
        <v>2356</v>
      </c>
      <c r="B1833" s="22">
        <v>45532</v>
      </c>
      <c r="C1833" s="23" t="s">
        <v>301</v>
      </c>
      <c r="D1833" s="23" t="s">
        <v>259</v>
      </c>
      <c r="E1833" s="23" t="s">
        <v>114</v>
      </c>
      <c r="F1833" s="23" t="s">
        <v>2588</v>
      </c>
      <c r="G1833" s="23" t="s">
        <v>2586</v>
      </c>
      <c r="H1833" s="23" t="s">
        <v>116</v>
      </c>
      <c r="I1833" s="23" t="s">
        <v>40</v>
      </c>
      <c r="J1833" s="23" t="s">
        <v>41</v>
      </c>
      <c r="K1833" s="23" t="s">
        <v>83</v>
      </c>
      <c r="L1833" s="23" t="s">
        <v>2683</v>
      </c>
      <c r="M1833" s="23" t="s">
        <v>43</v>
      </c>
      <c r="N1833" s="23" t="s">
        <v>44</v>
      </c>
      <c r="O1833" s="23">
        <v>19</v>
      </c>
      <c r="P1833" s="23">
        <v>33.54</v>
      </c>
      <c r="Q1833" s="23">
        <v>20.84</v>
      </c>
      <c r="R1833" s="23">
        <v>637.21</v>
      </c>
      <c r="S1833" s="23">
        <v>0.2</v>
      </c>
      <c r="T1833" s="23">
        <v>127.44</v>
      </c>
      <c r="U1833" s="23">
        <v>509.77</v>
      </c>
      <c r="V1833" s="23">
        <v>395.89</v>
      </c>
      <c r="W1833" s="23">
        <v>113.88</v>
      </c>
      <c r="X1833" s="23" t="s">
        <v>45</v>
      </c>
    </row>
    <row r="1834" spans="1:24" x14ac:dyDescent="0.25">
      <c r="A1834" s="20" t="s">
        <v>2357</v>
      </c>
      <c r="B1834" s="19">
        <v>45318</v>
      </c>
      <c r="C1834" s="20" t="s">
        <v>305</v>
      </c>
      <c r="D1834" s="20" t="s">
        <v>87</v>
      </c>
      <c r="E1834" s="20" t="s">
        <v>36</v>
      </c>
      <c r="F1834" s="20" t="s">
        <v>37</v>
      </c>
      <c r="G1834" s="20" t="s">
        <v>2579</v>
      </c>
      <c r="H1834" s="20" t="s">
        <v>39</v>
      </c>
      <c r="I1834" s="20" t="s">
        <v>88</v>
      </c>
      <c r="J1834" s="20" t="s">
        <v>2112</v>
      </c>
      <c r="K1834" s="20" t="s">
        <v>184</v>
      </c>
      <c r="L1834" s="20" t="s">
        <v>2690</v>
      </c>
      <c r="M1834" s="20" t="s">
        <v>43</v>
      </c>
      <c r="N1834" s="20" t="s">
        <v>75</v>
      </c>
      <c r="O1834" s="20">
        <v>13</v>
      </c>
      <c r="P1834" s="20">
        <v>176.9</v>
      </c>
      <c r="Q1834" s="20">
        <v>100.16</v>
      </c>
      <c r="R1834" s="20">
        <v>2299.65</v>
      </c>
      <c r="S1834" s="20">
        <v>0.1</v>
      </c>
      <c r="T1834" s="20">
        <v>229.96</v>
      </c>
      <c r="U1834" s="20">
        <v>2069.6799999999998</v>
      </c>
      <c r="V1834" s="20">
        <v>1302.1199999999999</v>
      </c>
      <c r="W1834" s="20">
        <v>767.56</v>
      </c>
      <c r="X1834" s="20" t="s">
        <v>45</v>
      </c>
    </row>
    <row r="1835" spans="1:24" x14ac:dyDescent="0.25">
      <c r="A1835" s="23" t="s">
        <v>2358</v>
      </c>
      <c r="B1835" s="22">
        <v>45431</v>
      </c>
      <c r="C1835" s="23" t="s">
        <v>763</v>
      </c>
      <c r="D1835" s="23" t="s">
        <v>105</v>
      </c>
      <c r="E1835" s="23" t="s">
        <v>109</v>
      </c>
      <c r="F1835" s="23" t="s">
        <v>110</v>
      </c>
      <c r="G1835" s="23" t="s">
        <v>2584</v>
      </c>
      <c r="H1835" s="23" t="s">
        <v>81</v>
      </c>
      <c r="I1835" s="23" t="s">
        <v>53</v>
      </c>
      <c r="J1835" s="23" t="s">
        <v>122</v>
      </c>
      <c r="K1835" s="23" t="s">
        <v>111</v>
      </c>
      <c r="L1835" s="23" t="s">
        <v>2685</v>
      </c>
      <c r="M1835" s="23" t="s">
        <v>61</v>
      </c>
      <c r="N1835" s="23" t="s">
        <v>70</v>
      </c>
      <c r="O1835" s="23">
        <v>50</v>
      </c>
      <c r="P1835" s="23">
        <v>118.63</v>
      </c>
      <c r="Q1835" s="23">
        <v>78.84</v>
      </c>
      <c r="R1835" s="23">
        <v>5931.6</v>
      </c>
      <c r="S1835" s="23">
        <v>0.2</v>
      </c>
      <c r="T1835" s="23">
        <v>1186.32</v>
      </c>
      <c r="U1835" s="23">
        <v>4745.28</v>
      </c>
      <c r="V1835" s="23">
        <v>3941.8</v>
      </c>
      <c r="W1835" s="23">
        <v>803.48</v>
      </c>
      <c r="X1835" s="23" t="s">
        <v>45</v>
      </c>
    </row>
    <row r="1836" spans="1:24" x14ac:dyDescent="0.25">
      <c r="A1836" s="20" t="s">
        <v>2359</v>
      </c>
      <c r="B1836" s="19">
        <v>45415</v>
      </c>
      <c r="C1836" s="20" t="s">
        <v>480</v>
      </c>
      <c r="D1836" s="20" t="s">
        <v>22</v>
      </c>
      <c r="E1836" s="20" t="s">
        <v>165</v>
      </c>
      <c r="F1836" s="20" t="s">
        <v>2592</v>
      </c>
      <c r="G1836" s="20" t="s">
        <v>2586</v>
      </c>
      <c r="H1836" s="20" t="s">
        <v>167</v>
      </c>
      <c r="I1836" s="20" t="s">
        <v>40</v>
      </c>
      <c r="J1836" s="20" t="s">
        <v>289</v>
      </c>
      <c r="K1836" s="20" t="s">
        <v>74</v>
      </c>
      <c r="L1836" s="20" t="s">
        <v>2682</v>
      </c>
      <c r="M1836" s="20" t="s">
        <v>43</v>
      </c>
      <c r="N1836" s="20" t="s">
        <v>70</v>
      </c>
      <c r="O1836" s="20">
        <v>39</v>
      </c>
      <c r="P1836" s="20">
        <v>41.52</v>
      </c>
      <c r="Q1836" s="20">
        <v>25.87</v>
      </c>
      <c r="R1836" s="20">
        <v>1619.18</v>
      </c>
      <c r="S1836" s="20">
        <v>0.2</v>
      </c>
      <c r="T1836" s="20">
        <v>323.83999999999997</v>
      </c>
      <c r="U1836" s="20">
        <v>1295.3499999999999</v>
      </c>
      <c r="V1836" s="20">
        <v>1008.95</v>
      </c>
      <c r="W1836" s="20">
        <v>286.39999999999998</v>
      </c>
      <c r="X1836" s="20" t="s">
        <v>45</v>
      </c>
    </row>
    <row r="1837" spans="1:24" x14ac:dyDescent="0.25">
      <c r="A1837" s="23" t="s">
        <v>2360</v>
      </c>
      <c r="B1837" s="22">
        <v>45487</v>
      </c>
      <c r="C1837" s="23" t="s">
        <v>208</v>
      </c>
      <c r="D1837" s="23" t="s">
        <v>35</v>
      </c>
      <c r="E1837" s="23" t="s">
        <v>99</v>
      </c>
      <c r="F1837" s="23" t="s">
        <v>100</v>
      </c>
      <c r="G1837" s="23" t="s">
        <v>2587</v>
      </c>
      <c r="H1837" s="23" t="s">
        <v>102</v>
      </c>
      <c r="I1837" s="23" t="s">
        <v>40</v>
      </c>
      <c r="J1837" s="23" t="s">
        <v>82</v>
      </c>
      <c r="K1837" s="23" t="s">
        <v>253</v>
      </c>
      <c r="L1837" s="23" t="s">
        <v>2694</v>
      </c>
      <c r="M1837" s="23" t="s">
        <v>30</v>
      </c>
      <c r="N1837" s="23" t="s">
        <v>75</v>
      </c>
      <c r="O1837" s="23">
        <v>27</v>
      </c>
      <c r="P1837" s="23">
        <v>73.67</v>
      </c>
      <c r="Q1837" s="23">
        <v>42.53</v>
      </c>
      <c r="R1837" s="23">
        <v>1989.05</v>
      </c>
      <c r="S1837" s="23">
        <v>0.1</v>
      </c>
      <c r="T1837" s="23">
        <v>198.9</v>
      </c>
      <c r="U1837" s="23">
        <v>1790.14</v>
      </c>
      <c r="V1837" s="23">
        <v>1148.3800000000001</v>
      </c>
      <c r="W1837" s="23">
        <v>641.76</v>
      </c>
      <c r="X1837" s="23" t="s">
        <v>45</v>
      </c>
    </row>
    <row r="1838" spans="1:24" x14ac:dyDescent="0.25">
      <c r="A1838" s="20" t="s">
        <v>2361</v>
      </c>
      <c r="B1838" s="19">
        <v>45550</v>
      </c>
      <c r="C1838" s="20" t="s">
        <v>1236</v>
      </c>
      <c r="D1838" s="20" t="s">
        <v>156</v>
      </c>
      <c r="E1838" s="20" t="s">
        <v>114</v>
      </c>
      <c r="F1838" s="20" t="s">
        <v>2588</v>
      </c>
      <c r="G1838" s="20" t="s">
        <v>2586</v>
      </c>
      <c r="H1838" s="20" t="s">
        <v>116</v>
      </c>
      <c r="I1838" s="20" t="s">
        <v>27</v>
      </c>
      <c r="J1838" s="20" t="s">
        <v>28</v>
      </c>
      <c r="K1838" s="20" t="s">
        <v>265</v>
      </c>
      <c r="L1838" s="20" t="s">
        <v>2663</v>
      </c>
      <c r="M1838" s="20" t="s">
        <v>30</v>
      </c>
      <c r="N1838" s="20" t="s">
        <v>84</v>
      </c>
      <c r="O1838" s="20">
        <v>61</v>
      </c>
      <c r="P1838" s="20">
        <v>32.299999999999997</v>
      </c>
      <c r="Q1838" s="20">
        <v>22.25</v>
      </c>
      <c r="R1838" s="20">
        <v>1970.39</v>
      </c>
      <c r="S1838" s="20">
        <v>0.1</v>
      </c>
      <c r="T1838" s="20">
        <v>197.04</v>
      </c>
      <c r="U1838" s="20">
        <v>1773.35</v>
      </c>
      <c r="V1838" s="20">
        <v>1357.27</v>
      </c>
      <c r="W1838" s="20">
        <v>416.08</v>
      </c>
      <c r="X1838" s="20" t="s">
        <v>45</v>
      </c>
    </row>
    <row r="1839" spans="1:24" x14ac:dyDescent="0.25">
      <c r="A1839" s="23" t="s">
        <v>2362</v>
      </c>
      <c r="B1839" s="22">
        <v>45334</v>
      </c>
      <c r="C1839" s="23" t="s">
        <v>1887</v>
      </c>
      <c r="D1839" s="23" t="s">
        <v>159</v>
      </c>
      <c r="E1839" s="23" t="s">
        <v>150</v>
      </c>
      <c r="F1839" s="23" t="s">
        <v>2591</v>
      </c>
      <c r="G1839" s="23" t="s">
        <v>2587</v>
      </c>
      <c r="H1839" s="23" t="s">
        <v>134</v>
      </c>
      <c r="I1839" s="23" t="s">
        <v>53</v>
      </c>
      <c r="J1839" s="23" t="s">
        <v>143</v>
      </c>
      <c r="K1839" s="23" t="s">
        <v>83</v>
      </c>
      <c r="L1839" s="23" t="s">
        <v>2683</v>
      </c>
      <c r="M1839" s="23" t="s">
        <v>30</v>
      </c>
      <c r="N1839" s="23" t="s">
        <v>2578</v>
      </c>
      <c r="O1839" s="23">
        <v>54</v>
      </c>
      <c r="P1839" s="23">
        <v>87.94</v>
      </c>
      <c r="Q1839" s="23">
        <v>49.14</v>
      </c>
      <c r="R1839" s="23">
        <v>4748.74</v>
      </c>
      <c r="S1839" s="23">
        <v>0.2</v>
      </c>
      <c r="T1839" s="23">
        <v>949.75</v>
      </c>
      <c r="U1839" s="23">
        <v>3798.99</v>
      </c>
      <c r="V1839" s="23">
        <v>2653.81</v>
      </c>
      <c r="W1839" s="23">
        <v>1145.18</v>
      </c>
      <c r="X1839" s="23" t="s">
        <v>32</v>
      </c>
    </row>
    <row r="1840" spans="1:24" x14ac:dyDescent="0.25">
      <c r="A1840" s="20" t="s">
        <v>2363</v>
      </c>
      <c r="B1840" s="19">
        <v>45375</v>
      </c>
      <c r="C1840" s="20" t="s">
        <v>674</v>
      </c>
      <c r="D1840" s="20" t="s">
        <v>264</v>
      </c>
      <c r="E1840" s="20" t="s">
        <v>250</v>
      </c>
      <c r="F1840" s="20" t="s">
        <v>2598</v>
      </c>
      <c r="G1840" s="20" t="s">
        <v>2581</v>
      </c>
      <c r="H1840" s="20" t="s">
        <v>252</v>
      </c>
      <c r="I1840" s="20" t="s">
        <v>40</v>
      </c>
      <c r="J1840" s="20" t="s">
        <v>82</v>
      </c>
      <c r="K1840" s="20" t="s">
        <v>42</v>
      </c>
      <c r="L1840" s="20" t="s">
        <v>2680</v>
      </c>
      <c r="M1840" s="20" t="s">
        <v>43</v>
      </c>
      <c r="N1840" s="20" t="s">
        <v>75</v>
      </c>
      <c r="O1840" s="20">
        <v>67</v>
      </c>
      <c r="P1840" s="20">
        <v>66.63</v>
      </c>
      <c r="Q1840" s="20">
        <v>40.42</v>
      </c>
      <c r="R1840" s="20">
        <v>4464.42</v>
      </c>
      <c r="S1840" s="20">
        <v>0.02</v>
      </c>
      <c r="T1840" s="20">
        <v>89.29</v>
      </c>
      <c r="U1840" s="20">
        <v>4375.13</v>
      </c>
      <c r="V1840" s="20">
        <v>2708.29</v>
      </c>
      <c r="W1840" s="20">
        <v>1666.84</v>
      </c>
      <c r="X1840" s="20" t="s">
        <v>45</v>
      </c>
    </row>
    <row r="1841" spans="1:24" x14ac:dyDescent="0.25">
      <c r="A1841" s="23" t="s">
        <v>2364</v>
      </c>
      <c r="B1841" s="22">
        <v>45434</v>
      </c>
      <c r="C1841" s="23" t="s">
        <v>888</v>
      </c>
      <c r="D1841" s="23" t="s">
        <v>159</v>
      </c>
      <c r="E1841" s="23" t="s">
        <v>109</v>
      </c>
      <c r="F1841" s="23" t="s">
        <v>110</v>
      </c>
      <c r="G1841" s="23" t="s">
        <v>2584</v>
      </c>
      <c r="H1841" s="23" t="s">
        <v>81</v>
      </c>
      <c r="I1841" s="23" t="s">
        <v>58</v>
      </c>
      <c r="J1841" s="23" t="s">
        <v>323</v>
      </c>
      <c r="K1841" s="23" t="s">
        <v>111</v>
      </c>
      <c r="L1841" s="23" t="s">
        <v>2685</v>
      </c>
      <c r="M1841" s="23" t="s">
        <v>61</v>
      </c>
      <c r="N1841" s="23" t="s">
        <v>75</v>
      </c>
      <c r="O1841" s="23">
        <v>18</v>
      </c>
      <c r="P1841" s="23">
        <v>133.88</v>
      </c>
      <c r="Q1841" s="23">
        <v>69.84</v>
      </c>
      <c r="R1841" s="23">
        <v>2409.86</v>
      </c>
      <c r="S1841" s="23">
        <v>0.15</v>
      </c>
      <c r="T1841" s="23">
        <v>361.48</v>
      </c>
      <c r="U1841" s="23">
        <v>2048.38</v>
      </c>
      <c r="V1841" s="23">
        <v>1257.1500000000001</v>
      </c>
      <c r="W1841" s="23">
        <v>791.23</v>
      </c>
      <c r="X1841" s="23" t="s">
        <v>45</v>
      </c>
    </row>
    <row r="1842" spans="1:24" x14ac:dyDescent="0.25">
      <c r="A1842" s="20" t="s">
        <v>2365</v>
      </c>
      <c r="B1842" s="19">
        <v>45611</v>
      </c>
      <c r="C1842" s="20" t="s">
        <v>613</v>
      </c>
      <c r="D1842" s="20" t="s">
        <v>87</v>
      </c>
      <c r="E1842" s="20" t="s">
        <v>141</v>
      </c>
      <c r="F1842" s="20" t="s">
        <v>2590</v>
      </c>
      <c r="G1842" s="20" t="s">
        <v>2577</v>
      </c>
      <c r="H1842" s="20" t="s">
        <v>26</v>
      </c>
      <c r="I1842" s="20" t="s">
        <v>58</v>
      </c>
      <c r="J1842" s="20" t="s">
        <v>59</v>
      </c>
      <c r="K1842" s="20" t="s">
        <v>178</v>
      </c>
      <c r="L1842" s="20" t="s">
        <v>2689</v>
      </c>
      <c r="M1842" s="20" t="s">
        <v>61</v>
      </c>
      <c r="N1842" s="20" t="s">
        <v>75</v>
      </c>
      <c r="O1842" s="20">
        <v>56</v>
      </c>
      <c r="P1842" s="20">
        <v>94.43</v>
      </c>
      <c r="Q1842" s="20">
        <v>57.18</v>
      </c>
      <c r="R1842" s="20">
        <v>5287.91</v>
      </c>
      <c r="S1842" s="20">
        <v>0</v>
      </c>
      <c r="T1842" s="20">
        <v>0</v>
      </c>
      <c r="U1842" s="20">
        <v>5287.91</v>
      </c>
      <c r="V1842" s="20">
        <v>3202.15</v>
      </c>
      <c r="W1842" s="20">
        <v>2085.7600000000002</v>
      </c>
      <c r="X1842" s="20" t="s">
        <v>32</v>
      </c>
    </row>
    <row r="1843" spans="1:24" x14ac:dyDescent="0.25">
      <c r="A1843" s="23" t="s">
        <v>2366</v>
      </c>
      <c r="B1843" s="22">
        <v>45592</v>
      </c>
      <c r="C1843" s="23" t="s">
        <v>477</v>
      </c>
      <c r="D1843" s="23" t="s">
        <v>221</v>
      </c>
      <c r="E1843" s="23" t="s">
        <v>209</v>
      </c>
      <c r="F1843" s="23" t="s">
        <v>2595</v>
      </c>
      <c r="G1843" s="23" t="s">
        <v>2581</v>
      </c>
      <c r="H1843" s="23" t="s">
        <v>116</v>
      </c>
      <c r="I1843" s="23" t="s">
        <v>88</v>
      </c>
      <c r="J1843" s="23" t="s">
        <v>2112</v>
      </c>
      <c r="K1843" s="23" t="s">
        <v>265</v>
      </c>
      <c r="L1843" s="23" t="s">
        <v>2663</v>
      </c>
      <c r="M1843" s="23" t="s">
        <v>153</v>
      </c>
      <c r="N1843" s="23" t="s">
        <v>75</v>
      </c>
      <c r="O1843" s="23">
        <v>45</v>
      </c>
      <c r="P1843" s="23">
        <v>17.73</v>
      </c>
      <c r="Q1843" s="23">
        <v>9.73</v>
      </c>
      <c r="R1843" s="23">
        <v>797.92</v>
      </c>
      <c r="S1843" s="23">
        <v>0.2</v>
      </c>
      <c r="T1843" s="23">
        <v>159.58000000000001</v>
      </c>
      <c r="U1843" s="23">
        <v>638.34</v>
      </c>
      <c r="V1843" s="23">
        <v>437.63</v>
      </c>
      <c r="W1843" s="23">
        <v>200.7</v>
      </c>
      <c r="X1843" s="23" t="s">
        <v>45</v>
      </c>
    </row>
    <row r="1844" spans="1:24" x14ac:dyDescent="0.25">
      <c r="A1844" s="20" t="s">
        <v>2367</v>
      </c>
      <c r="B1844" s="19">
        <v>45437</v>
      </c>
      <c r="C1844" s="20" t="s">
        <v>309</v>
      </c>
      <c r="D1844" s="20" t="s">
        <v>65</v>
      </c>
      <c r="E1844" s="20" t="s">
        <v>114</v>
      </c>
      <c r="F1844" s="20" t="s">
        <v>2588</v>
      </c>
      <c r="G1844" s="20" t="s">
        <v>2586</v>
      </c>
      <c r="H1844" s="20" t="s">
        <v>116</v>
      </c>
      <c r="I1844" s="20" t="s">
        <v>27</v>
      </c>
      <c r="J1844" s="20" t="s">
        <v>106</v>
      </c>
      <c r="K1844" s="20" t="s">
        <v>83</v>
      </c>
      <c r="L1844" s="20" t="s">
        <v>2683</v>
      </c>
      <c r="M1844" s="20" t="s">
        <v>30</v>
      </c>
      <c r="N1844" s="20" t="s">
        <v>70</v>
      </c>
      <c r="O1844" s="20">
        <v>27</v>
      </c>
      <c r="P1844" s="20">
        <v>34.03</v>
      </c>
      <c r="Q1844" s="20">
        <v>21.06</v>
      </c>
      <c r="R1844" s="20">
        <v>918.76</v>
      </c>
      <c r="S1844" s="20">
        <v>0.1</v>
      </c>
      <c r="T1844" s="20">
        <v>91.88</v>
      </c>
      <c r="U1844" s="20">
        <v>826.88</v>
      </c>
      <c r="V1844" s="20">
        <v>568.61</v>
      </c>
      <c r="W1844" s="20">
        <v>258.27999999999997</v>
      </c>
      <c r="X1844" s="20" t="s">
        <v>45</v>
      </c>
    </row>
    <row r="1845" spans="1:24" x14ac:dyDescent="0.25">
      <c r="A1845" s="23" t="s">
        <v>2368</v>
      </c>
      <c r="B1845" s="22">
        <v>45367</v>
      </c>
      <c r="C1845" s="23" t="s">
        <v>392</v>
      </c>
      <c r="D1845" s="23" t="s">
        <v>393</v>
      </c>
      <c r="E1845" s="23" t="s">
        <v>78</v>
      </c>
      <c r="F1845" s="23" t="s">
        <v>2583</v>
      </c>
      <c r="G1845" s="23" t="s">
        <v>2584</v>
      </c>
      <c r="H1845" s="23" t="s">
        <v>81</v>
      </c>
      <c r="I1845" s="23" t="s">
        <v>40</v>
      </c>
      <c r="J1845" s="23" t="s">
        <v>289</v>
      </c>
      <c r="K1845" s="23" t="s">
        <v>265</v>
      </c>
      <c r="L1845" s="23" t="s">
        <v>2663</v>
      </c>
      <c r="M1845" s="23" t="s">
        <v>43</v>
      </c>
      <c r="N1845" s="23" t="s">
        <v>70</v>
      </c>
      <c r="O1845" s="23">
        <v>6</v>
      </c>
      <c r="P1845" s="23">
        <v>150.26</v>
      </c>
      <c r="Q1845" s="23">
        <v>78.33</v>
      </c>
      <c r="R1845" s="23">
        <v>901.57</v>
      </c>
      <c r="S1845" s="23">
        <v>0.05</v>
      </c>
      <c r="T1845" s="23">
        <v>45.08</v>
      </c>
      <c r="U1845" s="23">
        <v>856.49</v>
      </c>
      <c r="V1845" s="23">
        <v>469.99</v>
      </c>
      <c r="W1845" s="23">
        <v>386.5</v>
      </c>
      <c r="X1845" s="23" t="s">
        <v>45</v>
      </c>
    </row>
    <row r="1846" spans="1:24" x14ac:dyDescent="0.25">
      <c r="A1846" s="20" t="s">
        <v>2369</v>
      </c>
      <c r="B1846" s="19">
        <v>45319</v>
      </c>
      <c r="C1846" s="20" t="s">
        <v>1112</v>
      </c>
      <c r="D1846" s="20" t="s">
        <v>159</v>
      </c>
      <c r="E1846" s="20" t="s">
        <v>150</v>
      </c>
      <c r="F1846" s="20" t="s">
        <v>2591</v>
      </c>
      <c r="G1846" s="20" t="s">
        <v>2587</v>
      </c>
      <c r="H1846" s="20" t="s">
        <v>134</v>
      </c>
      <c r="I1846" s="20" t="s">
        <v>88</v>
      </c>
      <c r="J1846" s="20" t="s">
        <v>183</v>
      </c>
      <c r="K1846" s="20" t="s">
        <v>144</v>
      </c>
      <c r="L1846" s="20" t="s">
        <v>2687</v>
      </c>
      <c r="M1846" s="20" t="s">
        <v>30</v>
      </c>
      <c r="N1846" s="20" t="s">
        <v>2578</v>
      </c>
      <c r="O1846" s="20">
        <v>34</v>
      </c>
      <c r="P1846" s="20">
        <v>83.91</v>
      </c>
      <c r="Q1846" s="20">
        <v>52.13</v>
      </c>
      <c r="R1846" s="20">
        <v>2852.88</v>
      </c>
      <c r="S1846" s="20">
        <v>0</v>
      </c>
      <c r="T1846" s="20">
        <v>0</v>
      </c>
      <c r="U1846" s="20">
        <v>2852.88</v>
      </c>
      <c r="V1846" s="20">
        <v>1772.43</v>
      </c>
      <c r="W1846" s="20">
        <v>1080.45</v>
      </c>
      <c r="X1846" s="20" t="s">
        <v>45</v>
      </c>
    </row>
    <row r="1847" spans="1:24" x14ac:dyDescent="0.25">
      <c r="A1847" s="23" t="s">
        <v>2370</v>
      </c>
      <c r="B1847" s="22">
        <v>45648</v>
      </c>
      <c r="C1847" s="23" t="s">
        <v>1709</v>
      </c>
      <c r="D1847" s="23" t="s">
        <v>159</v>
      </c>
      <c r="E1847" s="23" t="s">
        <v>109</v>
      </c>
      <c r="F1847" s="23" t="s">
        <v>110</v>
      </c>
      <c r="G1847" s="23" t="s">
        <v>2584</v>
      </c>
      <c r="H1847" s="23" t="s">
        <v>81</v>
      </c>
      <c r="I1847" s="23" t="s">
        <v>40</v>
      </c>
      <c r="J1847" s="23" t="s">
        <v>117</v>
      </c>
      <c r="K1847" s="23" t="s">
        <v>253</v>
      </c>
      <c r="L1847" s="23" t="s">
        <v>2694</v>
      </c>
      <c r="M1847" s="23" t="s">
        <v>43</v>
      </c>
      <c r="N1847" s="23" t="s">
        <v>44</v>
      </c>
      <c r="O1847" s="23">
        <v>76</v>
      </c>
      <c r="P1847" s="23">
        <v>118.35</v>
      </c>
      <c r="Q1847" s="23">
        <v>69.819999999999993</v>
      </c>
      <c r="R1847" s="23">
        <v>8994.59</v>
      </c>
      <c r="S1847" s="23">
        <v>0.15</v>
      </c>
      <c r="T1847" s="23">
        <v>1349.19</v>
      </c>
      <c r="U1847" s="23">
        <v>7645.4</v>
      </c>
      <c r="V1847" s="23">
        <v>5306.6</v>
      </c>
      <c r="W1847" s="23">
        <v>2338.79</v>
      </c>
      <c r="X1847" s="23" t="s">
        <v>129</v>
      </c>
    </row>
    <row r="1848" spans="1:24" x14ac:dyDescent="0.25">
      <c r="A1848" s="20" t="s">
        <v>2371</v>
      </c>
      <c r="B1848" s="19">
        <v>45438</v>
      </c>
      <c r="C1848" s="20" t="s">
        <v>182</v>
      </c>
      <c r="D1848" s="20" t="s">
        <v>35</v>
      </c>
      <c r="E1848" s="20" t="s">
        <v>99</v>
      </c>
      <c r="F1848" s="20" t="s">
        <v>100</v>
      </c>
      <c r="G1848" s="20" t="s">
        <v>2587</v>
      </c>
      <c r="H1848" s="20" t="s">
        <v>102</v>
      </c>
      <c r="I1848" s="20" t="s">
        <v>27</v>
      </c>
      <c r="J1848" s="20" t="s">
        <v>189</v>
      </c>
      <c r="K1848" s="20" t="s">
        <v>111</v>
      </c>
      <c r="L1848" s="20" t="s">
        <v>2685</v>
      </c>
      <c r="M1848" s="20" t="s">
        <v>61</v>
      </c>
      <c r="N1848" s="20" t="s">
        <v>2578</v>
      </c>
      <c r="O1848" s="20">
        <v>71</v>
      </c>
      <c r="P1848" s="20">
        <v>72.19</v>
      </c>
      <c r="Q1848" s="20">
        <v>37.74</v>
      </c>
      <c r="R1848" s="20">
        <v>5125.5600000000004</v>
      </c>
      <c r="S1848" s="20">
        <v>0.1</v>
      </c>
      <c r="T1848" s="20">
        <v>512.55999999999995</v>
      </c>
      <c r="U1848" s="20">
        <v>4613</v>
      </c>
      <c r="V1848" s="20">
        <v>2679.62</v>
      </c>
      <c r="W1848" s="20">
        <v>1933.38</v>
      </c>
      <c r="X1848" s="20" t="s">
        <v>45</v>
      </c>
    </row>
    <row r="1849" spans="1:24" x14ac:dyDescent="0.25">
      <c r="A1849" s="23" t="s">
        <v>2372</v>
      </c>
      <c r="B1849" s="22">
        <v>45396</v>
      </c>
      <c r="C1849" s="23" t="s">
        <v>1617</v>
      </c>
      <c r="D1849" s="23" t="s">
        <v>35</v>
      </c>
      <c r="E1849" s="23" t="s">
        <v>126</v>
      </c>
      <c r="F1849" s="23" t="s">
        <v>2589</v>
      </c>
      <c r="G1849" s="23" t="s">
        <v>2586</v>
      </c>
      <c r="H1849" s="23" t="s">
        <v>128</v>
      </c>
      <c r="I1849" s="23" t="s">
        <v>53</v>
      </c>
      <c r="J1849" s="23" t="s">
        <v>54</v>
      </c>
      <c r="K1849" s="23" t="s">
        <v>118</v>
      </c>
      <c r="L1849" s="23" t="s">
        <v>2686</v>
      </c>
      <c r="M1849" s="23" t="s">
        <v>61</v>
      </c>
      <c r="N1849" s="23" t="s">
        <v>75</v>
      </c>
      <c r="O1849" s="23">
        <v>60</v>
      </c>
      <c r="P1849" s="23">
        <v>88.14</v>
      </c>
      <c r="Q1849" s="23">
        <v>56.57</v>
      </c>
      <c r="R1849" s="23">
        <v>5288.64</v>
      </c>
      <c r="S1849" s="23">
        <v>0.02</v>
      </c>
      <c r="T1849" s="23">
        <v>105.77</v>
      </c>
      <c r="U1849" s="23">
        <v>5182.87</v>
      </c>
      <c r="V1849" s="23">
        <v>3394.09</v>
      </c>
      <c r="W1849" s="23">
        <v>1788.78</v>
      </c>
      <c r="X1849" s="23" t="s">
        <v>129</v>
      </c>
    </row>
    <row r="1850" spans="1:24" x14ac:dyDescent="0.25">
      <c r="A1850" s="20" t="s">
        <v>2373</v>
      </c>
      <c r="B1850" s="19">
        <v>45431</v>
      </c>
      <c r="C1850" s="20" t="s">
        <v>201</v>
      </c>
      <c r="D1850" s="20" t="s">
        <v>57</v>
      </c>
      <c r="E1850" s="20" t="s">
        <v>114</v>
      </c>
      <c r="F1850" s="20" t="s">
        <v>2588</v>
      </c>
      <c r="G1850" s="20" t="s">
        <v>2586</v>
      </c>
      <c r="H1850" s="20" t="s">
        <v>116</v>
      </c>
      <c r="I1850" s="20" t="s">
        <v>88</v>
      </c>
      <c r="J1850" s="20" t="s">
        <v>2112</v>
      </c>
      <c r="K1850" s="20" t="s">
        <v>261</v>
      </c>
      <c r="L1850" s="20" t="s">
        <v>2695</v>
      </c>
      <c r="M1850" s="20" t="s">
        <v>61</v>
      </c>
      <c r="N1850" s="20" t="s">
        <v>70</v>
      </c>
      <c r="O1850" s="20">
        <v>18</v>
      </c>
      <c r="P1850" s="20">
        <v>34.979999999999997</v>
      </c>
      <c r="Q1850" s="20">
        <v>21.4</v>
      </c>
      <c r="R1850" s="20">
        <v>629.72</v>
      </c>
      <c r="S1850" s="20">
        <v>0</v>
      </c>
      <c r="T1850" s="20">
        <v>0</v>
      </c>
      <c r="U1850" s="20">
        <v>629.72</v>
      </c>
      <c r="V1850" s="20">
        <v>385.13</v>
      </c>
      <c r="W1850" s="20">
        <v>244.59</v>
      </c>
      <c r="X1850" s="20" t="s">
        <v>129</v>
      </c>
    </row>
    <row r="1851" spans="1:24" x14ac:dyDescent="0.25">
      <c r="A1851" s="23" t="s">
        <v>2374</v>
      </c>
      <c r="B1851" s="22">
        <v>45455</v>
      </c>
      <c r="C1851" s="23" t="s">
        <v>711</v>
      </c>
      <c r="D1851" s="23" t="s">
        <v>57</v>
      </c>
      <c r="E1851" s="23" t="s">
        <v>99</v>
      </c>
      <c r="F1851" s="23" t="s">
        <v>100</v>
      </c>
      <c r="G1851" s="23" t="s">
        <v>2587</v>
      </c>
      <c r="H1851" s="23" t="s">
        <v>102</v>
      </c>
      <c r="I1851" s="23" t="s">
        <v>27</v>
      </c>
      <c r="J1851" s="23" t="s">
        <v>28</v>
      </c>
      <c r="K1851" s="23" t="s">
        <v>29</v>
      </c>
      <c r="L1851" s="23" t="s">
        <v>2679</v>
      </c>
      <c r="M1851" s="23" t="s">
        <v>61</v>
      </c>
      <c r="N1851" s="23" t="s">
        <v>70</v>
      </c>
      <c r="O1851" s="23">
        <v>60</v>
      </c>
      <c r="P1851" s="23">
        <v>72.42</v>
      </c>
      <c r="Q1851" s="23">
        <v>43.68</v>
      </c>
      <c r="R1851" s="23">
        <v>4345.03</v>
      </c>
      <c r="S1851" s="23">
        <v>0.2</v>
      </c>
      <c r="T1851" s="23">
        <v>869.01</v>
      </c>
      <c r="U1851" s="23">
        <v>3476.03</v>
      </c>
      <c r="V1851" s="23">
        <v>2621</v>
      </c>
      <c r="W1851" s="23">
        <v>855.03</v>
      </c>
      <c r="X1851" s="23" t="s">
        <v>45</v>
      </c>
    </row>
    <row r="1852" spans="1:24" x14ac:dyDescent="0.25">
      <c r="A1852" s="20" t="s">
        <v>2375</v>
      </c>
      <c r="B1852" s="19">
        <v>45377</v>
      </c>
      <c r="C1852" s="20" t="s">
        <v>967</v>
      </c>
      <c r="D1852" s="20" t="s">
        <v>35</v>
      </c>
      <c r="E1852" s="20" t="s">
        <v>66</v>
      </c>
      <c r="F1852" s="20" t="s">
        <v>2582</v>
      </c>
      <c r="G1852" s="20" t="s">
        <v>2579</v>
      </c>
      <c r="H1852" s="20" t="s">
        <v>68</v>
      </c>
      <c r="I1852" s="20" t="s">
        <v>27</v>
      </c>
      <c r="J1852" s="20" t="s">
        <v>211</v>
      </c>
      <c r="K1852" s="20" t="s">
        <v>83</v>
      </c>
      <c r="L1852" s="20" t="s">
        <v>2683</v>
      </c>
      <c r="M1852" s="20" t="s">
        <v>43</v>
      </c>
      <c r="N1852" s="20" t="s">
        <v>84</v>
      </c>
      <c r="O1852" s="20">
        <v>39</v>
      </c>
      <c r="P1852" s="20">
        <v>165.78</v>
      </c>
      <c r="Q1852" s="20">
        <v>110.61</v>
      </c>
      <c r="R1852" s="20">
        <v>6465.59</v>
      </c>
      <c r="S1852" s="20">
        <v>0</v>
      </c>
      <c r="T1852" s="20">
        <v>0</v>
      </c>
      <c r="U1852" s="20">
        <v>6465.59</v>
      </c>
      <c r="V1852" s="20">
        <v>4313.71</v>
      </c>
      <c r="W1852" s="20">
        <v>2151.89</v>
      </c>
      <c r="X1852" s="20" t="s">
        <v>45</v>
      </c>
    </row>
    <row r="1853" spans="1:24" x14ac:dyDescent="0.25">
      <c r="A1853" s="23" t="s">
        <v>2376</v>
      </c>
      <c r="B1853" s="22">
        <v>45364</v>
      </c>
      <c r="C1853" s="23" t="s">
        <v>1879</v>
      </c>
      <c r="D1853" s="23" t="s">
        <v>57</v>
      </c>
      <c r="E1853" s="23" t="s">
        <v>176</v>
      </c>
      <c r="F1853" s="23" t="s">
        <v>2593</v>
      </c>
      <c r="G1853" s="23" t="s">
        <v>2587</v>
      </c>
      <c r="H1853" s="23" t="s">
        <v>39</v>
      </c>
      <c r="I1853" s="23" t="s">
        <v>27</v>
      </c>
      <c r="J1853" s="23" t="s">
        <v>28</v>
      </c>
      <c r="K1853" s="23" t="s">
        <v>218</v>
      </c>
      <c r="L1853" s="23" t="s">
        <v>2692</v>
      </c>
      <c r="M1853" s="23" t="s">
        <v>153</v>
      </c>
      <c r="N1853" s="23" t="s">
        <v>75</v>
      </c>
      <c r="O1853" s="23">
        <v>76</v>
      </c>
      <c r="P1853" s="23">
        <v>100.53</v>
      </c>
      <c r="Q1853" s="23">
        <v>63.4</v>
      </c>
      <c r="R1853" s="23">
        <v>7640</v>
      </c>
      <c r="S1853" s="23">
        <v>0.1</v>
      </c>
      <c r="T1853" s="23">
        <v>764</v>
      </c>
      <c r="U1853" s="23">
        <v>6876</v>
      </c>
      <c r="V1853" s="23">
        <v>4818.6499999999996</v>
      </c>
      <c r="W1853" s="23">
        <v>2057.35</v>
      </c>
      <c r="X1853" s="23" t="s">
        <v>45</v>
      </c>
    </row>
    <row r="1854" spans="1:24" x14ac:dyDescent="0.25">
      <c r="A1854" s="20" t="s">
        <v>2377</v>
      </c>
      <c r="B1854" s="19">
        <v>45605</v>
      </c>
      <c r="C1854" s="20" t="s">
        <v>1706</v>
      </c>
      <c r="D1854" s="20" t="s">
        <v>65</v>
      </c>
      <c r="E1854" s="20" t="s">
        <v>216</v>
      </c>
      <c r="F1854" s="20" t="s">
        <v>2596</v>
      </c>
      <c r="G1854" s="20" t="s">
        <v>2579</v>
      </c>
      <c r="H1854" s="20" t="s">
        <v>134</v>
      </c>
      <c r="I1854" s="20" t="s">
        <v>88</v>
      </c>
      <c r="J1854" s="20" t="s">
        <v>183</v>
      </c>
      <c r="K1854" s="20" t="s">
        <v>195</v>
      </c>
      <c r="L1854" s="20" t="s">
        <v>2691</v>
      </c>
      <c r="M1854" s="20" t="s">
        <v>43</v>
      </c>
      <c r="N1854" s="20" t="s">
        <v>44</v>
      </c>
      <c r="O1854" s="20">
        <v>38</v>
      </c>
      <c r="P1854" s="20">
        <v>118.75</v>
      </c>
      <c r="Q1854" s="20">
        <v>61.96</v>
      </c>
      <c r="R1854" s="20">
        <v>4512.55</v>
      </c>
      <c r="S1854" s="20">
        <v>0.02</v>
      </c>
      <c r="T1854" s="20">
        <v>90.25</v>
      </c>
      <c r="U1854" s="20">
        <v>4422.3</v>
      </c>
      <c r="V1854" s="20">
        <v>2354.5500000000002</v>
      </c>
      <c r="W1854" s="20">
        <v>2067.75</v>
      </c>
      <c r="X1854" s="20" t="s">
        <v>129</v>
      </c>
    </row>
    <row r="1855" spans="1:24" x14ac:dyDescent="0.25">
      <c r="A1855" s="23" t="s">
        <v>2378</v>
      </c>
      <c r="B1855" s="22">
        <v>45655</v>
      </c>
      <c r="C1855" s="23" t="s">
        <v>897</v>
      </c>
      <c r="D1855" s="23" t="s">
        <v>65</v>
      </c>
      <c r="E1855" s="23" t="s">
        <v>165</v>
      </c>
      <c r="F1855" s="23" t="s">
        <v>2592</v>
      </c>
      <c r="G1855" s="23" t="s">
        <v>2586</v>
      </c>
      <c r="H1855" s="23" t="s">
        <v>167</v>
      </c>
      <c r="I1855" s="23" t="s">
        <v>40</v>
      </c>
      <c r="J1855" s="23" t="s">
        <v>289</v>
      </c>
      <c r="K1855" s="23" t="s">
        <v>118</v>
      </c>
      <c r="L1855" s="23" t="s">
        <v>2686</v>
      </c>
      <c r="M1855" s="23" t="s">
        <v>153</v>
      </c>
      <c r="N1855" s="23" t="s">
        <v>75</v>
      </c>
      <c r="O1855" s="23">
        <v>27</v>
      </c>
      <c r="P1855" s="23">
        <v>41.02</v>
      </c>
      <c r="Q1855" s="23">
        <v>25.02</v>
      </c>
      <c r="R1855" s="23">
        <v>1107.5899999999999</v>
      </c>
      <c r="S1855" s="23">
        <v>0.1</v>
      </c>
      <c r="T1855" s="23">
        <v>110.76</v>
      </c>
      <c r="U1855" s="23">
        <v>996.83</v>
      </c>
      <c r="V1855" s="23">
        <v>675.61</v>
      </c>
      <c r="W1855" s="23">
        <v>321.22000000000003</v>
      </c>
      <c r="X1855" s="23" t="s">
        <v>45</v>
      </c>
    </row>
    <row r="1856" spans="1:24" x14ac:dyDescent="0.25">
      <c r="A1856" s="20" t="s">
        <v>2379</v>
      </c>
      <c r="B1856" s="19">
        <v>45591</v>
      </c>
      <c r="C1856" s="20" t="s">
        <v>737</v>
      </c>
      <c r="D1856" s="20" t="s">
        <v>22</v>
      </c>
      <c r="E1856" s="20" t="s">
        <v>114</v>
      </c>
      <c r="F1856" s="20" t="s">
        <v>2588</v>
      </c>
      <c r="G1856" s="20" t="s">
        <v>2586</v>
      </c>
      <c r="H1856" s="20" t="s">
        <v>116</v>
      </c>
      <c r="I1856" s="20" t="s">
        <v>40</v>
      </c>
      <c r="J1856" s="20" t="s">
        <v>82</v>
      </c>
      <c r="K1856" s="20" t="s">
        <v>42</v>
      </c>
      <c r="L1856" s="20" t="s">
        <v>2680</v>
      </c>
      <c r="M1856" s="20" t="s">
        <v>61</v>
      </c>
      <c r="N1856" s="20" t="s">
        <v>75</v>
      </c>
      <c r="O1856" s="20">
        <v>62</v>
      </c>
      <c r="P1856" s="20">
        <v>32.9</v>
      </c>
      <c r="Q1856" s="20">
        <v>22.41</v>
      </c>
      <c r="R1856" s="20">
        <v>2039.68</v>
      </c>
      <c r="S1856" s="20">
        <v>0.15</v>
      </c>
      <c r="T1856" s="20">
        <v>305.95</v>
      </c>
      <c r="U1856" s="20">
        <v>1733.73</v>
      </c>
      <c r="V1856" s="20">
        <v>1389.67</v>
      </c>
      <c r="W1856" s="20">
        <v>344.06</v>
      </c>
      <c r="X1856" s="20" t="s">
        <v>45</v>
      </c>
    </row>
    <row r="1857" spans="1:24" x14ac:dyDescent="0.25">
      <c r="A1857" s="23" t="s">
        <v>2380</v>
      </c>
      <c r="B1857" s="22">
        <v>45418</v>
      </c>
      <c r="C1857" s="23" t="s">
        <v>704</v>
      </c>
      <c r="D1857" s="23" t="s">
        <v>105</v>
      </c>
      <c r="E1857" s="23" t="s">
        <v>250</v>
      </c>
      <c r="F1857" s="23" t="s">
        <v>2598</v>
      </c>
      <c r="G1857" s="23" t="s">
        <v>2581</v>
      </c>
      <c r="H1857" s="23" t="s">
        <v>252</v>
      </c>
      <c r="I1857" s="23" t="s">
        <v>53</v>
      </c>
      <c r="J1857" s="23" t="s">
        <v>122</v>
      </c>
      <c r="K1857" s="23" t="s">
        <v>90</v>
      </c>
      <c r="L1857" s="23" t="s">
        <v>2684</v>
      </c>
      <c r="M1857" s="23" t="s">
        <v>61</v>
      </c>
      <c r="N1857" s="23" t="s">
        <v>2578</v>
      </c>
      <c r="O1857" s="23">
        <v>5</v>
      </c>
      <c r="P1857" s="23">
        <v>68.19</v>
      </c>
      <c r="Q1857" s="23">
        <v>38.97</v>
      </c>
      <c r="R1857" s="23">
        <v>340.94</v>
      </c>
      <c r="S1857" s="23">
        <v>0.02</v>
      </c>
      <c r="T1857" s="23">
        <v>6.82</v>
      </c>
      <c r="U1857" s="23">
        <v>334.12</v>
      </c>
      <c r="V1857" s="23">
        <v>194.83</v>
      </c>
      <c r="W1857" s="23">
        <v>139.30000000000001</v>
      </c>
      <c r="X1857" s="23" t="s">
        <v>45</v>
      </c>
    </row>
    <row r="1858" spans="1:24" x14ac:dyDescent="0.25">
      <c r="A1858" s="20" t="s">
        <v>2381</v>
      </c>
      <c r="B1858" s="19">
        <v>45511</v>
      </c>
      <c r="C1858" s="20" t="s">
        <v>1159</v>
      </c>
      <c r="D1858" s="20" t="s">
        <v>159</v>
      </c>
      <c r="E1858" s="20" t="s">
        <v>66</v>
      </c>
      <c r="F1858" s="20" t="s">
        <v>2582</v>
      </c>
      <c r="G1858" s="20" t="s">
        <v>2579</v>
      </c>
      <c r="H1858" s="20" t="s">
        <v>68</v>
      </c>
      <c r="I1858" s="20" t="s">
        <v>88</v>
      </c>
      <c r="J1858" s="20" t="s">
        <v>183</v>
      </c>
      <c r="K1858" s="20" t="s">
        <v>265</v>
      </c>
      <c r="L1858" s="20" t="s">
        <v>2663</v>
      </c>
      <c r="M1858" s="20" t="s">
        <v>61</v>
      </c>
      <c r="N1858" s="20" t="s">
        <v>84</v>
      </c>
      <c r="O1858" s="20">
        <v>24</v>
      </c>
      <c r="P1858" s="20">
        <v>165.38</v>
      </c>
      <c r="Q1858" s="20">
        <v>100.91</v>
      </c>
      <c r="R1858" s="20">
        <v>3969.17</v>
      </c>
      <c r="S1858" s="20">
        <v>0.05</v>
      </c>
      <c r="T1858" s="20">
        <v>198.46</v>
      </c>
      <c r="U1858" s="20">
        <v>3770.71</v>
      </c>
      <c r="V1858" s="20">
        <v>2421.86</v>
      </c>
      <c r="W1858" s="20">
        <v>1348.86</v>
      </c>
      <c r="X1858" s="20" t="s">
        <v>45</v>
      </c>
    </row>
    <row r="1859" spans="1:24" x14ac:dyDescent="0.25">
      <c r="A1859" s="23" t="s">
        <v>2382</v>
      </c>
      <c r="B1859" s="22">
        <v>45410</v>
      </c>
      <c r="C1859" s="23" t="s">
        <v>1071</v>
      </c>
      <c r="D1859" s="23" t="s">
        <v>105</v>
      </c>
      <c r="E1859" s="23" t="s">
        <v>36</v>
      </c>
      <c r="F1859" s="23" t="s">
        <v>37</v>
      </c>
      <c r="G1859" s="23" t="s">
        <v>2579</v>
      </c>
      <c r="H1859" s="23" t="s">
        <v>39</v>
      </c>
      <c r="I1859" s="23" t="s">
        <v>88</v>
      </c>
      <c r="J1859" s="23" t="s">
        <v>135</v>
      </c>
      <c r="K1859" s="23" t="s">
        <v>74</v>
      </c>
      <c r="L1859" s="23" t="s">
        <v>2682</v>
      </c>
      <c r="M1859" s="23" t="s">
        <v>43</v>
      </c>
      <c r="N1859" s="23" t="s">
        <v>44</v>
      </c>
      <c r="O1859" s="23">
        <v>13</v>
      </c>
      <c r="P1859" s="23">
        <v>156.66</v>
      </c>
      <c r="Q1859" s="23">
        <v>105.24</v>
      </c>
      <c r="R1859" s="23">
        <v>2036.63</v>
      </c>
      <c r="S1859" s="23">
        <v>0.2</v>
      </c>
      <c r="T1859" s="23">
        <v>407.33</v>
      </c>
      <c r="U1859" s="23">
        <v>1629.3</v>
      </c>
      <c r="V1859" s="23">
        <v>1368.13</v>
      </c>
      <c r="W1859" s="23">
        <v>261.17</v>
      </c>
      <c r="X1859" s="23" t="s">
        <v>45</v>
      </c>
    </row>
    <row r="1860" spans="1:24" x14ac:dyDescent="0.25">
      <c r="A1860" s="20" t="s">
        <v>2383</v>
      </c>
      <c r="B1860" s="19">
        <v>45490</v>
      </c>
      <c r="C1860" s="20" t="s">
        <v>120</v>
      </c>
      <c r="D1860" s="20" t="s">
        <v>121</v>
      </c>
      <c r="E1860" s="20" t="s">
        <v>99</v>
      </c>
      <c r="F1860" s="20" t="s">
        <v>100</v>
      </c>
      <c r="G1860" s="20" t="s">
        <v>2587</v>
      </c>
      <c r="H1860" s="20" t="s">
        <v>102</v>
      </c>
      <c r="I1860" s="20" t="s">
        <v>40</v>
      </c>
      <c r="J1860" s="20" t="s">
        <v>41</v>
      </c>
      <c r="K1860" s="20" t="s">
        <v>60</v>
      </c>
      <c r="L1860" s="20" t="s">
        <v>2677</v>
      </c>
      <c r="M1860" s="20" t="s">
        <v>61</v>
      </c>
      <c r="N1860" s="20" t="s">
        <v>70</v>
      </c>
      <c r="O1860" s="20">
        <v>55</v>
      </c>
      <c r="P1860" s="20">
        <v>73.83</v>
      </c>
      <c r="Q1860" s="20">
        <v>42.5</v>
      </c>
      <c r="R1860" s="20">
        <v>4060.67</v>
      </c>
      <c r="S1860" s="20">
        <v>0.05</v>
      </c>
      <c r="T1860" s="20">
        <v>203.03</v>
      </c>
      <c r="U1860" s="20">
        <v>3857.64</v>
      </c>
      <c r="V1860" s="20">
        <v>2337.44</v>
      </c>
      <c r="W1860" s="20">
        <v>1520.2</v>
      </c>
      <c r="X1860" s="20" t="s">
        <v>45</v>
      </c>
    </row>
    <row r="1861" spans="1:24" x14ac:dyDescent="0.25">
      <c r="A1861" s="23" t="s">
        <v>2384</v>
      </c>
      <c r="B1861" s="22">
        <v>45645</v>
      </c>
      <c r="C1861" s="23" t="s">
        <v>278</v>
      </c>
      <c r="D1861" s="23" t="s">
        <v>48</v>
      </c>
      <c r="E1861" s="23" t="s">
        <v>132</v>
      </c>
      <c r="F1861" s="23" t="s">
        <v>133</v>
      </c>
      <c r="G1861" s="23" t="s">
        <v>2581</v>
      </c>
      <c r="H1861" s="23" t="s">
        <v>134</v>
      </c>
      <c r="I1861" s="23" t="s">
        <v>88</v>
      </c>
      <c r="J1861" s="23" t="s">
        <v>183</v>
      </c>
      <c r="K1861" s="23" t="s">
        <v>60</v>
      </c>
      <c r="L1861" s="23" t="s">
        <v>2677</v>
      </c>
      <c r="M1861" s="23" t="s">
        <v>61</v>
      </c>
      <c r="N1861" s="23" t="s">
        <v>75</v>
      </c>
      <c r="O1861" s="23">
        <v>12</v>
      </c>
      <c r="P1861" s="23">
        <v>63.26</v>
      </c>
      <c r="Q1861" s="23">
        <v>36.18</v>
      </c>
      <c r="R1861" s="23">
        <v>759.15</v>
      </c>
      <c r="S1861" s="23">
        <v>0.2</v>
      </c>
      <c r="T1861" s="23">
        <v>151.83000000000001</v>
      </c>
      <c r="U1861" s="23">
        <v>607.32000000000005</v>
      </c>
      <c r="V1861" s="23">
        <v>434.11</v>
      </c>
      <c r="W1861" s="23">
        <v>173.21</v>
      </c>
      <c r="X1861" s="23" t="s">
        <v>45</v>
      </c>
    </row>
    <row r="1862" spans="1:24" x14ac:dyDescent="0.25">
      <c r="A1862" s="20" t="s">
        <v>2385</v>
      </c>
      <c r="B1862" s="19">
        <v>45542</v>
      </c>
      <c r="C1862" s="20" t="s">
        <v>1215</v>
      </c>
      <c r="D1862" s="20" t="s">
        <v>163</v>
      </c>
      <c r="E1862" s="20" t="s">
        <v>141</v>
      </c>
      <c r="F1862" s="20" t="s">
        <v>2590</v>
      </c>
      <c r="G1862" s="20" t="s">
        <v>2577</v>
      </c>
      <c r="H1862" s="20" t="s">
        <v>26</v>
      </c>
      <c r="I1862" s="20" t="s">
        <v>53</v>
      </c>
      <c r="J1862" s="20" t="s">
        <v>54</v>
      </c>
      <c r="K1862" s="20" t="s">
        <v>170</v>
      </c>
      <c r="L1862" s="20" t="s">
        <v>2671</v>
      </c>
      <c r="M1862" s="20" t="s">
        <v>30</v>
      </c>
      <c r="N1862" s="20" t="s">
        <v>2578</v>
      </c>
      <c r="O1862" s="20">
        <v>57</v>
      </c>
      <c r="P1862" s="20">
        <v>88.34</v>
      </c>
      <c r="Q1862" s="20">
        <v>54.22</v>
      </c>
      <c r="R1862" s="20">
        <v>5035.3500000000004</v>
      </c>
      <c r="S1862" s="20">
        <v>0.05</v>
      </c>
      <c r="T1862" s="20">
        <v>251.77</v>
      </c>
      <c r="U1862" s="20">
        <v>4783.58</v>
      </c>
      <c r="V1862" s="20">
        <v>3090.38</v>
      </c>
      <c r="W1862" s="20">
        <v>1693.21</v>
      </c>
      <c r="X1862" s="20" t="s">
        <v>45</v>
      </c>
    </row>
    <row r="1863" spans="1:24" x14ac:dyDescent="0.25">
      <c r="A1863" s="23" t="s">
        <v>2386</v>
      </c>
      <c r="B1863" s="22">
        <v>45579</v>
      </c>
      <c r="C1863" s="23" t="s">
        <v>763</v>
      </c>
      <c r="D1863" s="23" t="s">
        <v>105</v>
      </c>
      <c r="E1863" s="23" t="s">
        <v>93</v>
      </c>
      <c r="F1863" s="23" t="s">
        <v>2585</v>
      </c>
      <c r="G1863" s="23" t="s">
        <v>2586</v>
      </c>
      <c r="H1863" s="23" t="s">
        <v>96</v>
      </c>
      <c r="I1863" s="23" t="s">
        <v>40</v>
      </c>
      <c r="J1863" s="23" t="s">
        <v>41</v>
      </c>
      <c r="K1863" s="23" t="s">
        <v>74</v>
      </c>
      <c r="L1863" s="23" t="s">
        <v>2682</v>
      </c>
      <c r="M1863" s="23" t="s">
        <v>30</v>
      </c>
      <c r="N1863" s="23" t="s">
        <v>84</v>
      </c>
      <c r="O1863" s="23">
        <v>42</v>
      </c>
      <c r="P1863" s="23">
        <v>51.51</v>
      </c>
      <c r="Q1863" s="23">
        <v>34.06</v>
      </c>
      <c r="R1863" s="23">
        <v>2163.31</v>
      </c>
      <c r="S1863" s="23">
        <v>0.2</v>
      </c>
      <c r="T1863" s="23">
        <v>432.66</v>
      </c>
      <c r="U1863" s="23">
        <v>1730.65</v>
      </c>
      <c r="V1863" s="23">
        <v>1430.56</v>
      </c>
      <c r="W1863" s="23">
        <v>300.08999999999997</v>
      </c>
      <c r="X1863" s="23" t="s">
        <v>45</v>
      </c>
    </row>
    <row r="1864" spans="1:24" x14ac:dyDescent="0.25">
      <c r="A1864" s="20" t="s">
        <v>2387</v>
      </c>
      <c r="B1864" s="19">
        <v>45328</v>
      </c>
      <c r="C1864" s="20" t="s">
        <v>535</v>
      </c>
      <c r="D1864" s="20" t="s">
        <v>221</v>
      </c>
      <c r="E1864" s="20" t="s">
        <v>165</v>
      </c>
      <c r="F1864" s="20" t="s">
        <v>2592</v>
      </c>
      <c r="G1864" s="20" t="s">
        <v>2586</v>
      </c>
      <c r="H1864" s="20" t="s">
        <v>167</v>
      </c>
      <c r="I1864" s="20" t="s">
        <v>88</v>
      </c>
      <c r="J1864" s="20" t="s">
        <v>183</v>
      </c>
      <c r="K1864" s="20" t="s">
        <v>111</v>
      </c>
      <c r="L1864" s="20" t="s">
        <v>2685</v>
      </c>
      <c r="M1864" s="20" t="s">
        <v>43</v>
      </c>
      <c r="N1864" s="20" t="s">
        <v>2578</v>
      </c>
      <c r="O1864" s="20">
        <v>51</v>
      </c>
      <c r="P1864" s="20">
        <v>41.06</v>
      </c>
      <c r="Q1864" s="20">
        <v>24.17</v>
      </c>
      <c r="R1864" s="20">
        <v>2093.84</v>
      </c>
      <c r="S1864" s="20">
        <v>0.2</v>
      </c>
      <c r="T1864" s="20">
        <v>418.77</v>
      </c>
      <c r="U1864" s="20">
        <v>1675.08</v>
      </c>
      <c r="V1864" s="20">
        <v>1232.8900000000001</v>
      </c>
      <c r="W1864" s="20">
        <v>442.18</v>
      </c>
      <c r="X1864" s="20" t="s">
        <v>45</v>
      </c>
    </row>
    <row r="1865" spans="1:24" x14ac:dyDescent="0.25">
      <c r="A1865" s="23" t="s">
        <v>2388</v>
      </c>
      <c r="B1865" s="22">
        <v>45507</v>
      </c>
      <c r="C1865" s="23" t="s">
        <v>337</v>
      </c>
      <c r="D1865" s="23" t="s">
        <v>87</v>
      </c>
      <c r="E1865" s="23" t="s">
        <v>99</v>
      </c>
      <c r="F1865" s="23" t="s">
        <v>100</v>
      </c>
      <c r="G1865" s="23" t="s">
        <v>2587</v>
      </c>
      <c r="H1865" s="23" t="s">
        <v>102</v>
      </c>
      <c r="I1865" s="23" t="s">
        <v>27</v>
      </c>
      <c r="J1865" s="23" t="s">
        <v>106</v>
      </c>
      <c r="K1865" s="23" t="s">
        <v>253</v>
      </c>
      <c r="L1865" s="23" t="s">
        <v>2694</v>
      </c>
      <c r="M1865" s="23" t="s">
        <v>30</v>
      </c>
      <c r="N1865" s="23" t="s">
        <v>70</v>
      </c>
      <c r="O1865" s="23">
        <v>28</v>
      </c>
      <c r="P1865" s="23">
        <v>66.17</v>
      </c>
      <c r="Q1865" s="23">
        <v>42.29</v>
      </c>
      <c r="R1865" s="23">
        <v>1852.73</v>
      </c>
      <c r="S1865" s="23">
        <v>0.02</v>
      </c>
      <c r="T1865" s="23">
        <v>37.049999999999997</v>
      </c>
      <c r="U1865" s="23">
        <v>1815.68</v>
      </c>
      <c r="V1865" s="23">
        <v>1183.98</v>
      </c>
      <c r="W1865" s="23">
        <v>631.70000000000005</v>
      </c>
      <c r="X1865" s="23" t="s">
        <v>45</v>
      </c>
    </row>
    <row r="1866" spans="1:24" x14ac:dyDescent="0.25">
      <c r="A1866" s="20" t="s">
        <v>2389</v>
      </c>
      <c r="B1866" s="19">
        <v>45311</v>
      </c>
      <c r="C1866" s="20" t="s">
        <v>852</v>
      </c>
      <c r="D1866" s="20" t="s">
        <v>57</v>
      </c>
      <c r="E1866" s="20" t="s">
        <v>187</v>
      </c>
      <c r="F1866" s="20" t="s">
        <v>2594</v>
      </c>
      <c r="G1866" s="20" t="s">
        <v>2577</v>
      </c>
      <c r="H1866" s="20" t="s">
        <v>26</v>
      </c>
      <c r="I1866" s="20" t="s">
        <v>88</v>
      </c>
      <c r="J1866" s="20" t="s">
        <v>183</v>
      </c>
      <c r="K1866" s="20" t="s">
        <v>29</v>
      </c>
      <c r="L1866" s="20" t="s">
        <v>2679</v>
      </c>
      <c r="M1866" s="20" t="s">
        <v>547</v>
      </c>
      <c r="N1866" s="20" t="s">
        <v>2578</v>
      </c>
      <c r="O1866" s="20">
        <v>14</v>
      </c>
      <c r="P1866" s="20">
        <v>50.79</v>
      </c>
      <c r="Q1866" s="20">
        <v>29.57</v>
      </c>
      <c r="R1866" s="20">
        <v>711.04</v>
      </c>
      <c r="S1866" s="20">
        <v>0.15</v>
      </c>
      <c r="T1866" s="20">
        <v>106.66</v>
      </c>
      <c r="U1866" s="20">
        <v>604.38</v>
      </c>
      <c r="V1866" s="20">
        <v>414.01</v>
      </c>
      <c r="W1866" s="20">
        <v>190.38</v>
      </c>
      <c r="X1866" s="20" t="s">
        <v>32</v>
      </c>
    </row>
    <row r="1867" spans="1:24" x14ac:dyDescent="0.25">
      <c r="A1867" s="23" t="s">
        <v>2390</v>
      </c>
      <c r="B1867" s="22">
        <v>45601</v>
      </c>
      <c r="C1867" s="23" t="s">
        <v>631</v>
      </c>
      <c r="D1867" s="23" t="s">
        <v>105</v>
      </c>
      <c r="E1867" s="23" t="s">
        <v>93</v>
      </c>
      <c r="F1867" s="23" t="s">
        <v>2585</v>
      </c>
      <c r="G1867" s="23" t="s">
        <v>2586</v>
      </c>
      <c r="H1867" s="23" t="s">
        <v>96</v>
      </c>
      <c r="I1867" s="23" t="s">
        <v>27</v>
      </c>
      <c r="J1867" s="23" t="s">
        <v>189</v>
      </c>
      <c r="K1867" s="23" t="s">
        <v>170</v>
      </c>
      <c r="L1867" s="23" t="s">
        <v>2671</v>
      </c>
      <c r="M1867" s="23" t="s">
        <v>30</v>
      </c>
      <c r="N1867" s="23" t="s">
        <v>2578</v>
      </c>
      <c r="O1867" s="23">
        <v>23</v>
      </c>
      <c r="P1867" s="23">
        <v>55.96</v>
      </c>
      <c r="Q1867" s="23">
        <v>31.23</v>
      </c>
      <c r="R1867" s="23">
        <v>1286.97</v>
      </c>
      <c r="S1867" s="23">
        <v>0.15</v>
      </c>
      <c r="T1867" s="23">
        <v>193.04</v>
      </c>
      <c r="U1867" s="23">
        <v>1093.92</v>
      </c>
      <c r="V1867" s="23">
        <v>718.28</v>
      </c>
      <c r="W1867" s="23">
        <v>375.64</v>
      </c>
      <c r="X1867" s="23" t="s">
        <v>129</v>
      </c>
    </row>
    <row r="1868" spans="1:24" x14ac:dyDescent="0.25">
      <c r="A1868" s="20" t="s">
        <v>2391</v>
      </c>
      <c r="B1868" s="19">
        <v>45415</v>
      </c>
      <c r="C1868" s="20" t="s">
        <v>464</v>
      </c>
      <c r="D1868" s="20" t="s">
        <v>105</v>
      </c>
      <c r="E1868" s="20" t="s">
        <v>109</v>
      </c>
      <c r="F1868" s="20" t="s">
        <v>110</v>
      </c>
      <c r="G1868" s="20" t="s">
        <v>2584</v>
      </c>
      <c r="H1868" s="20" t="s">
        <v>81</v>
      </c>
      <c r="I1868" s="20" t="s">
        <v>88</v>
      </c>
      <c r="J1868" s="20" t="s">
        <v>135</v>
      </c>
      <c r="K1868" s="20" t="s">
        <v>248</v>
      </c>
      <c r="L1868" s="20" t="s">
        <v>2693</v>
      </c>
      <c r="M1868" s="20" t="s">
        <v>43</v>
      </c>
      <c r="N1868" s="20" t="s">
        <v>44</v>
      </c>
      <c r="O1868" s="20">
        <v>29</v>
      </c>
      <c r="P1868" s="20">
        <v>117.35</v>
      </c>
      <c r="Q1868" s="20">
        <v>75.77</v>
      </c>
      <c r="R1868" s="20">
        <v>3403.17</v>
      </c>
      <c r="S1868" s="20">
        <v>0.05</v>
      </c>
      <c r="T1868" s="20">
        <v>170.16</v>
      </c>
      <c r="U1868" s="20">
        <v>3233.01</v>
      </c>
      <c r="V1868" s="20">
        <v>2197.23</v>
      </c>
      <c r="W1868" s="20">
        <v>1035.77</v>
      </c>
      <c r="X1868" s="20" t="s">
        <v>45</v>
      </c>
    </row>
    <row r="1869" spans="1:24" x14ac:dyDescent="0.25">
      <c r="A1869" s="23" t="s">
        <v>2392</v>
      </c>
      <c r="B1869" s="22">
        <v>45642</v>
      </c>
      <c r="C1869" s="23" t="s">
        <v>1137</v>
      </c>
      <c r="D1869" s="23" t="s">
        <v>163</v>
      </c>
      <c r="E1869" s="23" t="s">
        <v>66</v>
      </c>
      <c r="F1869" s="23" t="s">
        <v>2582</v>
      </c>
      <c r="G1869" s="23" t="s">
        <v>2579</v>
      </c>
      <c r="H1869" s="23" t="s">
        <v>68</v>
      </c>
      <c r="I1869" s="23" t="s">
        <v>53</v>
      </c>
      <c r="J1869" s="23" t="s">
        <v>54</v>
      </c>
      <c r="K1869" s="23" t="s">
        <v>118</v>
      </c>
      <c r="L1869" s="23" t="s">
        <v>2686</v>
      </c>
      <c r="M1869" s="23" t="s">
        <v>30</v>
      </c>
      <c r="N1869" s="23" t="s">
        <v>70</v>
      </c>
      <c r="O1869" s="23">
        <v>63</v>
      </c>
      <c r="P1869" s="23">
        <v>171.38</v>
      </c>
      <c r="Q1869" s="23">
        <v>106.36</v>
      </c>
      <c r="R1869" s="23">
        <v>10796.81</v>
      </c>
      <c r="S1869" s="23">
        <v>0</v>
      </c>
      <c r="T1869" s="23">
        <v>0</v>
      </c>
      <c r="U1869" s="23">
        <v>10796.81</v>
      </c>
      <c r="V1869" s="23">
        <v>6700.58</v>
      </c>
      <c r="W1869" s="23">
        <v>4096.22</v>
      </c>
      <c r="X1869" s="23" t="s">
        <v>129</v>
      </c>
    </row>
    <row r="1870" spans="1:24" x14ac:dyDescent="0.25">
      <c r="A1870" s="20" t="s">
        <v>2393</v>
      </c>
      <c r="B1870" s="19">
        <v>45351</v>
      </c>
      <c r="C1870" s="20" t="s">
        <v>526</v>
      </c>
      <c r="D1870" s="20" t="s">
        <v>159</v>
      </c>
      <c r="E1870" s="20" t="s">
        <v>66</v>
      </c>
      <c r="F1870" s="20" t="s">
        <v>2582</v>
      </c>
      <c r="G1870" s="20" t="s">
        <v>2579</v>
      </c>
      <c r="H1870" s="20" t="s">
        <v>68</v>
      </c>
      <c r="I1870" s="20" t="s">
        <v>40</v>
      </c>
      <c r="J1870" s="20" t="s">
        <v>117</v>
      </c>
      <c r="K1870" s="20" t="s">
        <v>90</v>
      </c>
      <c r="L1870" s="20" t="s">
        <v>2684</v>
      </c>
      <c r="M1870" s="20" t="s">
        <v>61</v>
      </c>
      <c r="N1870" s="20" t="s">
        <v>75</v>
      </c>
      <c r="O1870" s="20">
        <v>15</v>
      </c>
      <c r="P1870" s="20">
        <v>161.72999999999999</v>
      </c>
      <c r="Q1870" s="20">
        <v>105.32</v>
      </c>
      <c r="R1870" s="20">
        <v>2426.0100000000002</v>
      </c>
      <c r="S1870" s="20">
        <v>0.1</v>
      </c>
      <c r="T1870" s="20">
        <v>242.6</v>
      </c>
      <c r="U1870" s="20">
        <v>2183.41</v>
      </c>
      <c r="V1870" s="20">
        <v>1579.8</v>
      </c>
      <c r="W1870" s="20">
        <v>603.61</v>
      </c>
      <c r="X1870" s="20" t="s">
        <v>45</v>
      </c>
    </row>
    <row r="1871" spans="1:24" x14ac:dyDescent="0.25">
      <c r="A1871" s="23" t="s">
        <v>2394</v>
      </c>
      <c r="B1871" s="22">
        <v>45565</v>
      </c>
      <c r="C1871" s="23" t="s">
        <v>293</v>
      </c>
      <c r="D1871" s="23" t="s">
        <v>65</v>
      </c>
      <c r="E1871" s="23" t="s">
        <v>109</v>
      </c>
      <c r="F1871" s="23" t="s">
        <v>110</v>
      </c>
      <c r="G1871" s="23" t="s">
        <v>2584</v>
      </c>
      <c r="H1871" s="23" t="s">
        <v>81</v>
      </c>
      <c r="I1871" s="23" t="s">
        <v>27</v>
      </c>
      <c r="J1871" s="23" t="s">
        <v>189</v>
      </c>
      <c r="K1871" s="23" t="s">
        <v>170</v>
      </c>
      <c r="L1871" s="23" t="s">
        <v>2671</v>
      </c>
      <c r="M1871" s="23" t="s">
        <v>153</v>
      </c>
      <c r="N1871" s="23" t="s">
        <v>44</v>
      </c>
      <c r="O1871" s="23">
        <v>26</v>
      </c>
      <c r="P1871" s="23">
        <v>127.4</v>
      </c>
      <c r="Q1871" s="23">
        <v>74.400000000000006</v>
      </c>
      <c r="R1871" s="23">
        <v>3312.44</v>
      </c>
      <c r="S1871" s="23">
        <v>0.2</v>
      </c>
      <c r="T1871" s="23">
        <v>662.49</v>
      </c>
      <c r="U1871" s="23">
        <v>2649.95</v>
      </c>
      <c r="V1871" s="23">
        <v>1934.3</v>
      </c>
      <c r="W1871" s="23">
        <v>715.65</v>
      </c>
      <c r="X1871" s="23" t="s">
        <v>45</v>
      </c>
    </row>
    <row r="1872" spans="1:24" x14ac:dyDescent="0.25">
      <c r="A1872" s="20" t="s">
        <v>2395</v>
      </c>
      <c r="B1872" s="19">
        <v>45511</v>
      </c>
      <c r="C1872" s="20" t="s">
        <v>287</v>
      </c>
      <c r="D1872" s="20" t="s">
        <v>65</v>
      </c>
      <c r="E1872" s="20" t="s">
        <v>165</v>
      </c>
      <c r="F1872" s="20" t="s">
        <v>2592</v>
      </c>
      <c r="G1872" s="20" t="s">
        <v>2586</v>
      </c>
      <c r="H1872" s="20" t="s">
        <v>167</v>
      </c>
      <c r="I1872" s="20" t="s">
        <v>53</v>
      </c>
      <c r="J1872" s="20" t="s">
        <v>232</v>
      </c>
      <c r="K1872" s="20" t="s">
        <v>83</v>
      </c>
      <c r="L1872" s="20" t="s">
        <v>2683</v>
      </c>
      <c r="M1872" s="20" t="s">
        <v>153</v>
      </c>
      <c r="N1872" s="20" t="s">
        <v>84</v>
      </c>
      <c r="O1872" s="20">
        <v>28</v>
      </c>
      <c r="P1872" s="20">
        <v>39.630000000000003</v>
      </c>
      <c r="Q1872" s="20">
        <v>26.71</v>
      </c>
      <c r="R1872" s="20">
        <v>1109.5899999999999</v>
      </c>
      <c r="S1872" s="20">
        <v>0.1</v>
      </c>
      <c r="T1872" s="20">
        <v>110.96</v>
      </c>
      <c r="U1872" s="20">
        <v>998.63</v>
      </c>
      <c r="V1872" s="20">
        <v>747.78</v>
      </c>
      <c r="W1872" s="20">
        <v>250.86</v>
      </c>
      <c r="X1872" s="20" t="s">
        <v>32</v>
      </c>
    </row>
    <row r="1873" spans="1:24" x14ac:dyDescent="0.25">
      <c r="A1873" s="23" t="s">
        <v>2396</v>
      </c>
      <c r="B1873" s="22">
        <v>45329</v>
      </c>
      <c r="C1873" s="23" t="s">
        <v>531</v>
      </c>
      <c r="D1873" s="23" t="s">
        <v>264</v>
      </c>
      <c r="E1873" s="23" t="s">
        <v>23</v>
      </c>
      <c r="F1873" s="23" t="s">
        <v>2576</v>
      </c>
      <c r="G1873" s="23" t="s">
        <v>2577</v>
      </c>
      <c r="H1873" s="23" t="s">
        <v>26</v>
      </c>
      <c r="I1873" s="23" t="s">
        <v>53</v>
      </c>
      <c r="J1873" s="23" t="s">
        <v>54</v>
      </c>
      <c r="K1873" s="23" t="s">
        <v>144</v>
      </c>
      <c r="L1873" s="23" t="s">
        <v>2687</v>
      </c>
      <c r="M1873" s="23" t="s">
        <v>43</v>
      </c>
      <c r="N1873" s="23" t="s">
        <v>44</v>
      </c>
      <c r="O1873" s="23">
        <v>41</v>
      </c>
      <c r="P1873" s="23">
        <v>79.98</v>
      </c>
      <c r="Q1873" s="23">
        <v>43.03</v>
      </c>
      <c r="R1873" s="23">
        <v>3279.1</v>
      </c>
      <c r="S1873" s="23">
        <v>0.15</v>
      </c>
      <c r="T1873" s="23">
        <v>491.87</v>
      </c>
      <c r="U1873" s="23">
        <v>2787.24</v>
      </c>
      <c r="V1873" s="23">
        <v>1764.28</v>
      </c>
      <c r="W1873" s="23">
        <v>1022.96</v>
      </c>
      <c r="X1873" s="23" t="s">
        <v>45</v>
      </c>
    </row>
    <row r="1874" spans="1:24" x14ac:dyDescent="0.25">
      <c r="A1874" s="20" t="s">
        <v>2397</v>
      </c>
      <c r="B1874" s="19">
        <v>45557</v>
      </c>
      <c r="C1874" s="20" t="s">
        <v>2619</v>
      </c>
      <c r="D1874" s="20" t="s">
        <v>2619</v>
      </c>
      <c r="E1874" s="20" t="s">
        <v>49</v>
      </c>
      <c r="F1874" s="20" t="s">
        <v>2580</v>
      </c>
      <c r="G1874" s="20" t="s">
        <v>2581</v>
      </c>
      <c r="H1874" s="20" t="s">
        <v>52</v>
      </c>
      <c r="I1874" s="20" t="s">
        <v>53</v>
      </c>
      <c r="J1874" s="20" t="s">
        <v>143</v>
      </c>
      <c r="K1874" s="20" t="s">
        <v>111</v>
      </c>
      <c r="L1874" s="20" t="s">
        <v>2685</v>
      </c>
      <c r="M1874" s="20" t="s">
        <v>43</v>
      </c>
      <c r="N1874" s="20" t="s">
        <v>70</v>
      </c>
      <c r="O1874" s="20">
        <v>13</v>
      </c>
      <c r="P1874" s="20">
        <v>26.3</v>
      </c>
      <c r="Q1874" s="20">
        <v>13.72</v>
      </c>
      <c r="R1874" s="20">
        <v>341.92</v>
      </c>
      <c r="S1874" s="20">
        <v>0</v>
      </c>
      <c r="T1874" s="20">
        <v>0</v>
      </c>
      <c r="U1874" s="20">
        <v>341.92</v>
      </c>
      <c r="V1874" s="20">
        <v>178.33</v>
      </c>
      <c r="W1874" s="20">
        <v>163.6</v>
      </c>
      <c r="X1874" s="20" t="s">
        <v>45</v>
      </c>
    </row>
    <row r="1875" spans="1:24" x14ac:dyDescent="0.25">
      <c r="A1875" s="23" t="s">
        <v>2398</v>
      </c>
      <c r="B1875" s="22">
        <v>45516</v>
      </c>
      <c r="C1875" s="23" t="s">
        <v>239</v>
      </c>
      <c r="D1875" s="23" t="s">
        <v>65</v>
      </c>
      <c r="E1875" s="23" t="s">
        <v>150</v>
      </c>
      <c r="F1875" s="23" t="s">
        <v>2591</v>
      </c>
      <c r="G1875" s="23" t="s">
        <v>2587</v>
      </c>
      <c r="H1875" s="23" t="s">
        <v>134</v>
      </c>
      <c r="I1875" s="23" t="s">
        <v>58</v>
      </c>
      <c r="J1875" s="23" t="s">
        <v>59</v>
      </c>
      <c r="K1875" s="23" t="s">
        <v>29</v>
      </c>
      <c r="L1875" s="23" t="s">
        <v>2679</v>
      </c>
      <c r="M1875" s="23" t="s">
        <v>153</v>
      </c>
      <c r="N1875" s="23" t="s">
        <v>75</v>
      </c>
      <c r="O1875" s="23">
        <v>80</v>
      </c>
      <c r="P1875" s="23">
        <v>81.62</v>
      </c>
      <c r="Q1875" s="23">
        <v>49.74</v>
      </c>
      <c r="R1875" s="23">
        <v>6529.96</v>
      </c>
      <c r="S1875" s="23">
        <v>0.05</v>
      </c>
      <c r="T1875" s="23">
        <v>326.5</v>
      </c>
      <c r="U1875" s="23">
        <v>6203.46</v>
      </c>
      <c r="V1875" s="23">
        <v>3979.27</v>
      </c>
      <c r="W1875" s="23">
        <v>2224.19</v>
      </c>
      <c r="X1875" s="23" t="s">
        <v>45</v>
      </c>
    </row>
    <row r="1876" spans="1:24" x14ac:dyDescent="0.25">
      <c r="A1876" s="20" t="s">
        <v>2399</v>
      </c>
      <c r="B1876" s="19">
        <v>45595</v>
      </c>
      <c r="C1876" s="20" t="s">
        <v>356</v>
      </c>
      <c r="D1876" s="20" t="s">
        <v>48</v>
      </c>
      <c r="E1876" s="20" t="s">
        <v>99</v>
      </c>
      <c r="F1876" s="20" t="s">
        <v>100</v>
      </c>
      <c r="G1876" s="20" t="s">
        <v>2587</v>
      </c>
      <c r="H1876" s="20" t="s">
        <v>102</v>
      </c>
      <c r="I1876" s="20" t="s">
        <v>53</v>
      </c>
      <c r="J1876" s="20" t="s">
        <v>143</v>
      </c>
      <c r="K1876" s="20" t="s">
        <v>253</v>
      </c>
      <c r="L1876" s="20" t="s">
        <v>2694</v>
      </c>
      <c r="M1876" s="20" t="s">
        <v>43</v>
      </c>
      <c r="N1876" s="20" t="s">
        <v>2578</v>
      </c>
      <c r="O1876" s="20">
        <v>77</v>
      </c>
      <c r="P1876" s="20">
        <v>65.55</v>
      </c>
      <c r="Q1876" s="20">
        <v>43.87</v>
      </c>
      <c r="R1876" s="20">
        <v>5047.2</v>
      </c>
      <c r="S1876" s="20">
        <v>0.1</v>
      </c>
      <c r="T1876" s="20">
        <v>504.72</v>
      </c>
      <c r="U1876" s="20">
        <v>4542.4799999999996</v>
      </c>
      <c r="V1876" s="20">
        <v>3377.85</v>
      </c>
      <c r="W1876" s="20">
        <v>1164.6300000000001</v>
      </c>
      <c r="X1876" s="20" t="s">
        <v>45</v>
      </c>
    </row>
    <row r="1877" spans="1:24" x14ac:dyDescent="0.25">
      <c r="A1877" s="23" t="s">
        <v>2400</v>
      </c>
      <c r="B1877" s="22">
        <v>45577</v>
      </c>
      <c r="C1877" s="23" t="s">
        <v>776</v>
      </c>
      <c r="D1877" s="23" t="s">
        <v>57</v>
      </c>
      <c r="E1877" s="23" t="s">
        <v>114</v>
      </c>
      <c r="F1877" s="23" t="s">
        <v>2588</v>
      </c>
      <c r="G1877" s="23" t="s">
        <v>2586</v>
      </c>
      <c r="H1877" s="23" t="s">
        <v>116</v>
      </c>
      <c r="I1877" s="23" t="s">
        <v>58</v>
      </c>
      <c r="J1877" s="23" t="s">
        <v>73</v>
      </c>
      <c r="K1877" s="23" t="s">
        <v>265</v>
      </c>
      <c r="L1877" s="23" t="s">
        <v>2663</v>
      </c>
      <c r="M1877" s="23" t="s">
        <v>153</v>
      </c>
      <c r="N1877" s="23" t="s">
        <v>84</v>
      </c>
      <c r="O1877" s="23">
        <v>55</v>
      </c>
      <c r="P1877" s="23">
        <v>36.33</v>
      </c>
      <c r="Q1877" s="23">
        <v>21.69</v>
      </c>
      <c r="R1877" s="23">
        <v>1998.27</v>
      </c>
      <c r="S1877" s="23">
        <v>0</v>
      </c>
      <c r="T1877" s="23">
        <v>0</v>
      </c>
      <c r="U1877" s="23">
        <v>1998.27</v>
      </c>
      <c r="V1877" s="23">
        <v>1192.8</v>
      </c>
      <c r="W1877" s="23">
        <v>805.47</v>
      </c>
      <c r="X1877" s="23" t="s">
        <v>45</v>
      </c>
    </row>
    <row r="1878" spans="1:24" x14ac:dyDescent="0.25">
      <c r="A1878" s="20" t="s">
        <v>2401</v>
      </c>
      <c r="B1878" s="19">
        <v>45517</v>
      </c>
      <c r="C1878" s="20" t="s">
        <v>426</v>
      </c>
      <c r="D1878" s="20" t="s">
        <v>57</v>
      </c>
      <c r="E1878" s="20" t="s">
        <v>165</v>
      </c>
      <c r="F1878" s="20" t="s">
        <v>2592</v>
      </c>
      <c r="G1878" s="20" t="s">
        <v>2586</v>
      </c>
      <c r="H1878" s="20" t="s">
        <v>167</v>
      </c>
      <c r="I1878" s="20" t="s">
        <v>58</v>
      </c>
      <c r="J1878" s="20" t="s">
        <v>345</v>
      </c>
      <c r="K1878" s="20" t="s">
        <v>261</v>
      </c>
      <c r="L1878" s="20" t="s">
        <v>2695</v>
      </c>
      <c r="M1878" s="20" t="s">
        <v>30</v>
      </c>
      <c r="N1878" s="20" t="s">
        <v>75</v>
      </c>
      <c r="O1878" s="20">
        <v>24</v>
      </c>
      <c r="P1878" s="20">
        <v>44.18</v>
      </c>
      <c r="Q1878" s="20">
        <v>26.82</v>
      </c>
      <c r="R1878" s="20">
        <v>1060.22</v>
      </c>
      <c r="S1878" s="20">
        <v>0.05</v>
      </c>
      <c r="T1878" s="20">
        <v>53.01</v>
      </c>
      <c r="U1878" s="20">
        <v>1007.21</v>
      </c>
      <c r="V1878" s="20">
        <v>643.69000000000005</v>
      </c>
      <c r="W1878" s="20">
        <v>363.52</v>
      </c>
      <c r="X1878" s="20" t="s">
        <v>45</v>
      </c>
    </row>
    <row r="1879" spans="1:24" x14ac:dyDescent="0.25">
      <c r="A1879" s="23" t="s">
        <v>2402</v>
      </c>
      <c r="B1879" s="22">
        <v>45466</v>
      </c>
      <c r="C1879" s="23" t="s">
        <v>802</v>
      </c>
      <c r="D1879" s="23" t="s">
        <v>22</v>
      </c>
      <c r="E1879" s="23" t="s">
        <v>216</v>
      </c>
      <c r="F1879" s="23" t="s">
        <v>2596</v>
      </c>
      <c r="G1879" s="23" t="s">
        <v>2579</v>
      </c>
      <c r="H1879" s="23" t="s">
        <v>134</v>
      </c>
      <c r="I1879" s="23" t="s">
        <v>53</v>
      </c>
      <c r="J1879" s="23" t="s">
        <v>143</v>
      </c>
      <c r="K1879" s="23" t="s">
        <v>74</v>
      </c>
      <c r="L1879" s="23" t="s">
        <v>2682</v>
      </c>
      <c r="M1879" s="23" t="s">
        <v>153</v>
      </c>
      <c r="N1879" s="23" t="s">
        <v>84</v>
      </c>
      <c r="O1879" s="23">
        <v>27</v>
      </c>
      <c r="P1879" s="23">
        <v>104.28</v>
      </c>
      <c r="Q1879" s="23">
        <v>70.81</v>
      </c>
      <c r="R1879" s="23">
        <v>2815.5</v>
      </c>
      <c r="S1879" s="23">
        <v>0.15</v>
      </c>
      <c r="T1879" s="23">
        <v>422.33</v>
      </c>
      <c r="U1879" s="23">
        <v>2393.1799999999998</v>
      </c>
      <c r="V1879" s="23">
        <v>1911.96</v>
      </c>
      <c r="W1879" s="23">
        <v>481.21</v>
      </c>
      <c r="X1879" s="23" t="s">
        <v>129</v>
      </c>
    </row>
    <row r="1880" spans="1:24" x14ac:dyDescent="0.25">
      <c r="A1880" s="20" t="s">
        <v>2403</v>
      </c>
      <c r="B1880" s="19">
        <v>45353</v>
      </c>
      <c r="C1880" s="20" t="s">
        <v>989</v>
      </c>
      <c r="D1880" s="20" t="s">
        <v>159</v>
      </c>
      <c r="E1880" s="20" t="s">
        <v>209</v>
      </c>
      <c r="F1880" s="20" t="s">
        <v>2595</v>
      </c>
      <c r="G1880" s="20" t="s">
        <v>2581</v>
      </c>
      <c r="H1880" s="20" t="s">
        <v>116</v>
      </c>
      <c r="I1880" s="20" t="s">
        <v>58</v>
      </c>
      <c r="J1880" s="20" t="s">
        <v>345</v>
      </c>
      <c r="K1880" s="20" t="s">
        <v>248</v>
      </c>
      <c r="L1880" s="20" t="s">
        <v>2693</v>
      </c>
      <c r="M1880" s="20" t="s">
        <v>61</v>
      </c>
      <c r="N1880" s="20" t="s">
        <v>70</v>
      </c>
      <c r="O1880" s="20">
        <v>39</v>
      </c>
      <c r="P1880" s="20">
        <v>17.079999999999998</v>
      </c>
      <c r="Q1880" s="20">
        <v>10.48</v>
      </c>
      <c r="R1880" s="20">
        <v>665.97</v>
      </c>
      <c r="S1880" s="20">
        <v>0.02</v>
      </c>
      <c r="T1880" s="20">
        <v>13.32</v>
      </c>
      <c r="U1880" s="20">
        <v>652.65</v>
      </c>
      <c r="V1880" s="20">
        <v>408.72</v>
      </c>
      <c r="W1880" s="20">
        <v>243.93</v>
      </c>
      <c r="X1880" s="20" t="s">
        <v>129</v>
      </c>
    </row>
    <row r="1881" spans="1:24" x14ac:dyDescent="0.25">
      <c r="A1881" s="23" t="s">
        <v>2404</v>
      </c>
      <c r="B1881" s="22">
        <v>45395</v>
      </c>
      <c r="C1881" s="23" t="s">
        <v>297</v>
      </c>
      <c r="D1881" s="23" t="s">
        <v>87</v>
      </c>
      <c r="E1881" s="23" t="s">
        <v>216</v>
      </c>
      <c r="F1881" s="23" t="s">
        <v>2596</v>
      </c>
      <c r="G1881" s="23" t="s">
        <v>2579</v>
      </c>
      <c r="H1881" s="23" t="s">
        <v>134</v>
      </c>
      <c r="I1881" s="23" t="s">
        <v>58</v>
      </c>
      <c r="J1881" s="23" t="s">
        <v>59</v>
      </c>
      <c r="K1881" s="23" t="s">
        <v>42</v>
      </c>
      <c r="L1881" s="23" t="s">
        <v>2680</v>
      </c>
      <c r="M1881" s="23" t="s">
        <v>43</v>
      </c>
      <c r="N1881" s="23" t="s">
        <v>84</v>
      </c>
      <c r="O1881" s="23">
        <v>43</v>
      </c>
      <c r="P1881" s="23">
        <v>115.29</v>
      </c>
      <c r="Q1881" s="23">
        <v>63.79</v>
      </c>
      <c r="R1881" s="23">
        <v>4957.4799999999996</v>
      </c>
      <c r="S1881" s="23">
        <v>0.02</v>
      </c>
      <c r="T1881" s="23">
        <v>99.15</v>
      </c>
      <c r="U1881" s="23">
        <v>4858.33</v>
      </c>
      <c r="V1881" s="23">
        <v>2742.78</v>
      </c>
      <c r="W1881" s="23">
        <v>2115.5500000000002</v>
      </c>
      <c r="X1881" s="23" t="s">
        <v>45</v>
      </c>
    </row>
    <row r="1882" spans="1:24" x14ac:dyDescent="0.25">
      <c r="A1882" s="20" t="s">
        <v>2405</v>
      </c>
      <c r="B1882" s="19">
        <v>45448</v>
      </c>
      <c r="C1882" s="20" t="s">
        <v>371</v>
      </c>
      <c r="D1882" s="20" t="s">
        <v>159</v>
      </c>
      <c r="E1882" s="20" t="s">
        <v>93</v>
      </c>
      <c r="F1882" s="20" t="s">
        <v>2585</v>
      </c>
      <c r="G1882" s="20" t="s">
        <v>2586</v>
      </c>
      <c r="H1882" s="20" t="s">
        <v>96</v>
      </c>
      <c r="I1882" s="20" t="s">
        <v>40</v>
      </c>
      <c r="J1882" s="20" t="s">
        <v>41</v>
      </c>
      <c r="K1882" s="20" t="s">
        <v>29</v>
      </c>
      <c r="L1882" s="20" t="s">
        <v>2679</v>
      </c>
      <c r="M1882" s="20" t="s">
        <v>61</v>
      </c>
      <c r="N1882" s="20" t="s">
        <v>70</v>
      </c>
      <c r="O1882" s="20">
        <v>71</v>
      </c>
      <c r="P1882" s="20">
        <v>58.8</v>
      </c>
      <c r="Q1882" s="20">
        <v>31.47</v>
      </c>
      <c r="R1882" s="20">
        <v>4174.76</v>
      </c>
      <c r="S1882" s="20">
        <v>0.02</v>
      </c>
      <c r="T1882" s="20">
        <v>83.5</v>
      </c>
      <c r="U1882" s="20">
        <v>4091.26</v>
      </c>
      <c r="V1882" s="20">
        <v>2234.56</v>
      </c>
      <c r="W1882" s="20">
        <v>1856.7</v>
      </c>
      <c r="X1882" s="20" t="s">
        <v>45</v>
      </c>
    </row>
    <row r="1883" spans="1:24" x14ac:dyDescent="0.25">
      <c r="A1883" s="23" t="s">
        <v>2406</v>
      </c>
      <c r="B1883" s="22">
        <v>45506</v>
      </c>
      <c r="C1883" s="23" t="s">
        <v>284</v>
      </c>
      <c r="D1883" s="23" t="s">
        <v>57</v>
      </c>
      <c r="E1883" s="23" t="s">
        <v>187</v>
      </c>
      <c r="F1883" s="23" t="s">
        <v>2594</v>
      </c>
      <c r="G1883" s="23" t="s">
        <v>2577</v>
      </c>
      <c r="H1883" s="23" t="s">
        <v>26</v>
      </c>
      <c r="I1883" s="23" t="s">
        <v>58</v>
      </c>
      <c r="J1883" s="23" t="s">
        <v>59</v>
      </c>
      <c r="K1883" s="23" t="s">
        <v>170</v>
      </c>
      <c r="L1883" s="23" t="s">
        <v>2671</v>
      </c>
      <c r="M1883" s="23" t="s">
        <v>43</v>
      </c>
      <c r="N1883" s="23" t="s">
        <v>75</v>
      </c>
      <c r="O1883" s="23">
        <v>33</v>
      </c>
      <c r="P1883" s="23">
        <v>51.4</v>
      </c>
      <c r="Q1883" s="23">
        <v>30.32</v>
      </c>
      <c r="R1883" s="23">
        <v>1696.2</v>
      </c>
      <c r="S1883" s="23">
        <v>0.05</v>
      </c>
      <c r="T1883" s="23">
        <v>84.81</v>
      </c>
      <c r="U1883" s="23">
        <v>1611.39</v>
      </c>
      <c r="V1883" s="23">
        <v>1000.67</v>
      </c>
      <c r="W1883" s="23">
        <v>610.73</v>
      </c>
      <c r="X1883" s="23" t="s">
        <v>45</v>
      </c>
    </row>
    <row r="1884" spans="1:24" x14ac:dyDescent="0.25">
      <c r="A1884" s="20" t="s">
        <v>2407</v>
      </c>
      <c r="B1884" s="19">
        <v>45573</v>
      </c>
      <c r="C1884" s="20" t="s">
        <v>660</v>
      </c>
      <c r="D1884" s="20" t="s">
        <v>264</v>
      </c>
      <c r="E1884" s="20" t="s">
        <v>126</v>
      </c>
      <c r="F1884" s="20" t="s">
        <v>2589</v>
      </c>
      <c r="G1884" s="20" t="s">
        <v>2586</v>
      </c>
      <c r="H1884" s="20" t="s">
        <v>128</v>
      </c>
      <c r="I1884" s="20" t="s">
        <v>58</v>
      </c>
      <c r="J1884" s="20" t="s">
        <v>59</v>
      </c>
      <c r="K1884" s="20" t="s">
        <v>111</v>
      </c>
      <c r="L1884" s="20" t="s">
        <v>2685</v>
      </c>
      <c r="M1884" s="20" t="s">
        <v>153</v>
      </c>
      <c r="N1884" s="20" t="s">
        <v>44</v>
      </c>
      <c r="O1884" s="20">
        <v>42</v>
      </c>
      <c r="P1884" s="20">
        <v>90.57</v>
      </c>
      <c r="Q1884" s="20">
        <v>55.47</v>
      </c>
      <c r="R1884" s="20">
        <v>3803.88</v>
      </c>
      <c r="S1884" s="20">
        <v>0.05</v>
      </c>
      <c r="T1884" s="20">
        <v>190.19</v>
      </c>
      <c r="U1884" s="20">
        <v>3613.69</v>
      </c>
      <c r="V1884" s="20">
        <v>2329.54</v>
      </c>
      <c r="W1884" s="20">
        <v>1284.1500000000001</v>
      </c>
      <c r="X1884" s="20" t="s">
        <v>45</v>
      </c>
    </row>
    <row r="1885" spans="1:24" x14ac:dyDescent="0.25">
      <c r="A1885" s="23" t="s">
        <v>2408</v>
      </c>
      <c r="B1885" s="22">
        <v>45502</v>
      </c>
      <c r="C1885" s="23" t="s">
        <v>961</v>
      </c>
      <c r="D1885" s="23" t="s">
        <v>87</v>
      </c>
      <c r="E1885" s="23" t="s">
        <v>49</v>
      </c>
      <c r="F1885" s="23" t="s">
        <v>2580</v>
      </c>
      <c r="G1885" s="23" t="s">
        <v>2581</v>
      </c>
      <c r="H1885" s="23" t="s">
        <v>52</v>
      </c>
      <c r="I1885" s="23" t="s">
        <v>53</v>
      </c>
      <c r="J1885" s="23" t="s">
        <v>122</v>
      </c>
      <c r="K1885" s="23" t="s">
        <v>261</v>
      </c>
      <c r="L1885" s="23" t="s">
        <v>2695</v>
      </c>
      <c r="M1885" s="23" t="s">
        <v>61</v>
      </c>
      <c r="N1885" s="23" t="s">
        <v>70</v>
      </c>
      <c r="O1885" s="23">
        <v>7</v>
      </c>
      <c r="P1885" s="23">
        <v>24.49</v>
      </c>
      <c r="Q1885" s="23">
        <v>13.89</v>
      </c>
      <c r="R1885" s="23">
        <v>171.43</v>
      </c>
      <c r="S1885" s="23">
        <v>0.05</v>
      </c>
      <c r="T1885" s="23">
        <v>8.57</v>
      </c>
      <c r="U1885" s="23">
        <v>162.86000000000001</v>
      </c>
      <c r="V1885" s="23">
        <v>97.24</v>
      </c>
      <c r="W1885" s="23">
        <v>65.62</v>
      </c>
      <c r="X1885" s="23" t="s">
        <v>45</v>
      </c>
    </row>
    <row r="1886" spans="1:24" x14ac:dyDescent="0.25">
      <c r="A1886" s="20" t="s">
        <v>2409</v>
      </c>
      <c r="B1886" s="19">
        <v>45603</v>
      </c>
      <c r="C1886" s="20" t="s">
        <v>456</v>
      </c>
      <c r="D1886" s="20" t="s">
        <v>22</v>
      </c>
      <c r="E1886" s="20" t="s">
        <v>216</v>
      </c>
      <c r="F1886" s="20" t="s">
        <v>2596</v>
      </c>
      <c r="G1886" s="20" t="s">
        <v>2579</v>
      </c>
      <c r="H1886" s="20" t="s">
        <v>134</v>
      </c>
      <c r="I1886" s="20" t="s">
        <v>27</v>
      </c>
      <c r="J1886" s="20" t="s">
        <v>211</v>
      </c>
      <c r="K1886" s="20" t="s">
        <v>74</v>
      </c>
      <c r="L1886" s="20" t="s">
        <v>2682</v>
      </c>
      <c r="M1886" s="20" t="s">
        <v>61</v>
      </c>
      <c r="N1886" s="20" t="s">
        <v>84</v>
      </c>
      <c r="O1886" s="20">
        <v>30</v>
      </c>
      <c r="P1886" s="20">
        <v>103.31</v>
      </c>
      <c r="Q1886" s="20">
        <v>69.52</v>
      </c>
      <c r="R1886" s="20">
        <v>3099.3</v>
      </c>
      <c r="S1886" s="20">
        <v>0.05</v>
      </c>
      <c r="T1886" s="20">
        <v>154.97</v>
      </c>
      <c r="U1886" s="20">
        <v>2944.34</v>
      </c>
      <c r="V1886" s="20">
        <v>2085.5500000000002</v>
      </c>
      <c r="W1886" s="20">
        <v>858.79</v>
      </c>
      <c r="X1886" s="20" t="s">
        <v>32</v>
      </c>
    </row>
    <row r="1887" spans="1:24" x14ac:dyDescent="0.25">
      <c r="A1887" s="23" t="s">
        <v>2410</v>
      </c>
      <c r="B1887" s="22">
        <v>45559</v>
      </c>
      <c r="C1887" s="23" t="s">
        <v>1215</v>
      </c>
      <c r="D1887" s="23" t="s">
        <v>163</v>
      </c>
      <c r="E1887" s="23" t="s">
        <v>93</v>
      </c>
      <c r="F1887" s="23" t="s">
        <v>2585</v>
      </c>
      <c r="G1887" s="23" t="s">
        <v>2586</v>
      </c>
      <c r="H1887" s="23" t="s">
        <v>96</v>
      </c>
      <c r="I1887" s="23" t="s">
        <v>53</v>
      </c>
      <c r="J1887" s="23" t="s">
        <v>232</v>
      </c>
      <c r="K1887" s="23" t="s">
        <v>184</v>
      </c>
      <c r="L1887" s="23" t="s">
        <v>2690</v>
      </c>
      <c r="M1887" s="23" t="s">
        <v>30</v>
      </c>
      <c r="N1887" s="23" t="s">
        <v>2578</v>
      </c>
      <c r="O1887" s="23">
        <v>35</v>
      </c>
      <c r="P1887" s="23">
        <v>50.66</v>
      </c>
      <c r="Q1887" s="23">
        <v>32.06</v>
      </c>
      <c r="R1887" s="23">
        <v>1773.14</v>
      </c>
      <c r="S1887" s="23">
        <v>0.15</v>
      </c>
      <c r="T1887" s="23">
        <v>265.97000000000003</v>
      </c>
      <c r="U1887" s="23">
        <v>1507.17</v>
      </c>
      <c r="V1887" s="23">
        <v>1121.93</v>
      </c>
      <c r="W1887" s="23">
        <v>385.24</v>
      </c>
      <c r="X1887" s="23" t="s">
        <v>129</v>
      </c>
    </row>
    <row r="1888" spans="1:24" x14ac:dyDescent="0.25">
      <c r="A1888" s="20" t="s">
        <v>2411</v>
      </c>
      <c r="B1888" s="19">
        <v>45596</v>
      </c>
      <c r="C1888" s="20" t="s">
        <v>600</v>
      </c>
      <c r="D1888" s="20" t="s">
        <v>87</v>
      </c>
      <c r="E1888" s="20" t="s">
        <v>99</v>
      </c>
      <c r="F1888" s="20" t="s">
        <v>100</v>
      </c>
      <c r="G1888" s="20" t="s">
        <v>2587</v>
      </c>
      <c r="H1888" s="20" t="s">
        <v>102</v>
      </c>
      <c r="I1888" s="20" t="s">
        <v>27</v>
      </c>
      <c r="J1888" s="20" t="s">
        <v>106</v>
      </c>
      <c r="K1888" s="20" t="s">
        <v>265</v>
      </c>
      <c r="L1888" s="20" t="s">
        <v>2663</v>
      </c>
      <c r="M1888" s="20" t="s">
        <v>61</v>
      </c>
      <c r="N1888" s="20" t="s">
        <v>44</v>
      </c>
      <c r="O1888" s="20">
        <v>52</v>
      </c>
      <c r="P1888" s="20">
        <v>72.52</v>
      </c>
      <c r="Q1888" s="20">
        <v>38.450000000000003</v>
      </c>
      <c r="R1888" s="20">
        <v>3770.81</v>
      </c>
      <c r="S1888" s="20">
        <v>0</v>
      </c>
      <c r="T1888" s="20">
        <v>0</v>
      </c>
      <c r="U1888" s="20">
        <v>3770.81</v>
      </c>
      <c r="V1888" s="20">
        <v>1999.51</v>
      </c>
      <c r="W1888" s="20">
        <v>1771.3</v>
      </c>
      <c r="X1888" s="20" t="s">
        <v>45</v>
      </c>
    </row>
    <row r="1889" spans="1:24" x14ac:dyDescent="0.25">
      <c r="A1889" s="23" t="s">
        <v>2412</v>
      </c>
      <c r="B1889" s="22">
        <v>45598</v>
      </c>
      <c r="C1889" s="23" t="s">
        <v>529</v>
      </c>
      <c r="D1889" s="23" t="s">
        <v>256</v>
      </c>
      <c r="E1889" s="23" t="s">
        <v>150</v>
      </c>
      <c r="F1889" s="23" t="s">
        <v>2591</v>
      </c>
      <c r="G1889" s="23" t="s">
        <v>2587</v>
      </c>
      <c r="H1889" s="23" t="s">
        <v>134</v>
      </c>
      <c r="I1889" s="23" t="s">
        <v>40</v>
      </c>
      <c r="J1889" s="23" t="s">
        <v>117</v>
      </c>
      <c r="K1889" s="23" t="s">
        <v>90</v>
      </c>
      <c r="L1889" s="23" t="s">
        <v>2684</v>
      </c>
      <c r="M1889" s="23" t="s">
        <v>153</v>
      </c>
      <c r="N1889" s="23" t="s">
        <v>84</v>
      </c>
      <c r="O1889" s="23">
        <v>42</v>
      </c>
      <c r="P1889" s="23">
        <v>86.26</v>
      </c>
      <c r="Q1889" s="23">
        <v>47.3</v>
      </c>
      <c r="R1889" s="23">
        <v>3622.79</v>
      </c>
      <c r="S1889" s="23">
        <v>0.1</v>
      </c>
      <c r="T1889" s="23">
        <v>362.28</v>
      </c>
      <c r="U1889" s="23">
        <v>3260.51</v>
      </c>
      <c r="V1889" s="23">
        <v>1986.56</v>
      </c>
      <c r="W1889" s="23">
        <v>1273.95</v>
      </c>
      <c r="X1889" s="23" t="s">
        <v>45</v>
      </c>
    </row>
    <row r="1890" spans="1:24" x14ac:dyDescent="0.25">
      <c r="A1890" s="20" t="s">
        <v>2413</v>
      </c>
      <c r="B1890" s="19">
        <v>45637</v>
      </c>
      <c r="C1890" s="20" t="s">
        <v>727</v>
      </c>
      <c r="D1890" s="20" t="s">
        <v>65</v>
      </c>
      <c r="E1890" s="20" t="s">
        <v>99</v>
      </c>
      <c r="F1890" s="20" t="s">
        <v>100</v>
      </c>
      <c r="G1890" s="20" t="s">
        <v>2587</v>
      </c>
      <c r="H1890" s="20" t="s">
        <v>102</v>
      </c>
      <c r="I1890" s="20" t="s">
        <v>40</v>
      </c>
      <c r="J1890" s="20" t="s">
        <v>289</v>
      </c>
      <c r="K1890" s="20" t="s">
        <v>248</v>
      </c>
      <c r="L1890" s="20" t="s">
        <v>2693</v>
      </c>
      <c r="M1890" s="20" t="s">
        <v>61</v>
      </c>
      <c r="N1890" s="20" t="s">
        <v>44</v>
      </c>
      <c r="O1890" s="20">
        <v>59</v>
      </c>
      <c r="P1890" s="20">
        <v>64.53</v>
      </c>
      <c r="Q1890" s="20">
        <v>40.49</v>
      </c>
      <c r="R1890" s="20">
        <v>3807.34</v>
      </c>
      <c r="S1890" s="20">
        <v>0.1</v>
      </c>
      <c r="T1890" s="20">
        <v>380.73</v>
      </c>
      <c r="U1890" s="20">
        <v>3426.6</v>
      </c>
      <c r="V1890" s="20">
        <v>2388.8200000000002</v>
      </c>
      <c r="W1890" s="20">
        <v>1037.78</v>
      </c>
      <c r="X1890" s="20" t="s">
        <v>129</v>
      </c>
    </row>
    <row r="1891" spans="1:24" x14ac:dyDescent="0.25">
      <c r="A1891" s="23" t="s">
        <v>2414</v>
      </c>
      <c r="B1891" s="22">
        <v>45373</v>
      </c>
      <c r="C1891" s="23" t="s">
        <v>1310</v>
      </c>
      <c r="D1891" s="23" t="s">
        <v>264</v>
      </c>
      <c r="E1891" s="23" t="s">
        <v>78</v>
      </c>
      <c r="F1891" s="23" t="s">
        <v>2583</v>
      </c>
      <c r="G1891" s="23" t="s">
        <v>2584</v>
      </c>
      <c r="H1891" s="23" t="s">
        <v>81</v>
      </c>
      <c r="I1891" s="23" t="s">
        <v>53</v>
      </c>
      <c r="J1891" s="23" t="s">
        <v>143</v>
      </c>
      <c r="K1891" s="23" t="s">
        <v>90</v>
      </c>
      <c r="L1891" s="23" t="s">
        <v>2684</v>
      </c>
      <c r="M1891" s="23" t="s">
        <v>61</v>
      </c>
      <c r="N1891" s="23" t="s">
        <v>44</v>
      </c>
      <c r="O1891" s="23">
        <v>67</v>
      </c>
      <c r="P1891" s="23">
        <v>148.56</v>
      </c>
      <c r="Q1891" s="23">
        <v>81.05</v>
      </c>
      <c r="R1891" s="23">
        <v>9953.2000000000007</v>
      </c>
      <c r="S1891" s="23">
        <v>0.2</v>
      </c>
      <c r="T1891" s="23">
        <v>1990.64</v>
      </c>
      <c r="U1891" s="23">
        <v>7962.56</v>
      </c>
      <c r="V1891" s="23">
        <v>5430.26</v>
      </c>
      <c r="W1891" s="23">
        <v>2532.3000000000002</v>
      </c>
      <c r="X1891" s="23" t="s">
        <v>45</v>
      </c>
    </row>
    <row r="1892" spans="1:24" x14ac:dyDescent="0.25">
      <c r="A1892" s="20" t="s">
        <v>2415</v>
      </c>
      <c r="B1892" s="19">
        <v>45469</v>
      </c>
      <c r="C1892" s="20" t="s">
        <v>483</v>
      </c>
      <c r="D1892" s="20" t="s">
        <v>159</v>
      </c>
      <c r="E1892" s="20" t="s">
        <v>36</v>
      </c>
      <c r="F1892" s="20" t="s">
        <v>37</v>
      </c>
      <c r="G1892" s="20" t="s">
        <v>2579</v>
      </c>
      <c r="H1892" s="20" t="s">
        <v>39</v>
      </c>
      <c r="I1892" s="20" t="s">
        <v>40</v>
      </c>
      <c r="J1892" s="20" t="s">
        <v>289</v>
      </c>
      <c r="K1892" s="20" t="s">
        <v>265</v>
      </c>
      <c r="L1892" s="20" t="s">
        <v>2663</v>
      </c>
      <c r="M1892" s="20" t="s">
        <v>30</v>
      </c>
      <c r="N1892" s="20" t="s">
        <v>84</v>
      </c>
      <c r="O1892" s="20">
        <v>62</v>
      </c>
      <c r="P1892" s="20">
        <v>171.02</v>
      </c>
      <c r="Q1892" s="20">
        <v>98.93</v>
      </c>
      <c r="R1892" s="20">
        <v>10603.5</v>
      </c>
      <c r="S1892" s="20">
        <v>0.15</v>
      </c>
      <c r="T1892" s="20">
        <v>1590.52</v>
      </c>
      <c r="U1892" s="20">
        <v>9012.9699999999993</v>
      </c>
      <c r="V1892" s="20">
        <v>6133.57</v>
      </c>
      <c r="W1892" s="20">
        <v>2879.4</v>
      </c>
      <c r="X1892" s="20" t="s">
        <v>45</v>
      </c>
    </row>
    <row r="1893" spans="1:24" x14ac:dyDescent="0.25">
      <c r="A1893" s="23" t="s">
        <v>2416</v>
      </c>
      <c r="B1893" s="22">
        <v>45407</v>
      </c>
      <c r="C1893" s="23" t="s">
        <v>430</v>
      </c>
      <c r="D1893" s="23" t="s">
        <v>156</v>
      </c>
      <c r="E1893" s="23" t="s">
        <v>209</v>
      </c>
      <c r="F1893" s="23" t="s">
        <v>2595</v>
      </c>
      <c r="G1893" s="23" t="s">
        <v>2581</v>
      </c>
      <c r="H1893" s="23" t="s">
        <v>116</v>
      </c>
      <c r="I1893" s="23" t="s">
        <v>27</v>
      </c>
      <c r="J1893" s="23" t="s">
        <v>28</v>
      </c>
      <c r="K1893" s="23" t="s">
        <v>90</v>
      </c>
      <c r="L1893" s="23" t="s">
        <v>2684</v>
      </c>
      <c r="M1893" s="23" t="s">
        <v>30</v>
      </c>
      <c r="N1893" s="23" t="s">
        <v>44</v>
      </c>
      <c r="O1893" s="23">
        <v>45</v>
      </c>
      <c r="P1893" s="23">
        <v>19.13</v>
      </c>
      <c r="Q1893" s="23">
        <v>10.46</v>
      </c>
      <c r="R1893" s="23">
        <v>861.05</v>
      </c>
      <c r="S1893" s="23">
        <v>0.05</v>
      </c>
      <c r="T1893" s="23">
        <v>43.05</v>
      </c>
      <c r="U1893" s="23">
        <v>818</v>
      </c>
      <c r="V1893" s="23">
        <v>470.78</v>
      </c>
      <c r="W1893" s="23">
        <v>347.22</v>
      </c>
      <c r="X1893" s="23" t="s">
        <v>32</v>
      </c>
    </row>
    <row r="1894" spans="1:24" x14ac:dyDescent="0.25">
      <c r="A1894" s="20" t="s">
        <v>2417</v>
      </c>
      <c r="B1894" s="19">
        <v>45415</v>
      </c>
      <c r="C1894" s="20" t="s">
        <v>584</v>
      </c>
      <c r="D1894" s="20" t="s">
        <v>105</v>
      </c>
      <c r="E1894" s="20" t="s">
        <v>165</v>
      </c>
      <c r="F1894" s="20" t="s">
        <v>2592</v>
      </c>
      <c r="G1894" s="20" t="s">
        <v>2586</v>
      </c>
      <c r="H1894" s="20" t="s">
        <v>167</v>
      </c>
      <c r="I1894" s="20" t="s">
        <v>27</v>
      </c>
      <c r="J1894" s="20" t="s">
        <v>106</v>
      </c>
      <c r="K1894" s="20" t="s">
        <v>248</v>
      </c>
      <c r="L1894" s="20" t="s">
        <v>2693</v>
      </c>
      <c r="M1894" s="20" t="s">
        <v>61</v>
      </c>
      <c r="N1894" s="20" t="s">
        <v>75</v>
      </c>
      <c r="O1894" s="20">
        <v>60</v>
      </c>
      <c r="P1894" s="20">
        <v>39.119999999999997</v>
      </c>
      <c r="Q1894" s="20">
        <v>24.28</v>
      </c>
      <c r="R1894" s="20">
        <v>2347.1</v>
      </c>
      <c r="S1894" s="20">
        <v>0</v>
      </c>
      <c r="T1894" s="20">
        <v>0</v>
      </c>
      <c r="U1894" s="20">
        <v>2347.1</v>
      </c>
      <c r="V1894" s="20">
        <v>1456.55</v>
      </c>
      <c r="W1894" s="20">
        <v>890.55</v>
      </c>
      <c r="X1894" s="20" t="s">
        <v>45</v>
      </c>
    </row>
    <row r="1895" spans="1:24" x14ac:dyDescent="0.25">
      <c r="A1895" s="23" t="s">
        <v>2418</v>
      </c>
      <c r="B1895" s="22">
        <v>45642</v>
      </c>
      <c r="C1895" s="23" t="s">
        <v>569</v>
      </c>
      <c r="D1895" s="23" t="s">
        <v>121</v>
      </c>
      <c r="E1895" s="23" t="s">
        <v>23</v>
      </c>
      <c r="F1895" s="23" t="s">
        <v>2576</v>
      </c>
      <c r="G1895" s="23" t="s">
        <v>2577</v>
      </c>
      <c r="H1895" s="23" t="s">
        <v>26</v>
      </c>
      <c r="I1895" s="23" t="s">
        <v>88</v>
      </c>
      <c r="J1895" s="23" t="s">
        <v>2112</v>
      </c>
      <c r="K1895" s="23" t="s">
        <v>111</v>
      </c>
      <c r="L1895" s="23" t="s">
        <v>2685</v>
      </c>
      <c r="M1895" s="23" t="s">
        <v>153</v>
      </c>
      <c r="N1895" s="23" t="s">
        <v>44</v>
      </c>
      <c r="O1895" s="23">
        <v>39</v>
      </c>
      <c r="P1895" s="23">
        <v>72.42</v>
      </c>
      <c r="Q1895" s="23">
        <v>42.64</v>
      </c>
      <c r="R1895" s="23">
        <v>2824.32</v>
      </c>
      <c r="S1895" s="23">
        <v>0.02</v>
      </c>
      <c r="T1895" s="23">
        <v>56.49</v>
      </c>
      <c r="U1895" s="23">
        <v>2767.83</v>
      </c>
      <c r="V1895" s="23">
        <v>1663.09</v>
      </c>
      <c r="W1895" s="23">
        <v>1104.74</v>
      </c>
      <c r="X1895" s="23" t="s">
        <v>45</v>
      </c>
    </row>
    <row r="1896" spans="1:24" x14ac:dyDescent="0.25">
      <c r="A1896" s="20" t="s">
        <v>2419</v>
      </c>
      <c r="B1896" s="19">
        <v>45602</v>
      </c>
      <c r="C1896" s="20" t="s">
        <v>192</v>
      </c>
      <c r="D1896" s="20" t="s">
        <v>65</v>
      </c>
      <c r="E1896" s="20" t="s">
        <v>176</v>
      </c>
      <c r="F1896" s="20" t="s">
        <v>2593</v>
      </c>
      <c r="G1896" s="20" t="s">
        <v>2587</v>
      </c>
      <c r="H1896" s="20" t="s">
        <v>39</v>
      </c>
      <c r="I1896" s="20" t="s">
        <v>88</v>
      </c>
      <c r="J1896" s="20" t="s">
        <v>135</v>
      </c>
      <c r="K1896" s="20" t="s">
        <v>184</v>
      </c>
      <c r="L1896" s="20" t="s">
        <v>2690</v>
      </c>
      <c r="M1896" s="20" t="s">
        <v>61</v>
      </c>
      <c r="N1896" s="20" t="s">
        <v>75</v>
      </c>
      <c r="O1896" s="20">
        <v>48</v>
      </c>
      <c r="P1896" s="20">
        <v>106.99</v>
      </c>
      <c r="Q1896" s="20">
        <v>58.98</v>
      </c>
      <c r="R1896" s="20">
        <v>5135.33</v>
      </c>
      <c r="S1896" s="20">
        <v>0.1</v>
      </c>
      <c r="T1896" s="20">
        <v>513.53</v>
      </c>
      <c r="U1896" s="20">
        <v>4621.8</v>
      </c>
      <c r="V1896" s="20">
        <v>2831.01</v>
      </c>
      <c r="W1896" s="20">
        <v>1790.79</v>
      </c>
      <c r="X1896" s="20" t="s">
        <v>129</v>
      </c>
    </row>
    <row r="1897" spans="1:24" x14ac:dyDescent="0.25">
      <c r="A1897" s="23" t="s">
        <v>2420</v>
      </c>
      <c r="B1897" s="22">
        <v>45650</v>
      </c>
      <c r="C1897" s="23" t="s">
        <v>902</v>
      </c>
      <c r="D1897" s="23" t="s">
        <v>35</v>
      </c>
      <c r="E1897" s="23" t="s">
        <v>187</v>
      </c>
      <c r="F1897" s="23" t="s">
        <v>2594</v>
      </c>
      <c r="G1897" s="23" t="s">
        <v>2577</v>
      </c>
      <c r="H1897" s="23" t="s">
        <v>26</v>
      </c>
      <c r="I1897" s="23" t="s">
        <v>40</v>
      </c>
      <c r="J1897" s="23" t="s">
        <v>41</v>
      </c>
      <c r="K1897" s="23" t="s">
        <v>69</v>
      </c>
      <c r="L1897" s="23" t="s">
        <v>2681</v>
      </c>
      <c r="M1897" s="23" t="s">
        <v>30</v>
      </c>
      <c r="N1897" s="23" t="s">
        <v>84</v>
      </c>
      <c r="O1897" s="23">
        <v>52</v>
      </c>
      <c r="P1897" s="23">
        <v>48.73</v>
      </c>
      <c r="Q1897" s="23">
        <v>28.98</v>
      </c>
      <c r="R1897" s="23">
        <v>2533.73</v>
      </c>
      <c r="S1897" s="23">
        <v>0.1</v>
      </c>
      <c r="T1897" s="23">
        <v>253.37</v>
      </c>
      <c r="U1897" s="23">
        <v>2280.36</v>
      </c>
      <c r="V1897" s="23">
        <v>1507.22</v>
      </c>
      <c r="W1897" s="23">
        <v>773.14</v>
      </c>
      <c r="X1897" s="23" t="s">
        <v>129</v>
      </c>
    </row>
    <row r="1898" spans="1:24" x14ac:dyDescent="0.25">
      <c r="A1898" s="20" t="s">
        <v>2421</v>
      </c>
      <c r="B1898" s="19">
        <v>45413</v>
      </c>
      <c r="C1898" s="20" t="s">
        <v>992</v>
      </c>
      <c r="D1898" s="20" t="s">
        <v>105</v>
      </c>
      <c r="E1898" s="20" t="s">
        <v>141</v>
      </c>
      <c r="F1898" s="20" t="s">
        <v>2590</v>
      </c>
      <c r="G1898" s="20" t="s">
        <v>2577</v>
      </c>
      <c r="H1898" s="20" t="s">
        <v>26</v>
      </c>
      <c r="I1898" s="20" t="s">
        <v>40</v>
      </c>
      <c r="J1898" s="20" t="s">
        <v>82</v>
      </c>
      <c r="K1898" s="20" t="s">
        <v>170</v>
      </c>
      <c r="L1898" s="20" t="s">
        <v>2671</v>
      </c>
      <c r="M1898" s="20" t="s">
        <v>43</v>
      </c>
      <c r="N1898" s="20" t="s">
        <v>2578</v>
      </c>
      <c r="O1898" s="20">
        <v>74</v>
      </c>
      <c r="P1898" s="20">
        <v>98.22</v>
      </c>
      <c r="Q1898" s="20">
        <v>61.03</v>
      </c>
      <c r="R1898" s="20">
        <v>7268.47</v>
      </c>
      <c r="S1898" s="20">
        <v>0</v>
      </c>
      <c r="T1898" s="20">
        <v>0</v>
      </c>
      <c r="U1898" s="20">
        <v>7268.47</v>
      </c>
      <c r="V1898" s="20">
        <v>4515.8599999999997</v>
      </c>
      <c r="W1898" s="20">
        <v>2752.62</v>
      </c>
      <c r="X1898" s="20" t="s">
        <v>45</v>
      </c>
    </row>
    <row r="1899" spans="1:24" x14ac:dyDescent="0.25">
      <c r="A1899" s="23" t="s">
        <v>2422</v>
      </c>
      <c r="B1899" s="22">
        <v>45504</v>
      </c>
      <c r="C1899" s="23" t="s">
        <v>1068</v>
      </c>
      <c r="D1899" s="23" t="s">
        <v>105</v>
      </c>
      <c r="E1899" s="23" t="s">
        <v>23</v>
      </c>
      <c r="F1899" s="23" t="s">
        <v>2576</v>
      </c>
      <c r="G1899" s="23" t="s">
        <v>2577</v>
      </c>
      <c r="H1899" s="23" t="s">
        <v>26</v>
      </c>
      <c r="I1899" s="23" t="s">
        <v>53</v>
      </c>
      <c r="J1899" s="23" t="s">
        <v>232</v>
      </c>
      <c r="K1899" s="23" t="s">
        <v>111</v>
      </c>
      <c r="L1899" s="23" t="s">
        <v>2685</v>
      </c>
      <c r="M1899" s="23" t="s">
        <v>30</v>
      </c>
      <c r="N1899" s="23" t="s">
        <v>2578</v>
      </c>
      <c r="O1899" s="23">
        <v>32</v>
      </c>
      <c r="P1899" s="23">
        <v>80.510000000000005</v>
      </c>
      <c r="Q1899" s="23">
        <v>43.91</v>
      </c>
      <c r="R1899" s="23">
        <v>2576.48</v>
      </c>
      <c r="S1899" s="23">
        <v>0.02</v>
      </c>
      <c r="T1899" s="23">
        <v>51.53</v>
      </c>
      <c r="U1899" s="23">
        <v>2524.9499999999998</v>
      </c>
      <c r="V1899" s="23">
        <v>1405.26</v>
      </c>
      <c r="W1899" s="23">
        <v>1119.68</v>
      </c>
      <c r="X1899" s="23" t="s">
        <v>129</v>
      </c>
    </row>
    <row r="1900" spans="1:24" x14ac:dyDescent="0.25">
      <c r="A1900" s="20" t="s">
        <v>2423</v>
      </c>
      <c r="B1900" s="19">
        <v>45605</v>
      </c>
      <c r="C1900" s="20" t="s">
        <v>367</v>
      </c>
      <c r="D1900" s="20" t="s">
        <v>105</v>
      </c>
      <c r="E1900" s="20" t="s">
        <v>150</v>
      </c>
      <c r="F1900" s="20" t="s">
        <v>2591</v>
      </c>
      <c r="G1900" s="20" t="s">
        <v>2587</v>
      </c>
      <c r="H1900" s="20" t="s">
        <v>134</v>
      </c>
      <c r="I1900" s="20" t="s">
        <v>40</v>
      </c>
      <c r="J1900" s="20" t="s">
        <v>289</v>
      </c>
      <c r="K1900" s="20" t="s">
        <v>90</v>
      </c>
      <c r="L1900" s="20" t="s">
        <v>2684</v>
      </c>
      <c r="M1900" s="20" t="s">
        <v>30</v>
      </c>
      <c r="N1900" s="20" t="s">
        <v>75</v>
      </c>
      <c r="O1900" s="20">
        <v>29</v>
      </c>
      <c r="P1900" s="20">
        <v>83.78</v>
      </c>
      <c r="Q1900" s="20">
        <v>54.94</v>
      </c>
      <c r="R1900" s="20">
        <v>2429.66</v>
      </c>
      <c r="S1900" s="20">
        <v>0.2</v>
      </c>
      <c r="T1900" s="20">
        <v>485.93</v>
      </c>
      <c r="U1900" s="20">
        <v>1943.73</v>
      </c>
      <c r="V1900" s="20">
        <v>1593.15</v>
      </c>
      <c r="W1900" s="20">
        <v>350.58</v>
      </c>
      <c r="X1900" s="20" t="s">
        <v>45</v>
      </c>
    </row>
    <row r="1901" spans="1:24" x14ac:dyDescent="0.25">
      <c r="A1901" s="23" t="s">
        <v>2424</v>
      </c>
      <c r="B1901" s="22">
        <v>45555</v>
      </c>
      <c r="C1901" s="23" t="s">
        <v>866</v>
      </c>
      <c r="D1901" s="23" t="s">
        <v>156</v>
      </c>
      <c r="E1901" s="23" t="s">
        <v>209</v>
      </c>
      <c r="F1901" s="23" t="s">
        <v>2595</v>
      </c>
      <c r="G1901" s="23" t="s">
        <v>2581</v>
      </c>
      <c r="H1901" s="23" t="s">
        <v>116</v>
      </c>
      <c r="I1901" s="23" t="s">
        <v>88</v>
      </c>
      <c r="J1901" s="23" t="s">
        <v>183</v>
      </c>
      <c r="K1901" s="23" t="s">
        <v>69</v>
      </c>
      <c r="L1901" s="23" t="s">
        <v>2681</v>
      </c>
      <c r="M1901" s="23" t="s">
        <v>43</v>
      </c>
      <c r="N1901" s="23" t="s">
        <v>44</v>
      </c>
      <c r="O1901" s="23">
        <v>22</v>
      </c>
      <c r="P1901" s="23">
        <v>19.05</v>
      </c>
      <c r="Q1901" s="23">
        <v>9.4499999999999993</v>
      </c>
      <c r="R1901" s="23">
        <v>419.1</v>
      </c>
      <c r="S1901" s="23">
        <v>0.05</v>
      </c>
      <c r="T1901" s="23">
        <v>20.96</v>
      </c>
      <c r="U1901" s="23">
        <v>398.15</v>
      </c>
      <c r="V1901" s="23">
        <v>207.85</v>
      </c>
      <c r="W1901" s="23">
        <v>190.3</v>
      </c>
      <c r="X1901" s="23" t="s">
        <v>45</v>
      </c>
    </row>
    <row r="1902" spans="1:24" x14ac:dyDescent="0.25">
      <c r="A1902" s="20" t="s">
        <v>2425</v>
      </c>
      <c r="B1902" s="19">
        <v>45550</v>
      </c>
      <c r="C1902" s="20" t="s">
        <v>169</v>
      </c>
      <c r="D1902" s="20" t="s">
        <v>57</v>
      </c>
      <c r="E1902" s="20" t="s">
        <v>78</v>
      </c>
      <c r="F1902" s="20" t="s">
        <v>2583</v>
      </c>
      <c r="G1902" s="20" t="s">
        <v>2584</v>
      </c>
      <c r="H1902" s="20" t="s">
        <v>81</v>
      </c>
      <c r="I1902" s="20" t="s">
        <v>27</v>
      </c>
      <c r="J1902" s="20" t="s">
        <v>106</v>
      </c>
      <c r="K1902" s="20" t="s">
        <v>253</v>
      </c>
      <c r="L1902" s="20" t="s">
        <v>2694</v>
      </c>
      <c r="M1902" s="20" t="s">
        <v>153</v>
      </c>
      <c r="N1902" s="20" t="s">
        <v>75</v>
      </c>
      <c r="O1902" s="20">
        <v>39</v>
      </c>
      <c r="P1902" s="20">
        <v>133.32</v>
      </c>
      <c r="Q1902" s="20">
        <v>84.28</v>
      </c>
      <c r="R1902" s="20">
        <v>5199.54</v>
      </c>
      <c r="S1902" s="20">
        <v>0.1</v>
      </c>
      <c r="T1902" s="20">
        <v>519.95000000000005</v>
      </c>
      <c r="U1902" s="20">
        <v>4679.59</v>
      </c>
      <c r="V1902" s="20">
        <v>3286.74</v>
      </c>
      <c r="W1902" s="20">
        <v>1392.84</v>
      </c>
      <c r="X1902" s="20" t="s">
        <v>45</v>
      </c>
    </row>
    <row r="1903" spans="1:24" x14ac:dyDescent="0.25">
      <c r="A1903" s="23" t="s">
        <v>2426</v>
      </c>
      <c r="B1903" s="22">
        <v>45480</v>
      </c>
      <c r="C1903" s="23" t="s">
        <v>287</v>
      </c>
      <c r="D1903" s="23" t="s">
        <v>65</v>
      </c>
      <c r="E1903" s="23" t="s">
        <v>109</v>
      </c>
      <c r="F1903" s="23" t="s">
        <v>110</v>
      </c>
      <c r="G1903" s="23" t="s">
        <v>2584</v>
      </c>
      <c r="H1903" s="23" t="s">
        <v>81</v>
      </c>
      <c r="I1903" s="23" t="s">
        <v>88</v>
      </c>
      <c r="J1903" s="23" t="s">
        <v>2112</v>
      </c>
      <c r="K1903" s="23" t="s">
        <v>170</v>
      </c>
      <c r="L1903" s="23" t="s">
        <v>2671</v>
      </c>
      <c r="M1903" s="23" t="s">
        <v>153</v>
      </c>
      <c r="N1903" s="23" t="s">
        <v>2578</v>
      </c>
      <c r="O1903" s="23">
        <v>7</v>
      </c>
      <c r="P1903" s="23">
        <v>132.26</v>
      </c>
      <c r="Q1903" s="23">
        <v>78.569999999999993</v>
      </c>
      <c r="R1903" s="23">
        <v>925.82</v>
      </c>
      <c r="S1903" s="23">
        <v>0.2</v>
      </c>
      <c r="T1903" s="23">
        <v>185.16</v>
      </c>
      <c r="U1903" s="23">
        <v>740.66</v>
      </c>
      <c r="V1903" s="23">
        <v>550</v>
      </c>
      <c r="W1903" s="23">
        <v>190.66</v>
      </c>
      <c r="X1903" s="23" t="s">
        <v>45</v>
      </c>
    </row>
    <row r="1904" spans="1:24" x14ac:dyDescent="0.25">
      <c r="A1904" s="20" t="s">
        <v>2427</v>
      </c>
      <c r="B1904" s="19">
        <v>45604</v>
      </c>
      <c r="C1904" s="20" t="s">
        <v>647</v>
      </c>
      <c r="D1904" s="20" t="s">
        <v>159</v>
      </c>
      <c r="E1904" s="20" t="s">
        <v>93</v>
      </c>
      <c r="F1904" s="20" t="s">
        <v>2585</v>
      </c>
      <c r="G1904" s="20" t="s">
        <v>2586</v>
      </c>
      <c r="H1904" s="20" t="s">
        <v>96</v>
      </c>
      <c r="I1904" s="20" t="s">
        <v>27</v>
      </c>
      <c r="J1904" s="20" t="s">
        <v>189</v>
      </c>
      <c r="K1904" s="20" t="s">
        <v>69</v>
      </c>
      <c r="L1904" s="20" t="s">
        <v>2681</v>
      </c>
      <c r="M1904" s="20" t="s">
        <v>61</v>
      </c>
      <c r="N1904" s="20" t="s">
        <v>2619</v>
      </c>
      <c r="O1904" s="20">
        <v>22</v>
      </c>
      <c r="P1904" s="20">
        <v>51.82</v>
      </c>
      <c r="Q1904" s="20">
        <v>32.72</v>
      </c>
      <c r="R1904" s="20">
        <v>1140.08</v>
      </c>
      <c r="S1904" s="20">
        <v>0.1</v>
      </c>
      <c r="T1904" s="20">
        <v>114.01</v>
      </c>
      <c r="U1904" s="20">
        <v>1026.07</v>
      </c>
      <c r="V1904" s="20">
        <v>719.87</v>
      </c>
      <c r="W1904" s="20">
        <v>306.2</v>
      </c>
      <c r="X1904" s="20" t="s">
        <v>32</v>
      </c>
    </row>
    <row r="1905" spans="1:24" x14ac:dyDescent="0.25">
      <c r="A1905" s="23" t="s">
        <v>2428</v>
      </c>
      <c r="B1905" s="22">
        <v>45326</v>
      </c>
      <c r="C1905" s="23" t="s">
        <v>1293</v>
      </c>
      <c r="D1905" s="23" t="s">
        <v>264</v>
      </c>
      <c r="E1905" s="23" t="s">
        <v>36</v>
      </c>
      <c r="F1905" s="23" t="s">
        <v>37</v>
      </c>
      <c r="G1905" s="23" t="s">
        <v>2579</v>
      </c>
      <c r="H1905" s="23" t="s">
        <v>39</v>
      </c>
      <c r="I1905" s="23" t="s">
        <v>40</v>
      </c>
      <c r="J1905" s="23" t="s">
        <v>289</v>
      </c>
      <c r="K1905" s="23" t="s">
        <v>248</v>
      </c>
      <c r="L1905" s="23" t="s">
        <v>2693</v>
      </c>
      <c r="M1905" s="23" t="s">
        <v>61</v>
      </c>
      <c r="N1905" s="23" t="s">
        <v>70</v>
      </c>
      <c r="O1905" s="23">
        <v>25</v>
      </c>
      <c r="P1905" s="23">
        <v>163.81</v>
      </c>
      <c r="Q1905" s="23">
        <v>101.77</v>
      </c>
      <c r="R1905" s="23">
        <v>4095.14</v>
      </c>
      <c r="S1905" s="23">
        <v>0.02</v>
      </c>
      <c r="T1905" s="23">
        <v>81.900000000000006</v>
      </c>
      <c r="U1905" s="23">
        <v>4013.24</v>
      </c>
      <c r="V1905" s="23">
        <v>2544.2199999999998</v>
      </c>
      <c r="W1905" s="23">
        <v>1469.03</v>
      </c>
      <c r="X1905" s="23" t="s">
        <v>45</v>
      </c>
    </row>
    <row r="1906" spans="1:24" x14ac:dyDescent="0.25">
      <c r="A1906" s="20" t="s">
        <v>2429</v>
      </c>
      <c r="B1906" s="19">
        <v>45532</v>
      </c>
      <c r="C1906" s="20" t="s">
        <v>108</v>
      </c>
      <c r="D1906" s="20" t="s">
        <v>105</v>
      </c>
      <c r="E1906" s="20" t="s">
        <v>176</v>
      </c>
      <c r="F1906" s="20" t="s">
        <v>2593</v>
      </c>
      <c r="G1906" s="20" t="s">
        <v>2587</v>
      </c>
      <c r="H1906" s="20" t="s">
        <v>39</v>
      </c>
      <c r="I1906" s="20" t="s">
        <v>88</v>
      </c>
      <c r="J1906" s="20" t="s">
        <v>183</v>
      </c>
      <c r="K1906" s="20" t="s">
        <v>248</v>
      </c>
      <c r="L1906" s="20" t="s">
        <v>2693</v>
      </c>
      <c r="M1906" s="20" t="s">
        <v>43</v>
      </c>
      <c r="N1906" s="20" t="s">
        <v>84</v>
      </c>
      <c r="O1906" s="20">
        <v>53</v>
      </c>
      <c r="P1906" s="20">
        <v>104.39</v>
      </c>
      <c r="Q1906" s="20">
        <v>67.760000000000005</v>
      </c>
      <c r="R1906" s="20">
        <v>5532.89</v>
      </c>
      <c r="S1906" s="20">
        <v>0.2</v>
      </c>
      <c r="T1906" s="20">
        <v>1106.58</v>
      </c>
      <c r="U1906" s="20">
        <v>4426.3100000000004</v>
      </c>
      <c r="V1906" s="20">
        <v>3591.16</v>
      </c>
      <c r="W1906" s="20">
        <v>835.14</v>
      </c>
      <c r="X1906" s="20" t="s">
        <v>45</v>
      </c>
    </row>
    <row r="1907" spans="1:24" x14ac:dyDescent="0.25">
      <c r="A1907" s="23" t="s">
        <v>2430</v>
      </c>
      <c r="B1907" s="22">
        <v>45593</v>
      </c>
      <c r="C1907" s="23" t="s">
        <v>649</v>
      </c>
      <c r="D1907" s="23" t="s">
        <v>87</v>
      </c>
      <c r="E1907" s="23" t="s">
        <v>23</v>
      </c>
      <c r="F1907" s="23" t="s">
        <v>2576</v>
      </c>
      <c r="G1907" s="23" t="s">
        <v>2577</v>
      </c>
      <c r="H1907" s="23" t="s">
        <v>26</v>
      </c>
      <c r="I1907" s="23" t="s">
        <v>40</v>
      </c>
      <c r="J1907" s="23" t="s">
        <v>82</v>
      </c>
      <c r="K1907" s="23" t="s">
        <v>83</v>
      </c>
      <c r="L1907" s="23" t="s">
        <v>2683</v>
      </c>
      <c r="M1907" s="23" t="s">
        <v>30</v>
      </c>
      <c r="N1907" s="23" t="s">
        <v>2578</v>
      </c>
      <c r="O1907" s="23">
        <v>54</v>
      </c>
      <c r="P1907" s="23">
        <v>73.19</v>
      </c>
      <c r="Q1907" s="23">
        <v>41.26</v>
      </c>
      <c r="R1907" s="23">
        <v>3952.04</v>
      </c>
      <c r="S1907" s="23">
        <v>0.2</v>
      </c>
      <c r="T1907" s="23">
        <v>790.41</v>
      </c>
      <c r="U1907" s="23">
        <v>3161.63</v>
      </c>
      <c r="V1907" s="23">
        <v>2228.12</v>
      </c>
      <c r="W1907" s="23">
        <v>933.51</v>
      </c>
      <c r="X1907" s="23" t="s">
        <v>32</v>
      </c>
    </row>
    <row r="1908" spans="1:24" x14ac:dyDescent="0.25">
      <c r="A1908" s="20" t="s">
        <v>2431</v>
      </c>
      <c r="B1908" s="19">
        <v>45429</v>
      </c>
      <c r="C1908" s="20" t="s">
        <v>1219</v>
      </c>
      <c r="D1908" s="20" t="s">
        <v>359</v>
      </c>
      <c r="E1908" s="20" t="s">
        <v>150</v>
      </c>
      <c r="F1908" s="20" t="s">
        <v>2591</v>
      </c>
      <c r="G1908" s="20" t="s">
        <v>2587</v>
      </c>
      <c r="H1908" s="20" t="s">
        <v>134</v>
      </c>
      <c r="I1908" s="20" t="s">
        <v>58</v>
      </c>
      <c r="J1908" s="20" t="s">
        <v>59</v>
      </c>
      <c r="K1908" s="20" t="s">
        <v>178</v>
      </c>
      <c r="L1908" s="20" t="s">
        <v>2689</v>
      </c>
      <c r="M1908" s="20" t="s">
        <v>30</v>
      </c>
      <c r="N1908" s="20" t="s">
        <v>44</v>
      </c>
      <c r="O1908" s="20">
        <v>33</v>
      </c>
      <c r="P1908" s="20">
        <v>82.1</v>
      </c>
      <c r="Q1908" s="20">
        <v>53.47</v>
      </c>
      <c r="R1908" s="20">
        <v>2709.19</v>
      </c>
      <c r="S1908" s="20">
        <v>0.02</v>
      </c>
      <c r="T1908" s="20">
        <v>54.18</v>
      </c>
      <c r="U1908" s="20">
        <v>2655.01</v>
      </c>
      <c r="V1908" s="20">
        <v>1764.49</v>
      </c>
      <c r="W1908" s="20">
        <v>890.51</v>
      </c>
      <c r="X1908" s="20" t="s">
        <v>45</v>
      </c>
    </row>
    <row r="1909" spans="1:24" x14ac:dyDescent="0.25">
      <c r="A1909" s="23" t="s">
        <v>2432</v>
      </c>
      <c r="B1909" s="22">
        <v>45409</v>
      </c>
      <c r="C1909" s="23" t="s">
        <v>859</v>
      </c>
      <c r="D1909" s="23" t="s">
        <v>221</v>
      </c>
      <c r="E1909" s="23" t="s">
        <v>99</v>
      </c>
      <c r="F1909" s="23" t="s">
        <v>100</v>
      </c>
      <c r="G1909" s="23" t="s">
        <v>2587</v>
      </c>
      <c r="H1909" s="23" t="s">
        <v>102</v>
      </c>
      <c r="I1909" s="23" t="s">
        <v>27</v>
      </c>
      <c r="J1909" s="23" t="s">
        <v>28</v>
      </c>
      <c r="K1909" s="23" t="s">
        <v>29</v>
      </c>
      <c r="L1909" s="23" t="s">
        <v>2679</v>
      </c>
      <c r="M1909" s="23" t="s">
        <v>43</v>
      </c>
      <c r="N1909" s="23" t="s">
        <v>44</v>
      </c>
      <c r="O1909" s="23">
        <v>75</v>
      </c>
      <c r="P1909" s="23">
        <v>68.66</v>
      </c>
      <c r="Q1909" s="23">
        <v>38.79</v>
      </c>
      <c r="R1909" s="23">
        <v>5149.63</v>
      </c>
      <c r="S1909" s="23">
        <v>0.1</v>
      </c>
      <c r="T1909" s="23">
        <v>514.96</v>
      </c>
      <c r="U1909" s="23">
        <v>4634.67</v>
      </c>
      <c r="V1909" s="23">
        <v>2909.21</v>
      </c>
      <c r="W1909" s="23">
        <v>1725.46</v>
      </c>
      <c r="X1909" s="23" t="s">
        <v>45</v>
      </c>
    </row>
    <row r="1910" spans="1:24" x14ac:dyDescent="0.25">
      <c r="A1910" s="20" t="s">
        <v>2433</v>
      </c>
      <c r="B1910" s="19">
        <v>45509</v>
      </c>
      <c r="C1910" s="20" t="s">
        <v>763</v>
      </c>
      <c r="D1910" s="20" t="s">
        <v>105</v>
      </c>
      <c r="E1910" s="20" t="s">
        <v>78</v>
      </c>
      <c r="F1910" s="20" t="s">
        <v>2583</v>
      </c>
      <c r="G1910" s="20" t="s">
        <v>2584</v>
      </c>
      <c r="H1910" s="20" t="s">
        <v>81</v>
      </c>
      <c r="I1910" s="20" t="s">
        <v>40</v>
      </c>
      <c r="J1910" s="20" t="s">
        <v>117</v>
      </c>
      <c r="K1910" s="20" t="s">
        <v>195</v>
      </c>
      <c r="L1910" s="20" t="s">
        <v>2691</v>
      </c>
      <c r="M1910" s="20" t="s">
        <v>43</v>
      </c>
      <c r="N1910" s="20" t="s">
        <v>84</v>
      </c>
      <c r="O1910" s="20">
        <v>18</v>
      </c>
      <c r="P1910" s="20">
        <v>142.02000000000001</v>
      </c>
      <c r="Q1910" s="20">
        <v>78.959999999999994</v>
      </c>
      <c r="R1910" s="20">
        <v>2556.41</v>
      </c>
      <c r="S1910" s="20">
        <v>0.05</v>
      </c>
      <c r="T1910" s="20">
        <v>127.82</v>
      </c>
      <c r="U1910" s="20">
        <v>2428.59</v>
      </c>
      <c r="V1910" s="20">
        <v>1421.23</v>
      </c>
      <c r="W1910" s="20">
        <v>1007.36</v>
      </c>
      <c r="X1910" s="20" t="s">
        <v>32</v>
      </c>
    </row>
    <row r="1911" spans="1:24" x14ac:dyDescent="0.25">
      <c r="A1911" s="23" t="s">
        <v>2434</v>
      </c>
      <c r="B1911" s="22">
        <v>45424</v>
      </c>
      <c r="C1911" s="23" t="s">
        <v>1112</v>
      </c>
      <c r="D1911" s="23" t="s">
        <v>159</v>
      </c>
      <c r="E1911" s="23" t="s">
        <v>93</v>
      </c>
      <c r="F1911" s="23" t="s">
        <v>2585</v>
      </c>
      <c r="G1911" s="23" t="s">
        <v>2586</v>
      </c>
      <c r="H1911" s="23" t="s">
        <v>96</v>
      </c>
      <c r="I1911" s="23" t="s">
        <v>53</v>
      </c>
      <c r="J1911" s="23" t="s">
        <v>54</v>
      </c>
      <c r="K1911" s="23" t="s">
        <v>69</v>
      </c>
      <c r="L1911" s="23" t="s">
        <v>2681</v>
      </c>
      <c r="M1911" s="23" t="s">
        <v>61</v>
      </c>
      <c r="N1911" s="23" t="s">
        <v>44</v>
      </c>
      <c r="O1911" s="23">
        <v>49</v>
      </c>
      <c r="P1911" s="23">
        <v>57.25</v>
      </c>
      <c r="Q1911" s="23">
        <v>31.22</v>
      </c>
      <c r="R1911" s="23">
        <v>2805.46</v>
      </c>
      <c r="S1911" s="23">
        <v>0</v>
      </c>
      <c r="T1911" s="23">
        <v>0</v>
      </c>
      <c r="U1911" s="23">
        <v>2805.46</v>
      </c>
      <c r="V1911" s="23">
        <v>1529.76</v>
      </c>
      <c r="W1911" s="23">
        <v>1275.7</v>
      </c>
      <c r="X1911" s="23" t="s">
        <v>32</v>
      </c>
    </row>
    <row r="1912" spans="1:24" x14ac:dyDescent="0.25">
      <c r="A1912" s="20" t="s">
        <v>2435</v>
      </c>
      <c r="B1912" s="19">
        <v>45645</v>
      </c>
      <c r="C1912" s="20" t="s">
        <v>186</v>
      </c>
      <c r="D1912" s="20" t="s">
        <v>156</v>
      </c>
      <c r="E1912" s="20" t="s">
        <v>99</v>
      </c>
      <c r="F1912" s="20" t="s">
        <v>100</v>
      </c>
      <c r="G1912" s="20" t="s">
        <v>2587</v>
      </c>
      <c r="H1912" s="20" t="s">
        <v>102</v>
      </c>
      <c r="I1912" s="20" t="s">
        <v>53</v>
      </c>
      <c r="J1912" s="20" t="s">
        <v>232</v>
      </c>
      <c r="K1912" s="20" t="s">
        <v>83</v>
      </c>
      <c r="L1912" s="20" t="s">
        <v>2683</v>
      </c>
      <c r="M1912" s="20" t="s">
        <v>30</v>
      </c>
      <c r="N1912" s="20" t="s">
        <v>44</v>
      </c>
      <c r="O1912" s="20">
        <v>77</v>
      </c>
      <c r="P1912" s="20">
        <v>68.25</v>
      </c>
      <c r="Q1912" s="20">
        <v>42.53</v>
      </c>
      <c r="R1912" s="20">
        <v>5255.43</v>
      </c>
      <c r="S1912" s="20">
        <v>0</v>
      </c>
      <c r="T1912" s="20">
        <v>0</v>
      </c>
      <c r="U1912" s="20">
        <v>5255.43</v>
      </c>
      <c r="V1912" s="20">
        <v>3274.69</v>
      </c>
      <c r="W1912" s="20">
        <v>1980.74</v>
      </c>
      <c r="X1912" s="20" t="s">
        <v>129</v>
      </c>
    </row>
    <row r="1913" spans="1:24" x14ac:dyDescent="0.25">
      <c r="A1913" s="23" t="s">
        <v>2436</v>
      </c>
      <c r="B1913" s="22">
        <v>45467</v>
      </c>
      <c r="C1913" s="23" t="s">
        <v>1236</v>
      </c>
      <c r="D1913" s="23" t="s">
        <v>156</v>
      </c>
      <c r="E1913" s="23" t="s">
        <v>114</v>
      </c>
      <c r="F1913" s="23" t="s">
        <v>2588</v>
      </c>
      <c r="G1913" s="23" t="s">
        <v>2586</v>
      </c>
      <c r="H1913" s="23" t="s">
        <v>116</v>
      </c>
      <c r="I1913" s="23" t="s">
        <v>27</v>
      </c>
      <c r="J1913" s="23" t="s">
        <v>189</v>
      </c>
      <c r="K1913" s="23" t="s">
        <v>195</v>
      </c>
      <c r="L1913" s="23" t="s">
        <v>2691</v>
      </c>
      <c r="M1913" s="23" t="s">
        <v>61</v>
      </c>
      <c r="N1913" s="23" t="s">
        <v>44</v>
      </c>
      <c r="O1913" s="23">
        <v>14</v>
      </c>
      <c r="P1913" s="23">
        <v>34.72</v>
      </c>
      <c r="Q1913" s="23">
        <v>19.75</v>
      </c>
      <c r="R1913" s="23">
        <v>486.12</v>
      </c>
      <c r="S1913" s="23">
        <v>0.2</v>
      </c>
      <c r="T1913" s="23">
        <v>97.22</v>
      </c>
      <c r="U1913" s="23">
        <v>388.9</v>
      </c>
      <c r="V1913" s="23">
        <v>276.56</v>
      </c>
      <c r="W1913" s="23">
        <v>112.34</v>
      </c>
      <c r="X1913" s="23" t="s">
        <v>45</v>
      </c>
    </row>
    <row r="1914" spans="1:24" x14ac:dyDescent="0.25">
      <c r="A1914" s="20" t="s">
        <v>2437</v>
      </c>
      <c r="B1914" s="19">
        <v>45589</v>
      </c>
      <c r="C1914" s="20" t="s">
        <v>420</v>
      </c>
      <c r="D1914" s="20" t="s">
        <v>156</v>
      </c>
      <c r="E1914" s="20" t="s">
        <v>141</v>
      </c>
      <c r="F1914" s="20" t="s">
        <v>2590</v>
      </c>
      <c r="G1914" s="20" t="s">
        <v>2577</v>
      </c>
      <c r="H1914" s="20" t="s">
        <v>26</v>
      </c>
      <c r="I1914" s="20" t="s">
        <v>58</v>
      </c>
      <c r="J1914" s="20" t="s">
        <v>323</v>
      </c>
      <c r="K1914" s="20" t="s">
        <v>195</v>
      </c>
      <c r="L1914" s="20" t="s">
        <v>2691</v>
      </c>
      <c r="M1914" s="20" t="s">
        <v>30</v>
      </c>
      <c r="N1914" s="20" t="s">
        <v>84</v>
      </c>
      <c r="O1914" s="20">
        <v>51</v>
      </c>
      <c r="P1914" s="20">
        <v>99.04</v>
      </c>
      <c r="Q1914" s="20">
        <v>54.83</v>
      </c>
      <c r="R1914" s="20">
        <v>5050.83</v>
      </c>
      <c r="S1914" s="20">
        <v>0.02</v>
      </c>
      <c r="T1914" s="20">
        <v>101.02</v>
      </c>
      <c r="U1914" s="20">
        <v>4949.8100000000004</v>
      </c>
      <c r="V1914" s="20">
        <v>2796.57</v>
      </c>
      <c r="W1914" s="20">
        <v>2153.2399999999998</v>
      </c>
      <c r="X1914" s="20" t="s">
        <v>45</v>
      </c>
    </row>
    <row r="1915" spans="1:24" x14ac:dyDescent="0.25">
      <c r="A1915" s="23" t="s">
        <v>2438</v>
      </c>
      <c r="B1915" s="22">
        <v>45571</v>
      </c>
      <c r="C1915" s="23" t="s">
        <v>1744</v>
      </c>
      <c r="D1915" s="23" t="s">
        <v>121</v>
      </c>
      <c r="E1915" s="23" t="s">
        <v>126</v>
      </c>
      <c r="F1915" s="23" t="s">
        <v>2589</v>
      </c>
      <c r="G1915" s="23" t="s">
        <v>2586</v>
      </c>
      <c r="H1915" s="23" t="s">
        <v>128</v>
      </c>
      <c r="I1915" s="23" t="s">
        <v>40</v>
      </c>
      <c r="J1915" s="23" t="s">
        <v>289</v>
      </c>
      <c r="K1915" s="23" t="s">
        <v>261</v>
      </c>
      <c r="L1915" s="23" t="s">
        <v>2695</v>
      </c>
      <c r="M1915" s="23" t="s">
        <v>30</v>
      </c>
      <c r="N1915" s="23" t="s">
        <v>75</v>
      </c>
      <c r="O1915" s="23">
        <v>46</v>
      </c>
      <c r="P1915" s="23">
        <v>90.08</v>
      </c>
      <c r="Q1915" s="23">
        <v>55.77</v>
      </c>
      <c r="R1915" s="23">
        <v>4143.4799999999996</v>
      </c>
      <c r="S1915" s="23">
        <v>0.2</v>
      </c>
      <c r="T1915" s="23">
        <v>828.7</v>
      </c>
      <c r="U1915" s="23">
        <v>3314.78</v>
      </c>
      <c r="V1915" s="23">
        <v>2565.34</v>
      </c>
      <c r="W1915" s="23">
        <v>749.44</v>
      </c>
      <c r="X1915" s="23" t="s">
        <v>45</v>
      </c>
    </row>
    <row r="1916" spans="1:24" x14ac:dyDescent="0.25">
      <c r="A1916" s="20" t="s">
        <v>2439</v>
      </c>
      <c r="B1916" s="19">
        <v>45584</v>
      </c>
      <c r="C1916" s="20" t="s">
        <v>1858</v>
      </c>
      <c r="D1916" s="20" t="s">
        <v>87</v>
      </c>
      <c r="E1916" s="20" t="s">
        <v>132</v>
      </c>
      <c r="F1916" s="20" t="s">
        <v>133</v>
      </c>
      <c r="G1916" s="20" t="s">
        <v>2581</v>
      </c>
      <c r="H1916" s="20" t="s">
        <v>134</v>
      </c>
      <c r="I1916" s="20" t="s">
        <v>58</v>
      </c>
      <c r="J1916" s="20" t="s">
        <v>323</v>
      </c>
      <c r="K1916" s="20" t="s">
        <v>265</v>
      </c>
      <c r="L1916" s="20" t="s">
        <v>2663</v>
      </c>
      <c r="M1916" s="20" t="s">
        <v>153</v>
      </c>
      <c r="N1916" s="20" t="s">
        <v>70</v>
      </c>
      <c r="O1916" s="20">
        <v>54</v>
      </c>
      <c r="P1916" s="20">
        <v>61.54</v>
      </c>
      <c r="Q1916" s="20">
        <v>32.799999999999997</v>
      </c>
      <c r="R1916" s="20">
        <v>3323.05</v>
      </c>
      <c r="S1916" s="20">
        <v>0.02</v>
      </c>
      <c r="T1916" s="20">
        <v>66.459999999999994</v>
      </c>
      <c r="U1916" s="20">
        <v>3256.59</v>
      </c>
      <c r="V1916" s="20">
        <v>1771.35</v>
      </c>
      <c r="W1916" s="20">
        <v>1485.23</v>
      </c>
      <c r="X1916" s="20" t="s">
        <v>32</v>
      </c>
    </row>
    <row r="1917" spans="1:24" x14ac:dyDescent="0.25">
      <c r="A1917" s="23" t="s">
        <v>2440</v>
      </c>
      <c r="B1917" s="22">
        <v>45636</v>
      </c>
      <c r="C1917" s="23" t="s">
        <v>506</v>
      </c>
      <c r="D1917" s="23" t="s">
        <v>264</v>
      </c>
      <c r="E1917" s="23" t="s">
        <v>250</v>
      </c>
      <c r="F1917" s="23" t="s">
        <v>2598</v>
      </c>
      <c r="G1917" s="23" t="s">
        <v>2581</v>
      </c>
      <c r="H1917" s="23" t="s">
        <v>252</v>
      </c>
      <c r="I1917" s="23" t="s">
        <v>53</v>
      </c>
      <c r="J1917" s="23" t="s">
        <v>232</v>
      </c>
      <c r="K1917" s="23" t="s">
        <v>248</v>
      </c>
      <c r="L1917" s="23" t="s">
        <v>2693</v>
      </c>
      <c r="M1917" s="23" t="s">
        <v>153</v>
      </c>
      <c r="N1917" s="23" t="s">
        <v>44</v>
      </c>
      <c r="O1917" s="23">
        <v>64</v>
      </c>
      <c r="P1917" s="23">
        <v>68.38</v>
      </c>
      <c r="Q1917" s="23">
        <v>36.74</v>
      </c>
      <c r="R1917" s="23">
        <v>4376.1499999999996</v>
      </c>
      <c r="S1917" s="23">
        <v>0</v>
      </c>
      <c r="T1917" s="23">
        <v>0</v>
      </c>
      <c r="U1917" s="23">
        <v>4376.1499999999996</v>
      </c>
      <c r="V1917" s="23">
        <v>2351.21</v>
      </c>
      <c r="W1917" s="23">
        <v>2024.94</v>
      </c>
      <c r="X1917" s="23" t="s">
        <v>129</v>
      </c>
    </row>
    <row r="1918" spans="1:24" x14ac:dyDescent="0.25">
      <c r="A1918" s="20" t="s">
        <v>2441</v>
      </c>
      <c r="B1918" s="19">
        <v>45432</v>
      </c>
      <c r="C1918" s="20" t="s">
        <v>1310</v>
      </c>
      <c r="D1918" s="20" t="s">
        <v>264</v>
      </c>
      <c r="E1918" s="20" t="s">
        <v>66</v>
      </c>
      <c r="F1918" s="20" t="s">
        <v>2582</v>
      </c>
      <c r="G1918" s="20" t="s">
        <v>2579</v>
      </c>
      <c r="H1918" s="20" t="s">
        <v>68</v>
      </c>
      <c r="I1918" s="20" t="s">
        <v>88</v>
      </c>
      <c r="J1918" s="20" t="s">
        <v>2112</v>
      </c>
      <c r="K1918" s="20" t="s">
        <v>42</v>
      </c>
      <c r="L1918" s="20" t="s">
        <v>2680</v>
      </c>
      <c r="M1918" s="20" t="s">
        <v>43</v>
      </c>
      <c r="N1918" s="20" t="s">
        <v>2578</v>
      </c>
      <c r="O1918" s="20">
        <v>57</v>
      </c>
      <c r="P1918" s="20">
        <v>152.72</v>
      </c>
      <c r="Q1918" s="20">
        <v>106.64</v>
      </c>
      <c r="R1918" s="20">
        <v>8705.11</v>
      </c>
      <c r="S1918" s="20">
        <v>0.1</v>
      </c>
      <c r="T1918" s="20">
        <v>870.51</v>
      </c>
      <c r="U1918" s="20">
        <v>7834.6</v>
      </c>
      <c r="V1918" s="20">
        <v>6078.7</v>
      </c>
      <c r="W1918" s="20">
        <v>1755.9</v>
      </c>
      <c r="X1918" s="20" t="s">
        <v>32</v>
      </c>
    </row>
    <row r="1919" spans="1:24" x14ac:dyDescent="0.25">
      <c r="A1919" s="23" t="s">
        <v>2442</v>
      </c>
      <c r="B1919" s="22">
        <v>45478</v>
      </c>
      <c r="C1919" s="23" t="s">
        <v>337</v>
      </c>
      <c r="D1919" s="23" t="s">
        <v>87</v>
      </c>
      <c r="E1919" s="23" t="s">
        <v>216</v>
      </c>
      <c r="F1919" s="23" t="s">
        <v>2596</v>
      </c>
      <c r="G1919" s="23" t="s">
        <v>2579</v>
      </c>
      <c r="H1919" s="23" t="s">
        <v>134</v>
      </c>
      <c r="I1919" s="23" t="s">
        <v>53</v>
      </c>
      <c r="J1919" s="23" t="s">
        <v>54</v>
      </c>
      <c r="K1919" s="23" t="s">
        <v>83</v>
      </c>
      <c r="L1919" s="23" t="s">
        <v>2683</v>
      </c>
      <c r="M1919" s="23" t="s">
        <v>30</v>
      </c>
      <c r="N1919" s="23" t="s">
        <v>84</v>
      </c>
      <c r="O1919" s="23">
        <v>7</v>
      </c>
      <c r="P1919" s="23">
        <v>111.34</v>
      </c>
      <c r="Q1919" s="23">
        <v>68.14</v>
      </c>
      <c r="R1919" s="23">
        <v>779.4</v>
      </c>
      <c r="S1919" s="23">
        <v>0.02</v>
      </c>
      <c r="T1919" s="23">
        <v>15.59</v>
      </c>
      <c r="U1919" s="23">
        <v>763.81</v>
      </c>
      <c r="V1919" s="23">
        <v>477.01</v>
      </c>
      <c r="W1919" s="23">
        <v>286.8</v>
      </c>
      <c r="X1919" s="23" t="s">
        <v>129</v>
      </c>
    </row>
    <row r="1920" spans="1:24" x14ac:dyDescent="0.25">
      <c r="A1920" s="20" t="s">
        <v>2443</v>
      </c>
      <c r="B1920" s="19">
        <v>45596</v>
      </c>
      <c r="C1920" s="20" t="s">
        <v>1142</v>
      </c>
      <c r="D1920" s="20" t="s">
        <v>149</v>
      </c>
      <c r="E1920" s="20" t="s">
        <v>216</v>
      </c>
      <c r="F1920" s="20" t="s">
        <v>2596</v>
      </c>
      <c r="G1920" s="20" t="s">
        <v>2579</v>
      </c>
      <c r="H1920" s="20" t="s">
        <v>134</v>
      </c>
      <c r="I1920" s="20" t="s">
        <v>58</v>
      </c>
      <c r="J1920" s="20" t="s">
        <v>323</v>
      </c>
      <c r="K1920" s="20" t="s">
        <v>111</v>
      </c>
      <c r="L1920" s="20" t="s">
        <v>2685</v>
      </c>
      <c r="M1920" s="20" t="s">
        <v>30</v>
      </c>
      <c r="N1920" s="20" t="s">
        <v>84</v>
      </c>
      <c r="O1920" s="20">
        <v>52</v>
      </c>
      <c r="P1920" s="20">
        <v>112.88</v>
      </c>
      <c r="Q1920" s="20">
        <v>66.73</v>
      </c>
      <c r="R1920" s="20">
        <v>5869.91</v>
      </c>
      <c r="S1920" s="20">
        <v>0</v>
      </c>
      <c r="T1920" s="20">
        <v>0</v>
      </c>
      <c r="U1920" s="20">
        <v>5869.91</v>
      </c>
      <c r="V1920" s="20">
        <v>3469.86</v>
      </c>
      <c r="W1920" s="20">
        <v>2400.06</v>
      </c>
      <c r="X1920" s="20" t="s">
        <v>129</v>
      </c>
    </row>
    <row r="1921" spans="1:24" x14ac:dyDescent="0.25">
      <c r="A1921" s="23" t="s">
        <v>2444</v>
      </c>
      <c r="B1921" s="22">
        <v>45578</v>
      </c>
      <c r="C1921" s="23" t="s">
        <v>1879</v>
      </c>
      <c r="D1921" s="23" t="s">
        <v>57</v>
      </c>
      <c r="E1921" s="23" t="s">
        <v>114</v>
      </c>
      <c r="F1921" s="23" t="s">
        <v>2588</v>
      </c>
      <c r="G1921" s="23" t="s">
        <v>2586</v>
      </c>
      <c r="H1921" s="23" t="s">
        <v>116</v>
      </c>
      <c r="I1921" s="23" t="s">
        <v>40</v>
      </c>
      <c r="J1921" s="23" t="s">
        <v>82</v>
      </c>
      <c r="K1921" s="23" t="s">
        <v>218</v>
      </c>
      <c r="L1921" s="23" t="s">
        <v>2692</v>
      </c>
      <c r="M1921" s="23" t="s">
        <v>153</v>
      </c>
      <c r="N1921" s="23" t="s">
        <v>70</v>
      </c>
      <c r="O1921" s="23">
        <v>63</v>
      </c>
      <c r="P1921" s="23">
        <v>35.97</v>
      </c>
      <c r="Q1921" s="23">
        <v>22</v>
      </c>
      <c r="R1921" s="23">
        <v>2265.9299999999998</v>
      </c>
      <c r="S1921" s="23">
        <v>0.02</v>
      </c>
      <c r="T1921" s="23">
        <v>45.32</v>
      </c>
      <c r="U1921" s="23">
        <v>2220.61</v>
      </c>
      <c r="V1921" s="23">
        <v>1385.8</v>
      </c>
      <c r="W1921" s="23">
        <v>834.81</v>
      </c>
      <c r="X1921" s="23" t="s">
        <v>32</v>
      </c>
    </row>
    <row r="1922" spans="1:24" x14ac:dyDescent="0.25">
      <c r="A1922" s="20" t="s">
        <v>2445</v>
      </c>
      <c r="B1922" s="19">
        <v>45515</v>
      </c>
      <c r="C1922" s="20" t="s">
        <v>389</v>
      </c>
      <c r="D1922" s="20" t="s">
        <v>264</v>
      </c>
      <c r="E1922" s="20" t="s">
        <v>36</v>
      </c>
      <c r="F1922" s="20" t="s">
        <v>37</v>
      </c>
      <c r="G1922" s="20" t="s">
        <v>2579</v>
      </c>
      <c r="H1922" s="20" t="s">
        <v>39</v>
      </c>
      <c r="I1922" s="20" t="s">
        <v>88</v>
      </c>
      <c r="J1922" s="20" t="s">
        <v>173</v>
      </c>
      <c r="K1922" s="20" t="s">
        <v>184</v>
      </c>
      <c r="L1922" s="20" t="s">
        <v>2690</v>
      </c>
      <c r="M1922" s="20" t="s">
        <v>61</v>
      </c>
      <c r="N1922" s="20" t="s">
        <v>44</v>
      </c>
      <c r="O1922" s="20">
        <v>18</v>
      </c>
      <c r="P1922" s="20">
        <v>173.63</v>
      </c>
      <c r="Q1922" s="20">
        <v>99.39</v>
      </c>
      <c r="R1922" s="20">
        <v>3125.32</v>
      </c>
      <c r="S1922" s="20">
        <v>0.05</v>
      </c>
      <c r="T1922" s="20">
        <v>156.27000000000001</v>
      </c>
      <c r="U1922" s="20">
        <v>2969.06</v>
      </c>
      <c r="V1922" s="20">
        <v>1789.05</v>
      </c>
      <c r="W1922" s="20">
        <v>1180</v>
      </c>
      <c r="X1922" s="20" t="s">
        <v>45</v>
      </c>
    </row>
    <row r="1923" spans="1:24" x14ac:dyDescent="0.25">
      <c r="A1923" s="23" t="s">
        <v>2446</v>
      </c>
      <c r="B1923" s="22">
        <v>45372</v>
      </c>
      <c r="C1923" s="23" t="s">
        <v>704</v>
      </c>
      <c r="D1923" s="23" t="s">
        <v>105</v>
      </c>
      <c r="E1923" s="23" t="s">
        <v>93</v>
      </c>
      <c r="F1923" s="23" t="s">
        <v>2585</v>
      </c>
      <c r="G1923" s="23" t="s">
        <v>2586</v>
      </c>
      <c r="H1923" s="23" t="s">
        <v>96</v>
      </c>
      <c r="I1923" s="23" t="s">
        <v>27</v>
      </c>
      <c r="J1923" s="23" t="s">
        <v>28</v>
      </c>
      <c r="K1923" s="23" t="s">
        <v>111</v>
      </c>
      <c r="L1923" s="23" t="s">
        <v>2685</v>
      </c>
      <c r="M1923" s="23" t="s">
        <v>30</v>
      </c>
      <c r="N1923" s="23" t="s">
        <v>75</v>
      </c>
      <c r="O1923" s="23">
        <v>16</v>
      </c>
      <c r="P1923" s="23">
        <v>58.97</v>
      </c>
      <c r="Q1923" s="23">
        <v>30.34</v>
      </c>
      <c r="R1923" s="23">
        <v>943.56</v>
      </c>
      <c r="S1923" s="23">
        <v>0.2</v>
      </c>
      <c r="T1923" s="23">
        <v>188.71</v>
      </c>
      <c r="U1923" s="23">
        <v>754.85</v>
      </c>
      <c r="V1923" s="23">
        <v>485.42</v>
      </c>
      <c r="W1923" s="23">
        <v>269.43</v>
      </c>
      <c r="X1923" s="23" t="s">
        <v>45</v>
      </c>
    </row>
    <row r="1924" spans="1:24" x14ac:dyDescent="0.25">
      <c r="A1924" s="20" t="s">
        <v>2447</v>
      </c>
      <c r="B1924" s="19">
        <v>45358</v>
      </c>
      <c r="C1924" s="20" t="s">
        <v>985</v>
      </c>
      <c r="D1924" s="20" t="s">
        <v>393</v>
      </c>
      <c r="E1924" s="20" t="s">
        <v>150</v>
      </c>
      <c r="F1924" s="20" t="s">
        <v>2591</v>
      </c>
      <c r="G1924" s="20" t="s">
        <v>2587</v>
      </c>
      <c r="H1924" s="20" t="s">
        <v>134</v>
      </c>
      <c r="I1924" s="20" t="s">
        <v>40</v>
      </c>
      <c r="J1924" s="20" t="s">
        <v>289</v>
      </c>
      <c r="K1924" s="20" t="s">
        <v>29</v>
      </c>
      <c r="L1924" s="20" t="s">
        <v>2679</v>
      </c>
      <c r="M1924" s="20" t="s">
        <v>30</v>
      </c>
      <c r="N1924" s="20" t="s">
        <v>70</v>
      </c>
      <c r="O1924" s="20">
        <v>42</v>
      </c>
      <c r="P1924" s="20">
        <v>82.51</v>
      </c>
      <c r="Q1924" s="20">
        <v>50.47</v>
      </c>
      <c r="R1924" s="20">
        <v>3465.44</v>
      </c>
      <c r="S1924" s="20">
        <v>0.15</v>
      </c>
      <c r="T1924" s="20">
        <v>519.82000000000005</v>
      </c>
      <c r="U1924" s="20">
        <v>2945.62</v>
      </c>
      <c r="V1924" s="20">
        <v>2119.58</v>
      </c>
      <c r="W1924" s="20">
        <v>826.04</v>
      </c>
      <c r="X1924" s="20" t="s">
        <v>45</v>
      </c>
    </row>
    <row r="1925" spans="1:24" x14ac:dyDescent="0.25">
      <c r="A1925" s="23" t="s">
        <v>2448</v>
      </c>
      <c r="B1925" s="22">
        <v>45573</v>
      </c>
      <c r="C1925" s="23" t="s">
        <v>1270</v>
      </c>
      <c r="D1925" s="23" t="s">
        <v>87</v>
      </c>
      <c r="E1925" s="23" t="s">
        <v>109</v>
      </c>
      <c r="F1925" s="23" t="s">
        <v>110</v>
      </c>
      <c r="G1925" s="23" t="s">
        <v>2584</v>
      </c>
      <c r="H1925" s="23" t="s">
        <v>81</v>
      </c>
      <c r="I1925" s="23" t="s">
        <v>27</v>
      </c>
      <c r="J1925" s="23" t="s">
        <v>211</v>
      </c>
      <c r="K1925" s="23" t="s">
        <v>60</v>
      </c>
      <c r="L1925" s="23" t="s">
        <v>2677</v>
      </c>
      <c r="M1925" s="23" t="s">
        <v>43</v>
      </c>
      <c r="N1925" s="23" t="s">
        <v>84</v>
      </c>
      <c r="O1925" s="23">
        <v>9</v>
      </c>
      <c r="P1925" s="23">
        <v>129.47</v>
      </c>
      <c r="Q1925" s="23">
        <v>73.95</v>
      </c>
      <c r="R1925" s="23">
        <v>1165.22</v>
      </c>
      <c r="S1925" s="23">
        <v>0.05</v>
      </c>
      <c r="T1925" s="23">
        <v>58.26</v>
      </c>
      <c r="U1925" s="23">
        <v>1106.95</v>
      </c>
      <c r="V1925" s="23">
        <v>665.56</v>
      </c>
      <c r="W1925" s="23">
        <v>441.39</v>
      </c>
      <c r="X1925" s="23" t="s">
        <v>45</v>
      </c>
    </row>
    <row r="1926" spans="1:24" x14ac:dyDescent="0.25">
      <c r="A1926" s="20" t="s">
        <v>2449</v>
      </c>
      <c r="B1926" s="19">
        <v>45640</v>
      </c>
      <c r="C1926" s="20" t="s">
        <v>331</v>
      </c>
      <c r="D1926" s="20" t="s">
        <v>48</v>
      </c>
      <c r="E1926" s="20" t="s">
        <v>141</v>
      </c>
      <c r="F1926" s="20" t="s">
        <v>2590</v>
      </c>
      <c r="G1926" s="20" t="s">
        <v>2577</v>
      </c>
      <c r="H1926" s="20" t="s">
        <v>26</v>
      </c>
      <c r="I1926" s="20" t="s">
        <v>88</v>
      </c>
      <c r="J1926" s="20" t="s">
        <v>183</v>
      </c>
      <c r="K1926" s="20" t="s">
        <v>218</v>
      </c>
      <c r="L1926" s="20" t="s">
        <v>2692</v>
      </c>
      <c r="M1926" s="20" t="s">
        <v>153</v>
      </c>
      <c r="N1926" s="20" t="s">
        <v>44</v>
      </c>
      <c r="O1926" s="20">
        <v>51</v>
      </c>
      <c r="P1926" s="20">
        <v>98.48</v>
      </c>
      <c r="Q1926" s="20">
        <v>54.25</v>
      </c>
      <c r="R1926" s="20">
        <v>5022.41</v>
      </c>
      <c r="S1926" s="20">
        <v>0.05</v>
      </c>
      <c r="T1926" s="20">
        <v>251.12</v>
      </c>
      <c r="U1926" s="20">
        <v>4771.29</v>
      </c>
      <c r="V1926" s="20">
        <v>2766.51</v>
      </c>
      <c r="W1926" s="20">
        <v>2004.78</v>
      </c>
      <c r="X1926" s="20" t="s">
        <v>45</v>
      </c>
    </row>
    <row r="1927" spans="1:24" x14ac:dyDescent="0.25">
      <c r="A1927" s="23" t="s">
        <v>2450</v>
      </c>
      <c r="B1927" s="22">
        <v>45430</v>
      </c>
      <c r="C1927" s="23" t="s">
        <v>339</v>
      </c>
      <c r="D1927" s="23" t="s">
        <v>221</v>
      </c>
      <c r="E1927" s="23" t="s">
        <v>78</v>
      </c>
      <c r="F1927" s="23" t="s">
        <v>2583</v>
      </c>
      <c r="G1927" s="23" t="s">
        <v>2584</v>
      </c>
      <c r="H1927" s="23" t="s">
        <v>81</v>
      </c>
      <c r="I1927" s="23" t="s">
        <v>53</v>
      </c>
      <c r="J1927" s="23" t="s">
        <v>232</v>
      </c>
      <c r="K1927" s="23" t="s">
        <v>29</v>
      </c>
      <c r="L1927" s="23" t="s">
        <v>2679</v>
      </c>
      <c r="M1927" s="23" t="s">
        <v>153</v>
      </c>
      <c r="N1927" s="23" t="s">
        <v>70</v>
      </c>
      <c r="O1927" s="23">
        <v>14</v>
      </c>
      <c r="P1927" s="23">
        <v>140.52000000000001</v>
      </c>
      <c r="Q1927" s="23">
        <v>76.95</v>
      </c>
      <c r="R1927" s="23">
        <v>1967.34</v>
      </c>
      <c r="S1927" s="23">
        <v>0</v>
      </c>
      <c r="T1927" s="23">
        <v>0</v>
      </c>
      <c r="U1927" s="23">
        <v>1967.34</v>
      </c>
      <c r="V1927" s="23">
        <v>1077.24</v>
      </c>
      <c r="W1927" s="23">
        <v>890.09</v>
      </c>
      <c r="X1927" s="23" t="s">
        <v>45</v>
      </c>
    </row>
    <row r="1928" spans="1:24" x14ac:dyDescent="0.25">
      <c r="A1928" s="20" t="s">
        <v>2451</v>
      </c>
      <c r="B1928" s="19">
        <v>45461</v>
      </c>
      <c r="C1928" s="20" t="s">
        <v>180</v>
      </c>
      <c r="D1928" s="20" t="s">
        <v>163</v>
      </c>
      <c r="E1928" s="20" t="s">
        <v>78</v>
      </c>
      <c r="F1928" s="20" t="s">
        <v>2583</v>
      </c>
      <c r="G1928" s="20" t="s">
        <v>2584</v>
      </c>
      <c r="H1928" s="20" t="s">
        <v>81</v>
      </c>
      <c r="I1928" s="20" t="s">
        <v>88</v>
      </c>
      <c r="J1928" s="20" t="s">
        <v>173</v>
      </c>
      <c r="K1928" s="20" t="s">
        <v>90</v>
      </c>
      <c r="L1928" s="20" t="s">
        <v>2684</v>
      </c>
      <c r="M1928" s="20" t="s">
        <v>61</v>
      </c>
      <c r="N1928" s="20" t="s">
        <v>70</v>
      </c>
      <c r="O1928" s="20">
        <v>53</v>
      </c>
      <c r="P1928" s="20">
        <v>139.07</v>
      </c>
      <c r="Q1928" s="20">
        <v>81.8</v>
      </c>
      <c r="R1928" s="20">
        <v>7370.49</v>
      </c>
      <c r="S1928" s="20">
        <v>0.2</v>
      </c>
      <c r="T1928" s="20">
        <v>1474.1</v>
      </c>
      <c r="U1928" s="20">
        <v>5896.4</v>
      </c>
      <c r="V1928" s="20">
        <v>4335.3599999999997</v>
      </c>
      <c r="W1928" s="20">
        <v>1561.04</v>
      </c>
      <c r="X1928" s="20" t="s">
        <v>32</v>
      </c>
    </row>
    <row r="1929" spans="1:24" x14ac:dyDescent="0.25">
      <c r="A1929" s="23" t="s">
        <v>2452</v>
      </c>
      <c r="B1929" s="22">
        <v>45485</v>
      </c>
      <c r="C1929" s="23" t="s">
        <v>655</v>
      </c>
      <c r="D1929" s="23" t="s">
        <v>57</v>
      </c>
      <c r="E1929" s="23" t="s">
        <v>209</v>
      </c>
      <c r="F1929" s="23" t="s">
        <v>2595</v>
      </c>
      <c r="G1929" s="23" t="s">
        <v>2581</v>
      </c>
      <c r="H1929" s="23" t="s">
        <v>116</v>
      </c>
      <c r="I1929" s="23" t="s">
        <v>53</v>
      </c>
      <c r="J1929" s="23" t="s">
        <v>122</v>
      </c>
      <c r="K1929" s="23" t="s">
        <v>261</v>
      </c>
      <c r="L1929" s="23" t="s">
        <v>2695</v>
      </c>
      <c r="M1929" s="23" t="s">
        <v>43</v>
      </c>
      <c r="N1929" s="23" t="s">
        <v>70</v>
      </c>
      <c r="O1929" s="23">
        <v>36</v>
      </c>
      <c r="P1929" s="23">
        <v>18.39</v>
      </c>
      <c r="Q1929" s="23">
        <v>9.56</v>
      </c>
      <c r="R1929" s="23">
        <v>661.93</v>
      </c>
      <c r="S1929" s="23">
        <v>0.02</v>
      </c>
      <c r="T1929" s="23">
        <v>13.24</v>
      </c>
      <c r="U1929" s="23">
        <v>648.69000000000005</v>
      </c>
      <c r="V1929" s="23">
        <v>343.99</v>
      </c>
      <c r="W1929" s="23">
        <v>304.7</v>
      </c>
      <c r="X1929" s="23" t="s">
        <v>45</v>
      </c>
    </row>
    <row r="1930" spans="1:24" x14ac:dyDescent="0.25">
      <c r="A1930" s="20" t="s">
        <v>2453</v>
      </c>
      <c r="B1930" s="19">
        <v>45433</v>
      </c>
      <c r="C1930" s="20" t="s">
        <v>47</v>
      </c>
      <c r="D1930" s="20" t="s">
        <v>48</v>
      </c>
      <c r="E1930" s="20" t="s">
        <v>36</v>
      </c>
      <c r="F1930" s="20" t="s">
        <v>37</v>
      </c>
      <c r="G1930" s="20" t="s">
        <v>2579</v>
      </c>
      <c r="H1930" s="20" t="s">
        <v>39</v>
      </c>
      <c r="I1930" s="20" t="s">
        <v>27</v>
      </c>
      <c r="J1930" s="20" t="s">
        <v>211</v>
      </c>
      <c r="K1930" s="20" t="s">
        <v>60</v>
      </c>
      <c r="L1930" s="20" t="s">
        <v>2677</v>
      </c>
      <c r="M1930" s="20" t="s">
        <v>61</v>
      </c>
      <c r="N1930" s="20" t="s">
        <v>84</v>
      </c>
      <c r="O1930" s="20">
        <v>54</v>
      </c>
      <c r="P1930" s="20">
        <v>157.47</v>
      </c>
      <c r="Q1930" s="20">
        <v>92.14</v>
      </c>
      <c r="R1930" s="20">
        <v>8503.27</v>
      </c>
      <c r="S1930" s="20">
        <v>0.15</v>
      </c>
      <c r="T1930" s="20">
        <v>1275.49</v>
      </c>
      <c r="U1930" s="20">
        <v>7227.78</v>
      </c>
      <c r="V1930" s="20">
        <v>4975.83</v>
      </c>
      <c r="W1930" s="20">
        <v>2251.9499999999998</v>
      </c>
      <c r="X1930" s="20" t="s">
        <v>45</v>
      </c>
    </row>
    <row r="1931" spans="1:24" x14ac:dyDescent="0.25">
      <c r="A1931" s="23" t="s">
        <v>2454</v>
      </c>
      <c r="B1931" s="22">
        <v>45504</v>
      </c>
      <c r="C1931" s="23" t="s">
        <v>234</v>
      </c>
      <c r="D1931" s="23" t="s">
        <v>159</v>
      </c>
      <c r="E1931" s="23" t="s">
        <v>109</v>
      </c>
      <c r="F1931" s="23" t="s">
        <v>110</v>
      </c>
      <c r="G1931" s="23" t="s">
        <v>2584</v>
      </c>
      <c r="H1931" s="23" t="s">
        <v>81</v>
      </c>
      <c r="I1931" s="23" t="s">
        <v>53</v>
      </c>
      <c r="J1931" s="23" t="s">
        <v>232</v>
      </c>
      <c r="K1931" s="23" t="s">
        <v>29</v>
      </c>
      <c r="L1931" s="23" t="s">
        <v>2679</v>
      </c>
      <c r="M1931" s="23" t="s">
        <v>43</v>
      </c>
      <c r="N1931" s="23" t="s">
        <v>84</v>
      </c>
      <c r="O1931" s="23">
        <v>61</v>
      </c>
      <c r="P1931" s="23">
        <v>128.1</v>
      </c>
      <c r="Q1931" s="23">
        <v>71.16</v>
      </c>
      <c r="R1931" s="23">
        <v>7814.31</v>
      </c>
      <c r="S1931" s="23">
        <v>0</v>
      </c>
      <c r="T1931" s="23">
        <v>0</v>
      </c>
      <c r="U1931" s="23">
        <v>7814.31</v>
      </c>
      <c r="V1931" s="23">
        <v>4340.83</v>
      </c>
      <c r="W1931" s="23">
        <v>3473.48</v>
      </c>
      <c r="X1931" s="23" t="s">
        <v>45</v>
      </c>
    </row>
    <row r="1932" spans="1:24" x14ac:dyDescent="0.25">
      <c r="A1932" s="20" t="s">
        <v>2455</v>
      </c>
      <c r="B1932" s="19">
        <v>45388</v>
      </c>
      <c r="C1932" s="20" t="s">
        <v>162</v>
      </c>
      <c r="D1932" s="20" t="s">
        <v>163</v>
      </c>
      <c r="E1932" s="20" t="s">
        <v>165</v>
      </c>
      <c r="F1932" s="20" t="s">
        <v>2592</v>
      </c>
      <c r="G1932" s="20" t="s">
        <v>2586</v>
      </c>
      <c r="H1932" s="20" t="s">
        <v>167</v>
      </c>
      <c r="I1932" s="20" t="s">
        <v>27</v>
      </c>
      <c r="J1932" s="20" t="s">
        <v>28</v>
      </c>
      <c r="K1932" s="20" t="s">
        <v>90</v>
      </c>
      <c r="L1932" s="20" t="s">
        <v>2684</v>
      </c>
      <c r="M1932" s="20" t="s">
        <v>61</v>
      </c>
      <c r="N1932" s="20" t="s">
        <v>70</v>
      </c>
      <c r="O1932" s="20">
        <v>56</v>
      </c>
      <c r="P1932" s="20">
        <v>38.9</v>
      </c>
      <c r="Q1932" s="20">
        <v>24.09</v>
      </c>
      <c r="R1932" s="20">
        <v>2178.62</v>
      </c>
      <c r="S1932" s="20">
        <v>0.2</v>
      </c>
      <c r="T1932" s="20">
        <v>435.72</v>
      </c>
      <c r="U1932" s="20">
        <v>1742.89</v>
      </c>
      <c r="V1932" s="20">
        <v>1348.93</v>
      </c>
      <c r="W1932" s="20">
        <v>393.97</v>
      </c>
      <c r="X1932" s="20" t="s">
        <v>45</v>
      </c>
    </row>
    <row r="1933" spans="1:24" x14ac:dyDescent="0.25">
      <c r="A1933" s="23" t="s">
        <v>2456</v>
      </c>
      <c r="B1933" s="22">
        <v>45639</v>
      </c>
      <c r="C1933" s="23" t="s">
        <v>941</v>
      </c>
      <c r="D1933" s="23" t="s">
        <v>149</v>
      </c>
      <c r="E1933" s="23" t="s">
        <v>36</v>
      </c>
      <c r="F1933" s="23" t="s">
        <v>37</v>
      </c>
      <c r="G1933" s="23" t="s">
        <v>2579</v>
      </c>
      <c r="H1933" s="23" t="s">
        <v>39</v>
      </c>
      <c r="I1933" s="23" t="s">
        <v>88</v>
      </c>
      <c r="J1933" s="23" t="s">
        <v>183</v>
      </c>
      <c r="K1933" s="23" t="s">
        <v>42</v>
      </c>
      <c r="L1933" s="23" t="s">
        <v>2680</v>
      </c>
      <c r="M1933" s="23" t="s">
        <v>30</v>
      </c>
      <c r="N1933" s="23" t="s">
        <v>84</v>
      </c>
      <c r="O1933" s="23">
        <v>45</v>
      </c>
      <c r="P1933" s="23">
        <v>159.51</v>
      </c>
      <c r="Q1933" s="23">
        <v>105.51</v>
      </c>
      <c r="R1933" s="23">
        <v>7178.16</v>
      </c>
      <c r="S1933" s="23">
        <v>0.05</v>
      </c>
      <c r="T1933" s="23">
        <v>358.91</v>
      </c>
      <c r="U1933" s="23">
        <v>6819.25</v>
      </c>
      <c r="V1933" s="23">
        <v>4747.8</v>
      </c>
      <c r="W1933" s="23">
        <v>2071.4499999999998</v>
      </c>
      <c r="X1933" s="23" t="s">
        <v>45</v>
      </c>
    </row>
    <row r="1934" spans="1:24" x14ac:dyDescent="0.25">
      <c r="A1934" s="20" t="s">
        <v>2457</v>
      </c>
      <c r="B1934" s="19">
        <v>45362</v>
      </c>
      <c r="C1934" s="20" t="s">
        <v>466</v>
      </c>
      <c r="D1934" s="20" t="s">
        <v>221</v>
      </c>
      <c r="E1934" s="20" t="s">
        <v>165</v>
      </c>
      <c r="F1934" s="20" t="s">
        <v>2592</v>
      </c>
      <c r="G1934" s="20" t="s">
        <v>2586</v>
      </c>
      <c r="H1934" s="20" t="s">
        <v>167</v>
      </c>
      <c r="I1934" s="20" t="s">
        <v>58</v>
      </c>
      <c r="J1934" s="20" t="s">
        <v>59</v>
      </c>
      <c r="K1934" s="20" t="s">
        <v>195</v>
      </c>
      <c r="L1934" s="20" t="s">
        <v>2691</v>
      </c>
      <c r="M1934" s="20" t="s">
        <v>61</v>
      </c>
      <c r="N1934" s="20" t="s">
        <v>70</v>
      </c>
      <c r="O1934" s="20">
        <v>14</v>
      </c>
      <c r="P1934" s="20">
        <v>40.79</v>
      </c>
      <c r="Q1934" s="20">
        <v>26.8</v>
      </c>
      <c r="R1934" s="20">
        <v>571</v>
      </c>
      <c r="S1934" s="20">
        <v>0.15</v>
      </c>
      <c r="T1934" s="20">
        <v>85.65</v>
      </c>
      <c r="U1934" s="20">
        <v>485.35</v>
      </c>
      <c r="V1934" s="20">
        <v>375.2</v>
      </c>
      <c r="W1934" s="20">
        <v>110.15</v>
      </c>
      <c r="X1934" s="20" t="s">
        <v>129</v>
      </c>
    </row>
    <row r="1935" spans="1:24" x14ac:dyDescent="0.25">
      <c r="A1935" s="23" t="s">
        <v>2458</v>
      </c>
      <c r="B1935" s="22">
        <v>45349</v>
      </c>
      <c r="C1935" s="23" t="s">
        <v>924</v>
      </c>
      <c r="D1935" s="23" t="s">
        <v>48</v>
      </c>
      <c r="E1935" s="23" t="s">
        <v>49</v>
      </c>
      <c r="F1935" s="23" t="s">
        <v>2580</v>
      </c>
      <c r="G1935" s="23" t="s">
        <v>2581</v>
      </c>
      <c r="H1935" s="23" t="s">
        <v>52</v>
      </c>
      <c r="I1935" s="23" t="s">
        <v>40</v>
      </c>
      <c r="J1935" s="23" t="s">
        <v>117</v>
      </c>
      <c r="K1935" s="23" t="s">
        <v>253</v>
      </c>
      <c r="L1935" s="23" t="s">
        <v>2694</v>
      </c>
      <c r="M1935" s="23" t="s">
        <v>43</v>
      </c>
      <c r="N1935" s="23" t="s">
        <v>84</v>
      </c>
      <c r="O1935" s="23">
        <v>10</v>
      </c>
      <c r="P1935" s="23">
        <v>23.3</v>
      </c>
      <c r="Q1935" s="23">
        <v>14.01</v>
      </c>
      <c r="R1935" s="23">
        <v>232.98</v>
      </c>
      <c r="S1935" s="23">
        <v>0.2</v>
      </c>
      <c r="T1935" s="23">
        <v>46.6</v>
      </c>
      <c r="U1935" s="23">
        <v>186.39</v>
      </c>
      <c r="V1935" s="23">
        <v>140.13</v>
      </c>
      <c r="W1935" s="23">
        <v>46.26</v>
      </c>
      <c r="X1935" s="23" t="s">
        <v>32</v>
      </c>
    </row>
    <row r="1936" spans="1:24" x14ac:dyDescent="0.25">
      <c r="A1936" s="20" t="s">
        <v>2459</v>
      </c>
      <c r="B1936" s="19">
        <v>45494</v>
      </c>
      <c r="C1936" s="20" t="s">
        <v>613</v>
      </c>
      <c r="D1936" s="20" t="s">
        <v>87</v>
      </c>
      <c r="E1936" s="20" t="s">
        <v>114</v>
      </c>
      <c r="F1936" s="20" t="s">
        <v>2588</v>
      </c>
      <c r="G1936" s="20" t="s">
        <v>2586</v>
      </c>
      <c r="H1936" s="20" t="s">
        <v>116</v>
      </c>
      <c r="I1936" s="20" t="s">
        <v>53</v>
      </c>
      <c r="J1936" s="20" t="s">
        <v>54</v>
      </c>
      <c r="K1936" s="20" t="s">
        <v>118</v>
      </c>
      <c r="L1936" s="20" t="s">
        <v>2686</v>
      </c>
      <c r="M1936" s="20" t="s">
        <v>153</v>
      </c>
      <c r="N1936" s="20" t="s">
        <v>44</v>
      </c>
      <c r="O1936" s="20">
        <v>26</v>
      </c>
      <c r="P1936" s="20">
        <v>35.69</v>
      </c>
      <c r="Q1936" s="20">
        <v>20.07</v>
      </c>
      <c r="R1936" s="20">
        <v>927.87</v>
      </c>
      <c r="S1936" s="20">
        <v>0</v>
      </c>
      <c r="T1936" s="20">
        <v>0</v>
      </c>
      <c r="U1936" s="20">
        <v>927.87</v>
      </c>
      <c r="V1936" s="20">
        <v>521.77</v>
      </c>
      <c r="W1936" s="20">
        <v>406.1</v>
      </c>
      <c r="X1936" s="20" t="s">
        <v>45</v>
      </c>
    </row>
    <row r="1937" spans="1:24" x14ac:dyDescent="0.25">
      <c r="A1937" s="23" t="s">
        <v>2460</v>
      </c>
      <c r="B1937" s="22">
        <v>45410</v>
      </c>
      <c r="C1937" s="23" t="s">
        <v>529</v>
      </c>
      <c r="D1937" s="23" t="s">
        <v>256</v>
      </c>
      <c r="E1937" s="23" t="s">
        <v>176</v>
      </c>
      <c r="F1937" s="23" t="s">
        <v>2593</v>
      </c>
      <c r="G1937" s="23" t="s">
        <v>2587</v>
      </c>
      <c r="H1937" s="23" t="s">
        <v>39</v>
      </c>
      <c r="I1937" s="23" t="s">
        <v>40</v>
      </c>
      <c r="J1937" s="23" t="s">
        <v>82</v>
      </c>
      <c r="K1937" s="23" t="s">
        <v>111</v>
      </c>
      <c r="L1937" s="23" t="s">
        <v>2685</v>
      </c>
      <c r="M1937" s="23" t="s">
        <v>153</v>
      </c>
      <c r="N1937" s="23" t="s">
        <v>44</v>
      </c>
      <c r="O1937" s="23">
        <v>8</v>
      </c>
      <c r="P1937" s="23">
        <v>112.58</v>
      </c>
      <c r="Q1937" s="23">
        <v>64.02</v>
      </c>
      <c r="R1937" s="23">
        <v>900.67</v>
      </c>
      <c r="S1937" s="23">
        <v>0.15</v>
      </c>
      <c r="T1937" s="23">
        <v>135.1</v>
      </c>
      <c r="U1937" s="23">
        <v>765.57</v>
      </c>
      <c r="V1937" s="23">
        <v>512.19000000000005</v>
      </c>
      <c r="W1937" s="23">
        <v>253.37</v>
      </c>
      <c r="X1937" s="23" t="s">
        <v>45</v>
      </c>
    </row>
    <row r="1938" spans="1:24" x14ac:dyDescent="0.25">
      <c r="A1938" s="20" t="s">
        <v>2461</v>
      </c>
      <c r="B1938" s="19">
        <v>45475</v>
      </c>
      <c r="C1938" s="20" t="s">
        <v>148</v>
      </c>
      <c r="D1938" s="20" t="s">
        <v>149</v>
      </c>
      <c r="E1938" s="20" t="s">
        <v>216</v>
      </c>
      <c r="F1938" s="20" t="s">
        <v>2596</v>
      </c>
      <c r="G1938" s="20" t="s">
        <v>2579</v>
      </c>
      <c r="H1938" s="20" t="s">
        <v>134</v>
      </c>
      <c r="I1938" s="20" t="s">
        <v>27</v>
      </c>
      <c r="J1938" s="20" t="s">
        <v>211</v>
      </c>
      <c r="K1938" s="20" t="s">
        <v>184</v>
      </c>
      <c r="L1938" s="20" t="s">
        <v>2690</v>
      </c>
      <c r="M1938" s="20" t="s">
        <v>30</v>
      </c>
      <c r="N1938" s="20" t="s">
        <v>44</v>
      </c>
      <c r="O1938" s="20">
        <v>18</v>
      </c>
      <c r="P1938" s="20">
        <v>104.38</v>
      </c>
      <c r="Q1938" s="20">
        <v>67.73</v>
      </c>
      <c r="R1938" s="20">
        <v>1878.81</v>
      </c>
      <c r="S1938" s="20">
        <v>0.05</v>
      </c>
      <c r="T1938" s="20">
        <v>93.94</v>
      </c>
      <c r="U1938" s="20">
        <v>1784.87</v>
      </c>
      <c r="V1938" s="20">
        <v>1219.1099999999999</v>
      </c>
      <c r="W1938" s="20">
        <v>565.76</v>
      </c>
      <c r="X1938" s="20" t="s">
        <v>45</v>
      </c>
    </row>
    <row r="1939" spans="1:24" x14ac:dyDescent="0.25">
      <c r="A1939" s="23" t="s">
        <v>2462</v>
      </c>
      <c r="B1939" s="22">
        <v>45532</v>
      </c>
      <c r="C1939" s="23" t="s">
        <v>1412</v>
      </c>
      <c r="D1939" s="23" t="s">
        <v>48</v>
      </c>
      <c r="E1939" s="23" t="s">
        <v>176</v>
      </c>
      <c r="F1939" s="23" t="s">
        <v>2593</v>
      </c>
      <c r="G1939" s="23" t="s">
        <v>2587</v>
      </c>
      <c r="H1939" s="23" t="s">
        <v>39</v>
      </c>
      <c r="I1939" s="23" t="s">
        <v>40</v>
      </c>
      <c r="J1939" s="23" t="s">
        <v>41</v>
      </c>
      <c r="K1939" s="23" t="s">
        <v>42</v>
      </c>
      <c r="L1939" s="23" t="s">
        <v>2680</v>
      </c>
      <c r="M1939" s="23" t="s">
        <v>43</v>
      </c>
      <c r="N1939" s="23" t="s">
        <v>2578</v>
      </c>
      <c r="O1939" s="23">
        <v>37</v>
      </c>
      <c r="P1939" s="23">
        <v>96.6</v>
      </c>
      <c r="Q1939" s="23">
        <v>62.16</v>
      </c>
      <c r="R1939" s="23">
        <v>3574.21</v>
      </c>
      <c r="S1939" s="23">
        <v>0.2</v>
      </c>
      <c r="T1939" s="23">
        <v>714.84</v>
      </c>
      <c r="U1939" s="23">
        <v>2859.37</v>
      </c>
      <c r="V1939" s="23">
        <v>2299.88</v>
      </c>
      <c r="W1939" s="23">
        <v>559.48</v>
      </c>
      <c r="X1939" s="23" t="s">
        <v>45</v>
      </c>
    </row>
    <row r="1940" spans="1:24" x14ac:dyDescent="0.25">
      <c r="A1940" s="20" t="s">
        <v>2463</v>
      </c>
      <c r="B1940" s="19">
        <v>45459</v>
      </c>
      <c r="C1940" s="20" t="s">
        <v>902</v>
      </c>
      <c r="D1940" s="20" t="s">
        <v>35</v>
      </c>
      <c r="E1940" s="20" t="s">
        <v>141</v>
      </c>
      <c r="F1940" s="20" t="s">
        <v>2590</v>
      </c>
      <c r="G1940" s="20" t="s">
        <v>2577</v>
      </c>
      <c r="H1940" s="20" t="s">
        <v>26</v>
      </c>
      <c r="I1940" s="20" t="s">
        <v>53</v>
      </c>
      <c r="J1940" s="20" t="s">
        <v>232</v>
      </c>
      <c r="K1940" s="20" t="s">
        <v>218</v>
      </c>
      <c r="L1940" s="20" t="s">
        <v>2692</v>
      </c>
      <c r="M1940" s="20" t="s">
        <v>153</v>
      </c>
      <c r="N1940" s="20" t="s">
        <v>44</v>
      </c>
      <c r="O1940" s="20">
        <v>79</v>
      </c>
      <c r="P1940" s="20">
        <v>98.48</v>
      </c>
      <c r="Q1940" s="20">
        <v>61.36</v>
      </c>
      <c r="R1940" s="20">
        <v>7779.96</v>
      </c>
      <c r="S1940" s="20">
        <v>0</v>
      </c>
      <c r="T1940" s="20">
        <v>0</v>
      </c>
      <c r="U1940" s="20">
        <v>7779.96</v>
      </c>
      <c r="V1940" s="20">
        <v>4847.16</v>
      </c>
      <c r="W1940" s="20">
        <v>2932.8</v>
      </c>
      <c r="X1940" s="20" t="s">
        <v>32</v>
      </c>
    </row>
    <row r="1941" spans="1:24" x14ac:dyDescent="0.25">
      <c r="A1941" s="23" t="s">
        <v>2464</v>
      </c>
      <c r="B1941" s="22">
        <v>45563</v>
      </c>
      <c r="C1941" s="23" t="s">
        <v>631</v>
      </c>
      <c r="D1941" s="23" t="s">
        <v>105</v>
      </c>
      <c r="E1941" s="23" t="s">
        <v>66</v>
      </c>
      <c r="F1941" s="23" t="s">
        <v>2582</v>
      </c>
      <c r="G1941" s="23" t="s">
        <v>2579</v>
      </c>
      <c r="H1941" s="23" t="s">
        <v>68</v>
      </c>
      <c r="I1941" s="23" t="s">
        <v>27</v>
      </c>
      <c r="J1941" s="23" t="s">
        <v>189</v>
      </c>
      <c r="K1941" s="23" t="s">
        <v>2619</v>
      </c>
      <c r="L1941" s="23" t="s">
        <v>2619</v>
      </c>
      <c r="M1941" s="23" t="s">
        <v>61</v>
      </c>
      <c r="N1941" s="23" t="s">
        <v>44</v>
      </c>
      <c r="O1941" s="23">
        <v>53</v>
      </c>
      <c r="P1941" s="23">
        <v>148.47999999999999</v>
      </c>
      <c r="Q1941" s="23">
        <v>109.72</v>
      </c>
      <c r="R1941" s="23">
        <v>7869.41</v>
      </c>
      <c r="S1941" s="23">
        <v>0.2</v>
      </c>
      <c r="T1941" s="23">
        <v>1573.88</v>
      </c>
      <c r="U1941" s="23">
        <v>6295.53</v>
      </c>
      <c r="V1941" s="23">
        <v>5815.07</v>
      </c>
      <c r="W1941" s="23">
        <v>480.46</v>
      </c>
      <c r="X1941" s="23" t="s">
        <v>45</v>
      </c>
    </row>
    <row r="1942" spans="1:24" x14ac:dyDescent="0.25">
      <c r="A1942" s="20" t="s">
        <v>2465</v>
      </c>
      <c r="B1942" s="19">
        <v>45327</v>
      </c>
      <c r="C1942" s="20" t="s">
        <v>938</v>
      </c>
      <c r="D1942" s="20" t="s">
        <v>156</v>
      </c>
      <c r="E1942" s="20" t="s">
        <v>132</v>
      </c>
      <c r="F1942" s="20" t="s">
        <v>133</v>
      </c>
      <c r="G1942" s="20" t="s">
        <v>2581</v>
      </c>
      <c r="H1942" s="20" t="s">
        <v>134</v>
      </c>
      <c r="I1942" s="20" t="s">
        <v>40</v>
      </c>
      <c r="J1942" s="20" t="s">
        <v>41</v>
      </c>
      <c r="K1942" s="20" t="s">
        <v>74</v>
      </c>
      <c r="L1942" s="20" t="s">
        <v>2682</v>
      </c>
      <c r="M1942" s="20" t="s">
        <v>153</v>
      </c>
      <c r="N1942" s="20" t="s">
        <v>70</v>
      </c>
      <c r="O1942" s="20">
        <v>36</v>
      </c>
      <c r="P1942" s="20">
        <v>64.08</v>
      </c>
      <c r="Q1942" s="20">
        <v>36.049999999999997</v>
      </c>
      <c r="R1942" s="20">
        <v>2306.77</v>
      </c>
      <c r="S1942" s="20">
        <v>0.1</v>
      </c>
      <c r="T1942" s="20">
        <v>230.68</v>
      </c>
      <c r="U1942" s="20">
        <v>2076.1</v>
      </c>
      <c r="V1942" s="20">
        <v>1297.9000000000001</v>
      </c>
      <c r="W1942" s="20">
        <v>778.2</v>
      </c>
      <c r="X1942" s="20" t="s">
        <v>45</v>
      </c>
    </row>
    <row r="1943" spans="1:24" x14ac:dyDescent="0.25">
      <c r="A1943" s="23" t="s">
        <v>2466</v>
      </c>
      <c r="B1943" s="22">
        <v>45613</v>
      </c>
      <c r="C1943" s="23" t="s">
        <v>269</v>
      </c>
      <c r="D1943" s="23" t="s">
        <v>105</v>
      </c>
      <c r="E1943" s="23" t="s">
        <v>23</v>
      </c>
      <c r="F1943" s="23" t="s">
        <v>2576</v>
      </c>
      <c r="G1943" s="23" t="s">
        <v>2577</v>
      </c>
      <c r="H1943" s="23" t="s">
        <v>26</v>
      </c>
      <c r="I1943" s="23" t="s">
        <v>40</v>
      </c>
      <c r="J1943" s="23" t="s">
        <v>117</v>
      </c>
      <c r="K1943" s="23" t="s">
        <v>248</v>
      </c>
      <c r="L1943" s="23" t="s">
        <v>2693</v>
      </c>
      <c r="M1943" s="23" t="s">
        <v>153</v>
      </c>
      <c r="N1943" s="23" t="s">
        <v>70</v>
      </c>
      <c r="O1943" s="23">
        <v>77</v>
      </c>
      <c r="P1943" s="23">
        <v>69.790000000000006</v>
      </c>
      <c r="Q1943" s="23">
        <v>42.09</v>
      </c>
      <c r="R1943" s="23">
        <v>5373.7</v>
      </c>
      <c r="S1943" s="23">
        <v>0.1</v>
      </c>
      <c r="T1943" s="23">
        <v>537.37</v>
      </c>
      <c r="U1943" s="23">
        <v>4836.33</v>
      </c>
      <c r="V1943" s="23">
        <v>3240.68</v>
      </c>
      <c r="W1943" s="23">
        <v>1595.65</v>
      </c>
      <c r="X1943" s="23" t="s">
        <v>32</v>
      </c>
    </row>
    <row r="1944" spans="1:24" x14ac:dyDescent="0.25">
      <c r="A1944" s="20" t="s">
        <v>2467</v>
      </c>
      <c r="B1944" s="19">
        <v>45558</v>
      </c>
      <c r="C1944" s="20" t="s">
        <v>866</v>
      </c>
      <c r="D1944" s="20" t="s">
        <v>156</v>
      </c>
      <c r="E1944" s="20" t="s">
        <v>187</v>
      </c>
      <c r="F1944" s="20" t="s">
        <v>2594</v>
      </c>
      <c r="G1944" s="20" t="s">
        <v>2577</v>
      </c>
      <c r="H1944" s="20" t="s">
        <v>26</v>
      </c>
      <c r="I1944" s="20" t="s">
        <v>58</v>
      </c>
      <c r="J1944" s="20" t="s">
        <v>345</v>
      </c>
      <c r="K1944" s="20" t="s">
        <v>170</v>
      </c>
      <c r="L1944" s="20" t="s">
        <v>2671</v>
      </c>
      <c r="M1944" s="20" t="s">
        <v>61</v>
      </c>
      <c r="N1944" s="20" t="s">
        <v>84</v>
      </c>
      <c r="O1944" s="20">
        <v>54</v>
      </c>
      <c r="P1944" s="20">
        <v>44.48</v>
      </c>
      <c r="Q1944" s="20">
        <v>27.07</v>
      </c>
      <c r="R1944" s="20">
        <v>2401.92</v>
      </c>
      <c r="S1944" s="20">
        <v>0.2</v>
      </c>
      <c r="T1944" s="20">
        <v>480.38</v>
      </c>
      <c r="U1944" s="20">
        <v>1921.54</v>
      </c>
      <c r="V1944" s="20">
        <v>1461.97</v>
      </c>
      <c r="W1944" s="20">
        <v>459.57</v>
      </c>
      <c r="X1944" s="20" t="s">
        <v>45</v>
      </c>
    </row>
    <row r="1945" spans="1:24" x14ac:dyDescent="0.25">
      <c r="A1945" s="23" t="s">
        <v>2468</v>
      </c>
      <c r="B1945" s="22">
        <v>45525</v>
      </c>
      <c r="C1945" s="23" t="s">
        <v>382</v>
      </c>
      <c r="D1945" s="23" t="s">
        <v>22</v>
      </c>
      <c r="E1945" s="23" t="s">
        <v>23</v>
      </c>
      <c r="F1945" s="23" t="s">
        <v>2576</v>
      </c>
      <c r="G1945" s="23" t="s">
        <v>2577</v>
      </c>
      <c r="H1945" s="23" t="s">
        <v>26</v>
      </c>
      <c r="I1945" s="23" t="s">
        <v>40</v>
      </c>
      <c r="J1945" s="23" t="s">
        <v>41</v>
      </c>
      <c r="K1945" s="23" t="s">
        <v>265</v>
      </c>
      <c r="L1945" s="23" t="s">
        <v>2663</v>
      </c>
      <c r="M1945" s="23" t="s">
        <v>153</v>
      </c>
      <c r="N1945" s="23" t="s">
        <v>84</v>
      </c>
      <c r="O1945" s="23">
        <v>75</v>
      </c>
      <c r="P1945" s="23">
        <v>73.47</v>
      </c>
      <c r="Q1945" s="23">
        <v>42.31</v>
      </c>
      <c r="R1945" s="23">
        <v>5510.42</v>
      </c>
      <c r="S1945" s="23">
        <v>0.05</v>
      </c>
      <c r="T1945" s="23">
        <v>275.52</v>
      </c>
      <c r="U1945" s="23">
        <v>5234.8999999999996</v>
      </c>
      <c r="V1945" s="23">
        <v>3173.15</v>
      </c>
      <c r="W1945" s="23">
        <v>2061.75</v>
      </c>
      <c r="X1945" s="23" t="s">
        <v>45</v>
      </c>
    </row>
    <row r="1946" spans="1:24" x14ac:dyDescent="0.25">
      <c r="A1946" s="20" t="s">
        <v>2469</v>
      </c>
      <c r="B1946" s="19">
        <v>45313</v>
      </c>
      <c r="C1946" s="20" t="s">
        <v>325</v>
      </c>
      <c r="D1946" s="20" t="s">
        <v>35</v>
      </c>
      <c r="E1946" s="20" t="s">
        <v>99</v>
      </c>
      <c r="F1946" s="20" t="s">
        <v>100</v>
      </c>
      <c r="G1946" s="20" t="s">
        <v>2587</v>
      </c>
      <c r="H1946" s="20" t="s">
        <v>102</v>
      </c>
      <c r="I1946" s="20" t="s">
        <v>53</v>
      </c>
      <c r="J1946" s="20" t="s">
        <v>122</v>
      </c>
      <c r="K1946" s="20" t="s">
        <v>90</v>
      </c>
      <c r="L1946" s="20" t="s">
        <v>2684</v>
      </c>
      <c r="M1946" s="20" t="s">
        <v>43</v>
      </c>
      <c r="N1946" s="20" t="s">
        <v>2578</v>
      </c>
      <c r="O1946" s="20">
        <v>78</v>
      </c>
      <c r="P1946" s="20">
        <v>75.180000000000007</v>
      </c>
      <c r="Q1946" s="20">
        <v>38.22</v>
      </c>
      <c r="R1946" s="20">
        <v>5864.27</v>
      </c>
      <c r="S1946" s="20">
        <v>0</v>
      </c>
      <c r="T1946" s="20">
        <v>0</v>
      </c>
      <c r="U1946" s="20">
        <v>5864.27</v>
      </c>
      <c r="V1946" s="20">
        <v>2980.85</v>
      </c>
      <c r="W1946" s="20">
        <v>2883.43</v>
      </c>
      <c r="X1946" s="20" t="s">
        <v>45</v>
      </c>
    </row>
    <row r="1947" spans="1:24" x14ac:dyDescent="0.25">
      <c r="A1947" s="23" t="s">
        <v>2470</v>
      </c>
      <c r="B1947" s="22">
        <v>45351</v>
      </c>
      <c r="C1947" s="23" t="s">
        <v>1028</v>
      </c>
      <c r="D1947" s="23" t="s">
        <v>57</v>
      </c>
      <c r="E1947" s="23" t="s">
        <v>187</v>
      </c>
      <c r="F1947" s="23" t="s">
        <v>2594</v>
      </c>
      <c r="G1947" s="23" t="s">
        <v>2577</v>
      </c>
      <c r="H1947" s="23" t="s">
        <v>26</v>
      </c>
      <c r="I1947" s="23" t="s">
        <v>53</v>
      </c>
      <c r="J1947" s="23" t="s">
        <v>122</v>
      </c>
      <c r="K1947" s="23" t="s">
        <v>29</v>
      </c>
      <c r="L1947" s="23" t="s">
        <v>2679</v>
      </c>
      <c r="M1947" s="23" t="s">
        <v>30</v>
      </c>
      <c r="N1947" s="23" t="s">
        <v>2578</v>
      </c>
      <c r="O1947" s="23">
        <v>64</v>
      </c>
      <c r="P1947" s="23">
        <v>50.45</v>
      </c>
      <c r="Q1947" s="23">
        <v>30.78</v>
      </c>
      <c r="R1947" s="23">
        <v>3228.89</v>
      </c>
      <c r="S1947" s="23">
        <v>0.15</v>
      </c>
      <c r="T1947" s="23">
        <v>484.33</v>
      </c>
      <c r="U1947" s="23">
        <v>2744.55</v>
      </c>
      <c r="V1947" s="23">
        <v>1970.09</v>
      </c>
      <c r="W1947" s="23">
        <v>774.46</v>
      </c>
      <c r="X1947" s="23" t="s">
        <v>45</v>
      </c>
    </row>
    <row r="1948" spans="1:24" x14ac:dyDescent="0.25">
      <c r="A1948" s="20" t="s">
        <v>2471</v>
      </c>
      <c r="B1948" s="19">
        <v>45629</v>
      </c>
      <c r="C1948" s="20" t="s">
        <v>859</v>
      </c>
      <c r="D1948" s="20" t="s">
        <v>221</v>
      </c>
      <c r="E1948" s="20" t="s">
        <v>78</v>
      </c>
      <c r="F1948" s="20" t="s">
        <v>2583</v>
      </c>
      <c r="G1948" s="20" t="s">
        <v>2584</v>
      </c>
      <c r="H1948" s="20" t="s">
        <v>81</v>
      </c>
      <c r="I1948" s="20" t="s">
        <v>27</v>
      </c>
      <c r="J1948" s="20" t="s">
        <v>211</v>
      </c>
      <c r="K1948" s="20" t="s">
        <v>253</v>
      </c>
      <c r="L1948" s="20" t="s">
        <v>2694</v>
      </c>
      <c r="M1948" s="20" t="s">
        <v>30</v>
      </c>
      <c r="N1948" s="20" t="s">
        <v>70</v>
      </c>
      <c r="O1948" s="20">
        <v>63</v>
      </c>
      <c r="P1948" s="20">
        <v>138.97999999999999</v>
      </c>
      <c r="Q1948" s="20">
        <v>83.67</v>
      </c>
      <c r="R1948" s="20">
        <v>8755.85</v>
      </c>
      <c r="S1948" s="20">
        <v>0</v>
      </c>
      <c r="T1948" s="20">
        <v>0</v>
      </c>
      <c r="U1948" s="20">
        <v>8755.85</v>
      </c>
      <c r="V1948" s="20">
        <v>5271.43</v>
      </c>
      <c r="W1948" s="20">
        <v>3484.41</v>
      </c>
      <c r="X1948" s="20" t="s">
        <v>45</v>
      </c>
    </row>
    <row r="1949" spans="1:24" x14ac:dyDescent="0.25">
      <c r="A1949" s="23" t="s">
        <v>2472</v>
      </c>
      <c r="B1949" s="22">
        <v>45551</v>
      </c>
      <c r="C1949" s="23" t="s">
        <v>1887</v>
      </c>
      <c r="D1949" s="23" t="s">
        <v>159</v>
      </c>
      <c r="E1949" s="23" t="s">
        <v>187</v>
      </c>
      <c r="F1949" s="23" t="s">
        <v>2594</v>
      </c>
      <c r="G1949" s="23" t="s">
        <v>2577</v>
      </c>
      <c r="H1949" s="23" t="s">
        <v>26</v>
      </c>
      <c r="I1949" s="23" t="s">
        <v>40</v>
      </c>
      <c r="J1949" s="23" t="s">
        <v>41</v>
      </c>
      <c r="K1949" s="23" t="s">
        <v>74</v>
      </c>
      <c r="L1949" s="23" t="s">
        <v>2682</v>
      </c>
      <c r="M1949" s="23" t="s">
        <v>61</v>
      </c>
      <c r="N1949" s="23" t="s">
        <v>75</v>
      </c>
      <c r="O1949" s="23">
        <v>14</v>
      </c>
      <c r="P1949" s="23">
        <v>45.69</v>
      </c>
      <c r="Q1949" s="23">
        <v>29.07</v>
      </c>
      <c r="R1949" s="23">
        <v>639.71</v>
      </c>
      <c r="S1949" s="23">
        <v>0.2</v>
      </c>
      <c r="T1949" s="23">
        <v>127.94</v>
      </c>
      <c r="U1949" s="23">
        <v>511.77</v>
      </c>
      <c r="V1949" s="23">
        <v>406.92</v>
      </c>
      <c r="W1949" s="23">
        <v>104.84</v>
      </c>
      <c r="X1949" s="23" t="s">
        <v>45</v>
      </c>
    </row>
    <row r="1950" spans="1:24" x14ac:dyDescent="0.25">
      <c r="A1950" s="20" t="s">
        <v>2473</v>
      </c>
      <c r="B1950" s="19">
        <v>45650</v>
      </c>
      <c r="C1950" s="20" t="s">
        <v>213</v>
      </c>
      <c r="D1950" s="20" t="s">
        <v>87</v>
      </c>
      <c r="E1950" s="20" t="s">
        <v>114</v>
      </c>
      <c r="F1950" s="20" t="s">
        <v>2588</v>
      </c>
      <c r="G1950" s="20" t="s">
        <v>2586</v>
      </c>
      <c r="H1950" s="20" t="s">
        <v>116</v>
      </c>
      <c r="I1950" s="20" t="s">
        <v>88</v>
      </c>
      <c r="J1950" s="20" t="s">
        <v>135</v>
      </c>
      <c r="K1950" s="20" t="s">
        <v>42</v>
      </c>
      <c r="L1950" s="20" t="s">
        <v>2680</v>
      </c>
      <c r="M1950" s="20" t="s">
        <v>43</v>
      </c>
      <c r="N1950" s="20" t="s">
        <v>44</v>
      </c>
      <c r="O1950" s="20">
        <v>48</v>
      </c>
      <c r="P1950" s="20">
        <v>36.19</v>
      </c>
      <c r="Q1950" s="20">
        <v>22.33</v>
      </c>
      <c r="R1950" s="20">
        <v>1737.35</v>
      </c>
      <c r="S1950" s="20">
        <v>0.1</v>
      </c>
      <c r="T1950" s="20">
        <v>173.73</v>
      </c>
      <c r="U1950" s="20">
        <v>1563.61</v>
      </c>
      <c r="V1950" s="20">
        <v>1071.74</v>
      </c>
      <c r="W1950" s="20">
        <v>491.87</v>
      </c>
      <c r="X1950" s="20" t="s">
        <v>45</v>
      </c>
    </row>
    <row r="1951" spans="1:24" x14ac:dyDescent="0.25">
      <c r="A1951" s="23" t="s">
        <v>2474</v>
      </c>
      <c r="B1951" s="22">
        <v>45628</v>
      </c>
      <c r="C1951" s="23" t="s">
        <v>213</v>
      </c>
      <c r="D1951" s="23" t="s">
        <v>87</v>
      </c>
      <c r="E1951" s="23" t="s">
        <v>209</v>
      </c>
      <c r="F1951" s="23" t="s">
        <v>2595</v>
      </c>
      <c r="G1951" s="23" t="s">
        <v>2581</v>
      </c>
      <c r="H1951" s="23" t="s">
        <v>116</v>
      </c>
      <c r="I1951" s="23" t="s">
        <v>88</v>
      </c>
      <c r="J1951" s="23" t="s">
        <v>135</v>
      </c>
      <c r="K1951" s="23" t="s">
        <v>60</v>
      </c>
      <c r="L1951" s="23" t="s">
        <v>2677</v>
      </c>
      <c r="M1951" s="23" t="s">
        <v>30</v>
      </c>
      <c r="N1951" s="23" t="s">
        <v>2578</v>
      </c>
      <c r="O1951" s="23">
        <v>56</v>
      </c>
      <c r="P1951" s="23">
        <v>18.739999999999998</v>
      </c>
      <c r="Q1951" s="23">
        <v>9.24</v>
      </c>
      <c r="R1951" s="23">
        <v>1049.6500000000001</v>
      </c>
      <c r="S1951" s="23">
        <v>0.02</v>
      </c>
      <c r="T1951" s="23">
        <v>20.99</v>
      </c>
      <c r="U1951" s="23">
        <v>1028.6600000000001</v>
      </c>
      <c r="V1951" s="23">
        <v>517.4</v>
      </c>
      <c r="W1951" s="23">
        <v>511.26</v>
      </c>
      <c r="X1951" s="23" t="s">
        <v>129</v>
      </c>
    </row>
    <row r="1952" spans="1:24" x14ac:dyDescent="0.25">
      <c r="A1952" s="20" t="s">
        <v>2475</v>
      </c>
      <c r="B1952" s="19">
        <v>45443</v>
      </c>
      <c r="C1952" s="20" t="s">
        <v>272</v>
      </c>
      <c r="D1952" s="20" t="s">
        <v>105</v>
      </c>
      <c r="E1952" s="20" t="s">
        <v>216</v>
      </c>
      <c r="F1952" s="20" t="s">
        <v>2596</v>
      </c>
      <c r="G1952" s="20" t="s">
        <v>2579</v>
      </c>
      <c r="H1952" s="20" t="s">
        <v>134</v>
      </c>
      <c r="I1952" s="20" t="s">
        <v>58</v>
      </c>
      <c r="J1952" s="20" t="s">
        <v>73</v>
      </c>
      <c r="K1952" s="20" t="s">
        <v>184</v>
      </c>
      <c r="L1952" s="20" t="s">
        <v>2690</v>
      </c>
      <c r="M1952" s="20" t="s">
        <v>61</v>
      </c>
      <c r="N1952" s="20" t="s">
        <v>2578</v>
      </c>
      <c r="O1952" s="20">
        <v>21</v>
      </c>
      <c r="P1952" s="20">
        <v>115.23</v>
      </c>
      <c r="Q1952" s="20">
        <v>63.25</v>
      </c>
      <c r="R1952" s="20">
        <v>2419.88</v>
      </c>
      <c r="S1952" s="20">
        <v>0</v>
      </c>
      <c r="T1952" s="20">
        <v>0</v>
      </c>
      <c r="U1952" s="20">
        <v>2419.88</v>
      </c>
      <c r="V1952" s="20">
        <v>1328.19</v>
      </c>
      <c r="W1952" s="20">
        <v>1091.69</v>
      </c>
      <c r="X1952" s="20" t="s">
        <v>45</v>
      </c>
    </row>
    <row r="1953" spans="1:24" x14ac:dyDescent="0.25">
      <c r="A1953" s="23" t="s">
        <v>2476</v>
      </c>
      <c r="B1953" s="22">
        <v>45488</v>
      </c>
      <c r="C1953" s="23" t="s">
        <v>483</v>
      </c>
      <c r="D1953" s="23" t="s">
        <v>159</v>
      </c>
      <c r="E1953" s="23" t="s">
        <v>93</v>
      </c>
      <c r="F1953" s="23" t="s">
        <v>2585</v>
      </c>
      <c r="G1953" s="23" t="s">
        <v>2586</v>
      </c>
      <c r="H1953" s="23" t="s">
        <v>96</v>
      </c>
      <c r="I1953" s="23" t="s">
        <v>88</v>
      </c>
      <c r="J1953" s="23" t="s">
        <v>183</v>
      </c>
      <c r="K1953" s="23" t="s">
        <v>170</v>
      </c>
      <c r="L1953" s="23" t="s">
        <v>2671</v>
      </c>
      <c r="M1953" s="23" t="s">
        <v>61</v>
      </c>
      <c r="N1953" s="23" t="s">
        <v>44</v>
      </c>
      <c r="O1953" s="23">
        <v>33</v>
      </c>
      <c r="P1953" s="23">
        <v>51.86</v>
      </c>
      <c r="Q1953" s="23">
        <v>33.409999999999997</v>
      </c>
      <c r="R1953" s="23">
        <v>1711.29</v>
      </c>
      <c r="S1953" s="23">
        <v>0.2</v>
      </c>
      <c r="T1953" s="23">
        <v>342.26</v>
      </c>
      <c r="U1953" s="23">
        <v>1369.03</v>
      </c>
      <c r="V1953" s="23">
        <v>1102.52</v>
      </c>
      <c r="W1953" s="23">
        <v>266.51</v>
      </c>
      <c r="X1953" s="23" t="s">
        <v>45</v>
      </c>
    </row>
    <row r="1954" spans="1:24" x14ac:dyDescent="0.25">
      <c r="A1954" s="20" t="s">
        <v>2477</v>
      </c>
      <c r="B1954" s="19">
        <v>45310</v>
      </c>
      <c r="C1954" s="20" t="s">
        <v>1184</v>
      </c>
      <c r="D1954" s="20" t="s">
        <v>65</v>
      </c>
      <c r="E1954" s="20" t="s">
        <v>165</v>
      </c>
      <c r="F1954" s="20" t="s">
        <v>2592</v>
      </c>
      <c r="G1954" s="20" t="s">
        <v>2586</v>
      </c>
      <c r="H1954" s="20" t="s">
        <v>167</v>
      </c>
      <c r="I1954" s="20" t="s">
        <v>53</v>
      </c>
      <c r="J1954" s="20" t="s">
        <v>54</v>
      </c>
      <c r="K1954" s="20" t="s">
        <v>118</v>
      </c>
      <c r="L1954" s="20" t="s">
        <v>2686</v>
      </c>
      <c r="M1954" s="20" t="s">
        <v>153</v>
      </c>
      <c r="N1954" s="20" t="s">
        <v>84</v>
      </c>
      <c r="O1954" s="20">
        <v>25</v>
      </c>
      <c r="P1954" s="20">
        <v>38.74</v>
      </c>
      <c r="Q1954" s="20">
        <v>23.46</v>
      </c>
      <c r="R1954" s="20">
        <v>968.42</v>
      </c>
      <c r="S1954" s="20">
        <v>0.05</v>
      </c>
      <c r="T1954" s="20">
        <v>48.42</v>
      </c>
      <c r="U1954" s="20">
        <v>920</v>
      </c>
      <c r="V1954" s="20">
        <v>586.61</v>
      </c>
      <c r="W1954" s="20">
        <v>333.39</v>
      </c>
      <c r="X1954" s="20" t="s">
        <v>45</v>
      </c>
    </row>
    <row r="1955" spans="1:24" x14ac:dyDescent="0.25">
      <c r="A1955" s="23" t="s">
        <v>2478</v>
      </c>
      <c r="B1955" s="22">
        <v>45465</v>
      </c>
      <c r="C1955" s="23" t="s">
        <v>487</v>
      </c>
      <c r="D1955" s="23" t="s">
        <v>156</v>
      </c>
      <c r="E1955" s="23" t="s">
        <v>49</v>
      </c>
      <c r="F1955" s="23" t="s">
        <v>2580</v>
      </c>
      <c r="G1955" s="23" t="s">
        <v>2581</v>
      </c>
      <c r="H1955" s="23" t="s">
        <v>52</v>
      </c>
      <c r="I1955" s="23" t="s">
        <v>40</v>
      </c>
      <c r="J1955" s="23" t="s">
        <v>117</v>
      </c>
      <c r="K1955" s="23" t="s">
        <v>83</v>
      </c>
      <c r="L1955" s="23" t="s">
        <v>2683</v>
      </c>
      <c r="M1955" s="23" t="s">
        <v>61</v>
      </c>
      <c r="N1955" s="23" t="s">
        <v>70</v>
      </c>
      <c r="O1955" s="23">
        <v>4</v>
      </c>
      <c r="P1955" s="23">
        <v>24.38</v>
      </c>
      <c r="Q1955" s="23">
        <v>13.99</v>
      </c>
      <c r="R1955" s="23">
        <v>97.54</v>
      </c>
      <c r="S1955" s="23">
        <v>0.1</v>
      </c>
      <c r="T1955" s="23">
        <v>9.75</v>
      </c>
      <c r="U1955" s="23">
        <v>87.78</v>
      </c>
      <c r="V1955" s="23">
        <v>55.96</v>
      </c>
      <c r="W1955" s="23">
        <v>31.83</v>
      </c>
      <c r="X1955" s="23" t="s">
        <v>45</v>
      </c>
    </row>
    <row r="1956" spans="1:24" x14ac:dyDescent="0.25">
      <c r="A1956" s="20" t="s">
        <v>2479</v>
      </c>
      <c r="B1956" s="19">
        <v>45508</v>
      </c>
      <c r="C1956" s="20" t="s">
        <v>473</v>
      </c>
      <c r="D1956" s="20" t="s">
        <v>22</v>
      </c>
      <c r="E1956" s="20" t="s">
        <v>66</v>
      </c>
      <c r="F1956" s="20" t="s">
        <v>2582</v>
      </c>
      <c r="G1956" s="20" t="s">
        <v>2579</v>
      </c>
      <c r="H1956" s="20" t="s">
        <v>68</v>
      </c>
      <c r="I1956" s="20" t="s">
        <v>53</v>
      </c>
      <c r="J1956" s="20" t="s">
        <v>54</v>
      </c>
      <c r="K1956" s="20" t="s">
        <v>90</v>
      </c>
      <c r="L1956" s="20" t="s">
        <v>2684</v>
      </c>
      <c r="M1956" s="20" t="s">
        <v>43</v>
      </c>
      <c r="N1956" s="20" t="s">
        <v>2578</v>
      </c>
      <c r="O1956" s="20">
        <v>53</v>
      </c>
      <c r="P1956" s="20">
        <v>150.32</v>
      </c>
      <c r="Q1956" s="20">
        <v>103.92</v>
      </c>
      <c r="R1956" s="20">
        <v>7967.18</v>
      </c>
      <c r="S1956" s="20">
        <v>0.1</v>
      </c>
      <c r="T1956" s="20">
        <v>796.72</v>
      </c>
      <c r="U1956" s="20">
        <v>7170.46</v>
      </c>
      <c r="V1956" s="20">
        <v>5507.75</v>
      </c>
      <c r="W1956" s="20">
        <v>1662.72</v>
      </c>
      <c r="X1956" s="20" t="s">
        <v>129</v>
      </c>
    </row>
    <row r="1957" spans="1:24" x14ac:dyDescent="0.25">
      <c r="A1957" s="23" t="s">
        <v>2480</v>
      </c>
      <c r="B1957" s="22">
        <v>45402</v>
      </c>
      <c r="C1957" s="23" t="s">
        <v>397</v>
      </c>
      <c r="D1957" s="23" t="s">
        <v>105</v>
      </c>
      <c r="E1957" s="23" t="s">
        <v>114</v>
      </c>
      <c r="F1957" s="23" t="s">
        <v>2588</v>
      </c>
      <c r="G1957" s="23" t="s">
        <v>2586</v>
      </c>
      <c r="H1957" s="23" t="s">
        <v>116</v>
      </c>
      <c r="I1957" s="23" t="s">
        <v>53</v>
      </c>
      <c r="J1957" s="23" t="s">
        <v>232</v>
      </c>
      <c r="K1957" s="23" t="s">
        <v>178</v>
      </c>
      <c r="L1957" s="23" t="s">
        <v>2689</v>
      </c>
      <c r="M1957" s="23" t="s">
        <v>153</v>
      </c>
      <c r="N1957" s="23" t="s">
        <v>75</v>
      </c>
      <c r="O1957" s="23">
        <v>79</v>
      </c>
      <c r="P1957" s="23">
        <v>35.380000000000003</v>
      </c>
      <c r="Q1957" s="23">
        <v>21.64</v>
      </c>
      <c r="R1957" s="23">
        <v>2794.88</v>
      </c>
      <c r="S1957" s="23">
        <v>0.1</v>
      </c>
      <c r="T1957" s="23">
        <v>279.49</v>
      </c>
      <c r="U1957" s="23">
        <v>2515.39</v>
      </c>
      <c r="V1957" s="23">
        <v>1709.29</v>
      </c>
      <c r="W1957" s="23">
        <v>806.1</v>
      </c>
      <c r="X1957" s="23" t="s">
        <v>45</v>
      </c>
    </row>
    <row r="1958" spans="1:24" x14ac:dyDescent="0.25">
      <c r="A1958" s="20" t="s">
        <v>2481</v>
      </c>
      <c r="B1958" s="19">
        <v>45523</v>
      </c>
      <c r="C1958" s="20" t="s">
        <v>314</v>
      </c>
      <c r="D1958" s="20" t="s">
        <v>163</v>
      </c>
      <c r="E1958" s="20" t="s">
        <v>49</v>
      </c>
      <c r="F1958" s="20" t="s">
        <v>2580</v>
      </c>
      <c r="G1958" s="20" t="s">
        <v>2581</v>
      </c>
      <c r="H1958" s="20" t="s">
        <v>52</v>
      </c>
      <c r="I1958" s="20" t="s">
        <v>27</v>
      </c>
      <c r="J1958" s="20" t="s">
        <v>106</v>
      </c>
      <c r="K1958" s="20" t="s">
        <v>265</v>
      </c>
      <c r="L1958" s="20" t="s">
        <v>2663</v>
      </c>
      <c r="M1958" s="20" t="s">
        <v>30</v>
      </c>
      <c r="N1958" s="20" t="s">
        <v>70</v>
      </c>
      <c r="O1958" s="20">
        <v>66</v>
      </c>
      <c r="P1958" s="20">
        <v>25.71</v>
      </c>
      <c r="Q1958" s="20">
        <v>13.14</v>
      </c>
      <c r="R1958" s="20">
        <v>1696.83</v>
      </c>
      <c r="S1958" s="20">
        <v>0.05</v>
      </c>
      <c r="T1958" s="20">
        <v>84.84</v>
      </c>
      <c r="U1958" s="20">
        <v>1611.99</v>
      </c>
      <c r="V1958" s="20">
        <v>867.03</v>
      </c>
      <c r="W1958" s="20">
        <v>744.96</v>
      </c>
      <c r="X1958" s="20" t="s">
        <v>45</v>
      </c>
    </row>
    <row r="1959" spans="1:24" x14ac:dyDescent="0.25">
      <c r="A1959" s="23" t="s">
        <v>2482</v>
      </c>
      <c r="B1959" s="22">
        <v>45292</v>
      </c>
      <c r="C1959" s="23" t="s">
        <v>651</v>
      </c>
      <c r="D1959" s="23" t="s">
        <v>105</v>
      </c>
      <c r="E1959" s="23" t="s">
        <v>126</v>
      </c>
      <c r="F1959" s="23" t="s">
        <v>2589</v>
      </c>
      <c r="G1959" s="23" t="s">
        <v>2586</v>
      </c>
      <c r="H1959" s="23" t="s">
        <v>128</v>
      </c>
      <c r="I1959" s="23" t="s">
        <v>88</v>
      </c>
      <c r="J1959" s="23" t="s">
        <v>2112</v>
      </c>
      <c r="K1959" s="23" t="s">
        <v>2619</v>
      </c>
      <c r="L1959" s="23" t="s">
        <v>2619</v>
      </c>
      <c r="M1959" s="23" t="s">
        <v>43</v>
      </c>
      <c r="N1959" s="23" t="s">
        <v>84</v>
      </c>
      <c r="O1959" s="23">
        <v>65</v>
      </c>
      <c r="P1959" s="23">
        <v>93.35</v>
      </c>
      <c r="Q1959" s="23">
        <v>52.19</v>
      </c>
      <c r="R1959" s="23">
        <v>6067.81</v>
      </c>
      <c r="S1959" s="23">
        <v>0</v>
      </c>
      <c r="T1959" s="23">
        <v>0</v>
      </c>
      <c r="U1959" s="23">
        <v>6067.81</v>
      </c>
      <c r="V1959" s="23">
        <v>3392.38</v>
      </c>
      <c r="W1959" s="23">
        <v>2675.43</v>
      </c>
      <c r="X1959" s="23" t="s">
        <v>45</v>
      </c>
    </row>
    <row r="1960" spans="1:24" x14ac:dyDescent="0.25">
      <c r="A1960" s="20" t="s">
        <v>2483</v>
      </c>
      <c r="B1960" s="19">
        <v>45545</v>
      </c>
      <c r="C1960" s="20" t="s">
        <v>643</v>
      </c>
      <c r="D1960" s="20" t="s">
        <v>359</v>
      </c>
      <c r="E1960" s="20" t="s">
        <v>114</v>
      </c>
      <c r="F1960" s="20" t="s">
        <v>2588</v>
      </c>
      <c r="G1960" s="20" t="s">
        <v>2586</v>
      </c>
      <c r="H1960" s="20" t="s">
        <v>116</v>
      </c>
      <c r="I1960" s="20" t="s">
        <v>58</v>
      </c>
      <c r="J1960" s="20" t="s">
        <v>73</v>
      </c>
      <c r="K1960" s="20" t="s">
        <v>248</v>
      </c>
      <c r="L1960" s="20" t="s">
        <v>2693</v>
      </c>
      <c r="M1960" s="20" t="s">
        <v>547</v>
      </c>
      <c r="N1960" s="20" t="s">
        <v>75</v>
      </c>
      <c r="O1960" s="20">
        <v>3</v>
      </c>
      <c r="P1960" s="20">
        <v>32.840000000000003</v>
      </c>
      <c r="Q1960" s="20">
        <v>20.48</v>
      </c>
      <c r="R1960" s="20">
        <v>98.51</v>
      </c>
      <c r="S1960" s="20">
        <v>0.1</v>
      </c>
      <c r="T1960" s="20">
        <v>9.85</v>
      </c>
      <c r="U1960" s="20">
        <v>88.66</v>
      </c>
      <c r="V1960" s="20">
        <v>61.44</v>
      </c>
      <c r="W1960" s="20">
        <v>27.22</v>
      </c>
      <c r="X1960" s="20" t="s">
        <v>45</v>
      </c>
    </row>
    <row r="1961" spans="1:24" x14ac:dyDescent="0.25">
      <c r="A1961" s="23" t="s">
        <v>2484</v>
      </c>
      <c r="B1961" s="22">
        <v>45633</v>
      </c>
      <c r="C1961" s="23" t="s">
        <v>2619</v>
      </c>
      <c r="D1961" s="23" t="s">
        <v>2619</v>
      </c>
      <c r="E1961" s="23" t="s">
        <v>165</v>
      </c>
      <c r="F1961" s="23" t="s">
        <v>2592</v>
      </c>
      <c r="G1961" s="23" t="s">
        <v>2586</v>
      </c>
      <c r="H1961" s="23" t="s">
        <v>167</v>
      </c>
      <c r="I1961" s="23" t="s">
        <v>27</v>
      </c>
      <c r="J1961" s="23" t="s">
        <v>28</v>
      </c>
      <c r="K1961" s="23" t="s">
        <v>265</v>
      </c>
      <c r="L1961" s="23" t="s">
        <v>2663</v>
      </c>
      <c r="M1961" s="23" t="s">
        <v>30</v>
      </c>
      <c r="N1961" s="23" t="s">
        <v>44</v>
      </c>
      <c r="O1961" s="23">
        <v>17</v>
      </c>
      <c r="P1961" s="23">
        <v>42.7</v>
      </c>
      <c r="Q1961" s="23">
        <v>23.31</v>
      </c>
      <c r="R1961" s="23">
        <v>725.84</v>
      </c>
      <c r="S1961" s="23">
        <v>0.15</v>
      </c>
      <c r="T1961" s="23">
        <v>108.88</v>
      </c>
      <c r="U1961" s="23">
        <v>616.96</v>
      </c>
      <c r="V1961" s="23">
        <v>396.23</v>
      </c>
      <c r="W1961" s="23">
        <v>220.73</v>
      </c>
      <c r="X1961" s="23" t="s">
        <v>45</v>
      </c>
    </row>
    <row r="1962" spans="1:24" x14ac:dyDescent="0.25">
      <c r="A1962" s="20" t="s">
        <v>2485</v>
      </c>
      <c r="B1962" s="19">
        <v>45640</v>
      </c>
      <c r="C1962" s="20" t="s">
        <v>341</v>
      </c>
      <c r="D1962" s="20" t="s">
        <v>259</v>
      </c>
      <c r="E1962" s="20" t="s">
        <v>165</v>
      </c>
      <c r="F1962" s="20" t="s">
        <v>2592</v>
      </c>
      <c r="G1962" s="20" t="s">
        <v>2586</v>
      </c>
      <c r="H1962" s="20" t="s">
        <v>167</v>
      </c>
      <c r="I1962" s="20" t="s">
        <v>40</v>
      </c>
      <c r="J1962" s="20" t="s">
        <v>289</v>
      </c>
      <c r="K1962" s="20" t="s">
        <v>111</v>
      </c>
      <c r="L1962" s="20" t="s">
        <v>2685</v>
      </c>
      <c r="M1962" s="20" t="s">
        <v>43</v>
      </c>
      <c r="N1962" s="20" t="s">
        <v>84</v>
      </c>
      <c r="O1962" s="20">
        <v>72</v>
      </c>
      <c r="P1962" s="20">
        <v>44.82</v>
      </c>
      <c r="Q1962" s="20">
        <v>24.99</v>
      </c>
      <c r="R1962" s="20">
        <v>3226.92</v>
      </c>
      <c r="S1962" s="20">
        <v>0.1</v>
      </c>
      <c r="T1962" s="20">
        <v>322.69</v>
      </c>
      <c r="U1962" s="20">
        <v>2904.23</v>
      </c>
      <c r="V1962" s="20">
        <v>1799.13</v>
      </c>
      <c r="W1962" s="20">
        <v>1105.0999999999999</v>
      </c>
      <c r="X1962" s="20" t="s">
        <v>45</v>
      </c>
    </row>
    <row r="1963" spans="1:24" x14ac:dyDescent="0.25">
      <c r="A1963" s="23" t="s">
        <v>2486</v>
      </c>
      <c r="B1963" s="22">
        <v>45298</v>
      </c>
      <c r="C1963" s="23" t="s">
        <v>389</v>
      </c>
      <c r="D1963" s="23" t="s">
        <v>264</v>
      </c>
      <c r="E1963" s="23" t="s">
        <v>114</v>
      </c>
      <c r="F1963" s="23" t="s">
        <v>2588</v>
      </c>
      <c r="G1963" s="23" t="s">
        <v>2586</v>
      </c>
      <c r="H1963" s="23" t="s">
        <v>116</v>
      </c>
      <c r="I1963" s="23" t="s">
        <v>40</v>
      </c>
      <c r="J1963" s="23" t="s">
        <v>117</v>
      </c>
      <c r="K1963" s="23" t="s">
        <v>195</v>
      </c>
      <c r="L1963" s="23" t="s">
        <v>2691</v>
      </c>
      <c r="M1963" s="23" t="s">
        <v>61</v>
      </c>
      <c r="N1963" s="23" t="s">
        <v>70</v>
      </c>
      <c r="O1963" s="23">
        <v>5</v>
      </c>
      <c r="P1963" s="23">
        <v>36.33</v>
      </c>
      <c r="Q1963" s="23">
        <v>22.12</v>
      </c>
      <c r="R1963" s="23">
        <v>181.66</v>
      </c>
      <c r="S1963" s="23">
        <v>0.15</v>
      </c>
      <c r="T1963" s="23">
        <v>27.25</v>
      </c>
      <c r="U1963" s="23">
        <v>154.41</v>
      </c>
      <c r="V1963" s="23">
        <v>110.61</v>
      </c>
      <c r="W1963" s="23">
        <v>43.8</v>
      </c>
      <c r="X1963" s="23" t="s">
        <v>32</v>
      </c>
    </row>
    <row r="1964" spans="1:24" x14ac:dyDescent="0.25">
      <c r="A1964" s="20" t="s">
        <v>2487</v>
      </c>
      <c r="B1964" s="19">
        <v>45311</v>
      </c>
      <c r="C1964" s="20" t="s">
        <v>148</v>
      </c>
      <c r="D1964" s="20" t="s">
        <v>149</v>
      </c>
      <c r="E1964" s="20" t="s">
        <v>23</v>
      </c>
      <c r="F1964" s="20" t="s">
        <v>2576</v>
      </c>
      <c r="G1964" s="20" t="s">
        <v>2577</v>
      </c>
      <c r="H1964" s="20" t="s">
        <v>26</v>
      </c>
      <c r="I1964" s="20" t="s">
        <v>58</v>
      </c>
      <c r="J1964" s="20" t="s">
        <v>345</v>
      </c>
      <c r="K1964" s="20" t="s">
        <v>152</v>
      </c>
      <c r="L1964" s="20" t="s">
        <v>2688</v>
      </c>
      <c r="M1964" s="20" t="s">
        <v>43</v>
      </c>
      <c r="N1964" s="20" t="s">
        <v>75</v>
      </c>
      <c r="O1964" s="20">
        <v>75</v>
      </c>
      <c r="P1964" s="20">
        <v>70.33</v>
      </c>
      <c r="Q1964" s="20">
        <v>42.52</v>
      </c>
      <c r="R1964" s="20">
        <v>5274.39</v>
      </c>
      <c r="S1964" s="20">
        <v>0</v>
      </c>
      <c r="T1964" s="20">
        <v>0</v>
      </c>
      <c r="U1964" s="20">
        <v>5274.39</v>
      </c>
      <c r="V1964" s="20">
        <v>3188.69</v>
      </c>
      <c r="W1964" s="20">
        <v>2085.6999999999998</v>
      </c>
      <c r="X1964" s="20" t="s">
        <v>45</v>
      </c>
    </row>
    <row r="1965" spans="1:24" x14ac:dyDescent="0.25">
      <c r="A1965" s="23" t="s">
        <v>2488</v>
      </c>
      <c r="B1965" s="22">
        <v>45336</v>
      </c>
      <c r="C1965" s="23" t="s">
        <v>948</v>
      </c>
      <c r="D1965" s="23" t="s">
        <v>87</v>
      </c>
      <c r="E1965" s="23" t="s">
        <v>109</v>
      </c>
      <c r="F1965" s="23" t="s">
        <v>110</v>
      </c>
      <c r="G1965" s="23" t="s">
        <v>2584</v>
      </c>
      <c r="H1965" s="23" t="s">
        <v>81</v>
      </c>
      <c r="I1965" s="23" t="s">
        <v>58</v>
      </c>
      <c r="J1965" s="23" t="s">
        <v>59</v>
      </c>
      <c r="K1965" s="23" t="s">
        <v>218</v>
      </c>
      <c r="L1965" s="23" t="s">
        <v>2692</v>
      </c>
      <c r="M1965" s="23" t="s">
        <v>43</v>
      </c>
      <c r="N1965" s="23" t="s">
        <v>2578</v>
      </c>
      <c r="O1965" s="23">
        <v>12</v>
      </c>
      <c r="P1965" s="23">
        <v>118.45</v>
      </c>
      <c r="Q1965" s="23">
        <v>74.8</v>
      </c>
      <c r="R1965" s="23">
        <v>1421.41</v>
      </c>
      <c r="S1965" s="23">
        <v>0.2</v>
      </c>
      <c r="T1965" s="23">
        <v>284.27999999999997</v>
      </c>
      <c r="U1965" s="23">
        <v>1137.1199999999999</v>
      </c>
      <c r="V1965" s="23">
        <v>897.66</v>
      </c>
      <c r="W1965" s="23">
        <v>239.47</v>
      </c>
      <c r="X1965" s="23" t="s">
        <v>32</v>
      </c>
    </row>
    <row r="1966" spans="1:24" x14ac:dyDescent="0.25">
      <c r="A1966" s="20" t="s">
        <v>2489</v>
      </c>
      <c r="B1966" s="19">
        <v>45317</v>
      </c>
      <c r="C1966" s="20" t="s">
        <v>237</v>
      </c>
      <c r="D1966" s="20" t="s">
        <v>105</v>
      </c>
      <c r="E1966" s="20" t="s">
        <v>187</v>
      </c>
      <c r="F1966" s="20" t="s">
        <v>2594</v>
      </c>
      <c r="G1966" s="20" t="s">
        <v>2577</v>
      </c>
      <c r="H1966" s="20" t="s">
        <v>26</v>
      </c>
      <c r="I1966" s="20" t="s">
        <v>40</v>
      </c>
      <c r="J1966" s="20" t="s">
        <v>41</v>
      </c>
      <c r="K1966" s="20" t="s">
        <v>29</v>
      </c>
      <c r="L1966" s="20" t="s">
        <v>2679</v>
      </c>
      <c r="M1966" s="20" t="s">
        <v>43</v>
      </c>
      <c r="N1966" s="20" t="s">
        <v>75</v>
      </c>
      <c r="O1966" s="20">
        <v>24</v>
      </c>
      <c r="P1966" s="20">
        <v>49.19</v>
      </c>
      <c r="Q1966" s="20">
        <v>29.24</v>
      </c>
      <c r="R1966" s="20">
        <v>1180.6099999999999</v>
      </c>
      <c r="S1966" s="20">
        <v>0.02</v>
      </c>
      <c r="T1966" s="20">
        <v>23.61</v>
      </c>
      <c r="U1966" s="20">
        <v>1157</v>
      </c>
      <c r="V1966" s="20">
        <v>701.66</v>
      </c>
      <c r="W1966" s="20">
        <v>455.34</v>
      </c>
      <c r="X1966" s="20" t="s">
        <v>45</v>
      </c>
    </row>
    <row r="1967" spans="1:24" x14ac:dyDescent="0.25">
      <c r="A1967" s="23" t="s">
        <v>2490</v>
      </c>
      <c r="B1967" s="22">
        <v>45482</v>
      </c>
      <c r="C1967" s="23" t="s">
        <v>938</v>
      </c>
      <c r="D1967" s="23" t="s">
        <v>156</v>
      </c>
      <c r="E1967" s="23" t="s">
        <v>93</v>
      </c>
      <c r="F1967" s="23" t="s">
        <v>2585</v>
      </c>
      <c r="G1967" s="23" t="s">
        <v>2586</v>
      </c>
      <c r="H1967" s="23" t="s">
        <v>96</v>
      </c>
      <c r="I1967" s="23" t="s">
        <v>40</v>
      </c>
      <c r="J1967" s="23" t="s">
        <v>289</v>
      </c>
      <c r="K1967" s="23" t="s">
        <v>144</v>
      </c>
      <c r="L1967" s="23" t="s">
        <v>2687</v>
      </c>
      <c r="M1967" s="23" t="s">
        <v>43</v>
      </c>
      <c r="N1967" s="23" t="s">
        <v>75</v>
      </c>
      <c r="O1967" s="23">
        <v>63</v>
      </c>
      <c r="P1967" s="23">
        <v>58.12</v>
      </c>
      <c r="Q1967" s="23">
        <v>31.96</v>
      </c>
      <c r="R1967" s="23">
        <v>3661.47</v>
      </c>
      <c r="S1967" s="23">
        <v>0.1</v>
      </c>
      <c r="T1967" s="23">
        <v>366.15</v>
      </c>
      <c r="U1967" s="23">
        <v>3295.32</v>
      </c>
      <c r="V1967" s="23">
        <v>2013.51</v>
      </c>
      <c r="W1967" s="23">
        <v>1281.81</v>
      </c>
      <c r="X1967" s="23" t="s">
        <v>45</v>
      </c>
    </row>
    <row r="1968" spans="1:24" x14ac:dyDescent="0.25">
      <c r="A1968" s="20" t="s">
        <v>2491</v>
      </c>
      <c r="B1968" s="19">
        <v>45319</v>
      </c>
      <c r="C1968" s="20" t="s">
        <v>215</v>
      </c>
      <c r="D1968" s="20" t="s">
        <v>105</v>
      </c>
      <c r="E1968" s="20" t="s">
        <v>109</v>
      </c>
      <c r="F1968" s="20" t="s">
        <v>110</v>
      </c>
      <c r="G1968" s="20" t="s">
        <v>2584</v>
      </c>
      <c r="H1968" s="20" t="s">
        <v>81</v>
      </c>
      <c r="I1968" s="20" t="s">
        <v>40</v>
      </c>
      <c r="J1968" s="20" t="s">
        <v>289</v>
      </c>
      <c r="K1968" s="20" t="s">
        <v>152</v>
      </c>
      <c r="L1968" s="20" t="s">
        <v>2688</v>
      </c>
      <c r="M1968" s="20" t="s">
        <v>30</v>
      </c>
      <c r="N1968" s="20" t="s">
        <v>2578</v>
      </c>
      <c r="O1968" s="20">
        <v>48</v>
      </c>
      <c r="P1968" s="20">
        <v>123.97</v>
      </c>
      <c r="Q1968" s="20">
        <v>76.63</v>
      </c>
      <c r="R1968" s="20">
        <v>5950.67</v>
      </c>
      <c r="S1968" s="20">
        <v>0.2</v>
      </c>
      <c r="T1968" s="20">
        <v>1190.1300000000001</v>
      </c>
      <c r="U1968" s="20">
        <v>4760.53</v>
      </c>
      <c r="V1968" s="20">
        <v>3678.21</v>
      </c>
      <c r="W1968" s="20">
        <v>1082.33</v>
      </c>
      <c r="X1968" s="20" t="s">
        <v>45</v>
      </c>
    </row>
    <row r="1969" spans="1:24" x14ac:dyDescent="0.25">
      <c r="A1969" s="23" t="s">
        <v>2492</v>
      </c>
      <c r="B1969" s="22">
        <v>45547</v>
      </c>
      <c r="C1969" s="23" t="s">
        <v>1476</v>
      </c>
      <c r="D1969" s="23" t="s">
        <v>149</v>
      </c>
      <c r="E1969" s="23" t="s">
        <v>176</v>
      </c>
      <c r="F1969" s="23" t="s">
        <v>2593</v>
      </c>
      <c r="G1969" s="23" t="s">
        <v>2587</v>
      </c>
      <c r="H1969" s="23" t="s">
        <v>39</v>
      </c>
      <c r="I1969" s="23" t="s">
        <v>40</v>
      </c>
      <c r="J1969" s="23" t="s">
        <v>82</v>
      </c>
      <c r="K1969" s="23" t="s">
        <v>265</v>
      </c>
      <c r="L1969" s="23" t="s">
        <v>2663</v>
      </c>
      <c r="M1969" s="23" t="s">
        <v>30</v>
      </c>
      <c r="N1969" s="23" t="s">
        <v>44</v>
      </c>
      <c r="O1969" s="23">
        <v>40</v>
      </c>
      <c r="P1969" s="23">
        <v>110.28</v>
      </c>
      <c r="Q1969" s="23">
        <v>60.8</v>
      </c>
      <c r="R1969" s="23">
        <v>4411.32</v>
      </c>
      <c r="S1969" s="23">
        <v>0.1</v>
      </c>
      <c r="T1969" s="23">
        <v>441.13</v>
      </c>
      <c r="U1969" s="23">
        <v>3970.19</v>
      </c>
      <c r="V1969" s="23">
        <v>2432.04</v>
      </c>
      <c r="W1969" s="23">
        <v>1538.15</v>
      </c>
      <c r="X1969" s="23" t="s">
        <v>45</v>
      </c>
    </row>
    <row r="1970" spans="1:24" x14ac:dyDescent="0.25">
      <c r="A1970" s="20" t="s">
        <v>2493</v>
      </c>
      <c r="B1970" s="19">
        <v>45518</v>
      </c>
      <c r="C1970" s="20" t="s">
        <v>468</v>
      </c>
      <c r="D1970" s="20" t="s">
        <v>65</v>
      </c>
      <c r="E1970" s="20" t="s">
        <v>150</v>
      </c>
      <c r="F1970" s="20" t="s">
        <v>2591</v>
      </c>
      <c r="G1970" s="20" t="s">
        <v>2587</v>
      </c>
      <c r="H1970" s="20" t="s">
        <v>134</v>
      </c>
      <c r="I1970" s="20" t="s">
        <v>40</v>
      </c>
      <c r="J1970" s="20" t="s">
        <v>117</v>
      </c>
      <c r="K1970" s="20" t="s">
        <v>42</v>
      </c>
      <c r="L1970" s="20" t="s">
        <v>2680</v>
      </c>
      <c r="M1970" s="20" t="s">
        <v>43</v>
      </c>
      <c r="N1970" s="20" t="s">
        <v>2578</v>
      </c>
      <c r="O1970" s="20">
        <v>11</v>
      </c>
      <c r="P1970" s="20">
        <v>83.29</v>
      </c>
      <c r="Q1970" s="20">
        <v>53.43</v>
      </c>
      <c r="R1970" s="20">
        <v>916.23</v>
      </c>
      <c r="S1970" s="20">
        <v>0.1</v>
      </c>
      <c r="T1970" s="20">
        <v>91.62</v>
      </c>
      <c r="U1970" s="20">
        <v>824.61</v>
      </c>
      <c r="V1970" s="20">
        <v>587.72</v>
      </c>
      <c r="W1970" s="20">
        <v>236.88</v>
      </c>
      <c r="X1970" s="20" t="s">
        <v>45</v>
      </c>
    </row>
    <row r="1971" spans="1:24" x14ac:dyDescent="0.25">
      <c r="A1971" s="23" t="s">
        <v>2494</v>
      </c>
      <c r="B1971" s="22">
        <v>45435</v>
      </c>
      <c r="C1971" s="23" t="s">
        <v>387</v>
      </c>
      <c r="D1971" s="23" t="s">
        <v>22</v>
      </c>
      <c r="E1971" s="23" t="s">
        <v>36</v>
      </c>
      <c r="F1971" s="23" t="s">
        <v>37</v>
      </c>
      <c r="G1971" s="23" t="s">
        <v>2579</v>
      </c>
      <c r="H1971" s="23" t="s">
        <v>39</v>
      </c>
      <c r="I1971" s="23" t="s">
        <v>88</v>
      </c>
      <c r="J1971" s="23" t="s">
        <v>2112</v>
      </c>
      <c r="K1971" s="23" t="s">
        <v>111</v>
      </c>
      <c r="L1971" s="23" t="s">
        <v>2685</v>
      </c>
      <c r="M1971" s="23" t="s">
        <v>61</v>
      </c>
      <c r="N1971" s="23" t="s">
        <v>2578</v>
      </c>
      <c r="O1971" s="23">
        <v>15</v>
      </c>
      <c r="P1971" s="23">
        <v>154.13999999999999</v>
      </c>
      <c r="Q1971" s="23">
        <v>94.57</v>
      </c>
      <c r="R1971" s="23">
        <v>2312.09</v>
      </c>
      <c r="S1971" s="23">
        <v>0.05</v>
      </c>
      <c r="T1971" s="23">
        <v>115.6</v>
      </c>
      <c r="U1971" s="23">
        <v>2196.48</v>
      </c>
      <c r="V1971" s="23">
        <v>1418.62</v>
      </c>
      <c r="W1971" s="23">
        <v>777.86</v>
      </c>
      <c r="X1971" s="23" t="s">
        <v>129</v>
      </c>
    </row>
    <row r="1972" spans="1:24" x14ac:dyDescent="0.25">
      <c r="A1972" s="20" t="s">
        <v>2495</v>
      </c>
      <c r="B1972" s="19">
        <v>45575</v>
      </c>
      <c r="C1972" s="20" t="s">
        <v>1586</v>
      </c>
      <c r="D1972" s="20" t="s">
        <v>221</v>
      </c>
      <c r="E1972" s="20" t="s">
        <v>23</v>
      </c>
      <c r="F1972" s="20" t="s">
        <v>2576</v>
      </c>
      <c r="G1972" s="20" t="s">
        <v>2577</v>
      </c>
      <c r="H1972" s="20" t="s">
        <v>26</v>
      </c>
      <c r="I1972" s="20" t="s">
        <v>53</v>
      </c>
      <c r="J1972" s="20" t="s">
        <v>232</v>
      </c>
      <c r="K1972" s="20" t="s">
        <v>69</v>
      </c>
      <c r="L1972" s="20" t="s">
        <v>2681</v>
      </c>
      <c r="M1972" s="20" t="s">
        <v>43</v>
      </c>
      <c r="N1972" s="20" t="s">
        <v>2578</v>
      </c>
      <c r="O1972" s="20">
        <v>53</v>
      </c>
      <c r="P1972" s="20">
        <v>76.41</v>
      </c>
      <c r="Q1972" s="20">
        <v>45.46</v>
      </c>
      <c r="R1972" s="20">
        <v>4049.5</v>
      </c>
      <c r="S1972" s="20">
        <v>0.05</v>
      </c>
      <c r="T1972" s="20">
        <v>202.48</v>
      </c>
      <c r="U1972" s="20">
        <v>3847.03</v>
      </c>
      <c r="V1972" s="20">
        <v>2409.15</v>
      </c>
      <c r="W1972" s="20">
        <v>1437.88</v>
      </c>
      <c r="X1972" s="20" t="s">
        <v>129</v>
      </c>
    </row>
    <row r="1973" spans="1:24" x14ac:dyDescent="0.25">
      <c r="A1973" s="23" t="s">
        <v>2496</v>
      </c>
      <c r="B1973" s="22">
        <v>45428</v>
      </c>
      <c r="C1973" s="23" t="s">
        <v>320</v>
      </c>
      <c r="D1973" s="23" t="s">
        <v>264</v>
      </c>
      <c r="E1973" s="23" t="s">
        <v>23</v>
      </c>
      <c r="F1973" s="23" t="s">
        <v>2576</v>
      </c>
      <c r="G1973" s="23" t="s">
        <v>2577</v>
      </c>
      <c r="H1973" s="23" t="s">
        <v>26</v>
      </c>
      <c r="I1973" s="23" t="s">
        <v>53</v>
      </c>
      <c r="J1973" s="23" t="s">
        <v>232</v>
      </c>
      <c r="K1973" s="23" t="s">
        <v>69</v>
      </c>
      <c r="L1973" s="23" t="s">
        <v>2681</v>
      </c>
      <c r="M1973" s="23" t="s">
        <v>61</v>
      </c>
      <c r="N1973" s="23" t="s">
        <v>2578</v>
      </c>
      <c r="O1973" s="23">
        <v>4</v>
      </c>
      <c r="P1973" s="23">
        <v>72.48</v>
      </c>
      <c r="Q1973" s="23">
        <v>46.61</v>
      </c>
      <c r="R1973" s="23">
        <v>289.92</v>
      </c>
      <c r="S1973" s="23">
        <v>0.2</v>
      </c>
      <c r="T1973" s="23">
        <v>57.98</v>
      </c>
      <c r="U1973" s="23">
        <v>231.94</v>
      </c>
      <c r="V1973" s="23">
        <v>186.46</v>
      </c>
      <c r="W1973" s="23">
        <v>45.48</v>
      </c>
      <c r="X1973" s="23" t="s">
        <v>45</v>
      </c>
    </row>
    <row r="1974" spans="1:24" x14ac:dyDescent="0.25">
      <c r="A1974" s="20" t="s">
        <v>2497</v>
      </c>
      <c r="B1974" s="19">
        <v>45581</v>
      </c>
      <c r="C1974" s="20" t="s">
        <v>776</v>
      </c>
      <c r="D1974" s="20" t="s">
        <v>57</v>
      </c>
      <c r="E1974" s="20" t="s">
        <v>114</v>
      </c>
      <c r="F1974" s="20" t="s">
        <v>2588</v>
      </c>
      <c r="G1974" s="20" t="s">
        <v>2586</v>
      </c>
      <c r="H1974" s="20" t="s">
        <v>116</v>
      </c>
      <c r="I1974" s="20" t="s">
        <v>40</v>
      </c>
      <c r="J1974" s="20" t="s">
        <v>289</v>
      </c>
      <c r="K1974" s="20" t="s">
        <v>218</v>
      </c>
      <c r="L1974" s="20" t="s">
        <v>2692</v>
      </c>
      <c r="M1974" s="20" t="s">
        <v>153</v>
      </c>
      <c r="N1974" s="20" t="s">
        <v>84</v>
      </c>
      <c r="O1974" s="20">
        <v>75</v>
      </c>
      <c r="P1974" s="20">
        <v>34.5</v>
      </c>
      <c r="Q1974" s="20">
        <v>19.760000000000002</v>
      </c>
      <c r="R1974" s="20">
        <v>2587.6999999999998</v>
      </c>
      <c r="S1974" s="20">
        <v>0.2</v>
      </c>
      <c r="T1974" s="20">
        <v>517.54</v>
      </c>
      <c r="U1974" s="20">
        <v>2070.16</v>
      </c>
      <c r="V1974" s="20">
        <v>1481.78</v>
      </c>
      <c r="W1974" s="20">
        <v>588.38</v>
      </c>
      <c r="X1974" s="20" t="s">
        <v>45</v>
      </c>
    </row>
    <row r="1975" spans="1:24" x14ac:dyDescent="0.25">
      <c r="A1975" s="23" t="s">
        <v>2498</v>
      </c>
      <c r="B1975" s="22">
        <v>45563</v>
      </c>
      <c r="C1975" s="23" t="s">
        <v>1155</v>
      </c>
      <c r="D1975" s="23" t="s">
        <v>87</v>
      </c>
      <c r="E1975" s="23" t="s">
        <v>165</v>
      </c>
      <c r="F1975" s="23" t="s">
        <v>2592</v>
      </c>
      <c r="G1975" s="23" t="s">
        <v>2586</v>
      </c>
      <c r="H1975" s="23" t="s">
        <v>167</v>
      </c>
      <c r="I1975" s="23" t="s">
        <v>88</v>
      </c>
      <c r="J1975" s="23" t="s">
        <v>173</v>
      </c>
      <c r="K1975" s="23" t="s">
        <v>261</v>
      </c>
      <c r="L1975" s="23" t="s">
        <v>2695</v>
      </c>
      <c r="M1975" s="23" t="s">
        <v>153</v>
      </c>
      <c r="N1975" s="23" t="s">
        <v>2578</v>
      </c>
      <c r="O1975" s="23">
        <v>20</v>
      </c>
      <c r="P1975" s="23">
        <v>43.33</v>
      </c>
      <c r="Q1975" s="23">
        <v>24.19</v>
      </c>
      <c r="R1975" s="23">
        <v>866.53</v>
      </c>
      <c r="S1975" s="23">
        <v>0.1</v>
      </c>
      <c r="T1975" s="23">
        <v>86.65</v>
      </c>
      <c r="U1975" s="23">
        <v>779.88</v>
      </c>
      <c r="V1975" s="23">
        <v>483.79</v>
      </c>
      <c r="W1975" s="23">
        <v>296.08999999999997</v>
      </c>
      <c r="X1975" s="23" t="s">
        <v>45</v>
      </c>
    </row>
    <row r="1976" spans="1:24" x14ac:dyDescent="0.25">
      <c r="A1976" s="20" t="s">
        <v>2499</v>
      </c>
      <c r="B1976" s="19">
        <v>45430</v>
      </c>
      <c r="C1976" s="20" t="s">
        <v>596</v>
      </c>
      <c r="D1976" s="20" t="s">
        <v>597</v>
      </c>
      <c r="E1976" s="20" t="s">
        <v>187</v>
      </c>
      <c r="F1976" s="20" t="s">
        <v>2594</v>
      </c>
      <c r="G1976" s="20" t="s">
        <v>2577</v>
      </c>
      <c r="H1976" s="20" t="s">
        <v>26</v>
      </c>
      <c r="I1976" s="20" t="s">
        <v>58</v>
      </c>
      <c r="J1976" s="20" t="s">
        <v>73</v>
      </c>
      <c r="K1976" s="20" t="s">
        <v>248</v>
      </c>
      <c r="L1976" s="20" t="s">
        <v>2693</v>
      </c>
      <c r="M1976" s="20" t="s">
        <v>43</v>
      </c>
      <c r="N1976" s="20" t="s">
        <v>75</v>
      </c>
      <c r="O1976" s="20">
        <v>22</v>
      </c>
      <c r="P1976" s="20">
        <v>47.78</v>
      </c>
      <c r="Q1976" s="20">
        <v>31.22</v>
      </c>
      <c r="R1976" s="20">
        <v>1051.1500000000001</v>
      </c>
      <c r="S1976" s="20">
        <v>0.02</v>
      </c>
      <c r="T1976" s="20">
        <v>21.02</v>
      </c>
      <c r="U1976" s="20">
        <v>1030.1300000000001</v>
      </c>
      <c r="V1976" s="20">
        <v>686.91</v>
      </c>
      <c r="W1976" s="20">
        <v>343.22</v>
      </c>
      <c r="X1976" s="20" t="s">
        <v>45</v>
      </c>
    </row>
    <row r="1977" spans="1:24" x14ac:dyDescent="0.25">
      <c r="A1977" s="23" t="s">
        <v>1509</v>
      </c>
      <c r="B1977" s="22">
        <v>45543</v>
      </c>
      <c r="C1977" s="23" t="s">
        <v>945</v>
      </c>
      <c r="D1977" s="23" t="s">
        <v>159</v>
      </c>
      <c r="E1977" s="23" t="s">
        <v>176</v>
      </c>
      <c r="F1977" s="23" t="s">
        <v>2593</v>
      </c>
      <c r="G1977" s="23" t="s">
        <v>2587</v>
      </c>
      <c r="H1977" s="23" t="s">
        <v>39</v>
      </c>
      <c r="I1977" s="23" t="s">
        <v>40</v>
      </c>
      <c r="J1977" s="23" t="s">
        <v>289</v>
      </c>
      <c r="K1977" s="23" t="s">
        <v>178</v>
      </c>
      <c r="L1977" s="23" t="s">
        <v>2689</v>
      </c>
      <c r="M1977" s="23" t="s">
        <v>61</v>
      </c>
      <c r="N1977" s="23" t="s">
        <v>44</v>
      </c>
      <c r="O1977" s="23">
        <v>24</v>
      </c>
      <c r="P1977" s="23">
        <v>111.28</v>
      </c>
      <c r="Q1977" s="23">
        <v>63.98</v>
      </c>
      <c r="R1977" s="23">
        <v>2670.75</v>
      </c>
      <c r="S1977" s="23">
        <v>0.15</v>
      </c>
      <c r="T1977" s="23">
        <v>400.61</v>
      </c>
      <c r="U1977" s="23">
        <v>2541.9</v>
      </c>
      <c r="V1977" s="23">
        <v>1535.57</v>
      </c>
      <c r="W1977" s="23">
        <v>734.57</v>
      </c>
      <c r="X1977" s="23" t="s">
        <v>45</v>
      </c>
    </row>
    <row r="1978" spans="1:24" x14ac:dyDescent="0.25">
      <c r="A1978" s="20" t="s">
        <v>2500</v>
      </c>
      <c r="B1978" s="19">
        <v>45416</v>
      </c>
      <c r="C1978" s="20" t="s">
        <v>1175</v>
      </c>
      <c r="D1978" s="20" t="s">
        <v>156</v>
      </c>
      <c r="E1978" s="20" t="s">
        <v>141</v>
      </c>
      <c r="F1978" s="20" t="s">
        <v>2590</v>
      </c>
      <c r="G1978" s="20" t="s">
        <v>2577</v>
      </c>
      <c r="H1978" s="20" t="s">
        <v>26</v>
      </c>
      <c r="I1978" s="20" t="s">
        <v>58</v>
      </c>
      <c r="J1978" s="20" t="s">
        <v>345</v>
      </c>
      <c r="K1978" s="20" t="s">
        <v>265</v>
      </c>
      <c r="L1978" s="20" t="s">
        <v>2663</v>
      </c>
      <c r="M1978" s="20" t="s">
        <v>153</v>
      </c>
      <c r="N1978" s="20" t="s">
        <v>70</v>
      </c>
      <c r="O1978" s="20">
        <v>21</v>
      </c>
      <c r="P1978" s="20">
        <v>99.02</v>
      </c>
      <c r="Q1978" s="20">
        <v>57.16</v>
      </c>
      <c r="R1978" s="20">
        <v>2079.41</v>
      </c>
      <c r="S1978" s="20">
        <v>0.15</v>
      </c>
      <c r="T1978" s="20">
        <v>311.91000000000003</v>
      </c>
      <c r="U1978" s="20">
        <v>1716.68</v>
      </c>
      <c r="V1978" s="20">
        <v>1200.4000000000001</v>
      </c>
      <c r="W1978" s="20">
        <v>567.1</v>
      </c>
      <c r="X1978" s="20" t="s">
        <v>45</v>
      </c>
    </row>
    <row r="1979" spans="1:24" x14ac:dyDescent="0.25">
      <c r="A1979" s="23" t="s">
        <v>2501</v>
      </c>
      <c r="B1979" s="22">
        <v>45552</v>
      </c>
      <c r="C1979" s="23" t="s">
        <v>1134</v>
      </c>
      <c r="D1979" s="23" t="s">
        <v>159</v>
      </c>
      <c r="E1979" s="23" t="s">
        <v>132</v>
      </c>
      <c r="F1979" s="23" t="s">
        <v>133</v>
      </c>
      <c r="G1979" s="23" t="s">
        <v>2581</v>
      </c>
      <c r="H1979" s="23" t="s">
        <v>134</v>
      </c>
      <c r="I1979" s="23" t="s">
        <v>27</v>
      </c>
      <c r="J1979" s="23" t="s">
        <v>28</v>
      </c>
      <c r="K1979" s="23" t="s">
        <v>29</v>
      </c>
      <c r="L1979" s="23" t="s">
        <v>2679</v>
      </c>
      <c r="M1979" s="23" t="s">
        <v>30</v>
      </c>
      <c r="N1979" s="23" t="s">
        <v>44</v>
      </c>
      <c r="O1979" s="23">
        <v>50</v>
      </c>
      <c r="P1979" s="23">
        <v>62.7</v>
      </c>
      <c r="Q1979" s="23">
        <v>33.78</v>
      </c>
      <c r="R1979" s="23">
        <v>3134.77</v>
      </c>
      <c r="S1979" s="23">
        <v>0.2</v>
      </c>
      <c r="T1979" s="23">
        <v>626.95000000000005</v>
      </c>
      <c r="U1979" s="23">
        <v>2507.81</v>
      </c>
      <c r="V1979" s="23">
        <v>1689.07</v>
      </c>
      <c r="W1979" s="23">
        <v>818.75</v>
      </c>
      <c r="X1979" s="23" t="s">
        <v>45</v>
      </c>
    </row>
    <row r="1980" spans="1:24" x14ac:dyDescent="0.25">
      <c r="A1980" s="20" t="s">
        <v>2502</v>
      </c>
      <c r="B1980" s="19">
        <v>45446</v>
      </c>
      <c r="C1980" s="20" t="s">
        <v>567</v>
      </c>
      <c r="D1980" s="20" t="s">
        <v>22</v>
      </c>
      <c r="E1980" s="20" t="s">
        <v>36</v>
      </c>
      <c r="F1980" s="20" t="s">
        <v>37</v>
      </c>
      <c r="G1980" s="20" t="s">
        <v>2579</v>
      </c>
      <c r="H1980" s="20" t="s">
        <v>39</v>
      </c>
      <c r="I1980" s="20" t="s">
        <v>40</v>
      </c>
      <c r="J1980" s="20" t="s">
        <v>82</v>
      </c>
      <c r="K1980" s="20" t="s">
        <v>60</v>
      </c>
      <c r="L1980" s="20" t="s">
        <v>2677</v>
      </c>
      <c r="M1980" s="20" t="s">
        <v>43</v>
      </c>
      <c r="N1980" s="20" t="s">
        <v>44</v>
      </c>
      <c r="O1980" s="20">
        <v>51</v>
      </c>
      <c r="P1980" s="20">
        <v>167.73</v>
      </c>
      <c r="Q1980" s="20">
        <v>101.66</v>
      </c>
      <c r="R1980" s="20">
        <v>8554.2800000000007</v>
      </c>
      <c r="S1980" s="20">
        <v>0.2</v>
      </c>
      <c r="T1980" s="20">
        <v>1710.86</v>
      </c>
      <c r="U1980" s="20">
        <v>6843.43</v>
      </c>
      <c r="V1980" s="20">
        <v>5184.8900000000003</v>
      </c>
      <c r="W1980" s="20">
        <v>1658.54</v>
      </c>
      <c r="X1980" s="20" t="s">
        <v>45</v>
      </c>
    </row>
    <row r="1981" spans="1:24" x14ac:dyDescent="0.25">
      <c r="A1981" s="23" t="s">
        <v>2503</v>
      </c>
      <c r="B1981" s="22">
        <v>45454</v>
      </c>
      <c r="C1981" s="23" t="s">
        <v>1033</v>
      </c>
      <c r="D1981" s="23" t="s">
        <v>105</v>
      </c>
      <c r="E1981" s="23" t="s">
        <v>109</v>
      </c>
      <c r="F1981" s="23" t="s">
        <v>110</v>
      </c>
      <c r="G1981" s="23" t="s">
        <v>2584</v>
      </c>
      <c r="H1981" s="23" t="s">
        <v>81</v>
      </c>
      <c r="I1981" s="23" t="s">
        <v>88</v>
      </c>
      <c r="J1981" s="23" t="s">
        <v>135</v>
      </c>
      <c r="K1981" s="23" t="s">
        <v>170</v>
      </c>
      <c r="L1981" s="23" t="s">
        <v>2671</v>
      </c>
      <c r="M1981" s="23" t="s">
        <v>153</v>
      </c>
      <c r="N1981" s="23" t="s">
        <v>2578</v>
      </c>
      <c r="O1981" s="23">
        <v>47</v>
      </c>
      <c r="P1981" s="23">
        <v>128.69</v>
      </c>
      <c r="Q1981" s="23">
        <v>70.010000000000005</v>
      </c>
      <c r="R1981" s="23">
        <v>6048.65</v>
      </c>
      <c r="S1981" s="23">
        <v>0</v>
      </c>
      <c r="T1981" s="23">
        <v>0</v>
      </c>
      <c r="U1981" s="23">
        <v>6048.65</v>
      </c>
      <c r="V1981" s="23">
        <v>3290.25</v>
      </c>
      <c r="W1981" s="23">
        <v>2758.39</v>
      </c>
      <c r="X1981" s="23" t="s">
        <v>45</v>
      </c>
    </row>
    <row r="1982" spans="1:24" x14ac:dyDescent="0.25">
      <c r="A1982" s="20" t="s">
        <v>2504</v>
      </c>
      <c r="B1982" s="19">
        <v>45390</v>
      </c>
      <c r="C1982" s="20" t="s">
        <v>1431</v>
      </c>
      <c r="D1982" s="20" t="s">
        <v>264</v>
      </c>
      <c r="E1982" s="20" t="s">
        <v>141</v>
      </c>
      <c r="F1982" s="20" t="s">
        <v>2590</v>
      </c>
      <c r="G1982" s="20" t="s">
        <v>2577</v>
      </c>
      <c r="H1982" s="20" t="s">
        <v>26</v>
      </c>
      <c r="I1982" s="20" t="s">
        <v>27</v>
      </c>
      <c r="J1982" s="20" t="s">
        <v>28</v>
      </c>
      <c r="K1982" s="20" t="s">
        <v>60</v>
      </c>
      <c r="L1982" s="20" t="s">
        <v>2677</v>
      </c>
      <c r="M1982" s="20" t="s">
        <v>30</v>
      </c>
      <c r="N1982" s="20" t="s">
        <v>75</v>
      </c>
      <c r="O1982" s="20">
        <v>25</v>
      </c>
      <c r="P1982" s="20">
        <v>87.92</v>
      </c>
      <c r="Q1982" s="20">
        <v>61.8</v>
      </c>
      <c r="R1982" s="20">
        <v>2198.0700000000002</v>
      </c>
      <c r="S1982" s="20">
        <v>0.15</v>
      </c>
      <c r="T1982" s="20">
        <v>329.71</v>
      </c>
      <c r="U1982" s="20">
        <v>1868.36</v>
      </c>
      <c r="V1982" s="20">
        <v>1544.96</v>
      </c>
      <c r="W1982" s="20">
        <v>323.39999999999998</v>
      </c>
      <c r="X1982" s="20" t="s">
        <v>45</v>
      </c>
    </row>
    <row r="1983" spans="1:24" x14ac:dyDescent="0.25">
      <c r="A1983" s="23" t="s">
        <v>2505</v>
      </c>
      <c r="B1983" s="22">
        <v>45551</v>
      </c>
      <c r="C1983" s="23" t="s">
        <v>1310</v>
      </c>
      <c r="D1983" s="23" t="s">
        <v>264</v>
      </c>
      <c r="E1983" s="23" t="s">
        <v>216</v>
      </c>
      <c r="F1983" s="23" t="s">
        <v>2596</v>
      </c>
      <c r="G1983" s="23" t="s">
        <v>2579</v>
      </c>
      <c r="H1983" s="23" t="s">
        <v>134</v>
      </c>
      <c r="I1983" s="23" t="s">
        <v>88</v>
      </c>
      <c r="J1983" s="23" t="s">
        <v>173</v>
      </c>
      <c r="K1983" s="23" t="s">
        <v>74</v>
      </c>
      <c r="L1983" s="23" t="s">
        <v>2682</v>
      </c>
      <c r="M1983" s="23" t="s">
        <v>43</v>
      </c>
      <c r="N1983" s="23" t="s">
        <v>2578</v>
      </c>
      <c r="O1983" s="23">
        <v>47</v>
      </c>
      <c r="P1983" s="23">
        <v>116.87</v>
      </c>
      <c r="Q1983" s="23">
        <v>64.72</v>
      </c>
      <c r="R1983" s="23">
        <v>5492.79</v>
      </c>
      <c r="S1983" s="23">
        <v>0.1</v>
      </c>
      <c r="T1983" s="23">
        <v>549.28</v>
      </c>
      <c r="U1983" s="23">
        <v>4943.51</v>
      </c>
      <c r="V1983" s="23">
        <v>3041.89</v>
      </c>
      <c r="W1983" s="23">
        <v>1901.62</v>
      </c>
      <c r="X1983" s="23" t="s">
        <v>45</v>
      </c>
    </row>
    <row r="1984" spans="1:24" x14ac:dyDescent="0.25">
      <c r="A1984" s="20" t="s">
        <v>2506</v>
      </c>
      <c r="B1984" s="19">
        <v>45578</v>
      </c>
      <c r="C1984" s="20" t="s">
        <v>438</v>
      </c>
      <c r="D1984" s="20" t="s">
        <v>221</v>
      </c>
      <c r="E1984" s="20" t="s">
        <v>176</v>
      </c>
      <c r="F1984" s="20" t="s">
        <v>2593</v>
      </c>
      <c r="G1984" s="20" t="s">
        <v>2587</v>
      </c>
      <c r="H1984" s="20" t="s">
        <v>39</v>
      </c>
      <c r="I1984" s="20" t="s">
        <v>88</v>
      </c>
      <c r="J1984" s="20" t="s">
        <v>183</v>
      </c>
      <c r="K1984" s="20" t="s">
        <v>218</v>
      </c>
      <c r="L1984" s="20" t="s">
        <v>2692</v>
      </c>
      <c r="M1984" s="20" t="s">
        <v>153</v>
      </c>
      <c r="N1984" s="20" t="s">
        <v>2578</v>
      </c>
      <c r="O1984" s="20">
        <v>72</v>
      </c>
      <c r="P1984" s="20">
        <v>109.43</v>
      </c>
      <c r="Q1984" s="20">
        <v>59.37</v>
      </c>
      <c r="R1984" s="20">
        <v>7878.86</v>
      </c>
      <c r="S1984" s="20">
        <v>0.1</v>
      </c>
      <c r="T1984" s="20">
        <v>787.89</v>
      </c>
      <c r="U1984" s="20">
        <v>7090.97</v>
      </c>
      <c r="V1984" s="20">
        <v>4274.8100000000004</v>
      </c>
      <c r="W1984" s="20">
        <v>2816.16</v>
      </c>
      <c r="X1984" s="20" t="s">
        <v>129</v>
      </c>
    </row>
    <row r="1985" spans="1:24" x14ac:dyDescent="0.25">
      <c r="A1985" s="23" t="s">
        <v>2507</v>
      </c>
      <c r="B1985" s="22">
        <v>45602</v>
      </c>
      <c r="C1985" s="23" t="s">
        <v>378</v>
      </c>
      <c r="D1985" s="23" t="s">
        <v>159</v>
      </c>
      <c r="E1985" s="23" t="s">
        <v>150</v>
      </c>
      <c r="F1985" s="23" t="s">
        <v>2591</v>
      </c>
      <c r="G1985" s="23" t="s">
        <v>2587</v>
      </c>
      <c r="H1985" s="23" t="s">
        <v>134</v>
      </c>
      <c r="I1985" s="23" t="s">
        <v>58</v>
      </c>
      <c r="J1985" s="23" t="s">
        <v>59</v>
      </c>
      <c r="K1985" s="23" t="s">
        <v>261</v>
      </c>
      <c r="L1985" s="23" t="s">
        <v>2695</v>
      </c>
      <c r="M1985" s="23" t="s">
        <v>61</v>
      </c>
      <c r="N1985" s="23" t="s">
        <v>70</v>
      </c>
      <c r="O1985" s="23">
        <v>14</v>
      </c>
      <c r="P1985" s="23">
        <v>82.87</v>
      </c>
      <c r="Q1985" s="23">
        <v>52.87</v>
      </c>
      <c r="R1985" s="23">
        <v>1160.1400000000001</v>
      </c>
      <c r="S1985" s="23">
        <v>0.02</v>
      </c>
      <c r="T1985" s="23">
        <v>23.2</v>
      </c>
      <c r="U1985" s="23">
        <v>1136.94</v>
      </c>
      <c r="V1985" s="23">
        <v>740.18</v>
      </c>
      <c r="W1985" s="23">
        <v>396.76</v>
      </c>
      <c r="X1985" s="23" t="s">
        <v>45</v>
      </c>
    </row>
    <row r="1986" spans="1:24" x14ac:dyDescent="0.25">
      <c r="A1986" s="20" t="s">
        <v>2508</v>
      </c>
      <c r="B1986" s="19">
        <v>45508</v>
      </c>
      <c r="C1986" s="20" t="s">
        <v>696</v>
      </c>
      <c r="D1986" s="20" t="s">
        <v>105</v>
      </c>
      <c r="E1986" s="20" t="s">
        <v>93</v>
      </c>
      <c r="F1986" s="20" t="s">
        <v>2585</v>
      </c>
      <c r="G1986" s="20" t="s">
        <v>2586</v>
      </c>
      <c r="H1986" s="20" t="s">
        <v>96</v>
      </c>
      <c r="I1986" s="20" t="s">
        <v>40</v>
      </c>
      <c r="J1986" s="20" t="s">
        <v>82</v>
      </c>
      <c r="K1986" s="20" t="s">
        <v>253</v>
      </c>
      <c r="L1986" s="20" t="s">
        <v>2694</v>
      </c>
      <c r="M1986" s="20" t="s">
        <v>61</v>
      </c>
      <c r="N1986" s="20" t="s">
        <v>44</v>
      </c>
      <c r="O1986" s="20">
        <v>24</v>
      </c>
      <c r="P1986" s="20">
        <v>55.46</v>
      </c>
      <c r="Q1986" s="20">
        <v>32.31</v>
      </c>
      <c r="R1986" s="20">
        <v>1330.96</v>
      </c>
      <c r="S1986" s="20">
        <v>0.1</v>
      </c>
      <c r="T1986" s="20">
        <v>133.1</v>
      </c>
      <c r="U1986" s="20">
        <v>1197.8699999999999</v>
      </c>
      <c r="V1986" s="20">
        <v>775.49</v>
      </c>
      <c r="W1986" s="20">
        <v>422.38</v>
      </c>
      <c r="X1986" s="20" t="s">
        <v>45</v>
      </c>
    </row>
    <row r="1987" spans="1:24" x14ac:dyDescent="0.25">
      <c r="A1987" s="23" t="s">
        <v>2509</v>
      </c>
      <c r="B1987" s="22">
        <v>45574</v>
      </c>
      <c r="C1987" s="23" t="s">
        <v>34</v>
      </c>
      <c r="D1987" s="23" t="s">
        <v>35</v>
      </c>
      <c r="E1987" s="23" t="s">
        <v>78</v>
      </c>
      <c r="F1987" s="23" t="s">
        <v>2583</v>
      </c>
      <c r="G1987" s="23" t="s">
        <v>2584</v>
      </c>
      <c r="H1987" s="23" t="s">
        <v>81</v>
      </c>
      <c r="I1987" s="23" t="s">
        <v>40</v>
      </c>
      <c r="J1987" s="23" t="s">
        <v>289</v>
      </c>
      <c r="K1987" s="23" t="s">
        <v>118</v>
      </c>
      <c r="L1987" s="23" t="s">
        <v>2686</v>
      </c>
      <c r="M1987" s="23" t="s">
        <v>61</v>
      </c>
      <c r="N1987" s="23" t="s">
        <v>84</v>
      </c>
      <c r="O1987" s="23">
        <v>35</v>
      </c>
      <c r="P1987" s="23">
        <v>135.65</v>
      </c>
      <c r="Q1987" s="23">
        <v>86.94</v>
      </c>
      <c r="R1987" s="23">
        <v>4747.59</v>
      </c>
      <c r="S1987" s="23">
        <v>0.15</v>
      </c>
      <c r="T1987" s="23">
        <v>712.14</v>
      </c>
      <c r="U1987" s="23">
        <v>4035.45</v>
      </c>
      <c r="V1987" s="23">
        <v>3042.96</v>
      </c>
      <c r="W1987" s="23">
        <v>992.5</v>
      </c>
      <c r="X1987" s="23" t="s">
        <v>45</v>
      </c>
    </row>
    <row r="1988" spans="1:24" x14ac:dyDescent="0.25">
      <c r="A1988" s="20" t="s">
        <v>2510</v>
      </c>
      <c r="B1988" s="19">
        <v>45379</v>
      </c>
      <c r="C1988" s="20" t="s">
        <v>158</v>
      </c>
      <c r="D1988" s="20" t="s">
        <v>159</v>
      </c>
      <c r="E1988" s="20" t="s">
        <v>114</v>
      </c>
      <c r="F1988" s="20" t="s">
        <v>2588</v>
      </c>
      <c r="G1988" s="20" t="s">
        <v>2586</v>
      </c>
      <c r="H1988" s="20" t="s">
        <v>116</v>
      </c>
      <c r="I1988" s="20" t="s">
        <v>53</v>
      </c>
      <c r="J1988" s="20" t="s">
        <v>122</v>
      </c>
      <c r="K1988" s="20" t="s">
        <v>253</v>
      </c>
      <c r="L1988" s="20" t="s">
        <v>2694</v>
      </c>
      <c r="M1988" s="20" t="s">
        <v>30</v>
      </c>
      <c r="N1988" s="20" t="s">
        <v>2578</v>
      </c>
      <c r="O1988" s="20">
        <v>68</v>
      </c>
      <c r="P1988" s="20">
        <v>35.58</v>
      </c>
      <c r="Q1988" s="20">
        <v>22.1</v>
      </c>
      <c r="R1988" s="20">
        <v>2419.1999999999998</v>
      </c>
      <c r="S1988" s="20">
        <v>0.1</v>
      </c>
      <c r="T1988" s="20">
        <v>241.92</v>
      </c>
      <c r="U1988" s="20">
        <v>2177.2800000000002</v>
      </c>
      <c r="V1988" s="20">
        <v>1502.65</v>
      </c>
      <c r="W1988" s="20">
        <v>674.63</v>
      </c>
      <c r="X1988" s="20" t="s">
        <v>45</v>
      </c>
    </row>
    <row r="1989" spans="1:24" x14ac:dyDescent="0.25">
      <c r="A1989" s="23" t="s">
        <v>2511</v>
      </c>
      <c r="B1989" s="22">
        <v>45610</v>
      </c>
      <c r="C1989" s="23" t="s">
        <v>404</v>
      </c>
      <c r="D1989" s="23" t="s">
        <v>87</v>
      </c>
      <c r="E1989" s="23" t="s">
        <v>66</v>
      </c>
      <c r="F1989" s="23" t="s">
        <v>2582</v>
      </c>
      <c r="G1989" s="23" t="s">
        <v>2579</v>
      </c>
      <c r="H1989" s="23" t="s">
        <v>68</v>
      </c>
      <c r="I1989" s="23" t="s">
        <v>40</v>
      </c>
      <c r="J1989" s="23" t="s">
        <v>289</v>
      </c>
      <c r="K1989" s="23" t="s">
        <v>111</v>
      </c>
      <c r="L1989" s="23" t="s">
        <v>2685</v>
      </c>
      <c r="M1989" s="23" t="s">
        <v>43</v>
      </c>
      <c r="N1989" s="23" t="s">
        <v>44</v>
      </c>
      <c r="O1989" s="23">
        <v>78</v>
      </c>
      <c r="P1989" s="23">
        <v>150.03</v>
      </c>
      <c r="Q1989" s="23">
        <v>109.76</v>
      </c>
      <c r="R1989" s="23">
        <v>11702.51</v>
      </c>
      <c r="S1989" s="23">
        <v>0.2</v>
      </c>
      <c r="T1989" s="23">
        <v>2340.5</v>
      </c>
      <c r="U1989" s="23">
        <v>9362.01</v>
      </c>
      <c r="V1989" s="23">
        <v>8561.67</v>
      </c>
      <c r="W1989" s="23">
        <v>800.34</v>
      </c>
      <c r="X1989" s="23" t="s">
        <v>129</v>
      </c>
    </row>
    <row r="1990" spans="1:24" x14ac:dyDescent="0.25">
      <c r="A1990" s="20" t="s">
        <v>2512</v>
      </c>
      <c r="B1990" s="19">
        <v>45572</v>
      </c>
      <c r="C1990" s="20" t="s">
        <v>800</v>
      </c>
      <c r="D1990" s="20" t="s">
        <v>264</v>
      </c>
      <c r="E1990" s="20" t="s">
        <v>176</v>
      </c>
      <c r="F1990" s="20" t="s">
        <v>2593</v>
      </c>
      <c r="G1990" s="20" t="s">
        <v>2587</v>
      </c>
      <c r="H1990" s="20" t="s">
        <v>39</v>
      </c>
      <c r="I1990" s="20" t="s">
        <v>27</v>
      </c>
      <c r="J1990" s="20" t="s">
        <v>189</v>
      </c>
      <c r="K1990" s="20" t="s">
        <v>111</v>
      </c>
      <c r="L1990" s="20" t="s">
        <v>2685</v>
      </c>
      <c r="M1990" s="20" t="s">
        <v>30</v>
      </c>
      <c r="N1990" s="20" t="s">
        <v>44</v>
      </c>
      <c r="O1990" s="20">
        <v>45</v>
      </c>
      <c r="P1990" s="20">
        <v>111.39</v>
      </c>
      <c r="Q1990" s="20">
        <v>64.52</v>
      </c>
      <c r="R1990" s="20">
        <v>5012.34</v>
      </c>
      <c r="S1990" s="20">
        <v>0</v>
      </c>
      <c r="T1990" s="20">
        <v>0</v>
      </c>
      <c r="U1990" s="20">
        <v>5012.34</v>
      </c>
      <c r="V1990" s="20">
        <v>2903.44</v>
      </c>
      <c r="W1990" s="20">
        <v>2108.9</v>
      </c>
      <c r="X1990" s="20" t="s">
        <v>45</v>
      </c>
    </row>
    <row r="1991" spans="1:24" x14ac:dyDescent="0.25">
      <c r="A1991" s="23" t="s">
        <v>2513</v>
      </c>
      <c r="B1991" s="22">
        <v>45312</v>
      </c>
      <c r="C1991" s="23" t="s">
        <v>1709</v>
      </c>
      <c r="D1991" s="23" t="s">
        <v>159</v>
      </c>
      <c r="E1991" s="23" t="s">
        <v>93</v>
      </c>
      <c r="F1991" s="23" t="s">
        <v>2585</v>
      </c>
      <c r="G1991" s="23" t="s">
        <v>2586</v>
      </c>
      <c r="H1991" s="23" t="s">
        <v>96</v>
      </c>
      <c r="I1991" s="23" t="s">
        <v>53</v>
      </c>
      <c r="J1991" s="23" t="s">
        <v>143</v>
      </c>
      <c r="K1991" s="23" t="s">
        <v>178</v>
      </c>
      <c r="L1991" s="23" t="s">
        <v>2689</v>
      </c>
      <c r="M1991" s="23" t="s">
        <v>30</v>
      </c>
      <c r="N1991" s="23" t="s">
        <v>75</v>
      </c>
      <c r="O1991" s="23">
        <v>18</v>
      </c>
      <c r="P1991" s="23">
        <v>57.47</v>
      </c>
      <c r="Q1991" s="23">
        <v>31.88</v>
      </c>
      <c r="R1991" s="23">
        <v>1034.4100000000001</v>
      </c>
      <c r="S1991" s="23">
        <v>0.1</v>
      </c>
      <c r="T1991" s="23">
        <v>103.44</v>
      </c>
      <c r="U1991" s="23">
        <v>930.97</v>
      </c>
      <c r="V1991" s="23">
        <v>573.82000000000005</v>
      </c>
      <c r="W1991" s="23">
        <v>357.15</v>
      </c>
      <c r="X1991" s="23" t="s">
        <v>45</v>
      </c>
    </row>
    <row r="1992" spans="1:24" x14ac:dyDescent="0.25">
      <c r="A1992" s="20" t="s">
        <v>2514</v>
      </c>
      <c r="B1992" s="19">
        <v>45309</v>
      </c>
      <c r="C1992" s="20" t="s">
        <v>723</v>
      </c>
      <c r="D1992" s="20" t="s">
        <v>156</v>
      </c>
      <c r="E1992" s="20" t="s">
        <v>141</v>
      </c>
      <c r="F1992" s="20" t="s">
        <v>2590</v>
      </c>
      <c r="G1992" s="20" t="s">
        <v>2577</v>
      </c>
      <c r="H1992" s="20" t="s">
        <v>26</v>
      </c>
      <c r="I1992" s="20" t="s">
        <v>88</v>
      </c>
      <c r="J1992" s="20" t="s">
        <v>135</v>
      </c>
      <c r="K1992" s="20" t="s">
        <v>248</v>
      </c>
      <c r="L1992" s="20" t="s">
        <v>2693</v>
      </c>
      <c r="M1992" s="20" t="s">
        <v>61</v>
      </c>
      <c r="N1992" s="20" t="s">
        <v>44</v>
      </c>
      <c r="O1992" s="20">
        <v>42</v>
      </c>
      <c r="P1992" s="20">
        <v>90.42</v>
      </c>
      <c r="Q1992" s="20">
        <v>57.24</v>
      </c>
      <c r="R1992" s="20">
        <v>3797.84</v>
      </c>
      <c r="S1992" s="20">
        <v>0.05</v>
      </c>
      <c r="T1992" s="20">
        <v>189.89</v>
      </c>
      <c r="U1992" s="20">
        <v>3607.94</v>
      </c>
      <c r="V1992" s="20">
        <v>2404.17</v>
      </c>
      <c r="W1992" s="20">
        <v>1203.77</v>
      </c>
      <c r="X1992" s="20" t="s">
        <v>45</v>
      </c>
    </row>
    <row r="1993" spans="1:24" x14ac:dyDescent="0.25">
      <c r="A1993" s="23" t="s">
        <v>2515</v>
      </c>
      <c r="B1993" s="22">
        <v>45372</v>
      </c>
      <c r="C1993" s="23" t="s">
        <v>305</v>
      </c>
      <c r="D1993" s="23" t="s">
        <v>87</v>
      </c>
      <c r="E1993" s="23" t="s">
        <v>150</v>
      </c>
      <c r="F1993" s="23" t="s">
        <v>2591</v>
      </c>
      <c r="G1993" s="23" t="s">
        <v>2587</v>
      </c>
      <c r="H1993" s="23" t="s">
        <v>134</v>
      </c>
      <c r="I1993" s="23" t="s">
        <v>40</v>
      </c>
      <c r="J1993" s="23" t="s">
        <v>82</v>
      </c>
      <c r="K1993" s="23" t="s">
        <v>69</v>
      </c>
      <c r="L1993" s="23" t="s">
        <v>2681</v>
      </c>
      <c r="M1993" s="23" t="s">
        <v>61</v>
      </c>
      <c r="N1993" s="23" t="s">
        <v>2578</v>
      </c>
      <c r="O1993" s="23">
        <v>7</v>
      </c>
      <c r="P1993" s="23">
        <v>85.97</v>
      </c>
      <c r="Q1993" s="23">
        <v>49.2</v>
      </c>
      <c r="R1993" s="23">
        <v>601.82000000000005</v>
      </c>
      <c r="S1993" s="23">
        <v>0</v>
      </c>
      <c r="T1993" s="23">
        <v>0</v>
      </c>
      <c r="U1993" s="23">
        <v>601.82000000000005</v>
      </c>
      <c r="V1993" s="23">
        <v>344.43</v>
      </c>
      <c r="W1993" s="23">
        <v>257.39</v>
      </c>
      <c r="X1993" s="23" t="s">
        <v>129</v>
      </c>
    </row>
    <row r="1994" spans="1:24" x14ac:dyDescent="0.25">
      <c r="A1994" s="20" t="s">
        <v>2516</v>
      </c>
      <c r="B1994" s="19">
        <v>45608</v>
      </c>
      <c r="C1994" s="20" t="s">
        <v>1210</v>
      </c>
      <c r="D1994" s="20" t="s">
        <v>65</v>
      </c>
      <c r="E1994" s="20" t="s">
        <v>132</v>
      </c>
      <c r="F1994" s="20" t="s">
        <v>133</v>
      </c>
      <c r="G1994" s="20" t="s">
        <v>2581</v>
      </c>
      <c r="H1994" s="20" t="s">
        <v>134</v>
      </c>
      <c r="I1994" s="20" t="s">
        <v>53</v>
      </c>
      <c r="J1994" s="20" t="s">
        <v>54</v>
      </c>
      <c r="K1994" s="20" t="s">
        <v>178</v>
      </c>
      <c r="L1994" s="20" t="s">
        <v>2689</v>
      </c>
      <c r="M1994" s="20" t="s">
        <v>153</v>
      </c>
      <c r="N1994" s="20" t="s">
        <v>70</v>
      </c>
      <c r="O1994" s="20">
        <v>79</v>
      </c>
      <c r="P1994" s="20">
        <v>56.94</v>
      </c>
      <c r="Q1994" s="20">
        <v>34.14</v>
      </c>
      <c r="R1994" s="20">
        <v>4498.3999999999996</v>
      </c>
      <c r="S1994" s="20">
        <v>0.05</v>
      </c>
      <c r="T1994" s="20">
        <v>224.92</v>
      </c>
      <c r="U1994" s="20">
        <v>4273.4799999999996</v>
      </c>
      <c r="V1994" s="20">
        <v>2696.81</v>
      </c>
      <c r="W1994" s="20">
        <v>1576.67</v>
      </c>
      <c r="X1994" s="20" t="s">
        <v>45</v>
      </c>
    </row>
    <row r="1995" spans="1:24" x14ac:dyDescent="0.25">
      <c r="A1995" s="23" t="s">
        <v>2517</v>
      </c>
      <c r="B1995" s="22">
        <v>45343</v>
      </c>
      <c r="C1995" s="23" t="s">
        <v>1075</v>
      </c>
      <c r="D1995" s="23" t="s">
        <v>65</v>
      </c>
      <c r="E1995" s="23" t="s">
        <v>216</v>
      </c>
      <c r="F1995" s="23" t="s">
        <v>2596</v>
      </c>
      <c r="G1995" s="23" t="s">
        <v>2579</v>
      </c>
      <c r="H1995" s="23" t="s">
        <v>134</v>
      </c>
      <c r="I1995" s="23" t="s">
        <v>58</v>
      </c>
      <c r="J1995" s="23" t="s">
        <v>323</v>
      </c>
      <c r="K1995" s="23" t="s">
        <v>118</v>
      </c>
      <c r="L1995" s="23" t="s">
        <v>2686</v>
      </c>
      <c r="M1995" s="23" t="s">
        <v>61</v>
      </c>
      <c r="N1995" s="23" t="s">
        <v>44</v>
      </c>
      <c r="O1995" s="23">
        <v>4</v>
      </c>
      <c r="P1995" s="23">
        <v>111.9</v>
      </c>
      <c r="Q1995" s="23">
        <v>64.81</v>
      </c>
      <c r="R1995" s="23">
        <v>447.59</v>
      </c>
      <c r="S1995" s="23">
        <v>0.15</v>
      </c>
      <c r="T1995" s="23">
        <v>67.14</v>
      </c>
      <c r="U1995" s="23">
        <v>380.45</v>
      </c>
      <c r="V1995" s="23">
        <v>259.22000000000003</v>
      </c>
      <c r="W1995" s="23">
        <v>121.23</v>
      </c>
      <c r="X1995" s="23" t="s">
        <v>45</v>
      </c>
    </row>
    <row r="1996" spans="1:24" x14ac:dyDescent="0.25">
      <c r="A1996" s="20" t="s">
        <v>2518</v>
      </c>
      <c r="B1996" s="19">
        <v>45636</v>
      </c>
      <c r="C1996" s="20" t="s">
        <v>513</v>
      </c>
      <c r="D1996" s="20" t="s">
        <v>48</v>
      </c>
      <c r="E1996" s="20" t="s">
        <v>93</v>
      </c>
      <c r="F1996" s="20" t="s">
        <v>2585</v>
      </c>
      <c r="G1996" s="20" t="s">
        <v>2586</v>
      </c>
      <c r="H1996" s="20" t="s">
        <v>96</v>
      </c>
      <c r="I1996" s="20" t="s">
        <v>53</v>
      </c>
      <c r="J1996" s="20" t="s">
        <v>143</v>
      </c>
      <c r="K1996" s="20" t="s">
        <v>118</v>
      </c>
      <c r="L1996" s="20" t="s">
        <v>2686</v>
      </c>
      <c r="M1996" s="20" t="s">
        <v>153</v>
      </c>
      <c r="N1996" s="20" t="s">
        <v>75</v>
      </c>
      <c r="O1996" s="20">
        <v>44</v>
      </c>
      <c r="P1996" s="20">
        <v>52.52</v>
      </c>
      <c r="Q1996" s="20">
        <v>32.49</v>
      </c>
      <c r="R1996" s="20">
        <v>2311.09</v>
      </c>
      <c r="S1996" s="20">
        <v>0</v>
      </c>
      <c r="T1996" s="20">
        <v>0</v>
      </c>
      <c r="U1996" s="20">
        <v>2311.09</v>
      </c>
      <c r="V1996" s="20">
        <v>1429.47</v>
      </c>
      <c r="W1996" s="20">
        <v>881.62</v>
      </c>
      <c r="X1996" s="20" t="s">
        <v>45</v>
      </c>
    </row>
    <row r="1997" spans="1:24" x14ac:dyDescent="0.25">
      <c r="A1997" s="23" t="s">
        <v>2519</v>
      </c>
      <c r="B1997" s="22">
        <v>45637</v>
      </c>
      <c r="C1997" s="23" t="s">
        <v>681</v>
      </c>
      <c r="D1997" s="23" t="s">
        <v>105</v>
      </c>
      <c r="E1997" s="23" t="s">
        <v>150</v>
      </c>
      <c r="F1997" s="23" t="s">
        <v>2591</v>
      </c>
      <c r="G1997" s="23" t="s">
        <v>2587</v>
      </c>
      <c r="H1997" s="23" t="s">
        <v>134</v>
      </c>
      <c r="I1997" s="23" t="s">
        <v>40</v>
      </c>
      <c r="J1997" s="23" t="s">
        <v>117</v>
      </c>
      <c r="K1997" s="23" t="s">
        <v>111</v>
      </c>
      <c r="L1997" s="23" t="s">
        <v>2685</v>
      </c>
      <c r="M1997" s="23" t="s">
        <v>30</v>
      </c>
      <c r="N1997" s="23" t="s">
        <v>44</v>
      </c>
      <c r="O1997" s="23">
        <v>11</v>
      </c>
      <c r="P1997" s="23">
        <v>86.56</v>
      </c>
      <c r="Q1997" s="23">
        <v>55</v>
      </c>
      <c r="R1997" s="23">
        <v>952.21</v>
      </c>
      <c r="S1997" s="23">
        <v>0.05</v>
      </c>
      <c r="T1997" s="23">
        <v>47.61</v>
      </c>
      <c r="U1997" s="23">
        <v>904.59</v>
      </c>
      <c r="V1997" s="23">
        <v>604.99</v>
      </c>
      <c r="W1997" s="23">
        <v>299.61</v>
      </c>
      <c r="X1997" s="23" t="s">
        <v>45</v>
      </c>
    </row>
    <row r="1998" spans="1:24" x14ac:dyDescent="0.25">
      <c r="A1998" s="20" t="s">
        <v>2520</v>
      </c>
      <c r="B1998" s="19">
        <v>45338</v>
      </c>
      <c r="C1998" s="20" t="s">
        <v>1531</v>
      </c>
      <c r="D1998" s="20" t="s">
        <v>105</v>
      </c>
      <c r="E1998" s="20" t="s">
        <v>250</v>
      </c>
      <c r="F1998" s="20" t="s">
        <v>2598</v>
      </c>
      <c r="G1998" s="20" t="s">
        <v>2581</v>
      </c>
      <c r="H1998" s="20" t="s">
        <v>252</v>
      </c>
      <c r="I1998" s="20" t="s">
        <v>88</v>
      </c>
      <c r="J1998" s="20" t="s">
        <v>173</v>
      </c>
      <c r="K1998" s="20" t="s">
        <v>248</v>
      </c>
      <c r="L1998" s="20" t="s">
        <v>2693</v>
      </c>
      <c r="M1998" s="20" t="s">
        <v>30</v>
      </c>
      <c r="N1998" s="20" t="s">
        <v>70</v>
      </c>
      <c r="O1998" s="20">
        <v>13</v>
      </c>
      <c r="P1998" s="20">
        <v>68.28</v>
      </c>
      <c r="Q1998" s="20">
        <v>39.69</v>
      </c>
      <c r="R1998" s="20">
        <v>887.58</v>
      </c>
      <c r="S1998" s="20">
        <v>0.2</v>
      </c>
      <c r="T1998" s="20">
        <v>177.52</v>
      </c>
      <c r="U1998" s="20">
        <v>710.06</v>
      </c>
      <c r="V1998" s="20">
        <v>515.98</v>
      </c>
      <c r="W1998" s="20">
        <v>194.09</v>
      </c>
      <c r="X1998" s="20" t="s">
        <v>32</v>
      </c>
    </row>
    <row r="1999" spans="1:24" x14ac:dyDescent="0.25">
      <c r="A1999" s="23" t="s">
        <v>2521</v>
      </c>
      <c r="B1999" s="22">
        <v>45619</v>
      </c>
      <c r="C1999" s="23" t="s">
        <v>750</v>
      </c>
      <c r="D1999" s="23" t="s">
        <v>121</v>
      </c>
      <c r="E1999" s="23" t="s">
        <v>66</v>
      </c>
      <c r="F1999" s="23" t="s">
        <v>2582</v>
      </c>
      <c r="G1999" s="23" t="s">
        <v>2579</v>
      </c>
      <c r="H1999" s="23" t="s">
        <v>68</v>
      </c>
      <c r="I1999" s="23" t="s">
        <v>58</v>
      </c>
      <c r="J1999" s="23" t="s">
        <v>73</v>
      </c>
      <c r="K1999" s="23" t="s">
        <v>90</v>
      </c>
      <c r="L1999" s="23" t="s">
        <v>2684</v>
      </c>
      <c r="M1999" s="23" t="s">
        <v>61</v>
      </c>
      <c r="N1999" s="23" t="s">
        <v>70</v>
      </c>
      <c r="O1999" s="23">
        <v>39</v>
      </c>
      <c r="P1999" s="23">
        <v>0</v>
      </c>
      <c r="Q1999" s="23">
        <v>95.86</v>
      </c>
      <c r="R1999" s="23">
        <v>6508.87</v>
      </c>
      <c r="S1999" s="23">
        <v>0</v>
      </c>
      <c r="T1999" s="23">
        <v>0</v>
      </c>
      <c r="U1999" s="23">
        <v>6508.87</v>
      </c>
      <c r="V1999" s="23">
        <v>3738.68</v>
      </c>
      <c r="W1999" s="23">
        <v>2770.2</v>
      </c>
      <c r="X1999" s="23" t="s">
        <v>129</v>
      </c>
    </row>
    <row r="2000" spans="1:24" x14ac:dyDescent="0.25">
      <c r="A2000" s="20" t="s">
        <v>2522</v>
      </c>
      <c r="B2000" s="19">
        <v>45331</v>
      </c>
      <c r="C2000" s="20" t="s">
        <v>378</v>
      </c>
      <c r="D2000" s="20" t="s">
        <v>159</v>
      </c>
      <c r="E2000" s="20" t="s">
        <v>165</v>
      </c>
      <c r="F2000" s="20" t="s">
        <v>2592</v>
      </c>
      <c r="G2000" s="20" t="s">
        <v>2586</v>
      </c>
      <c r="H2000" s="20" t="s">
        <v>167</v>
      </c>
      <c r="I2000" s="20" t="s">
        <v>88</v>
      </c>
      <c r="J2000" s="20" t="s">
        <v>135</v>
      </c>
      <c r="K2000" s="20" t="s">
        <v>90</v>
      </c>
      <c r="L2000" s="20" t="s">
        <v>2684</v>
      </c>
      <c r="M2000" s="20" t="s">
        <v>30</v>
      </c>
      <c r="N2000" s="20" t="s">
        <v>84</v>
      </c>
      <c r="O2000" s="20">
        <v>38</v>
      </c>
      <c r="P2000" s="20">
        <v>39.07</v>
      </c>
      <c r="Q2000" s="20">
        <v>26.33</v>
      </c>
      <c r="R2000" s="20">
        <v>1484.57</v>
      </c>
      <c r="S2000" s="20">
        <v>0.05</v>
      </c>
      <c r="T2000" s="20">
        <v>74.23</v>
      </c>
      <c r="U2000" s="20">
        <v>1410.34</v>
      </c>
      <c r="V2000" s="20">
        <v>1000.37</v>
      </c>
      <c r="W2000" s="20">
        <v>409.97</v>
      </c>
      <c r="X2000" s="20" t="s">
        <v>129</v>
      </c>
    </row>
    <row r="2001" spans="1:24" x14ac:dyDescent="0.25">
      <c r="A2001" s="23" t="s">
        <v>2523</v>
      </c>
      <c r="B2001" s="22">
        <v>45385</v>
      </c>
      <c r="C2001" s="23" t="s">
        <v>347</v>
      </c>
      <c r="D2001" s="23" t="s">
        <v>163</v>
      </c>
      <c r="E2001" s="23" t="s">
        <v>216</v>
      </c>
      <c r="F2001" s="23" t="s">
        <v>2596</v>
      </c>
      <c r="G2001" s="23" t="s">
        <v>2579</v>
      </c>
      <c r="H2001" s="23" t="s">
        <v>134</v>
      </c>
      <c r="I2001" s="23" t="s">
        <v>40</v>
      </c>
      <c r="J2001" s="23" t="s">
        <v>82</v>
      </c>
      <c r="K2001" s="23" t="s">
        <v>90</v>
      </c>
      <c r="L2001" s="23" t="s">
        <v>2684</v>
      </c>
      <c r="M2001" s="23" t="s">
        <v>61</v>
      </c>
      <c r="N2001" s="23" t="s">
        <v>44</v>
      </c>
      <c r="O2001" s="23">
        <v>69</v>
      </c>
      <c r="P2001" s="23">
        <v>111.22</v>
      </c>
      <c r="Q2001" s="23">
        <v>64.42</v>
      </c>
      <c r="R2001" s="23">
        <v>7674.45</v>
      </c>
      <c r="S2001" s="23">
        <v>0.02</v>
      </c>
      <c r="T2001" s="23">
        <v>153.49</v>
      </c>
      <c r="U2001" s="23">
        <v>7520.96</v>
      </c>
      <c r="V2001" s="23">
        <v>4445.1400000000003</v>
      </c>
      <c r="W2001" s="23">
        <v>3075.82</v>
      </c>
      <c r="X2001" s="23" t="s">
        <v>45</v>
      </c>
    </row>
    <row r="2002" spans="1:24" x14ac:dyDescent="0.25">
      <c r="A2002" s="20" t="s">
        <v>2524</v>
      </c>
      <c r="B2002" s="19">
        <v>45557</v>
      </c>
      <c r="C2002" s="20" t="s">
        <v>563</v>
      </c>
      <c r="D2002" s="20" t="s">
        <v>156</v>
      </c>
      <c r="E2002" s="20" t="s">
        <v>49</v>
      </c>
      <c r="F2002" s="20" t="s">
        <v>2580</v>
      </c>
      <c r="G2002" s="20" t="s">
        <v>2581</v>
      </c>
      <c r="H2002" s="20" t="s">
        <v>52</v>
      </c>
      <c r="I2002" s="20" t="s">
        <v>27</v>
      </c>
      <c r="J2002" s="20" t="s">
        <v>2619</v>
      </c>
      <c r="K2002" s="20" t="s">
        <v>248</v>
      </c>
      <c r="L2002" s="20" t="s">
        <v>2693</v>
      </c>
      <c r="M2002" s="20" t="s">
        <v>43</v>
      </c>
      <c r="N2002" s="20" t="s">
        <v>75</v>
      </c>
      <c r="O2002" s="20">
        <v>47</v>
      </c>
      <c r="P2002" s="20">
        <v>25.58</v>
      </c>
      <c r="Q2002" s="20">
        <v>12.32</v>
      </c>
      <c r="R2002" s="20">
        <v>1202.29</v>
      </c>
      <c r="S2002" s="20">
        <v>0.15</v>
      </c>
      <c r="T2002" s="20">
        <v>180.34</v>
      </c>
      <c r="U2002" s="20">
        <v>1021.95</v>
      </c>
      <c r="V2002" s="20">
        <v>579.16999999999996</v>
      </c>
      <c r="W2002" s="20">
        <v>442.78</v>
      </c>
      <c r="X2002" s="20" t="s">
        <v>45</v>
      </c>
    </row>
    <row r="2003" spans="1:24" x14ac:dyDescent="0.25">
      <c r="A2003" s="23" t="s">
        <v>2525</v>
      </c>
      <c r="B2003" s="22">
        <v>45408</v>
      </c>
      <c r="C2003" s="23" t="s">
        <v>1028</v>
      </c>
      <c r="D2003" s="23" t="s">
        <v>57</v>
      </c>
      <c r="E2003" s="23" t="s">
        <v>150</v>
      </c>
      <c r="F2003" s="23" t="s">
        <v>2591</v>
      </c>
      <c r="G2003" s="23" t="s">
        <v>2587</v>
      </c>
      <c r="H2003" s="23" t="s">
        <v>134</v>
      </c>
      <c r="I2003" s="23" t="s">
        <v>27</v>
      </c>
      <c r="J2003" s="23" t="s">
        <v>106</v>
      </c>
      <c r="K2003" s="23" t="s">
        <v>253</v>
      </c>
      <c r="L2003" s="23" t="s">
        <v>2694</v>
      </c>
      <c r="M2003" s="23" t="s">
        <v>43</v>
      </c>
      <c r="N2003" s="23" t="s">
        <v>70</v>
      </c>
      <c r="O2003" s="23">
        <v>31</v>
      </c>
      <c r="P2003" s="23">
        <v>89.85</v>
      </c>
      <c r="Q2003" s="23">
        <v>52.64</v>
      </c>
      <c r="R2003" s="23">
        <v>2785.32</v>
      </c>
      <c r="S2003" s="23">
        <v>0</v>
      </c>
      <c r="T2003" s="23">
        <v>0</v>
      </c>
      <c r="U2003" s="23">
        <v>2785.32</v>
      </c>
      <c r="V2003" s="23">
        <v>1631.89</v>
      </c>
      <c r="W2003" s="23">
        <v>1153.43</v>
      </c>
      <c r="X2003" s="23" t="s">
        <v>129</v>
      </c>
    </row>
    <row r="2004" spans="1:24" x14ac:dyDescent="0.25">
      <c r="A2004" s="20" t="s">
        <v>2526</v>
      </c>
      <c r="B2004" s="19">
        <v>45473</v>
      </c>
      <c r="C2004" s="20" t="s">
        <v>674</v>
      </c>
      <c r="D2004" s="20" t="s">
        <v>264</v>
      </c>
      <c r="E2004" s="20" t="s">
        <v>114</v>
      </c>
      <c r="F2004" s="20" t="s">
        <v>2588</v>
      </c>
      <c r="G2004" s="20" t="s">
        <v>2586</v>
      </c>
      <c r="H2004" s="20" t="s">
        <v>116</v>
      </c>
      <c r="I2004" s="20" t="s">
        <v>88</v>
      </c>
      <c r="J2004" s="20" t="s">
        <v>135</v>
      </c>
      <c r="K2004" s="20" t="s">
        <v>42</v>
      </c>
      <c r="L2004" s="20" t="s">
        <v>2680</v>
      </c>
      <c r="M2004" s="20" t="s">
        <v>153</v>
      </c>
      <c r="N2004" s="20" t="s">
        <v>84</v>
      </c>
      <c r="O2004" s="20">
        <v>23</v>
      </c>
      <c r="P2004" s="20">
        <v>34.19</v>
      </c>
      <c r="Q2004" s="20">
        <v>22.63</v>
      </c>
      <c r="R2004" s="20">
        <v>786.47</v>
      </c>
      <c r="S2004" s="20">
        <v>0.02</v>
      </c>
      <c r="T2004" s="20">
        <v>15.73</v>
      </c>
      <c r="U2004" s="20">
        <v>770.74</v>
      </c>
      <c r="V2004" s="20">
        <v>520.6</v>
      </c>
      <c r="W2004" s="20">
        <v>250.14</v>
      </c>
      <c r="X2004" s="20" t="s">
        <v>32</v>
      </c>
    </row>
    <row r="2005" spans="1:24" x14ac:dyDescent="0.25">
      <c r="A2005" s="23" t="s">
        <v>2527</v>
      </c>
      <c r="B2005" s="22">
        <v>45530</v>
      </c>
      <c r="C2005" s="23" t="s">
        <v>970</v>
      </c>
      <c r="D2005" s="23" t="s">
        <v>159</v>
      </c>
      <c r="E2005" s="23" t="s">
        <v>78</v>
      </c>
      <c r="F2005" s="23" t="s">
        <v>2583</v>
      </c>
      <c r="G2005" s="23" t="s">
        <v>2584</v>
      </c>
      <c r="H2005" s="23" t="s">
        <v>81</v>
      </c>
      <c r="I2005" s="23" t="s">
        <v>27</v>
      </c>
      <c r="J2005" s="23" t="s">
        <v>106</v>
      </c>
      <c r="K2005" s="23" t="s">
        <v>42</v>
      </c>
      <c r="L2005" s="23" t="s">
        <v>2680</v>
      </c>
      <c r="M2005" s="23" t="s">
        <v>30</v>
      </c>
      <c r="N2005" s="23" t="s">
        <v>70</v>
      </c>
      <c r="O2005" s="23">
        <v>73</v>
      </c>
      <c r="P2005" s="23">
        <v>131.72999999999999</v>
      </c>
      <c r="Q2005" s="23">
        <v>85.81</v>
      </c>
      <c r="R2005" s="23">
        <v>9616.0400000000009</v>
      </c>
      <c r="S2005" s="23">
        <v>0.2</v>
      </c>
      <c r="T2005" s="23">
        <v>1923.21</v>
      </c>
      <c r="U2005" s="23">
        <v>7692.83</v>
      </c>
      <c r="V2005" s="23">
        <v>6264.24</v>
      </c>
      <c r="W2005" s="23">
        <v>1428.6</v>
      </c>
      <c r="X2005" s="23" t="s">
        <v>45</v>
      </c>
    </row>
    <row r="2006" spans="1:24" x14ac:dyDescent="0.25">
      <c r="A2006" s="20" t="s">
        <v>2528</v>
      </c>
      <c r="B2006" s="19">
        <v>45469</v>
      </c>
      <c r="C2006" s="20" t="s">
        <v>2619</v>
      </c>
      <c r="D2006" s="20" t="s">
        <v>2619</v>
      </c>
      <c r="E2006" s="20" t="s">
        <v>165</v>
      </c>
      <c r="F2006" s="20" t="s">
        <v>2592</v>
      </c>
      <c r="G2006" s="20" t="s">
        <v>2586</v>
      </c>
      <c r="H2006" s="20" t="s">
        <v>167</v>
      </c>
      <c r="I2006" s="20" t="s">
        <v>58</v>
      </c>
      <c r="J2006" s="20" t="s">
        <v>59</v>
      </c>
      <c r="K2006" s="20" t="s">
        <v>69</v>
      </c>
      <c r="L2006" s="20" t="s">
        <v>2681</v>
      </c>
      <c r="M2006" s="20" t="s">
        <v>30</v>
      </c>
      <c r="N2006" s="20" t="s">
        <v>2578</v>
      </c>
      <c r="O2006" s="20">
        <v>36</v>
      </c>
      <c r="P2006" s="20">
        <v>45.26</v>
      </c>
      <c r="Q2006" s="20">
        <v>25.1</v>
      </c>
      <c r="R2006" s="20">
        <v>1629.19</v>
      </c>
      <c r="S2006" s="20">
        <v>0.02</v>
      </c>
      <c r="T2006" s="20">
        <v>32.58</v>
      </c>
      <c r="U2006" s="20">
        <v>1596.6</v>
      </c>
      <c r="V2006" s="20">
        <v>903.7</v>
      </c>
      <c r="W2006" s="20">
        <v>692.9</v>
      </c>
      <c r="X2006" s="20" t="s">
        <v>32</v>
      </c>
    </row>
    <row r="2007" spans="1:24" x14ac:dyDescent="0.25">
      <c r="A2007" s="23" t="s">
        <v>2529</v>
      </c>
      <c r="B2007" s="22">
        <v>45487</v>
      </c>
      <c r="C2007" s="23" t="s">
        <v>475</v>
      </c>
      <c r="D2007" s="23" t="s">
        <v>57</v>
      </c>
      <c r="E2007" s="23" t="s">
        <v>187</v>
      </c>
      <c r="F2007" s="23" t="s">
        <v>2594</v>
      </c>
      <c r="G2007" s="23" t="s">
        <v>2577</v>
      </c>
      <c r="H2007" s="23" t="s">
        <v>26</v>
      </c>
      <c r="I2007" s="23" t="s">
        <v>40</v>
      </c>
      <c r="J2007" s="23" t="s">
        <v>289</v>
      </c>
      <c r="K2007" s="23" t="s">
        <v>248</v>
      </c>
      <c r="L2007" s="23" t="s">
        <v>2693</v>
      </c>
      <c r="M2007" s="23" t="s">
        <v>30</v>
      </c>
      <c r="N2007" s="23" t="s">
        <v>70</v>
      </c>
      <c r="O2007" s="23">
        <v>77</v>
      </c>
      <c r="P2007" s="23">
        <v>51.19</v>
      </c>
      <c r="Q2007" s="23">
        <v>28.4</v>
      </c>
      <c r="R2007" s="23">
        <v>3941.33</v>
      </c>
      <c r="S2007" s="23">
        <v>0.15</v>
      </c>
      <c r="T2007" s="23">
        <v>591.20000000000005</v>
      </c>
      <c r="U2007" s="23">
        <v>3350.13</v>
      </c>
      <c r="V2007" s="23">
        <v>2186.61</v>
      </c>
      <c r="W2007" s="23">
        <v>1163.52</v>
      </c>
      <c r="X2007" s="23" t="s">
        <v>129</v>
      </c>
    </row>
    <row r="2008" spans="1:24" x14ac:dyDescent="0.25">
      <c r="A2008" s="20" t="s">
        <v>2530</v>
      </c>
      <c r="B2008" s="19">
        <v>45454</v>
      </c>
      <c r="C2008" s="20" t="s">
        <v>380</v>
      </c>
      <c r="D2008" s="20" t="s">
        <v>105</v>
      </c>
      <c r="E2008" s="20" t="s">
        <v>126</v>
      </c>
      <c r="F2008" s="20" t="s">
        <v>2589</v>
      </c>
      <c r="G2008" s="20" t="s">
        <v>2586</v>
      </c>
      <c r="H2008" s="20" t="s">
        <v>128</v>
      </c>
      <c r="I2008" s="20" t="s">
        <v>88</v>
      </c>
      <c r="J2008" s="20" t="s">
        <v>135</v>
      </c>
      <c r="K2008" s="20" t="s">
        <v>261</v>
      </c>
      <c r="L2008" s="20" t="s">
        <v>2695</v>
      </c>
      <c r="M2008" s="20" t="s">
        <v>547</v>
      </c>
      <c r="N2008" s="20" t="s">
        <v>2578</v>
      </c>
      <c r="O2008" s="20">
        <v>15</v>
      </c>
      <c r="P2008" s="20">
        <v>94.64</v>
      </c>
      <c r="Q2008" s="20">
        <v>51.99</v>
      </c>
      <c r="R2008" s="20">
        <v>1419.57</v>
      </c>
      <c r="S2008" s="20">
        <v>0.2</v>
      </c>
      <c r="T2008" s="20">
        <v>283.91000000000003</v>
      </c>
      <c r="U2008" s="20">
        <v>1135.6600000000001</v>
      </c>
      <c r="V2008" s="20">
        <v>779.79</v>
      </c>
      <c r="W2008" s="20">
        <v>355.87</v>
      </c>
      <c r="X2008" s="20" t="s">
        <v>45</v>
      </c>
    </row>
    <row r="2009" spans="1:24" x14ac:dyDescent="0.25">
      <c r="A2009" s="23" t="s">
        <v>2531</v>
      </c>
      <c r="B2009" s="22">
        <v>45316</v>
      </c>
      <c r="C2009" s="23" t="s">
        <v>1075</v>
      </c>
      <c r="D2009" s="23" t="s">
        <v>65</v>
      </c>
      <c r="E2009" s="23" t="s">
        <v>176</v>
      </c>
      <c r="F2009" s="23" t="s">
        <v>2593</v>
      </c>
      <c r="G2009" s="23" t="s">
        <v>2587</v>
      </c>
      <c r="H2009" s="23" t="s">
        <v>39</v>
      </c>
      <c r="I2009" s="23" t="s">
        <v>53</v>
      </c>
      <c r="J2009" s="23" t="s">
        <v>122</v>
      </c>
      <c r="K2009" s="23" t="s">
        <v>265</v>
      </c>
      <c r="L2009" s="23" t="s">
        <v>2663</v>
      </c>
      <c r="M2009" s="23" t="s">
        <v>153</v>
      </c>
      <c r="N2009" s="23" t="s">
        <v>70</v>
      </c>
      <c r="O2009" s="23">
        <v>21</v>
      </c>
      <c r="P2009" s="23">
        <v>106.57</v>
      </c>
      <c r="Q2009" s="23">
        <v>58.5</v>
      </c>
      <c r="R2009" s="23">
        <v>2237.87</v>
      </c>
      <c r="S2009" s="23">
        <v>0.15</v>
      </c>
      <c r="T2009" s="23">
        <v>335.68</v>
      </c>
      <c r="U2009" s="23">
        <v>1902.19</v>
      </c>
      <c r="V2009" s="23">
        <v>1228.45</v>
      </c>
      <c r="W2009" s="23">
        <v>673.73</v>
      </c>
      <c r="X2009" s="23" t="s">
        <v>45</v>
      </c>
    </row>
    <row r="2010" spans="1:24" x14ac:dyDescent="0.25">
      <c r="A2010" s="20" t="s">
        <v>2532</v>
      </c>
      <c r="B2010" s="19">
        <v>45379</v>
      </c>
      <c r="C2010" s="20" t="s">
        <v>1706</v>
      </c>
      <c r="D2010" s="20" t="s">
        <v>65</v>
      </c>
      <c r="E2010" s="20" t="s">
        <v>187</v>
      </c>
      <c r="F2010" s="20" t="s">
        <v>2594</v>
      </c>
      <c r="G2010" s="20" t="s">
        <v>2577</v>
      </c>
      <c r="H2010" s="20" t="s">
        <v>26</v>
      </c>
      <c r="I2010" s="20" t="s">
        <v>53</v>
      </c>
      <c r="J2010" s="20" t="s">
        <v>232</v>
      </c>
      <c r="K2010" s="20" t="s">
        <v>218</v>
      </c>
      <c r="L2010" s="20" t="s">
        <v>2692</v>
      </c>
      <c r="M2010" s="20" t="s">
        <v>153</v>
      </c>
      <c r="N2010" s="20" t="s">
        <v>70</v>
      </c>
      <c r="O2010" s="20">
        <v>27</v>
      </c>
      <c r="P2010" s="20">
        <v>46.16</v>
      </c>
      <c r="Q2010" s="20">
        <v>30.89</v>
      </c>
      <c r="R2010" s="20">
        <v>1246.29</v>
      </c>
      <c r="S2010" s="20">
        <v>0.05</v>
      </c>
      <c r="T2010" s="20">
        <v>62.31</v>
      </c>
      <c r="U2010" s="20">
        <v>1183.98</v>
      </c>
      <c r="V2010" s="20">
        <v>834.01</v>
      </c>
      <c r="W2010" s="20">
        <v>349.97</v>
      </c>
      <c r="X2010" s="20" t="s">
        <v>45</v>
      </c>
    </row>
    <row r="2011" spans="1:24" x14ac:dyDescent="0.25">
      <c r="A2011" s="23" t="s">
        <v>2533</v>
      </c>
      <c r="B2011" s="22">
        <v>45341</v>
      </c>
      <c r="C2011" s="23" t="s">
        <v>791</v>
      </c>
      <c r="D2011" s="23" t="s">
        <v>163</v>
      </c>
      <c r="E2011" s="23" t="s">
        <v>209</v>
      </c>
      <c r="F2011" s="23" t="s">
        <v>2595</v>
      </c>
      <c r="G2011" s="23" t="s">
        <v>2581</v>
      </c>
      <c r="H2011" s="23" t="s">
        <v>116</v>
      </c>
      <c r="I2011" s="23" t="s">
        <v>88</v>
      </c>
      <c r="J2011" s="23" t="s">
        <v>2112</v>
      </c>
      <c r="K2011" s="23" t="s">
        <v>184</v>
      </c>
      <c r="L2011" s="23" t="s">
        <v>2690</v>
      </c>
      <c r="M2011" s="23" t="s">
        <v>153</v>
      </c>
      <c r="N2011" s="23" t="s">
        <v>75</v>
      </c>
      <c r="O2011" s="23">
        <v>14</v>
      </c>
      <c r="P2011" s="23">
        <v>18.79</v>
      </c>
      <c r="Q2011" s="23">
        <v>10.16</v>
      </c>
      <c r="R2011" s="23">
        <v>263.04000000000002</v>
      </c>
      <c r="S2011" s="23">
        <v>0.1</v>
      </c>
      <c r="T2011" s="23">
        <v>26.3</v>
      </c>
      <c r="U2011" s="23">
        <v>236.74</v>
      </c>
      <c r="V2011" s="23">
        <v>142.28</v>
      </c>
      <c r="W2011" s="23">
        <v>94.46</v>
      </c>
      <c r="X2011" s="23" t="s">
        <v>129</v>
      </c>
    </row>
    <row r="2012" spans="1:24" x14ac:dyDescent="0.25">
      <c r="A2012" s="20" t="s">
        <v>2534</v>
      </c>
      <c r="B2012" s="19">
        <v>45467</v>
      </c>
      <c r="C2012" s="20" t="s">
        <v>245</v>
      </c>
      <c r="D2012" s="20" t="s">
        <v>65</v>
      </c>
      <c r="E2012" s="20" t="s">
        <v>176</v>
      </c>
      <c r="F2012" s="20" t="s">
        <v>2593</v>
      </c>
      <c r="G2012" s="20" t="s">
        <v>2587</v>
      </c>
      <c r="H2012" s="20" t="s">
        <v>39</v>
      </c>
      <c r="I2012" s="20" t="s">
        <v>88</v>
      </c>
      <c r="J2012" s="20" t="s">
        <v>183</v>
      </c>
      <c r="K2012" s="20" t="s">
        <v>83</v>
      </c>
      <c r="L2012" s="20" t="s">
        <v>2683</v>
      </c>
      <c r="M2012" s="20" t="s">
        <v>30</v>
      </c>
      <c r="N2012" s="20" t="s">
        <v>84</v>
      </c>
      <c r="O2012" s="20">
        <v>38</v>
      </c>
      <c r="P2012" s="20">
        <v>100.66</v>
      </c>
      <c r="Q2012" s="20">
        <v>65.16</v>
      </c>
      <c r="R2012" s="20">
        <v>3825.25</v>
      </c>
      <c r="S2012" s="20">
        <v>0.2</v>
      </c>
      <c r="T2012" s="20">
        <v>765.05</v>
      </c>
      <c r="U2012" s="20">
        <v>3060.2</v>
      </c>
      <c r="V2012" s="20">
        <v>2475.9499999999998</v>
      </c>
      <c r="W2012" s="20">
        <v>584.25</v>
      </c>
      <c r="X2012" s="20" t="s">
        <v>32</v>
      </c>
    </row>
    <row r="2013" spans="1:24" x14ac:dyDescent="0.25">
      <c r="A2013" s="23" t="s">
        <v>2535</v>
      </c>
      <c r="B2013" s="22">
        <v>45590</v>
      </c>
      <c r="C2013" s="23" t="s">
        <v>931</v>
      </c>
      <c r="D2013" s="23" t="s">
        <v>105</v>
      </c>
      <c r="E2013" s="23" t="s">
        <v>36</v>
      </c>
      <c r="F2013" s="23" t="s">
        <v>37</v>
      </c>
      <c r="G2013" s="23" t="s">
        <v>2579</v>
      </c>
      <c r="H2013" s="23" t="s">
        <v>39</v>
      </c>
      <c r="I2013" s="23" t="s">
        <v>58</v>
      </c>
      <c r="J2013" s="23" t="s">
        <v>323</v>
      </c>
      <c r="K2013" s="23" t="s">
        <v>2619</v>
      </c>
      <c r="L2013" s="23" t="s">
        <v>2619</v>
      </c>
      <c r="M2013" s="23" t="s">
        <v>153</v>
      </c>
      <c r="N2013" s="23" t="s">
        <v>2578</v>
      </c>
      <c r="O2013" s="23">
        <v>6</v>
      </c>
      <c r="P2013" s="23">
        <v>155.56</v>
      </c>
      <c r="Q2013" s="23">
        <v>93</v>
      </c>
      <c r="R2013" s="23">
        <v>933.33</v>
      </c>
      <c r="S2013" s="23">
        <v>0.1</v>
      </c>
      <c r="T2013" s="23">
        <v>93.33</v>
      </c>
      <c r="U2013" s="23">
        <v>840</v>
      </c>
      <c r="V2013" s="23">
        <v>558.02</v>
      </c>
      <c r="W2013" s="23">
        <v>281.98</v>
      </c>
      <c r="X2013" s="23" t="s">
        <v>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EC2F6-2DCF-440F-ABC1-4EF39492661A}">
  <dimension ref="A1:D21"/>
  <sheetViews>
    <sheetView workbookViewId="0">
      <selection activeCell="H15" sqref="H15"/>
    </sheetView>
  </sheetViews>
  <sheetFormatPr defaultRowHeight="15" x14ac:dyDescent="0.25"/>
  <cols>
    <col min="1" max="1" width="13" bestFit="1" customWidth="1"/>
    <col min="2" max="2" width="19.140625" bestFit="1" customWidth="1"/>
    <col min="3" max="3" width="15.5703125" bestFit="1" customWidth="1"/>
    <col min="4" max="4" width="14" bestFit="1" customWidth="1"/>
    <col min="6" max="6" width="13" bestFit="1" customWidth="1"/>
    <col min="7" max="7" width="19.140625" bestFit="1" customWidth="1"/>
    <col min="8" max="8" width="15.5703125" bestFit="1" customWidth="1"/>
    <col min="9" max="9" width="23.7109375" bestFit="1" customWidth="1"/>
    <col min="10" max="10" width="14" customWidth="1"/>
  </cols>
  <sheetData>
    <row r="1" spans="1:4" x14ac:dyDescent="0.25">
      <c r="A1" t="s">
        <v>2569</v>
      </c>
      <c r="B1" t="s">
        <v>2570</v>
      </c>
      <c r="C1" t="s">
        <v>4</v>
      </c>
      <c r="D1" t="s">
        <v>2599</v>
      </c>
    </row>
    <row r="2" spans="1:4" x14ac:dyDescent="0.25">
      <c r="A2" t="s">
        <v>23</v>
      </c>
      <c r="B2" t="s">
        <v>2576</v>
      </c>
      <c r="C2" t="s">
        <v>2577</v>
      </c>
      <c r="D2" t="s">
        <v>2601</v>
      </c>
    </row>
    <row r="3" spans="1:4" x14ac:dyDescent="0.25">
      <c r="A3" t="s">
        <v>36</v>
      </c>
      <c r="B3" t="s">
        <v>37</v>
      </c>
      <c r="C3" t="s">
        <v>2579</v>
      </c>
      <c r="D3" t="s">
        <v>2602</v>
      </c>
    </row>
    <row r="4" spans="1:4" x14ac:dyDescent="0.25">
      <c r="A4" t="s">
        <v>49</v>
      </c>
      <c r="B4" t="s">
        <v>2580</v>
      </c>
      <c r="C4" t="s">
        <v>2581</v>
      </c>
      <c r="D4" t="s">
        <v>2603</v>
      </c>
    </row>
    <row r="5" spans="1:4" x14ac:dyDescent="0.25">
      <c r="A5" t="s">
        <v>66</v>
      </c>
      <c r="B5" t="s">
        <v>2582</v>
      </c>
      <c r="C5" t="s">
        <v>2579</v>
      </c>
      <c r="D5" t="s">
        <v>2604</v>
      </c>
    </row>
    <row r="6" spans="1:4" x14ac:dyDescent="0.25">
      <c r="A6" t="s">
        <v>78</v>
      </c>
      <c r="B6" t="s">
        <v>2583</v>
      </c>
      <c r="C6" t="s">
        <v>2584</v>
      </c>
      <c r="D6" t="s">
        <v>2605</v>
      </c>
    </row>
    <row r="7" spans="1:4" x14ac:dyDescent="0.25">
      <c r="A7" t="s">
        <v>93</v>
      </c>
      <c r="B7" t="s">
        <v>2585</v>
      </c>
      <c r="C7" t="s">
        <v>2586</v>
      </c>
      <c r="D7" t="s">
        <v>2606</v>
      </c>
    </row>
    <row r="8" spans="1:4" x14ac:dyDescent="0.25">
      <c r="A8" t="s">
        <v>99</v>
      </c>
      <c r="B8" t="s">
        <v>100</v>
      </c>
      <c r="C8" t="s">
        <v>2587</v>
      </c>
      <c r="D8" t="s">
        <v>2607</v>
      </c>
    </row>
    <row r="9" spans="1:4" x14ac:dyDescent="0.25">
      <c r="A9" t="s">
        <v>109</v>
      </c>
      <c r="B9" t="s">
        <v>110</v>
      </c>
      <c r="C9" t="s">
        <v>2584</v>
      </c>
      <c r="D9" t="s">
        <v>2605</v>
      </c>
    </row>
    <row r="10" spans="1:4" x14ac:dyDescent="0.25">
      <c r="A10" t="s">
        <v>114</v>
      </c>
      <c r="B10" t="s">
        <v>2588</v>
      </c>
      <c r="C10" t="s">
        <v>2586</v>
      </c>
      <c r="D10" t="s">
        <v>2608</v>
      </c>
    </row>
    <row r="11" spans="1:4" x14ac:dyDescent="0.25">
      <c r="A11" t="s">
        <v>126</v>
      </c>
      <c r="B11" t="s">
        <v>2589</v>
      </c>
      <c r="C11" t="s">
        <v>2586</v>
      </c>
      <c r="D11" t="s">
        <v>2609</v>
      </c>
    </row>
    <row r="12" spans="1:4" x14ac:dyDescent="0.25">
      <c r="A12" t="s">
        <v>132</v>
      </c>
      <c r="B12" t="s">
        <v>133</v>
      </c>
      <c r="C12" t="s">
        <v>2581</v>
      </c>
      <c r="D12" t="s">
        <v>2610</v>
      </c>
    </row>
    <row r="13" spans="1:4" x14ac:dyDescent="0.25">
      <c r="A13" t="s">
        <v>141</v>
      </c>
      <c r="B13" t="s">
        <v>2590</v>
      </c>
      <c r="C13" t="s">
        <v>2577</v>
      </c>
      <c r="D13" t="s">
        <v>2601</v>
      </c>
    </row>
    <row r="14" spans="1:4" x14ac:dyDescent="0.25">
      <c r="A14" t="s">
        <v>150</v>
      </c>
      <c r="B14" t="s">
        <v>2591</v>
      </c>
      <c r="C14" t="s">
        <v>2587</v>
      </c>
      <c r="D14" t="s">
        <v>2610</v>
      </c>
    </row>
    <row r="15" spans="1:4" x14ac:dyDescent="0.25">
      <c r="A15" t="s">
        <v>165</v>
      </c>
      <c r="B15" t="s">
        <v>2592</v>
      </c>
      <c r="C15" t="s">
        <v>2586</v>
      </c>
      <c r="D15" t="s">
        <v>2611</v>
      </c>
    </row>
    <row r="16" spans="1:4" x14ac:dyDescent="0.25">
      <c r="A16" t="s">
        <v>176</v>
      </c>
      <c r="B16" t="s">
        <v>2593</v>
      </c>
      <c r="C16" t="s">
        <v>2587</v>
      </c>
      <c r="D16" t="s">
        <v>2602</v>
      </c>
    </row>
    <row r="17" spans="1:4" x14ac:dyDescent="0.25">
      <c r="A17" t="s">
        <v>187</v>
      </c>
      <c r="B17" t="s">
        <v>2594</v>
      </c>
      <c r="C17" t="s">
        <v>2577</v>
      </c>
      <c r="D17" t="s">
        <v>2601</v>
      </c>
    </row>
    <row r="18" spans="1:4" x14ac:dyDescent="0.25">
      <c r="A18" t="s">
        <v>209</v>
      </c>
      <c r="B18" t="s">
        <v>2595</v>
      </c>
      <c r="C18" t="s">
        <v>2581</v>
      </c>
      <c r="D18" t="s">
        <v>2608</v>
      </c>
    </row>
    <row r="19" spans="1:4" x14ac:dyDescent="0.25">
      <c r="A19" t="s">
        <v>216</v>
      </c>
      <c r="B19" t="s">
        <v>2596</v>
      </c>
      <c r="C19" t="s">
        <v>2579</v>
      </c>
      <c r="D19" t="s">
        <v>2610</v>
      </c>
    </row>
    <row r="20" spans="1:4" x14ac:dyDescent="0.25">
      <c r="A20" t="s">
        <v>222</v>
      </c>
      <c r="B20" t="s">
        <v>2597</v>
      </c>
      <c r="C20" t="s">
        <v>2587</v>
      </c>
      <c r="D20" t="s">
        <v>2604</v>
      </c>
    </row>
    <row r="21" spans="1:4" x14ac:dyDescent="0.25">
      <c r="A21" t="s">
        <v>250</v>
      </c>
      <c r="B21" t="s">
        <v>2598</v>
      </c>
      <c r="C21" t="s">
        <v>2581</v>
      </c>
      <c r="D21" t="s">
        <v>2612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E70C-CE37-4695-A538-6D6C4BD8CAAB}">
  <dimension ref="A1:B352"/>
  <sheetViews>
    <sheetView workbookViewId="0">
      <selection activeCell="I5" sqref="I5"/>
    </sheetView>
  </sheetViews>
  <sheetFormatPr defaultRowHeight="15" x14ac:dyDescent="0.25"/>
  <cols>
    <col min="1" max="1" width="14.5703125" customWidth="1"/>
    <col min="2" max="2" width="18" customWidth="1"/>
    <col min="11" max="12" width="14.7109375" bestFit="1" customWidth="1"/>
    <col min="13" max="13" width="18.28515625" bestFit="1" customWidth="1"/>
    <col min="14" max="14" width="9.42578125" bestFit="1" customWidth="1"/>
    <col min="15" max="15" width="13.140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 t="s">
        <v>21</v>
      </c>
      <c r="B2" t="s">
        <v>22</v>
      </c>
    </row>
    <row r="3" spans="1:2" x14ac:dyDescent="0.25">
      <c r="A3" t="s">
        <v>34</v>
      </c>
      <c r="B3" t="s">
        <v>35</v>
      </c>
    </row>
    <row r="4" spans="1:2" x14ac:dyDescent="0.25">
      <c r="A4" t="s">
        <v>47</v>
      </c>
      <c r="B4" t="s">
        <v>48</v>
      </c>
    </row>
    <row r="5" spans="1:2" x14ac:dyDescent="0.25">
      <c r="A5" t="s">
        <v>56</v>
      </c>
      <c r="B5" t="s">
        <v>57</v>
      </c>
    </row>
    <row r="6" spans="1:2" x14ac:dyDescent="0.25">
      <c r="A6" t="s">
        <v>64</v>
      </c>
      <c r="B6" t="s">
        <v>65</v>
      </c>
    </row>
    <row r="7" spans="1:2" x14ac:dyDescent="0.25">
      <c r="A7" t="s">
        <v>72</v>
      </c>
      <c r="B7" t="s">
        <v>48</v>
      </c>
    </row>
    <row r="8" spans="1:2" x14ac:dyDescent="0.25">
      <c r="A8" t="s">
        <v>77</v>
      </c>
      <c r="B8" t="s">
        <v>22</v>
      </c>
    </row>
    <row r="9" spans="1:2" x14ac:dyDescent="0.25">
      <c r="A9" t="s">
        <v>86</v>
      </c>
      <c r="B9" t="s">
        <v>87</v>
      </c>
    </row>
    <row r="10" spans="1:2" x14ac:dyDescent="0.25">
      <c r="A10" t="s">
        <v>92</v>
      </c>
      <c r="B10" t="s">
        <v>48</v>
      </c>
    </row>
    <row r="11" spans="1:2" x14ac:dyDescent="0.25">
      <c r="A11" t="s">
        <v>98</v>
      </c>
      <c r="B11" t="s">
        <v>48</v>
      </c>
    </row>
    <row r="12" spans="1:2" x14ac:dyDescent="0.25">
      <c r="A12" t="s">
        <v>104</v>
      </c>
      <c r="B12" t="s">
        <v>105</v>
      </c>
    </row>
    <row r="13" spans="1:2" x14ac:dyDescent="0.25">
      <c r="A13" t="s">
        <v>108</v>
      </c>
      <c r="B13" t="s">
        <v>105</v>
      </c>
    </row>
    <row r="14" spans="1:2" x14ac:dyDescent="0.25">
      <c r="A14" t="s">
        <v>113</v>
      </c>
      <c r="B14" t="s">
        <v>65</v>
      </c>
    </row>
    <row r="15" spans="1:2" x14ac:dyDescent="0.25">
      <c r="A15" t="s">
        <v>120</v>
      </c>
      <c r="B15" t="s">
        <v>121</v>
      </c>
    </row>
    <row r="16" spans="1:2" x14ac:dyDescent="0.25">
      <c r="A16" t="s">
        <v>124</v>
      </c>
      <c r="B16" t="s">
        <v>125</v>
      </c>
    </row>
    <row r="17" spans="1:2" x14ac:dyDescent="0.25">
      <c r="A17" t="s">
        <v>131</v>
      </c>
      <c r="B17" t="s">
        <v>65</v>
      </c>
    </row>
    <row r="18" spans="1:2" x14ac:dyDescent="0.25">
      <c r="A18" t="s">
        <v>137</v>
      </c>
      <c r="B18" t="s">
        <v>22</v>
      </c>
    </row>
    <row r="19" spans="1:2" x14ac:dyDescent="0.25">
      <c r="A19" t="s">
        <v>140</v>
      </c>
      <c r="B19" t="s">
        <v>87</v>
      </c>
    </row>
    <row r="20" spans="1:2" x14ac:dyDescent="0.25">
      <c r="A20" t="s">
        <v>146</v>
      </c>
      <c r="B20" t="s">
        <v>105</v>
      </c>
    </row>
    <row r="21" spans="1:2" x14ac:dyDescent="0.25">
      <c r="A21" t="s">
        <v>148</v>
      </c>
      <c r="B21" t="s">
        <v>149</v>
      </c>
    </row>
    <row r="22" spans="1:2" x14ac:dyDescent="0.25">
      <c r="A22" t="s">
        <v>155</v>
      </c>
      <c r="B22" t="s">
        <v>156</v>
      </c>
    </row>
    <row r="23" spans="1:2" x14ac:dyDescent="0.25">
      <c r="A23" t="s">
        <v>158</v>
      </c>
      <c r="B23" t="s">
        <v>159</v>
      </c>
    </row>
    <row r="24" spans="1:2" x14ac:dyDescent="0.25">
      <c r="A24" t="s">
        <v>162</v>
      </c>
      <c r="B24" t="s">
        <v>163</v>
      </c>
    </row>
    <row r="25" spans="1:2" x14ac:dyDescent="0.25">
      <c r="A25" t="s">
        <v>169</v>
      </c>
      <c r="B25" t="s">
        <v>57</v>
      </c>
    </row>
    <row r="26" spans="1:2" x14ac:dyDescent="0.25">
      <c r="A26" t="s">
        <v>172</v>
      </c>
      <c r="B26" t="s">
        <v>22</v>
      </c>
    </row>
    <row r="27" spans="1:2" x14ac:dyDescent="0.25">
      <c r="A27" t="s">
        <v>175</v>
      </c>
      <c r="B27" t="s">
        <v>65</v>
      </c>
    </row>
    <row r="28" spans="1:2" x14ac:dyDescent="0.25">
      <c r="A28" t="s">
        <v>180</v>
      </c>
      <c r="B28" t="s">
        <v>163</v>
      </c>
    </row>
    <row r="29" spans="1:2" x14ac:dyDescent="0.25">
      <c r="A29" t="s">
        <v>182</v>
      </c>
      <c r="B29" t="s">
        <v>35</v>
      </c>
    </row>
    <row r="30" spans="1:2" x14ac:dyDescent="0.25">
      <c r="A30" t="s">
        <v>186</v>
      </c>
      <c r="B30" t="s">
        <v>156</v>
      </c>
    </row>
    <row r="31" spans="1:2" x14ac:dyDescent="0.25">
      <c r="A31" t="s">
        <v>192</v>
      </c>
      <c r="B31" t="s">
        <v>65</v>
      </c>
    </row>
    <row r="32" spans="1:2" x14ac:dyDescent="0.25">
      <c r="A32" t="s">
        <v>194</v>
      </c>
      <c r="B32" t="s">
        <v>163</v>
      </c>
    </row>
    <row r="33" spans="1:2" x14ac:dyDescent="0.25">
      <c r="A33" t="s">
        <v>197</v>
      </c>
      <c r="B33" t="s">
        <v>159</v>
      </c>
    </row>
    <row r="34" spans="1:2" x14ac:dyDescent="0.25">
      <c r="A34" t="s">
        <v>199</v>
      </c>
      <c r="B34" t="s">
        <v>105</v>
      </c>
    </row>
    <row r="35" spans="1:2" x14ac:dyDescent="0.25">
      <c r="A35" t="s">
        <v>201</v>
      </c>
      <c r="B35" t="s">
        <v>57</v>
      </c>
    </row>
    <row r="36" spans="1:2" x14ac:dyDescent="0.25">
      <c r="A36" t="s">
        <v>203</v>
      </c>
      <c r="B36" t="s">
        <v>156</v>
      </c>
    </row>
    <row r="37" spans="1:2" x14ac:dyDescent="0.25">
      <c r="A37" t="s">
        <v>205</v>
      </c>
      <c r="B37" t="s">
        <v>22</v>
      </c>
    </row>
    <row r="38" spans="1:2" x14ac:dyDescent="0.25">
      <c r="A38" t="s">
        <v>2619</v>
      </c>
      <c r="B38" t="s">
        <v>2619</v>
      </c>
    </row>
    <row r="39" spans="1:2" x14ac:dyDescent="0.25">
      <c r="A39" t="s">
        <v>208</v>
      </c>
      <c r="B39" t="s">
        <v>35</v>
      </c>
    </row>
    <row r="40" spans="1:2" x14ac:dyDescent="0.25">
      <c r="A40" t="s">
        <v>213</v>
      </c>
      <c r="B40" t="s">
        <v>87</v>
      </c>
    </row>
    <row r="41" spans="1:2" x14ac:dyDescent="0.25">
      <c r="A41" t="s">
        <v>215</v>
      </c>
      <c r="B41" t="s">
        <v>105</v>
      </c>
    </row>
    <row r="42" spans="1:2" x14ac:dyDescent="0.25">
      <c r="A42" t="s">
        <v>220</v>
      </c>
      <c r="B42" t="s">
        <v>221</v>
      </c>
    </row>
    <row r="43" spans="1:2" x14ac:dyDescent="0.25">
      <c r="A43" t="s">
        <v>225</v>
      </c>
      <c r="B43" t="s">
        <v>159</v>
      </c>
    </row>
    <row r="44" spans="1:2" x14ac:dyDescent="0.25">
      <c r="A44" t="s">
        <v>227</v>
      </c>
      <c r="B44" t="s">
        <v>159</v>
      </c>
    </row>
    <row r="45" spans="1:2" x14ac:dyDescent="0.25">
      <c r="A45" t="s">
        <v>229</v>
      </c>
      <c r="B45" t="s">
        <v>87</v>
      </c>
    </row>
    <row r="46" spans="1:2" x14ac:dyDescent="0.25">
      <c r="A46" t="s">
        <v>231</v>
      </c>
      <c r="B46" t="s">
        <v>87</v>
      </c>
    </row>
    <row r="47" spans="1:2" x14ac:dyDescent="0.25">
      <c r="A47" t="s">
        <v>234</v>
      </c>
      <c r="B47" t="s">
        <v>159</v>
      </c>
    </row>
    <row r="48" spans="1:2" x14ac:dyDescent="0.25">
      <c r="A48" t="s">
        <v>237</v>
      </c>
      <c r="B48" t="s">
        <v>105</v>
      </c>
    </row>
    <row r="49" spans="1:2" x14ac:dyDescent="0.25">
      <c r="A49" t="s">
        <v>239</v>
      </c>
      <c r="B49" t="s">
        <v>65</v>
      </c>
    </row>
    <row r="50" spans="1:2" x14ac:dyDescent="0.25">
      <c r="A50" t="s">
        <v>241</v>
      </c>
      <c r="B50" t="s">
        <v>87</v>
      </c>
    </row>
    <row r="51" spans="1:2" x14ac:dyDescent="0.25">
      <c r="A51" t="s">
        <v>243</v>
      </c>
      <c r="B51" t="s">
        <v>35</v>
      </c>
    </row>
    <row r="52" spans="1:2" x14ac:dyDescent="0.25">
      <c r="A52" t="s">
        <v>245</v>
      </c>
      <c r="B52" t="s">
        <v>65</v>
      </c>
    </row>
    <row r="53" spans="1:2" x14ac:dyDescent="0.25">
      <c r="A53" t="s">
        <v>247</v>
      </c>
      <c r="B53" t="s">
        <v>65</v>
      </c>
    </row>
    <row r="54" spans="1:2" x14ac:dyDescent="0.25">
      <c r="A54" t="s">
        <v>255</v>
      </c>
      <c r="B54" t="s">
        <v>256</v>
      </c>
    </row>
    <row r="55" spans="1:2" x14ac:dyDescent="0.25">
      <c r="A55" t="s">
        <v>258</v>
      </c>
      <c r="B55" t="s">
        <v>259</v>
      </c>
    </row>
    <row r="56" spans="1:2" x14ac:dyDescent="0.25">
      <c r="A56" t="s">
        <v>263</v>
      </c>
      <c r="B56" t="s">
        <v>264</v>
      </c>
    </row>
    <row r="57" spans="1:2" x14ac:dyDescent="0.25">
      <c r="A57" t="s">
        <v>267</v>
      </c>
      <c r="B57" t="s">
        <v>65</v>
      </c>
    </row>
    <row r="58" spans="1:2" x14ac:dyDescent="0.25">
      <c r="A58" t="s">
        <v>269</v>
      </c>
      <c r="B58" t="s">
        <v>105</v>
      </c>
    </row>
    <row r="59" spans="1:2" x14ac:dyDescent="0.25">
      <c r="A59" t="s">
        <v>272</v>
      </c>
      <c r="B59" t="s">
        <v>105</v>
      </c>
    </row>
    <row r="60" spans="1:2" x14ac:dyDescent="0.25">
      <c r="A60" t="s">
        <v>276</v>
      </c>
      <c r="B60" t="s">
        <v>221</v>
      </c>
    </row>
    <row r="61" spans="1:2" x14ac:dyDescent="0.25">
      <c r="A61" t="s">
        <v>278</v>
      </c>
      <c r="B61" t="s">
        <v>48</v>
      </c>
    </row>
    <row r="62" spans="1:2" x14ac:dyDescent="0.25">
      <c r="A62" t="s">
        <v>280</v>
      </c>
      <c r="B62" t="s">
        <v>35</v>
      </c>
    </row>
    <row r="63" spans="1:2" x14ac:dyDescent="0.25">
      <c r="A63" t="s">
        <v>282</v>
      </c>
      <c r="B63" t="s">
        <v>125</v>
      </c>
    </row>
    <row r="64" spans="1:2" x14ac:dyDescent="0.25">
      <c r="A64" t="s">
        <v>284</v>
      </c>
      <c r="B64" t="s">
        <v>57</v>
      </c>
    </row>
    <row r="65" spans="1:2" x14ac:dyDescent="0.25">
      <c r="A65" t="s">
        <v>287</v>
      </c>
      <c r="B65" t="s">
        <v>65</v>
      </c>
    </row>
    <row r="66" spans="1:2" x14ac:dyDescent="0.25">
      <c r="A66" t="s">
        <v>291</v>
      </c>
      <c r="B66" t="s">
        <v>57</v>
      </c>
    </row>
    <row r="67" spans="1:2" x14ac:dyDescent="0.25">
      <c r="A67" t="s">
        <v>293</v>
      </c>
      <c r="B67" t="s">
        <v>65</v>
      </c>
    </row>
    <row r="68" spans="1:2" x14ac:dyDescent="0.25">
      <c r="A68" t="s">
        <v>295</v>
      </c>
      <c r="B68" t="s">
        <v>22</v>
      </c>
    </row>
    <row r="69" spans="1:2" x14ac:dyDescent="0.25">
      <c r="A69" t="s">
        <v>297</v>
      </c>
      <c r="B69" t="s">
        <v>87</v>
      </c>
    </row>
    <row r="70" spans="1:2" x14ac:dyDescent="0.25">
      <c r="A70" t="s">
        <v>299</v>
      </c>
      <c r="B70" t="s">
        <v>159</v>
      </c>
    </row>
    <row r="71" spans="1:2" x14ac:dyDescent="0.25">
      <c r="A71" t="s">
        <v>301</v>
      </c>
      <c r="B71" t="s">
        <v>259</v>
      </c>
    </row>
    <row r="72" spans="1:2" x14ac:dyDescent="0.25">
      <c r="A72" t="s">
        <v>303</v>
      </c>
      <c r="B72" t="s">
        <v>22</v>
      </c>
    </row>
    <row r="73" spans="1:2" x14ac:dyDescent="0.25">
      <c r="A73" t="s">
        <v>305</v>
      </c>
      <c r="B73" t="s">
        <v>87</v>
      </c>
    </row>
    <row r="74" spans="1:2" x14ac:dyDescent="0.25">
      <c r="A74" t="s">
        <v>307</v>
      </c>
      <c r="B74" t="s">
        <v>105</v>
      </c>
    </row>
    <row r="75" spans="1:2" x14ac:dyDescent="0.25">
      <c r="A75" t="s">
        <v>309</v>
      </c>
      <c r="B75" t="s">
        <v>65</v>
      </c>
    </row>
    <row r="76" spans="1:2" x14ac:dyDescent="0.25">
      <c r="A76" t="s">
        <v>312</v>
      </c>
      <c r="B76" t="s">
        <v>57</v>
      </c>
    </row>
    <row r="77" spans="1:2" x14ac:dyDescent="0.25">
      <c r="A77" t="s">
        <v>314</v>
      </c>
      <c r="B77" t="s">
        <v>163</v>
      </c>
    </row>
    <row r="78" spans="1:2" x14ac:dyDescent="0.25">
      <c r="A78" t="s">
        <v>316</v>
      </c>
      <c r="B78" t="s">
        <v>156</v>
      </c>
    </row>
    <row r="79" spans="1:2" x14ac:dyDescent="0.25">
      <c r="A79" t="s">
        <v>318</v>
      </c>
      <c r="B79" t="s">
        <v>121</v>
      </c>
    </row>
    <row r="80" spans="1:2" x14ac:dyDescent="0.25">
      <c r="A80" t="s">
        <v>320</v>
      </c>
      <c r="B80" t="s">
        <v>264</v>
      </c>
    </row>
    <row r="81" spans="1:2" x14ac:dyDescent="0.25">
      <c r="A81" t="s">
        <v>322</v>
      </c>
      <c r="B81" t="s">
        <v>65</v>
      </c>
    </row>
    <row r="82" spans="1:2" x14ac:dyDescent="0.25">
      <c r="A82" t="s">
        <v>325</v>
      </c>
      <c r="B82" t="s">
        <v>35</v>
      </c>
    </row>
    <row r="83" spans="1:2" x14ac:dyDescent="0.25">
      <c r="A83" t="s">
        <v>328</v>
      </c>
      <c r="B83" t="s">
        <v>159</v>
      </c>
    </row>
    <row r="84" spans="1:2" x14ac:dyDescent="0.25">
      <c r="A84" t="s">
        <v>331</v>
      </c>
      <c r="B84" t="s">
        <v>48</v>
      </c>
    </row>
    <row r="85" spans="1:2" x14ac:dyDescent="0.25">
      <c r="A85" t="s">
        <v>333</v>
      </c>
      <c r="B85" t="s">
        <v>57</v>
      </c>
    </row>
    <row r="86" spans="1:2" x14ac:dyDescent="0.25">
      <c r="A86" t="s">
        <v>335</v>
      </c>
      <c r="B86" t="s">
        <v>156</v>
      </c>
    </row>
    <row r="87" spans="1:2" x14ac:dyDescent="0.25">
      <c r="A87" t="s">
        <v>337</v>
      </c>
      <c r="B87" t="s">
        <v>87</v>
      </c>
    </row>
    <row r="88" spans="1:2" x14ac:dyDescent="0.25">
      <c r="A88" t="s">
        <v>339</v>
      </c>
      <c r="B88" t="s">
        <v>221</v>
      </c>
    </row>
    <row r="89" spans="1:2" x14ac:dyDescent="0.25">
      <c r="A89" t="s">
        <v>341</v>
      </c>
      <c r="B89" t="s">
        <v>259</v>
      </c>
    </row>
    <row r="90" spans="1:2" x14ac:dyDescent="0.25">
      <c r="A90" t="s">
        <v>344</v>
      </c>
      <c r="B90" t="s">
        <v>87</v>
      </c>
    </row>
    <row r="91" spans="1:2" x14ac:dyDescent="0.25">
      <c r="A91" t="s">
        <v>347</v>
      </c>
      <c r="B91" t="s">
        <v>163</v>
      </c>
    </row>
    <row r="92" spans="1:2" x14ac:dyDescent="0.25">
      <c r="A92" t="s">
        <v>350</v>
      </c>
      <c r="B92" t="s">
        <v>351</v>
      </c>
    </row>
    <row r="93" spans="1:2" x14ac:dyDescent="0.25">
      <c r="A93" t="s">
        <v>354</v>
      </c>
      <c r="B93" t="s">
        <v>163</v>
      </c>
    </row>
    <row r="94" spans="1:2" x14ac:dyDescent="0.25">
      <c r="A94" t="s">
        <v>356</v>
      </c>
      <c r="B94" t="s">
        <v>48</v>
      </c>
    </row>
    <row r="95" spans="1:2" x14ac:dyDescent="0.25">
      <c r="A95" t="s">
        <v>358</v>
      </c>
      <c r="B95" t="s">
        <v>359</v>
      </c>
    </row>
    <row r="96" spans="1:2" x14ac:dyDescent="0.25">
      <c r="A96" t="s">
        <v>361</v>
      </c>
      <c r="B96" t="s">
        <v>35</v>
      </c>
    </row>
    <row r="97" spans="1:2" x14ac:dyDescent="0.25">
      <c r="A97" t="s">
        <v>363</v>
      </c>
      <c r="B97" t="s">
        <v>87</v>
      </c>
    </row>
    <row r="98" spans="1:2" x14ac:dyDescent="0.25">
      <c r="A98" t="s">
        <v>365</v>
      </c>
      <c r="B98" t="s">
        <v>22</v>
      </c>
    </row>
    <row r="99" spans="1:2" x14ac:dyDescent="0.25">
      <c r="A99" t="s">
        <v>367</v>
      </c>
      <c r="B99" t="s">
        <v>105</v>
      </c>
    </row>
    <row r="100" spans="1:2" x14ac:dyDescent="0.25">
      <c r="A100" t="s">
        <v>371</v>
      </c>
      <c r="B100" t="s">
        <v>159</v>
      </c>
    </row>
    <row r="101" spans="1:2" x14ac:dyDescent="0.25">
      <c r="A101" t="s">
        <v>373</v>
      </c>
      <c r="B101" t="s">
        <v>264</v>
      </c>
    </row>
    <row r="102" spans="1:2" x14ac:dyDescent="0.25">
      <c r="A102" t="s">
        <v>375</v>
      </c>
      <c r="B102" t="s">
        <v>221</v>
      </c>
    </row>
    <row r="103" spans="1:2" x14ac:dyDescent="0.25">
      <c r="A103" t="s">
        <v>378</v>
      </c>
      <c r="B103" t="s">
        <v>159</v>
      </c>
    </row>
    <row r="104" spans="1:2" x14ac:dyDescent="0.25">
      <c r="A104" t="s">
        <v>380</v>
      </c>
      <c r="B104" t="s">
        <v>105</v>
      </c>
    </row>
    <row r="105" spans="1:2" x14ac:dyDescent="0.25">
      <c r="A105" t="s">
        <v>382</v>
      </c>
      <c r="B105" t="s">
        <v>22</v>
      </c>
    </row>
    <row r="106" spans="1:2" x14ac:dyDescent="0.25">
      <c r="A106" t="s">
        <v>384</v>
      </c>
      <c r="B106" t="s">
        <v>57</v>
      </c>
    </row>
    <row r="107" spans="1:2" x14ac:dyDescent="0.25">
      <c r="A107" t="s">
        <v>387</v>
      </c>
      <c r="B107" t="s">
        <v>22</v>
      </c>
    </row>
    <row r="108" spans="1:2" x14ac:dyDescent="0.25">
      <c r="A108" t="s">
        <v>389</v>
      </c>
      <c r="B108" t="s">
        <v>264</v>
      </c>
    </row>
    <row r="109" spans="1:2" x14ac:dyDescent="0.25">
      <c r="A109" t="s">
        <v>392</v>
      </c>
      <c r="B109" t="s">
        <v>393</v>
      </c>
    </row>
    <row r="110" spans="1:2" x14ac:dyDescent="0.25">
      <c r="A110" t="s">
        <v>395</v>
      </c>
      <c r="B110" t="s">
        <v>221</v>
      </c>
    </row>
    <row r="111" spans="1:2" x14ac:dyDescent="0.25">
      <c r="A111" t="s">
        <v>397</v>
      </c>
      <c r="B111" t="s">
        <v>105</v>
      </c>
    </row>
    <row r="112" spans="1:2" x14ac:dyDescent="0.25">
      <c r="A112" t="s">
        <v>399</v>
      </c>
      <c r="B112" t="s">
        <v>48</v>
      </c>
    </row>
    <row r="113" spans="1:2" x14ac:dyDescent="0.25">
      <c r="A113" t="s">
        <v>402</v>
      </c>
      <c r="B113" t="s">
        <v>35</v>
      </c>
    </row>
    <row r="114" spans="1:2" x14ac:dyDescent="0.25">
      <c r="A114" t="s">
        <v>404</v>
      </c>
      <c r="B114" t="s">
        <v>87</v>
      </c>
    </row>
    <row r="115" spans="1:2" x14ac:dyDescent="0.25">
      <c r="A115" t="s">
        <v>408</v>
      </c>
      <c r="B115" t="s">
        <v>65</v>
      </c>
    </row>
    <row r="116" spans="1:2" x14ac:dyDescent="0.25">
      <c r="A116" t="s">
        <v>410</v>
      </c>
      <c r="B116" t="s">
        <v>149</v>
      </c>
    </row>
    <row r="117" spans="1:2" x14ac:dyDescent="0.25">
      <c r="A117" t="s">
        <v>414</v>
      </c>
      <c r="B117" t="s">
        <v>22</v>
      </c>
    </row>
    <row r="118" spans="1:2" x14ac:dyDescent="0.25">
      <c r="A118" t="s">
        <v>416</v>
      </c>
      <c r="B118" t="s">
        <v>57</v>
      </c>
    </row>
    <row r="119" spans="1:2" x14ac:dyDescent="0.25">
      <c r="A119" t="s">
        <v>418</v>
      </c>
      <c r="B119" t="s">
        <v>159</v>
      </c>
    </row>
    <row r="120" spans="1:2" x14ac:dyDescent="0.25">
      <c r="A120" t="s">
        <v>420</v>
      </c>
      <c r="B120" t="s">
        <v>156</v>
      </c>
    </row>
    <row r="121" spans="1:2" x14ac:dyDescent="0.25">
      <c r="A121" t="s">
        <v>422</v>
      </c>
      <c r="B121" t="s">
        <v>48</v>
      </c>
    </row>
    <row r="122" spans="1:2" x14ac:dyDescent="0.25">
      <c r="A122" t="s">
        <v>426</v>
      </c>
      <c r="B122" t="s">
        <v>57</v>
      </c>
    </row>
    <row r="123" spans="1:2" x14ac:dyDescent="0.25">
      <c r="A123" t="s">
        <v>428</v>
      </c>
      <c r="B123" t="s">
        <v>57</v>
      </c>
    </row>
    <row r="124" spans="1:2" x14ac:dyDescent="0.25">
      <c r="A124" t="s">
        <v>430</v>
      </c>
      <c r="B124" t="s">
        <v>156</v>
      </c>
    </row>
    <row r="125" spans="1:2" x14ac:dyDescent="0.25">
      <c r="A125" t="s">
        <v>433</v>
      </c>
      <c r="B125" t="s">
        <v>22</v>
      </c>
    </row>
    <row r="126" spans="1:2" x14ac:dyDescent="0.25">
      <c r="A126" t="s">
        <v>436</v>
      </c>
      <c r="B126" t="s">
        <v>57</v>
      </c>
    </row>
    <row r="127" spans="1:2" x14ac:dyDescent="0.25">
      <c r="A127" t="s">
        <v>438</v>
      </c>
      <c r="B127" t="s">
        <v>221</v>
      </c>
    </row>
    <row r="128" spans="1:2" x14ac:dyDescent="0.25">
      <c r="A128" t="s">
        <v>442</v>
      </c>
      <c r="B128" t="s">
        <v>87</v>
      </c>
    </row>
    <row r="129" spans="1:2" x14ac:dyDescent="0.25">
      <c r="A129" t="s">
        <v>447</v>
      </c>
      <c r="B129" t="s">
        <v>48</v>
      </c>
    </row>
    <row r="130" spans="1:2" x14ac:dyDescent="0.25">
      <c r="A130" t="s">
        <v>449</v>
      </c>
      <c r="B130" t="s">
        <v>65</v>
      </c>
    </row>
    <row r="131" spans="1:2" x14ac:dyDescent="0.25">
      <c r="A131" t="s">
        <v>451</v>
      </c>
      <c r="B131" t="s">
        <v>87</v>
      </c>
    </row>
    <row r="132" spans="1:2" x14ac:dyDescent="0.25">
      <c r="A132" t="s">
        <v>454</v>
      </c>
      <c r="B132" t="s">
        <v>156</v>
      </c>
    </row>
    <row r="133" spans="1:2" x14ac:dyDescent="0.25">
      <c r="A133" t="s">
        <v>456</v>
      </c>
      <c r="B133" t="s">
        <v>22</v>
      </c>
    </row>
    <row r="134" spans="1:2" x14ac:dyDescent="0.25">
      <c r="A134" t="s">
        <v>458</v>
      </c>
      <c r="B134" t="s">
        <v>163</v>
      </c>
    </row>
    <row r="135" spans="1:2" x14ac:dyDescent="0.25">
      <c r="A135" t="s">
        <v>461</v>
      </c>
      <c r="B135" t="s">
        <v>87</v>
      </c>
    </row>
    <row r="136" spans="1:2" x14ac:dyDescent="0.25">
      <c r="A136" t="s">
        <v>464</v>
      </c>
      <c r="B136" t="s">
        <v>105</v>
      </c>
    </row>
    <row r="137" spans="1:2" x14ac:dyDescent="0.25">
      <c r="A137" t="s">
        <v>466</v>
      </c>
      <c r="B137" t="s">
        <v>221</v>
      </c>
    </row>
    <row r="138" spans="1:2" x14ac:dyDescent="0.25">
      <c r="A138" t="s">
        <v>468</v>
      </c>
      <c r="B138" t="s">
        <v>65</v>
      </c>
    </row>
    <row r="139" spans="1:2" x14ac:dyDescent="0.25">
      <c r="A139" t="s">
        <v>471</v>
      </c>
      <c r="B139" t="s">
        <v>125</v>
      </c>
    </row>
    <row r="140" spans="1:2" x14ac:dyDescent="0.25">
      <c r="A140" t="s">
        <v>473</v>
      </c>
      <c r="B140" t="s">
        <v>22</v>
      </c>
    </row>
    <row r="141" spans="1:2" x14ac:dyDescent="0.25">
      <c r="A141" t="s">
        <v>475</v>
      </c>
      <c r="B141" t="s">
        <v>57</v>
      </c>
    </row>
    <row r="142" spans="1:2" x14ac:dyDescent="0.25">
      <c r="A142" t="s">
        <v>477</v>
      </c>
      <c r="B142" t="s">
        <v>221</v>
      </c>
    </row>
    <row r="143" spans="1:2" x14ac:dyDescent="0.25">
      <c r="A143" t="s">
        <v>480</v>
      </c>
      <c r="B143" t="s">
        <v>22</v>
      </c>
    </row>
    <row r="144" spans="1:2" x14ac:dyDescent="0.25">
      <c r="A144" t="s">
        <v>483</v>
      </c>
      <c r="B144" t="s">
        <v>159</v>
      </c>
    </row>
    <row r="145" spans="1:2" x14ac:dyDescent="0.25">
      <c r="A145" t="s">
        <v>485</v>
      </c>
      <c r="B145" t="s">
        <v>22</v>
      </c>
    </row>
    <row r="146" spans="1:2" x14ac:dyDescent="0.25">
      <c r="A146" t="s">
        <v>487</v>
      </c>
      <c r="B146" t="s">
        <v>156</v>
      </c>
    </row>
    <row r="147" spans="1:2" x14ac:dyDescent="0.25">
      <c r="A147" t="s">
        <v>489</v>
      </c>
      <c r="B147" t="s">
        <v>105</v>
      </c>
    </row>
    <row r="148" spans="1:2" x14ac:dyDescent="0.25">
      <c r="A148" t="s">
        <v>491</v>
      </c>
      <c r="B148" t="s">
        <v>57</v>
      </c>
    </row>
    <row r="149" spans="1:2" x14ac:dyDescent="0.25">
      <c r="A149" t="s">
        <v>493</v>
      </c>
      <c r="B149" t="s">
        <v>121</v>
      </c>
    </row>
    <row r="150" spans="1:2" x14ac:dyDescent="0.25">
      <c r="A150" t="s">
        <v>495</v>
      </c>
      <c r="B150" t="s">
        <v>125</v>
      </c>
    </row>
    <row r="151" spans="1:2" x14ac:dyDescent="0.25">
      <c r="A151" t="s">
        <v>497</v>
      </c>
      <c r="B151" t="s">
        <v>35</v>
      </c>
    </row>
    <row r="152" spans="1:2" x14ac:dyDescent="0.25">
      <c r="A152" t="s">
        <v>499</v>
      </c>
      <c r="B152" t="s">
        <v>87</v>
      </c>
    </row>
    <row r="153" spans="1:2" x14ac:dyDescent="0.25">
      <c r="A153" t="s">
        <v>503</v>
      </c>
      <c r="B153" t="s">
        <v>87</v>
      </c>
    </row>
    <row r="154" spans="1:2" x14ac:dyDescent="0.25">
      <c r="A154" t="s">
        <v>506</v>
      </c>
      <c r="B154" t="s">
        <v>264</v>
      </c>
    </row>
    <row r="155" spans="1:2" x14ac:dyDescent="0.25">
      <c r="A155" t="s">
        <v>509</v>
      </c>
      <c r="B155" t="s">
        <v>264</v>
      </c>
    </row>
    <row r="156" spans="1:2" x14ac:dyDescent="0.25">
      <c r="A156" t="s">
        <v>511</v>
      </c>
      <c r="B156" t="s">
        <v>163</v>
      </c>
    </row>
    <row r="157" spans="1:2" x14ac:dyDescent="0.25">
      <c r="A157" t="s">
        <v>513</v>
      </c>
      <c r="B157" t="s">
        <v>48</v>
      </c>
    </row>
    <row r="158" spans="1:2" x14ac:dyDescent="0.25">
      <c r="A158" t="s">
        <v>515</v>
      </c>
      <c r="B158" t="s">
        <v>48</v>
      </c>
    </row>
    <row r="159" spans="1:2" x14ac:dyDescent="0.25">
      <c r="A159" t="s">
        <v>517</v>
      </c>
      <c r="B159" t="s">
        <v>163</v>
      </c>
    </row>
    <row r="160" spans="1:2" x14ac:dyDescent="0.25">
      <c r="A160" t="s">
        <v>519</v>
      </c>
      <c r="B160" t="s">
        <v>121</v>
      </c>
    </row>
    <row r="161" spans="1:2" x14ac:dyDescent="0.25">
      <c r="A161" t="s">
        <v>524</v>
      </c>
      <c r="B161" t="s">
        <v>125</v>
      </c>
    </row>
    <row r="162" spans="1:2" x14ac:dyDescent="0.25">
      <c r="A162" t="s">
        <v>526</v>
      </c>
      <c r="B162" t="s">
        <v>159</v>
      </c>
    </row>
    <row r="163" spans="1:2" x14ac:dyDescent="0.25">
      <c r="A163" t="s">
        <v>529</v>
      </c>
      <c r="B163" t="s">
        <v>256</v>
      </c>
    </row>
    <row r="164" spans="1:2" x14ac:dyDescent="0.25">
      <c r="A164" t="s">
        <v>531</v>
      </c>
      <c r="B164" t="s">
        <v>264</v>
      </c>
    </row>
    <row r="165" spans="1:2" x14ac:dyDescent="0.25">
      <c r="A165" t="s">
        <v>533</v>
      </c>
      <c r="B165" t="s">
        <v>163</v>
      </c>
    </row>
    <row r="166" spans="1:2" x14ac:dyDescent="0.25">
      <c r="A166" t="s">
        <v>535</v>
      </c>
      <c r="B166" t="s">
        <v>221</v>
      </c>
    </row>
    <row r="167" spans="1:2" x14ac:dyDescent="0.25">
      <c r="A167" t="s">
        <v>537</v>
      </c>
      <c r="B167" t="s">
        <v>359</v>
      </c>
    </row>
    <row r="168" spans="1:2" x14ac:dyDescent="0.25">
      <c r="A168" t="s">
        <v>541</v>
      </c>
      <c r="B168" t="s">
        <v>159</v>
      </c>
    </row>
    <row r="169" spans="1:2" x14ac:dyDescent="0.25">
      <c r="A169" t="s">
        <v>545</v>
      </c>
      <c r="B169" t="s">
        <v>105</v>
      </c>
    </row>
    <row r="170" spans="1:2" x14ac:dyDescent="0.25">
      <c r="A170" t="s">
        <v>549</v>
      </c>
      <c r="B170" t="s">
        <v>35</v>
      </c>
    </row>
    <row r="171" spans="1:2" x14ac:dyDescent="0.25">
      <c r="A171" t="s">
        <v>552</v>
      </c>
      <c r="B171" t="s">
        <v>163</v>
      </c>
    </row>
    <row r="172" spans="1:2" x14ac:dyDescent="0.25">
      <c r="A172" t="s">
        <v>557</v>
      </c>
      <c r="B172" t="s">
        <v>159</v>
      </c>
    </row>
    <row r="173" spans="1:2" x14ac:dyDescent="0.25">
      <c r="A173" t="s">
        <v>559</v>
      </c>
      <c r="B173" t="s">
        <v>221</v>
      </c>
    </row>
    <row r="174" spans="1:2" x14ac:dyDescent="0.25">
      <c r="A174" t="s">
        <v>563</v>
      </c>
      <c r="B174" t="s">
        <v>156</v>
      </c>
    </row>
    <row r="175" spans="1:2" x14ac:dyDescent="0.25">
      <c r="A175" t="s">
        <v>565</v>
      </c>
      <c r="B175" t="s">
        <v>121</v>
      </c>
    </row>
    <row r="176" spans="1:2" x14ac:dyDescent="0.25">
      <c r="A176" t="s">
        <v>567</v>
      </c>
      <c r="B176" t="s">
        <v>22</v>
      </c>
    </row>
    <row r="177" spans="1:2" x14ac:dyDescent="0.25">
      <c r="A177" t="s">
        <v>569</v>
      </c>
      <c r="B177" t="s">
        <v>121</v>
      </c>
    </row>
    <row r="178" spans="1:2" x14ac:dyDescent="0.25">
      <c r="A178" t="s">
        <v>572</v>
      </c>
      <c r="B178" t="s">
        <v>57</v>
      </c>
    </row>
    <row r="179" spans="1:2" x14ac:dyDescent="0.25">
      <c r="A179" t="s">
        <v>578</v>
      </c>
      <c r="B179" t="s">
        <v>221</v>
      </c>
    </row>
    <row r="180" spans="1:2" x14ac:dyDescent="0.25">
      <c r="A180" t="s">
        <v>580</v>
      </c>
      <c r="B180" t="s">
        <v>156</v>
      </c>
    </row>
    <row r="181" spans="1:2" x14ac:dyDescent="0.25">
      <c r="A181" t="s">
        <v>584</v>
      </c>
      <c r="B181" t="s">
        <v>105</v>
      </c>
    </row>
    <row r="182" spans="1:2" x14ac:dyDescent="0.25">
      <c r="A182" t="s">
        <v>594</v>
      </c>
      <c r="B182" t="s">
        <v>105</v>
      </c>
    </row>
    <row r="183" spans="1:2" x14ac:dyDescent="0.25">
      <c r="A183" t="s">
        <v>596</v>
      </c>
      <c r="B183" t="s">
        <v>597</v>
      </c>
    </row>
    <row r="184" spans="1:2" x14ac:dyDescent="0.25">
      <c r="A184" t="s">
        <v>600</v>
      </c>
      <c r="B184" t="s">
        <v>87</v>
      </c>
    </row>
    <row r="185" spans="1:2" x14ac:dyDescent="0.25">
      <c r="A185" t="s">
        <v>602</v>
      </c>
      <c r="B185" t="s">
        <v>159</v>
      </c>
    </row>
    <row r="186" spans="1:2" x14ac:dyDescent="0.25">
      <c r="A186" t="s">
        <v>608</v>
      </c>
      <c r="B186" t="s">
        <v>22</v>
      </c>
    </row>
    <row r="187" spans="1:2" x14ac:dyDescent="0.25">
      <c r="A187" t="s">
        <v>611</v>
      </c>
      <c r="B187" t="s">
        <v>264</v>
      </c>
    </row>
    <row r="188" spans="1:2" x14ac:dyDescent="0.25">
      <c r="A188" t="s">
        <v>613</v>
      </c>
      <c r="B188" t="s">
        <v>87</v>
      </c>
    </row>
    <row r="189" spans="1:2" x14ac:dyDescent="0.25">
      <c r="A189" t="s">
        <v>615</v>
      </c>
      <c r="B189" t="s">
        <v>264</v>
      </c>
    </row>
    <row r="190" spans="1:2" x14ac:dyDescent="0.25">
      <c r="A190" t="s">
        <v>617</v>
      </c>
      <c r="B190" t="s">
        <v>22</v>
      </c>
    </row>
    <row r="191" spans="1:2" x14ac:dyDescent="0.25">
      <c r="A191" t="s">
        <v>623</v>
      </c>
      <c r="B191" t="s">
        <v>156</v>
      </c>
    </row>
    <row r="192" spans="1:2" x14ac:dyDescent="0.25">
      <c r="A192" t="s">
        <v>626</v>
      </c>
      <c r="B192" t="s">
        <v>163</v>
      </c>
    </row>
    <row r="193" spans="1:2" x14ac:dyDescent="0.25">
      <c r="A193" t="s">
        <v>631</v>
      </c>
      <c r="B193" t="s">
        <v>105</v>
      </c>
    </row>
    <row r="194" spans="1:2" x14ac:dyDescent="0.25">
      <c r="A194" t="s">
        <v>636</v>
      </c>
      <c r="B194" t="s">
        <v>87</v>
      </c>
    </row>
    <row r="195" spans="1:2" x14ac:dyDescent="0.25">
      <c r="A195" t="s">
        <v>638</v>
      </c>
      <c r="B195" t="s">
        <v>87</v>
      </c>
    </row>
    <row r="196" spans="1:2" x14ac:dyDescent="0.25">
      <c r="A196" t="s">
        <v>643</v>
      </c>
      <c r="B196" t="s">
        <v>359</v>
      </c>
    </row>
    <row r="197" spans="1:2" x14ac:dyDescent="0.25">
      <c r="A197" t="s">
        <v>645</v>
      </c>
      <c r="B197" t="s">
        <v>149</v>
      </c>
    </row>
    <row r="198" spans="1:2" x14ac:dyDescent="0.25">
      <c r="A198" t="s">
        <v>647</v>
      </c>
      <c r="B198" t="s">
        <v>159</v>
      </c>
    </row>
    <row r="199" spans="1:2" x14ac:dyDescent="0.25">
      <c r="A199" t="s">
        <v>649</v>
      </c>
      <c r="B199" t="s">
        <v>87</v>
      </c>
    </row>
    <row r="200" spans="1:2" x14ac:dyDescent="0.25">
      <c r="A200" t="s">
        <v>651</v>
      </c>
      <c r="B200" t="s">
        <v>105</v>
      </c>
    </row>
    <row r="201" spans="1:2" x14ac:dyDescent="0.25">
      <c r="A201" t="s">
        <v>653</v>
      </c>
      <c r="B201" t="s">
        <v>87</v>
      </c>
    </row>
    <row r="202" spans="1:2" x14ac:dyDescent="0.25">
      <c r="A202" t="s">
        <v>655</v>
      </c>
      <c r="B202" t="s">
        <v>57</v>
      </c>
    </row>
    <row r="203" spans="1:2" x14ac:dyDescent="0.25">
      <c r="A203" t="s">
        <v>658</v>
      </c>
      <c r="B203" t="s">
        <v>264</v>
      </c>
    </row>
    <row r="204" spans="1:2" x14ac:dyDescent="0.25">
      <c r="A204" t="s">
        <v>660</v>
      </c>
      <c r="B204" t="s">
        <v>264</v>
      </c>
    </row>
    <row r="205" spans="1:2" x14ac:dyDescent="0.25">
      <c r="A205" t="s">
        <v>662</v>
      </c>
      <c r="B205" t="s">
        <v>156</v>
      </c>
    </row>
    <row r="206" spans="1:2" x14ac:dyDescent="0.25">
      <c r="A206" t="s">
        <v>664</v>
      </c>
      <c r="B206" t="s">
        <v>125</v>
      </c>
    </row>
    <row r="207" spans="1:2" x14ac:dyDescent="0.25">
      <c r="A207" t="s">
        <v>666</v>
      </c>
      <c r="B207" t="s">
        <v>156</v>
      </c>
    </row>
    <row r="208" spans="1:2" x14ac:dyDescent="0.25">
      <c r="A208" t="s">
        <v>674</v>
      </c>
      <c r="B208" t="s">
        <v>264</v>
      </c>
    </row>
    <row r="209" spans="1:2" x14ac:dyDescent="0.25">
      <c r="A209" t="s">
        <v>676</v>
      </c>
      <c r="B209" t="s">
        <v>359</v>
      </c>
    </row>
    <row r="210" spans="1:2" x14ac:dyDescent="0.25">
      <c r="A210" t="s">
        <v>679</v>
      </c>
      <c r="B210" t="s">
        <v>105</v>
      </c>
    </row>
    <row r="211" spans="1:2" x14ac:dyDescent="0.25">
      <c r="A211" t="s">
        <v>681</v>
      </c>
      <c r="B211" t="s">
        <v>105</v>
      </c>
    </row>
    <row r="212" spans="1:2" x14ac:dyDescent="0.25">
      <c r="A212" t="s">
        <v>688</v>
      </c>
      <c r="B212" t="s">
        <v>156</v>
      </c>
    </row>
    <row r="213" spans="1:2" x14ac:dyDescent="0.25">
      <c r="A213" t="s">
        <v>691</v>
      </c>
      <c r="B213" t="s">
        <v>35</v>
      </c>
    </row>
    <row r="214" spans="1:2" x14ac:dyDescent="0.25">
      <c r="A214" t="s">
        <v>693</v>
      </c>
      <c r="B214" t="s">
        <v>57</v>
      </c>
    </row>
    <row r="215" spans="1:2" x14ac:dyDescent="0.25">
      <c r="A215" t="s">
        <v>696</v>
      </c>
      <c r="B215" t="s">
        <v>105</v>
      </c>
    </row>
    <row r="216" spans="1:2" x14ac:dyDescent="0.25">
      <c r="A216" t="s">
        <v>701</v>
      </c>
      <c r="B216" t="s">
        <v>48</v>
      </c>
    </row>
    <row r="217" spans="1:2" x14ac:dyDescent="0.25">
      <c r="A217" t="s">
        <v>704</v>
      </c>
      <c r="B217" t="s">
        <v>105</v>
      </c>
    </row>
    <row r="218" spans="1:2" x14ac:dyDescent="0.25">
      <c r="A218" t="s">
        <v>707</v>
      </c>
      <c r="B218" t="s">
        <v>65</v>
      </c>
    </row>
    <row r="219" spans="1:2" x14ac:dyDescent="0.25">
      <c r="A219" t="s">
        <v>711</v>
      </c>
      <c r="B219" t="s">
        <v>57</v>
      </c>
    </row>
    <row r="220" spans="1:2" x14ac:dyDescent="0.25">
      <c r="A220" t="s">
        <v>715</v>
      </c>
      <c r="B220" t="s">
        <v>264</v>
      </c>
    </row>
    <row r="221" spans="1:2" x14ac:dyDescent="0.25">
      <c r="A221" t="s">
        <v>717</v>
      </c>
      <c r="B221" t="s">
        <v>35</v>
      </c>
    </row>
    <row r="222" spans="1:2" x14ac:dyDescent="0.25">
      <c r="A222" t="s">
        <v>721</v>
      </c>
      <c r="B222" t="s">
        <v>359</v>
      </c>
    </row>
    <row r="223" spans="1:2" x14ac:dyDescent="0.25">
      <c r="A223" t="s">
        <v>723</v>
      </c>
      <c r="B223" t="s">
        <v>156</v>
      </c>
    </row>
    <row r="224" spans="1:2" x14ac:dyDescent="0.25">
      <c r="A224" t="s">
        <v>727</v>
      </c>
      <c r="B224" t="s">
        <v>65</v>
      </c>
    </row>
    <row r="225" spans="1:2" x14ac:dyDescent="0.25">
      <c r="A225" t="s">
        <v>732</v>
      </c>
      <c r="B225" t="s">
        <v>35</v>
      </c>
    </row>
    <row r="226" spans="1:2" x14ac:dyDescent="0.25">
      <c r="A226" t="s">
        <v>735</v>
      </c>
      <c r="B226" t="s">
        <v>22</v>
      </c>
    </row>
    <row r="227" spans="1:2" x14ac:dyDescent="0.25">
      <c r="A227" t="s">
        <v>737</v>
      </c>
      <c r="B227" t="s">
        <v>22</v>
      </c>
    </row>
    <row r="228" spans="1:2" x14ac:dyDescent="0.25">
      <c r="A228" t="s">
        <v>739</v>
      </c>
      <c r="B228" t="s">
        <v>48</v>
      </c>
    </row>
    <row r="229" spans="1:2" x14ac:dyDescent="0.25">
      <c r="A229" t="s">
        <v>744</v>
      </c>
      <c r="B229" t="s">
        <v>65</v>
      </c>
    </row>
    <row r="230" spans="1:2" x14ac:dyDescent="0.25">
      <c r="A230" t="s">
        <v>750</v>
      </c>
      <c r="B230" t="s">
        <v>121</v>
      </c>
    </row>
    <row r="231" spans="1:2" x14ac:dyDescent="0.25">
      <c r="A231" t="s">
        <v>757</v>
      </c>
      <c r="B231" t="s">
        <v>163</v>
      </c>
    </row>
    <row r="232" spans="1:2" x14ac:dyDescent="0.25">
      <c r="A232" t="s">
        <v>759</v>
      </c>
      <c r="B232" t="s">
        <v>35</v>
      </c>
    </row>
    <row r="233" spans="1:2" x14ac:dyDescent="0.25">
      <c r="A233" t="s">
        <v>763</v>
      </c>
      <c r="B233" t="s">
        <v>105</v>
      </c>
    </row>
    <row r="234" spans="1:2" x14ac:dyDescent="0.25">
      <c r="A234" t="s">
        <v>776</v>
      </c>
      <c r="B234" t="s">
        <v>57</v>
      </c>
    </row>
    <row r="235" spans="1:2" x14ac:dyDescent="0.25">
      <c r="A235" t="s">
        <v>785</v>
      </c>
      <c r="B235" t="s">
        <v>264</v>
      </c>
    </row>
    <row r="236" spans="1:2" x14ac:dyDescent="0.25">
      <c r="A236" t="s">
        <v>791</v>
      </c>
      <c r="B236" t="s">
        <v>163</v>
      </c>
    </row>
    <row r="237" spans="1:2" x14ac:dyDescent="0.25">
      <c r="A237" t="s">
        <v>794</v>
      </c>
      <c r="B237" t="s">
        <v>65</v>
      </c>
    </row>
    <row r="238" spans="1:2" x14ac:dyDescent="0.25">
      <c r="A238" t="s">
        <v>798</v>
      </c>
      <c r="B238" t="s">
        <v>259</v>
      </c>
    </row>
    <row r="239" spans="1:2" x14ac:dyDescent="0.25">
      <c r="A239" t="s">
        <v>800</v>
      </c>
      <c r="B239" t="s">
        <v>264</v>
      </c>
    </row>
    <row r="240" spans="1:2" x14ac:dyDescent="0.25">
      <c r="A240" t="s">
        <v>802</v>
      </c>
      <c r="B240" t="s">
        <v>22</v>
      </c>
    </row>
    <row r="241" spans="1:2" x14ac:dyDescent="0.25">
      <c r="A241" t="s">
        <v>811</v>
      </c>
      <c r="B241" t="s">
        <v>359</v>
      </c>
    </row>
    <row r="242" spans="1:2" x14ac:dyDescent="0.25">
      <c r="A242" t="s">
        <v>814</v>
      </c>
      <c r="B242" t="s">
        <v>22</v>
      </c>
    </row>
    <row r="243" spans="1:2" x14ac:dyDescent="0.25">
      <c r="A243" t="s">
        <v>817</v>
      </c>
      <c r="B243" t="s">
        <v>121</v>
      </c>
    </row>
    <row r="244" spans="1:2" x14ac:dyDescent="0.25">
      <c r="A244" t="s">
        <v>823</v>
      </c>
      <c r="B244" t="s">
        <v>87</v>
      </c>
    </row>
    <row r="245" spans="1:2" x14ac:dyDescent="0.25">
      <c r="A245" t="s">
        <v>832</v>
      </c>
      <c r="B245" t="s">
        <v>833</v>
      </c>
    </row>
    <row r="246" spans="1:2" x14ac:dyDescent="0.25">
      <c r="A246" t="s">
        <v>837</v>
      </c>
      <c r="B246" t="s">
        <v>65</v>
      </c>
    </row>
    <row r="247" spans="1:2" x14ac:dyDescent="0.25">
      <c r="A247" t="s">
        <v>843</v>
      </c>
      <c r="B247" t="s">
        <v>22</v>
      </c>
    </row>
    <row r="248" spans="1:2" x14ac:dyDescent="0.25">
      <c r="A248" t="s">
        <v>852</v>
      </c>
      <c r="B248" t="s">
        <v>57</v>
      </c>
    </row>
    <row r="249" spans="1:2" x14ac:dyDescent="0.25">
      <c r="A249" t="s">
        <v>855</v>
      </c>
      <c r="B249" t="s">
        <v>156</v>
      </c>
    </row>
    <row r="250" spans="1:2" x14ac:dyDescent="0.25">
      <c r="A250" t="s">
        <v>859</v>
      </c>
      <c r="B250" t="s">
        <v>221</v>
      </c>
    </row>
    <row r="251" spans="1:2" x14ac:dyDescent="0.25">
      <c r="A251" t="s">
        <v>864</v>
      </c>
      <c r="B251" t="s">
        <v>22</v>
      </c>
    </row>
    <row r="252" spans="1:2" x14ac:dyDescent="0.25">
      <c r="A252" t="s">
        <v>866</v>
      </c>
      <c r="B252" t="s">
        <v>156</v>
      </c>
    </row>
    <row r="253" spans="1:2" x14ac:dyDescent="0.25">
      <c r="A253" t="s">
        <v>874</v>
      </c>
      <c r="B253" t="s">
        <v>159</v>
      </c>
    </row>
    <row r="254" spans="1:2" x14ac:dyDescent="0.25">
      <c r="A254" t="s">
        <v>878</v>
      </c>
      <c r="B254" t="s">
        <v>65</v>
      </c>
    </row>
    <row r="255" spans="1:2" x14ac:dyDescent="0.25">
      <c r="A255" t="s">
        <v>888</v>
      </c>
      <c r="B255" t="s">
        <v>159</v>
      </c>
    </row>
    <row r="256" spans="1:2" x14ac:dyDescent="0.25">
      <c r="A256" t="s">
        <v>891</v>
      </c>
      <c r="B256" t="s">
        <v>156</v>
      </c>
    </row>
    <row r="257" spans="1:2" x14ac:dyDescent="0.25">
      <c r="A257" t="s">
        <v>893</v>
      </c>
      <c r="B257" t="s">
        <v>48</v>
      </c>
    </row>
    <row r="258" spans="1:2" x14ac:dyDescent="0.25">
      <c r="A258" t="s">
        <v>897</v>
      </c>
      <c r="B258" t="s">
        <v>65</v>
      </c>
    </row>
    <row r="259" spans="1:2" x14ac:dyDescent="0.25">
      <c r="A259" t="s">
        <v>900</v>
      </c>
      <c r="B259" t="s">
        <v>22</v>
      </c>
    </row>
    <row r="260" spans="1:2" x14ac:dyDescent="0.25">
      <c r="A260" t="s">
        <v>902</v>
      </c>
      <c r="B260" t="s">
        <v>35</v>
      </c>
    </row>
    <row r="261" spans="1:2" x14ac:dyDescent="0.25">
      <c r="A261" t="s">
        <v>904</v>
      </c>
      <c r="B261" t="s">
        <v>35</v>
      </c>
    </row>
    <row r="262" spans="1:2" x14ac:dyDescent="0.25">
      <c r="A262" t="s">
        <v>911</v>
      </c>
      <c r="B262" t="s">
        <v>48</v>
      </c>
    </row>
    <row r="263" spans="1:2" x14ac:dyDescent="0.25">
      <c r="A263" t="s">
        <v>915</v>
      </c>
      <c r="B263" t="s">
        <v>105</v>
      </c>
    </row>
    <row r="264" spans="1:2" x14ac:dyDescent="0.25">
      <c r="A264" t="s">
        <v>917</v>
      </c>
      <c r="B264" t="s">
        <v>57</v>
      </c>
    </row>
    <row r="265" spans="1:2" x14ac:dyDescent="0.25">
      <c r="A265" t="s">
        <v>924</v>
      </c>
      <c r="B265" t="s">
        <v>48</v>
      </c>
    </row>
    <row r="266" spans="1:2" x14ac:dyDescent="0.25">
      <c r="A266" t="s">
        <v>926</v>
      </c>
      <c r="B266" t="s">
        <v>22</v>
      </c>
    </row>
    <row r="267" spans="1:2" x14ac:dyDescent="0.25">
      <c r="A267" t="s">
        <v>931</v>
      </c>
      <c r="B267" t="s">
        <v>105</v>
      </c>
    </row>
    <row r="268" spans="1:2" x14ac:dyDescent="0.25">
      <c r="A268" t="s">
        <v>933</v>
      </c>
      <c r="B268" t="s">
        <v>159</v>
      </c>
    </row>
    <row r="269" spans="1:2" x14ac:dyDescent="0.25">
      <c r="A269" t="s">
        <v>936</v>
      </c>
      <c r="B269" t="s">
        <v>57</v>
      </c>
    </row>
    <row r="270" spans="1:2" x14ac:dyDescent="0.25">
      <c r="A270" t="s">
        <v>938</v>
      </c>
      <c r="B270" t="s">
        <v>156</v>
      </c>
    </row>
    <row r="271" spans="1:2" x14ac:dyDescent="0.25">
      <c r="A271" t="s">
        <v>941</v>
      </c>
      <c r="B271" t="s">
        <v>149</v>
      </c>
    </row>
    <row r="272" spans="1:2" x14ac:dyDescent="0.25">
      <c r="A272" t="s">
        <v>945</v>
      </c>
      <c r="B272" t="s">
        <v>159</v>
      </c>
    </row>
    <row r="273" spans="1:2" x14ac:dyDescent="0.25">
      <c r="A273" t="s">
        <v>948</v>
      </c>
      <c r="B273" t="s">
        <v>87</v>
      </c>
    </row>
    <row r="274" spans="1:2" x14ac:dyDescent="0.25">
      <c r="A274" t="s">
        <v>953</v>
      </c>
      <c r="B274" t="s">
        <v>221</v>
      </c>
    </row>
    <row r="275" spans="1:2" x14ac:dyDescent="0.25">
      <c r="A275" t="s">
        <v>961</v>
      </c>
      <c r="B275" t="s">
        <v>87</v>
      </c>
    </row>
    <row r="276" spans="1:2" x14ac:dyDescent="0.25">
      <c r="A276" t="s">
        <v>967</v>
      </c>
      <c r="B276" t="s">
        <v>35</v>
      </c>
    </row>
    <row r="277" spans="1:2" x14ac:dyDescent="0.25">
      <c r="A277" t="s">
        <v>970</v>
      </c>
      <c r="B277" t="s">
        <v>159</v>
      </c>
    </row>
    <row r="278" spans="1:2" x14ac:dyDescent="0.25">
      <c r="A278" t="s">
        <v>975</v>
      </c>
      <c r="B278" t="s">
        <v>105</v>
      </c>
    </row>
    <row r="279" spans="1:2" x14ac:dyDescent="0.25">
      <c r="A279" t="s">
        <v>983</v>
      </c>
      <c r="B279" t="s">
        <v>22</v>
      </c>
    </row>
    <row r="280" spans="1:2" x14ac:dyDescent="0.25">
      <c r="A280" t="s">
        <v>985</v>
      </c>
      <c r="B280" t="s">
        <v>393</v>
      </c>
    </row>
    <row r="281" spans="1:2" x14ac:dyDescent="0.25">
      <c r="A281" t="s">
        <v>989</v>
      </c>
      <c r="B281" t="s">
        <v>159</v>
      </c>
    </row>
    <row r="282" spans="1:2" x14ac:dyDescent="0.25">
      <c r="A282" t="s">
        <v>992</v>
      </c>
      <c r="B282" t="s">
        <v>105</v>
      </c>
    </row>
    <row r="283" spans="1:2" x14ac:dyDescent="0.25">
      <c r="A283" t="s">
        <v>1002</v>
      </c>
      <c r="B283" t="s">
        <v>159</v>
      </c>
    </row>
    <row r="284" spans="1:2" x14ac:dyDescent="0.25">
      <c r="A284" t="s">
        <v>1013</v>
      </c>
      <c r="B284" t="s">
        <v>48</v>
      </c>
    </row>
    <row r="285" spans="1:2" x14ac:dyDescent="0.25">
      <c r="A285" t="s">
        <v>1025</v>
      </c>
      <c r="B285" t="s">
        <v>149</v>
      </c>
    </row>
    <row r="286" spans="1:2" x14ac:dyDescent="0.25">
      <c r="A286" t="s">
        <v>1028</v>
      </c>
      <c r="B286" t="s">
        <v>57</v>
      </c>
    </row>
    <row r="287" spans="1:2" x14ac:dyDescent="0.25">
      <c r="A287" t="s">
        <v>1033</v>
      </c>
      <c r="B287" t="s">
        <v>105</v>
      </c>
    </row>
    <row r="288" spans="1:2" x14ac:dyDescent="0.25">
      <c r="A288" t="s">
        <v>1036</v>
      </c>
      <c r="B288" t="s">
        <v>22</v>
      </c>
    </row>
    <row r="289" spans="1:2" x14ac:dyDescent="0.25">
      <c r="A289" t="s">
        <v>1044</v>
      </c>
      <c r="B289" t="s">
        <v>359</v>
      </c>
    </row>
    <row r="290" spans="1:2" x14ac:dyDescent="0.25">
      <c r="A290" t="s">
        <v>1047</v>
      </c>
      <c r="B290" t="s">
        <v>156</v>
      </c>
    </row>
    <row r="291" spans="1:2" x14ac:dyDescent="0.25">
      <c r="A291" t="s">
        <v>1068</v>
      </c>
      <c r="B291" t="s">
        <v>105</v>
      </c>
    </row>
    <row r="292" spans="1:2" x14ac:dyDescent="0.25">
      <c r="A292" t="s">
        <v>1071</v>
      </c>
      <c r="B292" t="s">
        <v>105</v>
      </c>
    </row>
    <row r="293" spans="1:2" x14ac:dyDescent="0.25">
      <c r="A293" t="s">
        <v>1075</v>
      </c>
      <c r="B293" t="s">
        <v>65</v>
      </c>
    </row>
    <row r="294" spans="1:2" x14ac:dyDescent="0.25">
      <c r="A294" t="s">
        <v>1078</v>
      </c>
      <c r="B294" t="s">
        <v>48</v>
      </c>
    </row>
    <row r="295" spans="1:2" x14ac:dyDescent="0.25">
      <c r="A295" t="s">
        <v>1098</v>
      </c>
      <c r="B295" t="s">
        <v>121</v>
      </c>
    </row>
    <row r="296" spans="1:2" x14ac:dyDescent="0.25">
      <c r="A296" t="s">
        <v>1112</v>
      </c>
      <c r="B296" t="s">
        <v>159</v>
      </c>
    </row>
    <row r="297" spans="1:2" x14ac:dyDescent="0.25">
      <c r="A297" t="s">
        <v>1122</v>
      </c>
      <c r="B297" t="s">
        <v>159</v>
      </c>
    </row>
    <row r="298" spans="1:2" x14ac:dyDescent="0.25">
      <c r="A298" t="s">
        <v>1129</v>
      </c>
      <c r="B298" t="s">
        <v>65</v>
      </c>
    </row>
    <row r="299" spans="1:2" x14ac:dyDescent="0.25">
      <c r="A299" t="s">
        <v>1131</v>
      </c>
      <c r="B299" t="s">
        <v>259</v>
      </c>
    </row>
    <row r="300" spans="1:2" x14ac:dyDescent="0.25">
      <c r="A300" t="s">
        <v>1134</v>
      </c>
      <c r="B300" t="s">
        <v>159</v>
      </c>
    </row>
    <row r="301" spans="1:2" x14ac:dyDescent="0.25">
      <c r="A301" t="s">
        <v>1137</v>
      </c>
      <c r="B301" t="s">
        <v>163</v>
      </c>
    </row>
    <row r="302" spans="1:2" x14ac:dyDescent="0.25">
      <c r="A302" t="s">
        <v>1142</v>
      </c>
      <c r="B302" t="s">
        <v>149</v>
      </c>
    </row>
    <row r="303" spans="1:2" x14ac:dyDescent="0.25">
      <c r="A303" t="s">
        <v>1155</v>
      </c>
      <c r="B303" t="s">
        <v>87</v>
      </c>
    </row>
    <row r="304" spans="1:2" x14ac:dyDescent="0.25">
      <c r="A304" t="s">
        <v>1159</v>
      </c>
      <c r="B304" t="s">
        <v>159</v>
      </c>
    </row>
    <row r="305" spans="1:2" x14ac:dyDescent="0.25">
      <c r="A305" t="s">
        <v>1171</v>
      </c>
      <c r="B305" t="s">
        <v>35</v>
      </c>
    </row>
    <row r="306" spans="1:2" x14ac:dyDescent="0.25">
      <c r="A306" t="s">
        <v>1175</v>
      </c>
      <c r="B306" t="s">
        <v>156</v>
      </c>
    </row>
    <row r="307" spans="1:2" x14ac:dyDescent="0.25">
      <c r="A307" t="s">
        <v>1184</v>
      </c>
      <c r="B307" t="s">
        <v>65</v>
      </c>
    </row>
    <row r="308" spans="1:2" x14ac:dyDescent="0.25">
      <c r="A308" t="s">
        <v>1210</v>
      </c>
      <c r="B308" t="s">
        <v>65</v>
      </c>
    </row>
    <row r="309" spans="1:2" x14ac:dyDescent="0.25">
      <c r="A309" t="s">
        <v>1215</v>
      </c>
      <c r="B309" t="s">
        <v>163</v>
      </c>
    </row>
    <row r="310" spans="1:2" x14ac:dyDescent="0.25">
      <c r="A310" t="s">
        <v>1219</v>
      </c>
      <c r="B310" t="s">
        <v>359</v>
      </c>
    </row>
    <row r="311" spans="1:2" x14ac:dyDescent="0.25">
      <c r="A311" t="s">
        <v>1236</v>
      </c>
      <c r="B311" t="s">
        <v>156</v>
      </c>
    </row>
    <row r="312" spans="1:2" x14ac:dyDescent="0.25">
      <c r="A312" t="s">
        <v>1253</v>
      </c>
      <c r="B312" t="s">
        <v>259</v>
      </c>
    </row>
    <row r="313" spans="1:2" x14ac:dyDescent="0.25">
      <c r="A313" t="s">
        <v>1261</v>
      </c>
      <c r="B313" t="s">
        <v>393</v>
      </c>
    </row>
    <row r="314" spans="1:2" x14ac:dyDescent="0.25">
      <c r="A314" t="s">
        <v>1265</v>
      </c>
      <c r="B314" t="s">
        <v>48</v>
      </c>
    </row>
    <row r="315" spans="1:2" x14ac:dyDescent="0.25">
      <c r="A315" t="s">
        <v>1267</v>
      </c>
      <c r="B315" t="s">
        <v>149</v>
      </c>
    </row>
    <row r="316" spans="1:2" x14ac:dyDescent="0.25">
      <c r="A316" t="s">
        <v>1270</v>
      </c>
      <c r="B316" t="s">
        <v>87</v>
      </c>
    </row>
    <row r="317" spans="1:2" x14ac:dyDescent="0.25">
      <c r="A317" t="s">
        <v>1278</v>
      </c>
      <c r="B317" t="s">
        <v>156</v>
      </c>
    </row>
    <row r="318" spans="1:2" x14ac:dyDescent="0.25">
      <c r="A318" t="s">
        <v>1281</v>
      </c>
      <c r="B318" t="s">
        <v>35</v>
      </c>
    </row>
    <row r="319" spans="1:2" x14ac:dyDescent="0.25">
      <c r="A319" t="s">
        <v>1293</v>
      </c>
      <c r="B319" t="s">
        <v>264</v>
      </c>
    </row>
    <row r="320" spans="1:2" x14ac:dyDescent="0.25">
      <c r="A320" t="s">
        <v>1302</v>
      </c>
      <c r="B320" t="s">
        <v>149</v>
      </c>
    </row>
    <row r="321" spans="1:2" x14ac:dyDescent="0.25">
      <c r="A321" t="s">
        <v>1310</v>
      </c>
      <c r="B321" t="s">
        <v>264</v>
      </c>
    </row>
    <row r="322" spans="1:2" x14ac:dyDescent="0.25">
      <c r="A322" t="s">
        <v>1317</v>
      </c>
      <c r="B322" t="s">
        <v>35</v>
      </c>
    </row>
    <row r="323" spans="1:2" x14ac:dyDescent="0.25">
      <c r="A323" t="s">
        <v>1334</v>
      </c>
      <c r="B323" t="s">
        <v>35</v>
      </c>
    </row>
    <row r="324" spans="1:2" x14ac:dyDescent="0.25">
      <c r="A324" t="s">
        <v>1362</v>
      </c>
      <c r="B324" t="s">
        <v>57</v>
      </c>
    </row>
    <row r="325" spans="1:2" x14ac:dyDescent="0.25">
      <c r="A325" t="s">
        <v>1368</v>
      </c>
      <c r="B325" t="s">
        <v>22</v>
      </c>
    </row>
    <row r="326" spans="1:2" x14ac:dyDescent="0.25">
      <c r="A326" t="s">
        <v>1380</v>
      </c>
      <c r="B326" t="s">
        <v>121</v>
      </c>
    </row>
    <row r="327" spans="1:2" x14ac:dyDescent="0.25">
      <c r="A327" t="s">
        <v>1394</v>
      </c>
      <c r="B327" t="s">
        <v>156</v>
      </c>
    </row>
    <row r="328" spans="1:2" x14ac:dyDescent="0.25">
      <c r="A328" t="s">
        <v>1412</v>
      </c>
      <c r="B328" t="s">
        <v>48</v>
      </c>
    </row>
    <row r="329" spans="1:2" x14ac:dyDescent="0.25">
      <c r="A329" t="s">
        <v>1426</v>
      </c>
      <c r="B329" t="s">
        <v>22</v>
      </c>
    </row>
    <row r="330" spans="1:2" x14ac:dyDescent="0.25">
      <c r="A330" t="s">
        <v>1431</v>
      </c>
      <c r="B330" t="s">
        <v>264</v>
      </c>
    </row>
    <row r="331" spans="1:2" x14ac:dyDescent="0.25">
      <c r="A331" t="s">
        <v>1469</v>
      </c>
      <c r="B331" t="s">
        <v>121</v>
      </c>
    </row>
    <row r="332" spans="1:2" x14ac:dyDescent="0.25">
      <c r="A332" t="s">
        <v>1476</v>
      </c>
      <c r="B332" t="s">
        <v>149</v>
      </c>
    </row>
    <row r="333" spans="1:2" x14ac:dyDescent="0.25">
      <c r="A333" t="s">
        <v>1488</v>
      </c>
      <c r="B333" t="s">
        <v>149</v>
      </c>
    </row>
    <row r="334" spans="1:2" x14ac:dyDescent="0.25">
      <c r="A334" t="s">
        <v>1493</v>
      </c>
      <c r="B334" t="s">
        <v>159</v>
      </c>
    </row>
    <row r="335" spans="1:2" x14ac:dyDescent="0.25">
      <c r="A335" t="s">
        <v>1531</v>
      </c>
      <c r="B335" t="s">
        <v>105</v>
      </c>
    </row>
    <row r="336" spans="1:2" x14ac:dyDescent="0.25">
      <c r="A336" t="s">
        <v>1557</v>
      </c>
      <c r="B336" t="s">
        <v>159</v>
      </c>
    </row>
    <row r="337" spans="1:2" x14ac:dyDescent="0.25">
      <c r="A337" t="s">
        <v>1575</v>
      </c>
      <c r="B337" t="s">
        <v>57</v>
      </c>
    </row>
    <row r="338" spans="1:2" x14ac:dyDescent="0.25">
      <c r="A338" t="s">
        <v>1586</v>
      </c>
      <c r="B338" t="s">
        <v>221</v>
      </c>
    </row>
    <row r="339" spans="1:2" x14ac:dyDescent="0.25">
      <c r="A339" t="s">
        <v>1617</v>
      </c>
      <c r="B339" t="s">
        <v>35</v>
      </c>
    </row>
    <row r="340" spans="1:2" x14ac:dyDescent="0.25">
      <c r="A340" t="s">
        <v>1620</v>
      </c>
      <c r="B340" t="s">
        <v>359</v>
      </c>
    </row>
    <row r="341" spans="1:2" x14ac:dyDescent="0.25">
      <c r="A341" t="s">
        <v>1706</v>
      </c>
      <c r="B341" t="s">
        <v>65</v>
      </c>
    </row>
    <row r="342" spans="1:2" x14ac:dyDescent="0.25">
      <c r="A342" t="s">
        <v>1709</v>
      </c>
      <c r="B342" t="s">
        <v>159</v>
      </c>
    </row>
    <row r="343" spans="1:2" x14ac:dyDescent="0.25">
      <c r="A343" t="s">
        <v>1724</v>
      </c>
      <c r="B343" t="s">
        <v>121</v>
      </c>
    </row>
    <row r="344" spans="1:2" x14ac:dyDescent="0.25">
      <c r="A344" t="s">
        <v>1744</v>
      </c>
      <c r="B344" t="s">
        <v>121</v>
      </c>
    </row>
    <row r="345" spans="1:2" x14ac:dyDescent="0.25">
      <c r="A345" t="s">
        <v>1783</v>
      </c>
      <c r="B345" t="s">
        <v>163</v>
      </c>
    </row>
    <row r="346" spans="1:2" x14ac:dyDescent="0.25">
      <c r="A346" t="s">
        <v>1805</v>
      </c>
      <c r="B346" t="s">
        <v>65</v>
      </c>
    </row>
    <row r="347" spans="1:2" x14ac:dyDescent="0.25">
      <c r="A347" t="s">
        <v>1831</v>
      </c>
      <c r="B347" t="s">
        <v>256</v>
      </c>
    </row>
    <row r="348" spans="1:2" x14ac:dyDescent="0.25">
      <c r="A348" t="s">
        <v>1858</v>
      </c>
      <c r="B348" t="s">
        <v>87</v>
      </c>
    </row>
    <row r="349" spans="1:2" x14ac:dyDescent="0.25">
      <c r="A349" t="s">
        <v>1879</v>
      </c>
      <c r="B349" t="s">
        <v>57</v>
      </c>
    </row>
    <row r="350" spans="1:2" x14ac:dyDescent="0.25">
      <c r="A350" t="s">
        <v>1881</v>
      </c>
      <c r="B350" t="s">
        <v>87</v>
      </c>
    </row>
    <row r="351" spans="1:2" x14ac:dyDescent="0.25">
      <c r="A351" t="s">
        <v>1887</v>
      </c>
      <c r="B351" t="s">
        <v>159</v>
      </c>
    </row>
    <row r="352" spans="1:2" x14ac:dyDescent="0.25">
      <c r="A352" t="s">
        <v>2191</v>
      </c>
      <c r="B352" t="s">
        <v>22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5F382-5F87-422B-813A-81971A13FC99}">
  <dimension ref="A1:B13"/>
  <sheetViews>
    <sheetView workbookViewId="0">
      <selection activeCell="G15" sqref="G15"/>
    </sheetView>
  </sheetViews>
  <sheetFormatPr defaultRowHeight="15" x14ac:dyDescent="0.25"/>
  <cols>
    <col min="1" max="1" width="13.85546875" customWidth="1"/>
    <col min="2" max="2" width="23.7109375" bestFit="1" customWidth="1"/>
    <col min="13" max="13" width="23.7109375" bestFit="1" customWidth="1"/>
  </cols>
  <sheetData>
    <row r="1" spans="1:2" x14ac:dyDescent="0.25">
      <c r="A1" t="s">
        <v>2599</v>
      </c>
      <c r="B1" t="s">
        <v>2600</v>
      </c>
    </row>
    <row r="2" spans="1:2" x14ac:dyDescent="0.25">
      <c r="A2" t="s">
        <v>2601</v>
      </c>
      <c r="B2" t="s">
        <v>26</v>
      </c>
    </row>
    <row r="3" spans="1:2" x14ac:dyDescent="0.25">
      <c r="A3" t="s">
        <v>2602</v>
      </c>
      <c r="B3" t="s">
        <v>39</v>
      </c>
    </row>
    <row r="4" spans="1:2" x14ac:dyDescent="0.25">
      <c r="A4" t="s">
        <v>2603</v>
      </c>
      <c r="B4" t="s">
        <v>52</v>
      </c>
    </row>
    <row r="5" spans="1:2" x14ac:dyDescent="0.25">
      <c r="A5" t="s">
        <v>2604</v>
      </c>
      <c r="B5" t="s">
        <v>68</v>
      </c>
    </row>
    <row r="6" spans="1:2" x14ac:dyDescent="0.25">
      <c r="A6" t="s">
        <v>2605</v>
      </c>
      <c r="B6" t="s">
        <v>81</v>
      </c>
    </row>
    <row r="7" spans="1:2" x14ac:dyDescent="0.25">
      <c r="A7" t="s">
        <v>2606</v>
      </c>
      <c r="B7" t="s">
        <v>96</v>
      </c>
    </row>
    <row r="8" spans="1:2" x14ac:dyDescent="0.25">
      <c r="A8" t="s">
        <v>2607</v>
      </c>
      <c r="B8" t="s">
        <v>102</v>
      </c>
    </row>
    <row r="9" spans="1:2" x14ac:dyDescent="0.25">
      <c r="A9" t="s">
        <v>2608</v>
      </c>
      <c r="B9" t="s">
        <v>116</v>
      </c>
    </row>
    <row r="10" spans="1:2" x14ac:dyDescent="0.25">
      <c r="A10" t="s">
        <v>2609</v>
      </c>
      <c r="B10" t="s">
        <v>128</v>
      </c>
    </row>
    <row r="11" spans="1:2" x14ac:dyDescent="0.25">
      <c r="A11" t="s">
        <v>2610</v>
      </c>
      <c r="B11" t="s">
        <v>134</v>
      </c>
    </row>
    <row r="12" spans="1:2" x14ac:dyDescent="0.25">
      <c r="A12" t="s">
        <v>2611</v>
      </c>
      <c r="B12" t="s">
        <v>167</v>
      </c>
    </row>
    <row r="13" spans="1:2" x14ac:dyDescent="0.25">
      <c r="A13" t="s">
        <v>2612</v>
      </c>
      <c r="B13" t="s">
        <v>252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CDA0-A6B5-445A-AADF-999109345E07}">
  <dimension ref="A1:B6"/>
  <sheetViews>
    <sheetView workbookViewId="0"/>
  </sheetViews>
  <sheetFormatPr defaultRowHeight="15" x14ac:dyDescent="0.25"/>
  <cols>
    <col min="1" max="1" width="12.140625" customWidth="1"/>
    <col min="2" max="2" width="9.28515625" customWidth="1"/>
    <col min="13" max="13" width="9.42578125" bestFit="1" customWidth="1"/>
  </cols>
  <sheetData>
    <row r="1" spans="1:2" x14ac:dyDescent="0.25">
      <c r="A1" t="s">
        <v>2613</v>
      </c>
      <c r="B1" t="s">
        <v>5</v>
      </c>
    </row>
    <row r="2" spans="1:2" x14ac:dyDescent="0.25">
      <c r="A2" t="s">
        <v>2614</v>
      </c>
      <c r="B2" t="s">
        <v>27</v>
      </c>
    </row>
    <row r="3" spans="1:2" x14ac:dyDescent="0.25">
      <c r="A3" t="s">
        <v>2615</v>
      </c>
      <c r="B3" t="s">
        <v>40</v>
      </c>
    </row>
    <row r="4" spans="1:2" x14ac:dyDescent="0.25">
      <c r="A4" t="s">
        <v>2616</v>
      </c>
      <c r="B4" t="s">
        <v>53</v>
      </c>
    </row>
    <row r="5" spans="1:2" x14ac:dyDescent="0.25">
      <c r="A5" t="s">
        <v>2617</v>
      </c>
      <c r="B5" t="s">
        <v>58</v>
      </c>
    </row>
    <row r="6" spans="1:2" x14ac:dyDescent="0.25">
      <c r="A6" t="s">
        <v>2618</v>
      </c>
      <c r="B6" t="s">
        <v>88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37312-0003-41D0-A785-DAA33D7901AD}">
  <dimension ref="A1:B23"/>
  <sheetViews>
    <sheetView workbookViewId="0">
      <selection activeCell="H6" sqref="H6"/>
    </sheetView>
  </sheetViews>
  <sheetFormatPr defaultRowHeight="15" x14ac:dyDescent="0.25"/>
  <cols>
    <col min="1" max="1" width="9.42578125" customWidth="1"/>
    <col min="2" max="2" width="12.85546875" customWidth="1"/>
    <col min="13" max="13" width="13.140625" bestFit="1" customWidth="1"/>
  </cols>
  <sheetData>
    <row r="1" spans="1:2" x14ac:dyDescent="0.25">
      <c r="A1" t="s">
        <v>2620</v>
      </c>
      <c r="B1" t="s">
        <v>2621</v>
      </c>
    </row>
    <row r="2" spans="1:2" x14ac:dyDescent="0.25">
      <c r="A2" t="s">
        <v>2622</v>
      </c>
      <c r="B2" t="s">
        <v>28</v>
      </c>
    </row>
    <row r="3" spans="1:2" x14ac:dyDescent="0.25">
      <c r="A3" t="s">
        <v>2623</v>
      </c>
      <c r="B3" t="s">
        <v>41</v>
      </c>
    </row>
    <row r="4" spans="1:2" x14ac:dyDescent="0.25">
      <c r="A4" t="s">
        <v>2624</v>
      </c>
      <c r="B4" t="s">
        <v>54</v>
      </c>
    </row>
    <row r="5" spans="1:2" x14ac:dyDescent="0.25">
      <c r="A5" t="s">
        <v>2625</v>
      </c>
      <c r="B5" t="s">
        <v>59</v>
      </c>
    </row>
    <row r="6" spans="1:2" x14ac:dyDescent="0.25">
      <c r="A6" t="s">
        <v>2626</v>
      </c>
      <c r="B6" t="s">
        <v>73</v>
      </c>
    </row>
    <row r="7" spans="1:2" x14ac:dyDescent="0.25">
      <c r="A7" t="s">
        <v>2627</v>
      </c>
      <c r="B7" t="s">
        <v>82</v>
      </c>
    </row>
    <row r="8" spans="1:2" x14ac:dyDescent="0.25">
      <c r="A8" t="s">
        <v>2628</v>
      </c>
      <c r="B8" t="s">
        <v>2112</v>
      </c>
    </row>
    <row r="9" spans="1:2" x14ac:dyDescent="0.25">
      <c r="A9" t="s">
        <v>2629</v>
      </c>
      <c r="B9" t="s">
        <v>106</v>
      </c>
    </row>
    <row r="10" spans="1:2" x14ac:dyDescent="0.25">
      <c r="A10" t="s">
        <v>2630</v>
      </c>
      <c r="B10" t="s">
        <v>117</v>
      </c>
    </row>
    <row r="11" spans="1:2" x14ac:dyDescent="0.25">
      <c r="A11" t="s">
        <v>2631</v>
      </c>
      <c r="B11" t="s">
        <v>122</v>
      </c>
    </row>
    <row r="12" spans="1:2" x14ac:dyDescent="0.25">
      <c r="A12" t="s">
        <v>2632</v>
      </c>
      <c r="B12" t="s">
        <v>135</v>
      </c>
    </row>
    <row r="13" spans="1:2" x14ac:dyDescent="0.25">
      <c r="A13" t="s">
        <v>2633</v>
      </c>
      <c r="B13" t="s">
        <v>143</v>
      </c>
    </row>
    <row r="14" spans="1:2" x14ac:dyDescent="0.25">
      <c r="A14" t="s">
        <v>2634</v>
      </c>
      <c r="B14" t="s">
        <v>173</v>
      </c>
    </row>
    <row r="15" spans="1:2" x14ac:dyDescent="0.25">
      <c r="A15" t="s">
        <v>2635</v>
      </c>
      <c r="B15" t="s">
        <v>183</v>
      </c>
    </row>
    <row r="16" spans="1:2" x14ac:dyDescent="0.25">
      <c r="A16" t="s">
        <v>2636</v>
      </c>
      <c r="B16" t="s">
        <v>189</v>
      </c>
    </row>
    <row r="17" spans="1:2" x14ac:dyDescent="0.25">
      <c r="A17" t="s">
        <v>2637</v>
      </c>
      <c r="B17" t="s">
        <v>211</v>
      </c>
    </row>
    <row r="18" spans="1:2" x14ac:dyDescent="0.25">
      <c r="A18" t="s">
        <v>2638</v>
      </c>
      <c r="B18" t="s">
        <v>232</v>
      </c>
    </row>
    <row r="19" spans="1:2" x14ac:dyDescent="0.25">
      <c r="A19" t="s">
        <v>2639</v>
      </c>
      <c r="B19" t="s">
        <v>2619</v>
      </c>
    </row>
    <row r="20" spans="1:2" x14ac:dyDescent="0.25">
      <c r="A20" t="s">
        <v>2640</v>
      </c>
      <c r="B20" t="s">
        <v>289</v>
      </c>
    </row>
    <row r="21" spans="1:2" x14ac:dyDescent="0.25">
      <c r="A21" t="s">
        <v>2641</v>
      </c>
      <c r="B21" t="s">
        <v>323</v>
      </c>
    </row>
    <row r="22" spans="1:2" x14ac:dyDescent="0.25">
      <c r="A22" t="s">
        <v>2642</v>
      </c>
      <c r="B22" t="s">
        <v>345</v>
      </c>
    </row>
    <row r="23" spans="1:2" x14ac:dyDescent="0.25">
      <c r="A23" t="s">
        <v>2643</v>
      </c>
      <c r="B23" t="s">
        <v>883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E7965-6CE4-47D4-B0D1-39A6150D1EBE}">
  <dimension ref="A1:N2013"/>
  <sheetViews>
    <sheetView tabSelected="1" workbookViewId="0"/>
  </sheetViews>
  <sheetFormatPr defaultRowHeight="15" x14ac:dyDescent="0.25"/>
  <cols>
    <col min="1" max="1" width="11.28515625" bestFit="1" customWidth="1"/>
    <col min="2" max="2" width="13.5703125" bestFit="1" customWidth="1"/>
    <col min="3" max="3" width="14.7109375" bestFit="1" customWidth="1"/>
    <col min="4" max="4" width="13" bestFit="1" customWidth="1"/>
    <col min="5" max="6" width="13" customWidth="1"/>
    <col min="7" max="7" width="17" bestFit="1" customWidth="1"/>
    <col min="8" max="8" width="17" customWidth="1"/>
    <col min="9" max="9" width="19.5703125" bestFit="1" customWidth="1"/>
    <col min="10" max="10" width="11" bestFit="1" customWidth="1"/>
    <col min="11" max="11" width="12.5703125" bestFit="1" customWidth="1"/>
    <col min="12" max="12" width="16.140625" bestFit="1" customWidth="1"/>
    <col min="13" max="13" width="14.7109375" bestFit="1" customWidth="1"/>
    <col min="14" max="14" width="14.8554687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2569</v>
      </c>
      <c r="E1" t="s">
        <v>2613</v>
      </c>
      <c r="F1" t="s">
        <v>2620</v>
      </c>
      <c r="G1" t="s">
        <v>7</v>
      </c>
      <c r="H1" t="s">
        <v>2644</v>
      </c>
      <c r="I1" t="s">
        <v>9</v>
      </c>
      <c r="J1" t="s">
        <v>10</v>
      </c>
      <c r="K1" t="s">
        <v>11</v>
      </c>
      <c r="L1" t="s">
        <v>12</v>
      </c>
      <c r="M1" t="s">
        <v>14</v>
      </c>
      <c r="N1" t="s">
        <v>19</v>
      </c>
    </row>
    <row r="2" spans="1:14" x14ac:dyDescent="0.25">
      <c r="A2" t="s">
        <v>20</v>
      </c>
      <c r="B2" s="2">
        <v>45322</v>
      </c>
      <c r="C2" t="s">
        <v>21</v>
      </c>
      <c r="D2" t="s">
        <v>23</v>
      </c>
      <c r="E2" t="s">
        <v>2614</v>
      </c>
      <c r="F2" t="s">
        <v>2622</v>
      </c>
      <c r="G2" t="s">
        <v>29</v>
      </c>
      <c r="H2" t="s">
        <v>2645</v>
      </c>
      <c r="I2" t="s">
        <v>2578</v>
      </c>
      <c r="J2">
        <v>16</v>
      </c>
      <c r="K2">
        <v>75.680000000000007</v>
      </c>
      <c r="L2">
        <v>46.43</v>
      </c>
      <c r="M2">
        <v>0</v>
      </c>
      <c r="N2" t="s">
        <v>32</v>
      </c>
    </row>
    <row r="3" spans="1:14" x14ac:dyDescent="0.25">
      <c r="A3" t="s">
        <v>33</v>
      </c>
      <c r="B3" s="2">
        <v>45550</v>
      </c>
      <c r="C3" t="s">
        <v>34</v>
      </c>
      <c r="D3" t="s">
        <v>36</v>
      </c>
      <c r="E3" t="s">
        <v>2615</v>
      </c>
      <c r="F3" t="s">
        <v>2623</v>
      </c>
      <c r="G3" t="s">
        <v>42</v>
      </c>
      <c r="H3" t="s">
        <v>2646</v>
      </c>
      <c r="I3" t="s">
        <v>44</v>
      </c>
      <c r="J3">
        <v>73</v>
      </c>
      <c r="K3">
        <v>177.4</v>
      </c>
      <c r="L3">
        <v>98.27</v>
      </c>
      <c r="M3">
        <v>0</v>
      </c>
      <c r="N3" t="s">
        <v>45</v>
      </c>
    </row>
    <row r="4" spans="1:14" x14ac:dyDescent="0.25">
      <c r="A4" t="s">
        <v>46</v>
      </c>
      <c r="B4" s="2">
        <v>45488</v>
      </c>
      <c r="C4" t="s">
        <v>47</v>
      </c>
      <c r="D4" t="s">
        <v>49</v>
      </c>
      <c r="E4" t="s">
        <v>2616</v>
      </c>
      <c r="F4" t="s">
        <v>2624</v>
      </c>
      <c r="G4" t="s">
        <v>42</v>
      </c>
      <c r="H4" t="s">
        <v>2646</v>
      </c>
      <c r="I4" t="s">
        <v>2578</v>
      </c>
      <c r="J4">
        <v>63</v>
      </c>
      <c r="K4">
        <v>24.06</v>
      </c>
      <c r="L4">
        <v>12</v>
      </c>
      <c r="M4">
        <v>0.05</v>
      </c>
      <c r="N4" t="s">
        <v>45</v>
      </c>
    </row>
    <row r="5" spans="1:14" x14ac:dyDescent="0.25">
      <c r="A5" t="s">
        <v>55</v>
      </c>
      <c r="B5" s="2">
        <v>45521</v>
      </c>
      <c r="C5" t="s">
        <v>56</v>
      </c>
      <c r="D5" t="s">
        <v>49</v>
      </c>
      <c r="E5" t="s">
        <v>2617</v>
      </c>
      <c r="F5" t="s">
        <v>2625</v>
      </c>
      <c r="G5" t="s">
        <v>60</v>
      </c>
      <c r="H5" t="s">
        <v>2647</v>
      </c>
      <c r="I5" t="s">
        <v>84</v>
      </c>
      <c r="J5">
        <v>70</v>
      </c>
      <c r="K5">
        <v>26.96</v>
      </c>
      <c r="L5">
        <v>12.44</v>
      </c>
      <c r="M5">
        <v>0.02</v>
      </c>
      <c r="N5" t="s">
        <v>45</v>
      </c>
    </row>
    <row r="6" spans="1:14" x14ac:dyDescent="0.25">
      <c r="A6" t="s">
        <v>63</v>
      </c>
      <c r="B6" s="2">
        <v>45475</v>
      </c>
      <c r="C6" t="s">
        <v>64</v>
      </c>
      <c r="D6" t="s">
        <v>66</v>
      </c>
      <c r="E6" t="s">
        <v>2615</v>
      </c>
      <c r="F6" t="s">
        <v>2623</v>
      </c>
      <c r="G6" t="s">
        <v>69</v>
      </c>
      <c r="H6" t="s">
        <v>2645</v>
      </c>
      <c r="I6" t="s">
        <v>70</v>
      </c>
      <c r="J6">
        <v>77</v>
      </c>
      <c r="K6">
        <v>156.03</v>
      </c>
      <c r="L6">
        <v>96.18</v>
      </c>
      <c r="M6">
        <v>0.2</v>
      </c>
      <c r="N6" t="s">
        <v>45</v>
      </c>
    </row>
    <row r="7" spans="1:14" x14ac:dyDescent="0.25">
      <c r="A7" t="s">
        <v>71</v>
      </c>
      <c r="B7" s="2">
        <v>45420</v>
      </c>
      <c r="C7" t="s">
        <v>72</v>
      </c>
      <c r="D7" t="s">
        <v>36</v>
      </c>
      <c r="E7" t="s">
        <v>2617</v>
      </c>
      <c r="F7" t="s">
        <v>2626</v>
      </c>
      <c r="G7" t="s">
        <v>74</v>
      </c>
      <c r="H7" t="s">
        <v>2645</v>
      </c>
      <c r="I7" t="s">
        <v>75</v>
      </c>
      <c r="J7">
        <v>68</v>
      </c>
      <c r="K7">
        <v>176.42</v>
      </c>
      <c r="L7">
        <v>99.7</v>
      </c>
      <c r="M7">
        <v>0.1</v>
      </c>
      <c r="N7" t="s">
        <v>45</v>
      </c>
    </row>
    <row r="8" spans="1:14" x14ac:dyDescent="0.25">
      <c r="A8" t="s">
        <v>76</v>
      </c>
      <c r="B8" s="2">
        <v>45312</v>
      </c>
      <c r="C8" t="s">
        <v>77</v>
      </c>
      <c r="D8" t="s">
        <v>78</v>
      </c>
      <c r="E8" t="s">
        <v>2615</v>
      </c>
      <c r="F8" t="s">
        <v>2627</v>
      </c>
      <c r="G8" t="s">
        <v>83</v>
      </c>
      <c r="H8" t="s">
        <v>2647</v>
      </c>
      <c r="I8" t="s">
        <v>84</v>
      </c>
      <c r="J8">
        <v>62</v>
      </c>
      <c r="K8">
        <v>-25</v>
      </c>
      <c r="L8">
        <v>80.27</v>
      </c>
      <c r="M8">
        <v>0</v>
      </c>
      <c r="N8" t="s">
        <v>32</v>
      </c>
    </row>
    <row r="9" spans="1:14" x14ac:dyDescent="0.25">
      <c r="A9" t="s">
        <v>85</v>
      </c>
      <c r="B9" s="2">
        <v>45294</v>
      </c>
      <c r="C9" t="s">
        <v>86</v>
      </c>
      <c r="D9" t="s">
        <v>66</v>
      </c>
      <c r="E9" t="s">
        <v>2618</v>
      </c>
      <c r="F9" t="s">
        <v>2628</v>
      </c>
      <c r="G9" t="s">
        <v>90</v>
      </c>
      <c r="H9" t="s">
        <v>2646</v>
      </c>
      <c r="I9" t="s">
        <v>75</v>
      </c>
      <c r="J9">
        <v>72</v>
      </c>
      <c r="K9">
        <v>165.8</v>
      </c>
      <c r="L9">
        <v>112.18</v>
      </c>
      <c r="M9">
        <v>0.1</v>
      </c>
      <c r="N9" t="s">
        <v>32</v>
      </c>
    </row>
    <row r="10" spans="1:14" x14ac:dyDescent="0.25">
      <c r="A10" t="s">
        <v>91</v>
      </c>
      <c r="B10" s="2">
        <v>45520</v>
      </c>
      <c r="C10" t="s">
        <v>92</v>
      </c>
      <c r="D10" t="s">
        <v>93</v>
      </c>
      <c r="E10" t="s">
        <v>2617</v>
      </c>
      <c r="F10" t="s">
        <v>2626</v>
      </c>
      <c r="G10" t="s">
        <v>69</v>
      </c>
      <c r="H10" t="s">
        <v>2647</v>
      </c>
      <c r="I10" t="s">
        <v>84</v>
      </c>
      <c r="J10">
        <v>11</v>
      </c>
      <c r="K10">
        <v>54.11</v>
      </c>
      <c r="L10">
        <v>30.22</v>
      </c>
      <c r="M10">
        <v>0.2</v>
      </c>
      <c r="N10" t="s">
        <v>32</v>
      </c>
    </row>
    <row r="11" spans="1:14" x14ac:dyDescent="0.25">
      <c r="A11" t="s">
        <v>97</v>
      </c>
      <c r="B11" s="2">
        <v>45379</v>
      </c>
      <c r="C11" t="s">
        <v>98</v>
      </c>
      <c r="D11" t="s">
        <v>99</v>
      </c>
      <c r="E11" t="s">
        <v>2615</v>
      </c>
      <c r="F11" t="s">
        <v>2627</v>
      </c>
      <c r="G11" t="s">
        <v>42</v>
      </c>
      <c r="H11" t="s">
        <v>2647</v>
      </c>
      <c r="I11" t="s">
        <v>70</v>
      </c>
      <c r="J11">
        <v>71</v>
      </c>
      <c r="K11">
        <v>68.849999999999994</v>
      </c>
      <c r="L11">
        <v>40.65</v>
      </c>
      <c r="M11">
        <v>0.02</v>
      </c>
      <c r="N11" t="s">
        <v>32</v>
      </c>
    </row>
    <row r="12" spans="1:14" x14ac:dyDescent="0.25">
      <c r="A12" t="s">
        <v>103</v>
      </c>
      <c r="B12" s="2">
        <v>45494</v>
      </c>
      <c r="C12" t="s">
        <v>104</v>
      </c>
      <c r="D12" t="s">
        <v>49</v>
      </c>
      <c r="E12" t="s">
        <v>2614</v>
      </c>
      <c r="F12" t="s">
        <v>2629</v>
      </c>
      <c r="G12" t="s">
        <v>29</v>
      </c>
      <c r="H12" t="s">
        <v>2645</v>
      </c>
      <c r="I12" t="s">
        <v>2578</v>
      </c>
      <c r="J12">
        <v>4</v>
      </c>
      <c r="K12">
        <v>24.19</v>
      </c>
      <c r="L12">
        <v>12.15</v>
      </c>
      <c r="M12">
        <v>0.02</v>
      </c>
      <c r="N12" t="s">
        <v>32</v>
      </c>
    </row>
    <row r="13" spans="1:14" x14ac:dyDescent="0.25">
      <c r="A13" t="s">
        <v>107</v>
      </c>
      <c r="B13" s="2">
        <v>45650</v>
      </c>
      <c r="C13" t="s">
        <v>108</v>
      </c>
      <c r="D13" t="s">
        <v>109</v>
      </c>
      <c r="E13" t="s">
        <v>2616</v>
      </c>
      <c r="F13" t="s">
        <v>2624</v>
      </c>
      <c r="G13" t="s">
        <v>111</v>
      </c>
      <c r="H13" t="s">
        <v>2645</v>
      </c>
      <c r="I13" t="s">
        <v>70</v>
      </c>
      <c r="J13">
        <v>30</v>
      </c>
      <c r="K13">
        <v>127.85</v>
      </c>
      <c r="L13">
        <v>73.069999999999993</v>
      </c>
      <c r="M13">
        <v>0.02</v>
      </c>
      <c r="N13" t="s">
        <v>32</v>
      </c>
    </row>
    <row r="14" spans="1:14" x14ac:dyDescent="0.25">
      <c r="A14" t="s">
        <v>112</v>
      </c>
      <c r="B14" s="2">
        <v>45516</v>
      </c>
      <c r="C14" t="s">
        <v>113</v>
      </c>
      <c r="D14" t="s">
        <v>114</v>
      </c>
      <c r="E14" t="s">
        <v>2615</v>
      </c>
      <c r="F14" t="s">
        <v>2630</v>
      </c>
      <c r="G14" t="s">
        <v>118</v>
      </c>
      <c r="H14" t="s">
        <v>2646</v>
      </c>
      <c r="I14" t="s">
        <v>75</v>
      </c>
      <c r="J14">
        <v>63</v>
      </c>
      <c r="K14">
        <v>35.729999999999997</v>
      </c>
      <c r="L14">
        <v>20.149999999999999</v>
      </c>
      <c r="M14">
        <v>0.1</v>
      </c>
      <c r="N14" t="s">
        <v>45</v>
      </c>
    </row>
    <row r="15" spans="1:14" x14ac:dyDescent="0.25">
      <c r="A15" t="s">
        <v>119</v>
      </c>
      <c r="B15" s="2">
        <v>45342</v>
      </c>
      <c r="C15" t="s">
        <v>120</v>
      </c>
      <c r="D15" t="s">
        <v>23</v>
      </c>
      <c r="E15" t="s">
        <v>2616</v>
      </c>
      <c r="F15" t="s">
        <v>2631</v>
      </c>
      <c r="G15" t="s">
        <v>83</v>
      </c>
      <c r="H15" t="s">
        <v>2647</v>
      </c>
      <c r="I15" t="s">
        <v>70</v>
      </c>
      <c r="J15">
        <v>20</v>
      </c>
      <c r="K15">
        <v>76.040000000000006</v>
      </c>
      <c r="L15">
        <v>41.66</v>
      </c>
      <c r="M15">
        <v>0.2</v>
      </c>
      <c r="N15" t="s">
        <v>45</v>
      </c>
    </row>
    <row r="16" spans="1:14" x14ac:dyDescent="0.25">
      <c r="A16" t="s">
        <v>123</v>
      </c>
      <c r="B16" s="2">
        <v>45420</v>
      </c>
      <c r="C16" t="s">
        <v>124</v>
      </c>
      <c r="D16" t="s">
        <v>126</v>
      </c>
      <c r="E16" t="s">
        <v>2617</v>
      </c>
      <c r="F16" t="s">
        <v>2625</v>
      </c>
      <c r="G16" t="s">
        <v>83</v>
      </c>
      <c r="H16" t="s">
        <v>2646</v>
      </c>
      <c r="I16" t="s">
        <v>44</v>
      </c>
      <c r="J16">
        <v>30</v>
      </c>
      <c r="K16">
        <v>96.66</v>
      </c>
      <c r="L16">
        <v>50.9</v>
      </c>
      <c r="M16">
        <v>0</v>
      </c>
      <c r="N16" t="s">
        <v>129</v>
      </c>
    </row>
    <row r="17" spans="1:14" x14ac:dyDescent="0.25">
      <c r="A17" t="s">
        <v>130</v>
      </c>
      <c r="B17" s="2">
        <v>45368</v>
      </c>
      <c r="C17" t="s">
        <v>131</v>
      </c>
      <c r="D17" t="s">
        <v>132</v>
      </c>
      <c r="E17" t="s">
        <v>2618</v>
      </c>
      <c r="F17" t="s">
        <v>2632</v>
      </c>
      <c r="G17" t="s">
        <v>29</v>
      </c>
      <c r="H17" t="s">
        <v>2646</v>
      </c>
      <c r="I17" t="s">
        <v>84</v>
      </c>
      <c r="J17">
        <v>39</v>
      </c>
      <c r="K17">
        <v>63.9</v>
      </c>
      <c r="L17">
        <v>32.04</v>
      </c>
      <c r="M17">
        <v>0.15</v>
      </c>
      <c r="N17" t="s">
        <v>45</v>
      </c>
    </row>
    <row r="18" spans="1:14" x14ac:dyDescent="0.25">
      <c r="A18" t="s">
        <v>136</v>
      </c>
      <c r="B18" s="2">
        <v>45607</v>
      </c>
      <c r="C18" t="s">
        <v>137</v>
      </c>
      <c r="D18" t="s">
        <v>114</v>
      </c>
      <c r="E18" t="s">
        <v>2617</v>
      </c>
      <c r="F18" t="s">
        <v>2626</v>
      </c>
      <c r="G18" t="s">
        <v>83</v>
      </c>
      <c r="H18" t="s">
        <v>2645</v>
      </c>
      <c r="I18" t="s">
        <v>75</v>
      </c>
      <c r="J18">
        <v>54</v>
      </c>
      <c r="K18">
        <v>36.93</v>
      </c>
      <c r="L18">
        <v>19.399999999999999</v>
      </c>
      <c r="M18">
        <v>0.02</v>
      </c>
      <c r="N18" t="s">
        <v>45</v>
      </c>
    </row>
    <row r="19" spans="1:14" x14ac:dyDescent="0.25">
      <c r="A19" t="s">
        <v>139</v>
      </c>
      <c r="B19" s="2">
        <v>45550</v>
      </c>
      <c r="C19" t="s">
        <v>140</v>
      </c>
      <c r="D19" t="s">
        <v>141</v>
      </c>
      <c r="E19" t="s">
        <v>2616</v>
      </c>
      <c r="F19" t="s">
        <v>2633</v>
      </c>
      <c r="G19" t="s">
        <v>144</v>
      </c>
      <c r="H19" t="s">
        <v>2646</v>
      </c>
      <c r="I19" t="s">
        <v>44</v>
      </c>
      <c r="J19">
        <v>38</v>
      </c>
      <c r="K19">
        <v>96.48</v>
      </c>
      <c r="L19">
        <v>59.43</v>
      </c>
      <c r="M19">
        <v>0.05</v>
      </c>
      <c r="N19" t="s">
        <v>45</v>
      </c>
    </row>
    <row r="20" spans="1:14" x14ac:dyDescent="0.25">
      <c r="A20" t="s">
        <v>145</v>
      </c>
      <c r="B20" s="2">
        <v>45312</v>
      </c>
      <c r="C20" t="s">
        <v>146</v>
      </c>
      <c r="D20" t="s">
        <v>36</v>
      </c>
      <c r="E20" t="s">
        <v>2615</v>
      </c>
      <c r="F20" t="s">
        <v>2627</v>
      </c>
      <c r="G20" t="s">
        <v>118</v>
      </c>
      <c r="H20" t="s">
        <v>2647</v>
      </c>
      <c r="I20" t="s">
        <v>44</v>
      </c>
      <c r="J20">
        <v>10</v>
      </c>
      <c r="K20">
        <v>171.69</v>
      </c>
      <c r="L20">
        <v>103.26</v>
      </c>
      <c r="M20">
        <v>0.05</v>
      </c>
      <c r="N20" t="s">
        <v>129</v>
      </c>
    </row>
    <row r="21" spans="1:14" x14ac:dyDescent="0.25">
      <c r="A21" t="s">
        <v>147</v>
      </c>
      <c r="B21" s="2">
        <v>45645</v>
      </c>
      <c r="C21" t="s">
        <v>148</v>
      </c>
      <c r="D21" t="s">
        <v>150</v>
      </c>
      <c r="E21" t="s">
        <v>2618</v>
      </c>
      <c r="F21" t="s">
        <v>2628</v>
      </c>
      <c r="G21" t="s">
        <v>152</v>
      </c>
      <c r="H21" t="s">
        <v>2648</v>
      </c>
      <c r="I21" t="s">
        <v>44</v>
      </c>
      <c r="J21">
        <v>59</v>
      </c>
      <c r="K21">
        <v>87.81</v>
      </c>
      <c r="L21">
        <v>47.43</v>
      </c>
      <c r="M21">
        <v>0.02</v>
      </c>
      <c r="N21" t="s">
        <v>45</v>
      </c>
    </row>
    <row r="22" spans="1:14" x14ac:dyDescent="0.25">
      <c r="A22" t="s">
        <v>154</v>
      </c>
      <c r="B22" s="2">
        <v>45322</v>
      </c>
      <c r="C22" t="s">
        <v>155</v>
      </c>
      <c r="D22" t="s">
        <v>132</v>
      </c>
      <c r="E22" t="s">
        <v>2615</v>
      </c>
      <c r="F22" t="s">
        <v>2627</v>
      </c>
      <c r="G22" t="s">
        <v>83</v>
      </c>
      <c r="H22" t="s">
        <v>2648</v>
      </c>
      <c r="I22" t="s">
        <v>44</v>
      </c>
      <c r="J22">
        <v>13</v>
      </c>
      <c r="K22">
        <v>58.06</v>
      </c>
      <c r="L22">
        <v>31.85</v>
      </c>
      <c r="M22">
        <v>0</v>
      </c>
      <c r="N22" t="s">
        <v>45</v>
      </c>
    </row>
    <row r="23" spans="1:14" x14ac:dyDescent="0.25">
      <c r="A23" t="s">
        <v>157</v>
      </c>
      <c r="B23" s="2">
        <v>45639</v>
      </c>
      <c r="C23" t="s">
        <v>158</v>
      </c>
      <c r="D23" t="s">
        <v>23</v>
      </c>
      <c r="E23" t="s">
        <v>2618</v>
      </c>
      <c r="F23" t="s">
        <v>2632</v>
      </c>
      <c r="G23" t="s">
        <v>69</v>
      </c>
      <c r="H23" t="s">
        <v>2648</v>
      </c>
      <c r="I23" t="s">
        <v>75</v>
      </c>
      <c r="J23">
        <v>42</v>
      </c>
      <c r="K23">
        <v>70.16</v>
      </c>
      <c r="L23">
        <v>42.18</v>
      </c>
      <c r="M23">
        <v>0.15</v>
      </c>
      <c r="N23" t="s">
        <v>45</v>
      </c>
    </row>
    <row r="24" spans="1:14" x14ac:dyDescent="0.25">
      <c r="A24" t="s">
        <v>160</v>
      </c>
      <c r="B24" s="2">
        <v>45405</v>
      </c>
      <c r="C24" t="s">
        <v>21</v>
      </c>
      <c r="D24" t="s">
        <v>23</v>
      </c>
      <c r="E24" t="s">
        <v>2615</v>
      </c>
      <c r="F24" t="s">
        <v>2630</v>
      </c>
      <c r="G24" t="s">
        <v>144</v>
      </c>
      <c r="H24" t="s">
        <v>2648</v>
      </c>
      <c r="I24" t="s">
        <v>84</v>
      </c>
      <c r="J24">
        <v>0</v>
      </c>
      <c r="K24">
        <v>75.03</v>
      </c>
      <c r="L24">
        <v>45.63</v>
      </c>
      <c r="M24" t="e">
        <f>ROUND(#REF!/#REF!,2)</f>
        <v>#REF!</v>
      </c>
      <c r="N24" t="s">
        <v>45</v>
      </c>
    </row>
    <row r="25" spans="1:14" x14ac:dyDescent="0.25">
      <c r="A25" t="s">
        <v>161</v>
      </c>
      <c r="B25" s="2">
        <v>45636</v>
      </c>
      <c r="C25" t="s">
        <v>162</v>
      </c>
      <c r="D25" t="s">
        <v>132</v>
      </c>
      <c r="E25" t="s">
        <v>2614</v>
      </c>
      <c r="F25" t="s">
        <v>2629</v>
      </c>
      <c r="G25" t="s">
        <v>42</v>
      </c>
      <c r="H25" t="s">
        <v>2648</v>
      </c>
      <c r="I25" t="s">
        <v>44</v>
      </c>
      <c r="J25">
        <v>41</v>
      </c>
      <c r="K25">
        <v>57.39</v>
      </c>
      <c r="L25">
        <v>36.520000000000003</v>
      </c>
      <c r="M25">
        <v>0.2</v>
      </c>
      <c r="N25" t="s">
        <v>45</v>
      </c>
    </row>
    <row r="26" spans="1:14" x14ac:dyDescent="0.25">
      <c r="A26" t="s">
        <v>164</v>
      </c>
      <c r="B26" s="2">
        <v>45505</v>
      </c>
      <c r="C26" t="s">
        <v>104</v>
      </c>
      <c r="D26" t="s">
        <v>165</v>
      </c>
      <c r="E26" t="s">
        <v>2616</v>
      </c>
      <c r="F26" t="s">
        <v>2624</v>
      </c>
      <c r="G26" t="s">
        <v>60</v>
      </c>
      <c r="H26" t="s">
        <v>2647</v>
      </c>
      <c r="I26" t="s">
        <v>70</v>
      </c>
      <c r="J26">
        <v>20</v>
      </c>
      <c r="K26">
        <v>43.68</v>
      </c>
      <c r="L26">
        <v>23.52</v>
      </c>
      <c r="M26">
        <v>0.05</v>
      </c>
      <c r="N26" t="s">
        <v>45</v>
      </c>
    </row>
    <row r="27" spans="1:14" x14ac:dyDescent="0.25">
      <c r="A27" t="s">
        <v>168</v>
      </c>
      <c r="B27" s="2">
        <v>45493</v>
      </c>
      <c r="C27" t="s">
        <v>169</v>
      </c>
      <c r="D27" t="s">
        <v>132</v>
      </c>
      <c r="E27" t="s">
        <v>2615</v>
      </c>
      <c r="F27" t="s">
        <v>2630</v>
      </c>
      <c r="G27" t="s">
        <v>170</v>
      </c>
      <c r="H27" t="s">
        <v>2646</v>
      </c>
      <c r="I27" t="s">
        <v>2578</v>
      </c>
      <c r="J27">
        <v>76</v>
      </c>
      <c r="K27">
        <v>64.13</v>
      </c>
      <c r="L27">
        <v>35.68</v>
      </c>
      <c r="M27">
        <v>0.15</v>
      </c>
      <c r="N27" t="s">
        <v>45</v>
      </c>
    </row>
    <row r="28" spans="1:14" x14ac:dyDescent="0.25">
      <c r="A28" t="s">
        <v>171</v>
      </c>
      <c r="B28" s="2">
        <v>45489</v>
      </c>
      <c r="C28" t="s">
        <v>172</v>
      </c>
      <c r="D28" t="s">
        <v>141</v>
      </c>
      <c r="E28" t="s">
        <v>2618</v>
      </c>
      <c r="F28" t="s">
        <v>2634</v>
      </c>
      <c r="G28" t="s">
        <v>74</v>
      </c>
      <c r="H28" t="s">
        <v>2647</v>
      </c>
      <c r="I28" t="s">
        <v>70</v>
      </c>
      <c r="J28">
        <v>37</v>
      </c>
      <c r="K28">
        <v>94.38</v>
      </c>
      <c r="L28">
        <v>56.68</v>
      </c>
      <c r="M28">
        <v>0.15</v>
      </c>
      <c r="N28" t="s">
        <v>32</v>
      </c>
    </row>
    <row r="29" spans="1:14" x14ac:dyDescent="0.25">
      <c r="A29" t="s">
        <v>174</v>
      </c>
      <c r="B29" s="2">
        <v>45349</v>
      </c>
      <c r="C29" t="s">
        <v>175</v>
      </c>
      <c r="D29" t="s">
        <v>176</v>
      </c>
      <c r="E29" t="s">
        <v>2617</v>
      </c>
      <c r="F29" t="s">
        <v>2625</v>
      </c>
      <c r="G29" t="s">
        <v>178</v>
      </c>
      <c r="H29" t="s">
        <v>2646</v>
      </c>
      <c r="I29" t="s">
        <v>75</v>
      </c>
      <c r="J29">
        <v>23</v>
      </c>
      <c r="K29">
        <v>100.14</v>
      </c>
      <c r="L29">
        <v>67.61</v>
      </c>
      <c r="M29">
        <v>0.1</v>
      </c>
      <c r="N29" t="s">
        <v>45</v>
      </c>
    </row>
    <row r="30" spans="1:14" x14ac:dyDescent="0.25">
      <c r="A30" t="s">
        <v>179</v>
      </c>
      <c r="B30" s="2">
        <v>45422</v>
      </c>
      <c r="C30" t="s">
        <v>180</v>
      </c>
      <c r="D30" t="s">
        <v>99</v>
      </c>
      <c r="E30" t="s">
        <v>2617</v>
      </c>
      <c r="F30" t="s">
        <v>2625</v>
      </c>
      <c r="G30" t="s">
        <v>170</v>
      </c>
      <c r="H30" t="s">
        <v>2646</v>
      </c>
      <c r="I30" t="s">
        <v>2578</v>
      </c>
      <c r="J30">
        <v>75</v>
      </c>
      <c r="K30">
        <v>67.89</v>
      </c>
      <c r="L30">
        <v>41.72</v>
      </c>
      <c r="M30">
        <v>0</v>
      </c>
      <c r="N30" t="s">
        <v>45</v>
      </c>
    </row>
    <row r="31" spans="1:14" x14ac:dyDescent="0.25">
      <c r="A31" t="s">
        <v>181</v>
      </c>
      <c r="B31" s="2">
        <v>45590</v>
      </c>
      <c r="C31" t="s">
        <v>182</v>
      </c>
      <c r="D31" t="s">
        <v>126</v>
      </c>
      <c r="E31" t="s">
        <v>2618</v>
      </c>
      <c r="F31" t="s">
        <v>2635</v>
      </c>
      <c r="G31" t="s">
        <v>184</v>
      </c>
      <c r="H31" t="s">
        <v>2647</v>
      </c>
      <c r="I31" t="s">
        <v>84</v>
      </c>
      <c r="J31">
        <v>59</v>
      </c>
      <c r="K31">
        <v>88.4</v>
      </c>
      <c r="L31">
        <v>52.56</v>
      </c>
      <c r="M31">
        <v>0</v>
      </c>
      <c r="N31" t="s">
        <v>129</v>
      </c>
    </row>
    <row r="32" spans="1:14" x14ac:dyDescent="0.25">
      <c r="A32" t="s">
        <v>185</v>
      </c>
      <c r="B32" s="2">
        <v>45638</v>
      </c>
      <c r="C32" t="s">
        <v>186</v>
      </c>
      <c r="D32" t="s">
        <v>187</v>
      </c>
      <c r="E32" t="s">
        <v>2614</v>
      </c>
      <c r="F32" t="s">
        <v>2636</v>
      </c>
      <c r="G32" t="s">
        <v>29</v>
      </c>
      <c r="H32" t="s">
        <v>2648</v>
      </c>
      <c r="I32" t="s">
        <v>2578</v>
      </c>
      <c r="J32">
        <v>55</v>
      </c>
      <c r="K32">
        <v>51.04</v>
      </c>
      <c r="L32">
        <v>0</v>
      </c>
      <c r="M32">
        <v>0.05</v>
      </c>
      <c r="N32" t="s">
        <v>45</v>
      </c>
    </row>
    <row r="33" spans="1:14" x14ac:dyDescent="0.25">
      <c r="A33" t="s">
        <v>191</v>
      </c>
      <c r="B33" s="2">
        <v>45397</v>
      </c>
      <c r="C33" t="s">
        <v>192</v>
      </c>
      <c r="D33" t="s">
        <v>132</v>
      </c>
      <c r="E33" t="s">
        <v>2615</v>
      </c>
      <c r="F33" t="s">
        <v>2630</v>
      </c>
      <c r="G33" t="s">
        <v>83</v>
      </c>
      <c r="H33" t="s">
        <v>2648</v>
      </c>
      <c r="I33" t="s">
        <v>75</v>
      </c>
      <c r="J33">
        <v>70</v>
      </c>
      <c r="K33">
        <v>56.74</v>
      </c>
      <c r="L33">
        <v>35.729999999999997</v>
      </c>
      <c r="M33">
        <v>0.05</v>
      </c>
      <c r="N33" t="s">
        <v>129</v>
      </c>
    </row>
    <row r="34" spans="1:14" x14ac:dyDescent="0.25">
      <c r="A34" t="s">
        <v>193</v>
      </c>
      <c r="B34" s="2">
        <v>45502</v>
      </c>
      <c r="C34" t="s">
        <v>194</v>
      </c>
      <c r="D34" t="s">
        <v>49</v>
      </c>
      <c r="E34" t="s">
        <v>2617</v>
      </c>
      <c r="F34" t="s">
        <v>2625</v>
      </c>
      <c r="G34" t="s">
        <v>195</v>
      </c>
      <c r="H34" t="s">
        <v>2647</v>
      </c>
      <c r="I34" t="s">
        <v>75</v>
      </c>
      <c r="J34">
        <v>45</v>
      </c>
      <c r="K34">
        <v>26.95</v>
      </c>
      <c r="L34">
        <v>13.97</v>
      </c>
      <c r="M34">
        <v>0</v>
      </c>
      <c r="N34" t="s">
        <v>129</v>
      </c>
    </row>
    <row r="35" spans="1:14" x14ac:dyDescent="0.25">
      <c r="A35" t="s">
        <v>196</v>
      </c>
      <c r="B35" s="2">
        <v>45563</v>
      </c>
      <c r="C35" t="s">
        <v>197</v>
      </c>
      <c r="D35" t="s">
        <v>23</v>
      </c>
      <c r="E35" t="s">
        <v>2614</v>
      </c>
      <c r="F35" t="s">
        <v>2622</v>
      </c>
      <c r="G35" t="s">
        <v>118</v>
      </c>
      <c r="H35" t="s">
        <v>2647</v>
      </c>
      <c r="I35" t="s">
        <v>84</v>
      </c>
      <c r="J35">
        <v>31</v>
      </c>
      <c r="K35">
        <v>69.44</v>
      </c>
      <c r="L35">
        <v>42.26</v>
      </c>
      <c r="M35">
        <v>0.1</v>
      </c>
      <c r="N35" t="s">
        <v>45</v>
      </c>
    </row>
    <row r="36" spans="1:14" x14ac:dyDescent="0.25">
      <c r="A36" t="s">
        <v>198</v>
      </c>
      <c r="B36" s="2">
        <v>45596</v>
      </c>
      <c r="C36" t="s">
        <v>199</v>
      </c>
      <c r="D36" t="s">
        <v>187</v>
      </c>
      <c r="E36" t="s">
        <v>2615</v>
      </c>
      <c r="F36" t="s">
        <v>2630</v>
      </c>
      <c r="G36" t="s">
        <v>170</v>
      </c>
      <c r="H36" t="s">
        <v>2646</v>
      </c>
      <c r="I36" t="s">
        <v>70</v>
      </c>
      <c r="J36">
        <v>7</v>
      </c>
      <c r="K36">
        <v>50.02</v>
      </c>
      <c r="L36">
        <v>30.75</v>
      </c>
      <c r="M36">
        <v>0.2</v>
      </c>
      <c r="N36" t="s">
        <v>45</v>
      </c>
    </row>
    <row r="37" spans="1:14" x14ac:dyDescent="0.25">
      <c r="A37" t="s">
        <v>200</v>
      </c>
      <c r="B37" s="2">
        <v>45401</v>
      </c>
      <c r="C37" t="s">
        <v>201</v>
      </c>
      <c r="D37" t="s">
        <v>23</v>
      </c>
      <c r="E37" t="s">
        <v>2615</v>
      </c>
      <c r="F37" t="s">
        <v>2630</v>
      </c>
      <c r="G37" t="s">
        <v>83</v>
      </c>
      <c r="H37" t="s">
        <v>2646</v>
      </c>
      <c r="I37" t="s">
        <v>75</v>
      </c>
      <c r="J37">
        <v>10</v>
      </c>
      <c r="K37">
        <v>80.650000000000006</v>
      </c>
      <c r="L37">
        <v>44.44</v>
      </c>
      <c r="M37">
        <v>0</v>
      </c>
      <c r="N37" t="s">
        <v>45</v>
      </c>
    </row>
    <row r="38" spans="1:14" x14ac:dyDescent="0.25">
      <c r="A38" t="s">
        <v>202</v>
      </c>
      <c r="B38" s="2">
        <v>45336</v>
      </c>
      <c r="C38" t="s">
        <v>203</v>
      </c>
      <c r="D38" t="s">
        <v>109</v>
      </c>
      <c r="E38" t="s">
        <v>2616</v>
      </c>
      <c r="F38" t="s">
        <v>2624</v>
      </c>
      <c r="G38" t="s">
        <v>144</v>
      </c>
      <c r="H38" t="s">
        <v>2647</v>
      </c>
      <c r="I38" t="s">
        <v>2578</v>
      </c>
      <c r="J38">
        <v>52</v>
      </c>
      <c r="K38">
        <v>116.15</v>
      </c>
      <c r="L38">
        <v>74.59</v>
      </c>
      <c r="M38">
        <v>0.2</v>
      </c>
      <c r="N38" t="s">
        <v>45</v>
      </c>
    </row>
    <row r="39" spans="1:14" x14ac:dyDescent="0.25">
      <c r="A39" t="s">
        <v>204</v>
      </c>
      <c r="B39" s="2">
        <v>45593</v>
      </c>
      <c r="C39" t="s">
        <v>205</v>
      </c>
      <c r="D39" t="s">
        <v>93</v>
      </c>
      <c r="E39" t="s">
        <v>2618</v>
      </c>
      <c r="F39" t="s">
        <v>2634</v>
      </c>
      <c r="G39" t="s">
        <v>29</v>
      </c>
      <c r="H39" t="s">
        <v>2646</v>
      </c>
      <c r="I39" t="s">
        <v>2578</v>
      </c>
      <c r="J39">
        <v>65</v>
      </c>
      <c r="K39">
        <v>50.9</v>
      </c>
      <c r="L39">
        <v>32.36</v>
      </c>
      <c r="M39">
        <v>0.02</v>
      </c>
      <c r="N39" t="s">
        <v>129</v>
      </c>
    </row>
    <row r="40" spans="1:14" x14ac:dyDescent="0.25">
      <c r="A40" t="s">
        <v>206</v>
      </c>
      <c r="B40" s="2">
        <v>45430</v>
      </c>
      <c r="C40" t="s">
        <v>2619</v>
      </c>
      <c r="D40" t="s">
        <v>23</v>
      </c>
      <c r="E40" t="s">
        <v>2617</v>
      </c>
      <c r="F40" t="s">
        <v>2626</v>
      </c>
      <c r="G40" t="s">
        <v>74</v>
      </c>
      <c r="H40" t="s">
        <v>2645</v>
      </c>
      <c r="I40" t="s">
        <v>2578</v>
      </c>
      <c r="J40">
        <v>57</v>
      </c>
      <c r="K40">
        <v>77.790000000000006</v>
      </c>
      <c r="L40">
        <v>41.99</v>
      </c>
      <c r="M40">
        <v>0.05</v>
      </c>
      <c r="N40" t="s">
        <v>45</v>
      </c>
    </row>
    <row r="41" spans="1:14" x14ac:dyDescent="0.25">
      <c r="A41" t="s">
        <v>207</v>
      </c>
      <c r="B41" s="2">
        <v>45599</v>
      </c>
      <c r="C41" t="s">
        <v>208</v>
      </c>
      <c r="D41" t="s">
        <v>209</v>
      </c>
      <c r="E41" t="s">
        <v>2614</v>
      </c>
      <c r="F41" t="s">
        <v>2637</v>
      </c>
      <c r="G41" t="s">
        <v>118</v>
      </c>
      <c r="H41" t="s">
        <v>2646</v>
      </c>
      <c r="I41" t="s">
        <v>2578</v>
      </c>
      <c r="J41">
        <v>51</v>
      </c>
      <c r="K41">
        <v>17.22</v>
      </c>
      <c r="L41">
        <v>10.15</v>
      </c>
      <c r="M41">
        <v>0.1</v>
      </c>
      <c r="N41" t="s">
        <v>32</v>
      </c>
    </row>
    <row r="42" spans="1:14" x14ac:dyDescent="0.25">
      <c r="A42" t="s">
        <v>212</v>
      </c>
      <c r="B42" s="2">
        <v>45394</v>
      </c>
      <c r="C42" t="s">
        <v>213</v>
      </c>
      <c r="D42" t="s">
        <v>126</v>
      </c>
      <c r="E42" t="s">
        <v>2614</v>
      </c>
      <c r="F42" t="s">
        <v>2622</v>
      </c>
      <c r="G42" t="s">
        <v>90</v>
      </c>
      <c r="H42" t="s">
        <v>2646</v>
      </c>
      <c r="I42" t="s">
        <v>75</v>
      </c>
      <c r="J42">
        <v>48</v>
      </c>
      <c r="K42">
        <v>87.91</v>
      </c>
      <c r="L42">
        <v>51.2</v>
      </c>
      <c r="M42">
        <v>0.02</v>
      </c>
      <c r="N42" t="s">
        <v>32</v>
      </c>
    </row>
    <row r="43" spans="1:14" x14ac:dyDescent="0.25">
      <c r="A43" t="s">
        <v>214</v>
      </c>
      <c r="B43" s="2">
        <v>45472</v>
      </c>
      <c r="C43" t="s">
        <v>215</v>
      </c>
      <c r="D43" t="s">
        <v>216</v>
      </c>
      <c r="E43" t="s">
        <v>2618</v>
      </c>
      <c r="F43" t="s">
        <v>2635</v>
      </c>
      <c r="G43" t="s">
        <v>218</v>
      </c>
      <c r="H43" t="s">
        <v>2647</v>
      </c>
      <c r="I43" t="s">
        <v>2578</v>
      </c>
      <c r="J43">
        <v>52</v>
      </c>
      <c r="K43">
        <v>113.93</v>
      </c>
      <c r="L43">
        <v>61.74</v>
      </c>
      <c r="M43">
        <v>0.05</v>
      </c>
      <c r="N43" t="s">
        <v>32</v>
      </c>
    </row>
    <row r="44" spans="1:14" x14ac:dyDescent="0.25">
      <c r="A44" t="s">
        <v>219</v>
      </c>
      <c r="B44" s="2">
        <v>45482</v>
      </c>
      <c r="C44" t="s">
        <v>220</v>
      </c>
      <c r="D44" t="s">
        <v>222</v>
      </c>
      <c r="E44" t="s">
        <v>2616</v>
      </c>
      <c r="F44" t="s">
        <v>2633</v>
      </c>
      <c r="G44" t="s">
        <v>42</v>
      </c>
      <c r="H44" t="s">
        <v>2648</v>
      </c>
      <c r="I44" t="s">
        <v>70</v>
      </c>
      <c r="J44">
        <v>17</v>
      </c>
      <c r="K44">
        <v>128.9</v>
      </c>
      <c r="L44">
        <v>82.41</v>
      </c>
      <c r="M44">
        <v>0.15</v>
      </c>
      <c r="N44" t="s">
        <v>45</v>
      </c>
    </row>
    <row r="45" spans="1:14" x14ac:dyDescent="0.25">
      <c r="A45" t="s">
        <v>224</v>
      </c>
      <c r="B45" s="2">
        <v>45566</v>
      </c>
      <c r="C45" t="s">
        <v>225</v>
      </c>
      <c r="D45" t="s">
        <v>150</v>
      </c>
      <c r="E45" t="s">
        <v>2614</v>
      </c>
      <c r="F45" t="s">
        <v>2622</v>
      </c>
      <c r="G45" t="s">
        <v>178</v>
      </c>
      <c r="H45" t="s">
        <v>2647</v>
      </c>
      <c r="I45" t="s">
        <v>75</v>
      </c>
      <c r="J45">
        <v>54</v>
      </c>
      <c r="K45">
        <v>88.54</v>
      </c>
      <c r="L45">
        <v>48.04</v>
      </c>
      <c r="M45">
        <v>0.1</v>
      </c>
      <c r="N45" t="s">
        <v>45</v>
      </c>
    </row>
    <row r="46" spans="1:14" x14ac:dyDescent="0.25">
      <c r="A46" t="s">
        <v>226</v>
      </c>
      <c r="B46" s="2">
        <v>45558</v>
      </c>
      <c r="C46" t="s">
        <v>227</v>
      </c>
      <c r="D46" t="s">
        <v>99</v>
      </c>
      <c r="E46" t="s">
        <v>2615</v>
      </c>
      <c r="F46" t="s">
        <v>2630</v>
      </c>
      <c r="G46" t="s">
        <v>118</v>
      </c>
      <c r="H46" t="s">
        <v>2647</v>
      </c>
      <c r="I46" t="s">
        <v>44</v>
      </c>
      <c r="J46">
        <v>14</v>
      </c>
      <c r="K46">
        <v>75.540000000000006</v>
      </c>
      <c r="L46">
        <v>38.86</v>
      </c>
      <c r="M46">
        <v>0.1</v>
      </c>
      <c r="N46" t="s">
        <v>32</v>
      </c>
    </row>
    <row r="47" spans="1:14" x14ac:dyDescent="0.25">
      <c r="A47" t="s">
        <v>228</v>
      </c>
      <c r="B47" s="2">
        <v>45329</v>
      </c>
      <c r="C47" t="s">
        <v>229</v>
      </c>
      <c r="D47" t="s">
        <v>209</v>
      </c>
      <c r="E47" t="s">
        <v>2616</v>
      </c>
      <c r="F47" t="s">
        <v>2633</v>
      </c>
      <c r="G47" t="s">
        <v>2619</v>
      </c>
      <c r="H47" t="s">
        <v>2647</v>
      </c>
      <c r="I47" t="s">
        <v>84</v>
      </c>
      <c r="J47">
        <v>69</v>
      </c>
      <c r="K47">
        <v>16.690000000000001</v>
      </c>
      <c r="L47">
        <v>9.7200000000000006</v>
      </c>
      <c r="M47">
        <v>0.02</v>
      </c>
      <c r="N47" t="s">
        <v>45</v>
      </c>
    </row>
    <row r="48" spans="1:14" x14ac:dyDescent="0.25">
      <c r="A48" t="s">
        <v>230</v>
      </c>
      <c r="B48" s="2">
        <v>45510</v>
      </c>
      <c r="C48" t="s">
        <v>231</v>
      </c>
      <c r="D48" t="s">
        <v>132</v>
      </c>
      <c r="E48" t="s">
        <v>2616</v>
      </c>
      <c r="F48" t="s">
        <v>2638</v>
      </c>
      <c r="G48" t="s">
        <v>90</v>
      </c>
      <c r="H48" t="s">
        <v>2647</v>
      </c>
      <c r="I48" t="s">
        <v>44</v>
      </c>
      <c r="J48">
        <v>30</v>
      </c>
      <c r="K48">
        <v>63.24</v>
      </c>
      <c r="L48">
        <v>32.200000000000003</v>
      </c>
      <c r="M48">
        <v>0.15</v>
      </c>
      <c r="N48" t="s">
        <v>129</v>
      </c>
    </row>
    <row r="49" spans="1:14" x14ac:dyDescent="0.25">
      <c r="A49" t="s">
        <v>233</v>
      </c>
      <c r="B49" s="2">
        <v>45481</v>
      </c>
      <c r="C49" t="s">
        <v>234</v>
      </c>
      <c r="D49" t="s">
        <v>187</v>
      </c>
      <c r="E49" t="s">
        <v>2616</v>
      </c>
      <c r="F49" t="s">
        <v>2624</v>
      </c>
      <c r="G49" t="s">
        <v>29</v>
      </c>
      <c r="H49" t="s">
        <v>2648</v>
      </c>
      <c r="I49" t="s">
        <v>2578</v>
      </c>
      <c r="J49">
        <v>19</v>
      </c>
      <c r="K49">
        <v>49.02</v>
      </c>
      <c r="L49">
        <v>29.95</v>
      </c>
      <c r="M49">
        <v>0.05</v>
      </c>
      <c r="N49" t="s">
        <v>45</v>
      </c>
    </row>
    <row r="50" spans="1:14" x14ac:dyDescent="0.25">
      <c r="A50" t="s">
        <v>235</v>
      </c>
      <c r="B50" s="2">
        <v>45370</v>
      </c>
      <c r="C50" t="s">
        <v>208</v>
      </c>
      <c r="D50" t="s">
        <v>114</v>
      </c>
      <c r="E50" t="s">
        <v>2616</v>
      </c>
      <c r="F50" t="s">
        <v>2631</v>
      </c>
      <c r="G50" t="s">
        <v>195</v>
      </c>
      <c r="H50" t="s">
        <v>2645</v>
      </c>
      <c r="I50" t="s">
        <v>75</v>
      </c>
      <c r="J50">
        <v>38</v>
      </c>
      <c r="K50">
        <v>37.76</v>
      </c>
      <c r="L50">
        <v>19.47</v>
      </c>
      <c r="M50">
        <v>0.15</v>
      </c>
      <c r="N50" t="s">
        <v>45</v>
      </c>
    </row>
    <row r="51" spans="1:14" x14ac:dyDescent="0.25">
      <c r="A51" t="s">
        <v>236</v>
      </c>
      <c r="B51" s="2">
        <v>45448</v>
      </c>
      <c r="C51" t="s">
        <v>237</v>
      </c>
      <c r="D51" t="s">
        <v>176</v>
      </c>
      <c r="E51" t="s">
        <v>2615</v>
      </c>
      <c r="F51" t="s">
        <v>2627</v>
      </c>
      <c r="G51" t="s">
        <v>74</v>
      </c>
      <c r="H51" t="s">
        <v>2646</v>
      </c>
      <c r="I51" t="s">
        <v>75</v>
      </c>
      <c r="J51">
        <v>64</v>
      </c>
      <c r="K51">
        <v>104.61</v>
      </c>
      <c r="L51">
        <v>65.2</v>
      </c>
      <c r="M51">
        <v>0.05</v>
      </c>
      <c r="N51" t="s">
        <v>45</v>
      </c>
    </row>
    <row r="52" spans="1:14" x14ac:dyDescent="0.25">
      <c r="A52" t="s">
        <v>238</v>
      </c>
      <c r="B52" s="2">
        <v>45374</v>
      </c>
      <c r="C52" t="s">
        <v>239</v>
      </c>
      <c r="D52" t="s">
        <v>141</v>
      </c>
      <c r="E52" t="s">
        <v>2618</v>
      </c>
      <c r="F52" t="s">
        <v>2632</v>
      </c>
      <c r="G52" t="s">
        <v>83</v>
      </c>
      <c r="H52" t="s">
        <v>2645</v>
      </c>
      <c r="I52" t="s">
        <v>70</v>
      </c>
      <c r="J52">
        <v>10</v>
      </c>
      <c r="K52">
        <v>101.53</v>
      </c>
      <c r="L52">
        <v>58.53</v>
      </c>
      <c r="M52">
        <v>0.15</v>
      </c>
      <c r="N52" t="s">
        <v>45</v>
      </c>
    </row>
    <row r="53" spans="1:14" x14ac:dyDescent="0.25">
      <c r="A53" t="s">
        <v>240</v>
      </c>
      <c r="B53" s="2">
        <v>45480</v>
      </c>
      <c r="C53" t="s">
        <v>241</v>
      </c>
      <c r="D53" t="s">
        <v>114</v>
      </c>
      <c r="E53" t="s">
        <v>2616</v>
      </c>
      <c r="F53" t="s">
        <v>2638</v>
      </c>
      <c r="G53" t="s">
        <v>42</v>
      </c>
      <c r="H53" t="s">
        <v>2646</v>
      </c>
      <c r="I53" t="s">
        <v>75</v>
      </c>
      <c r="J53">
        <v>21</v>
      </c>
      <c r="K53">
        <v>37.090000000000003</v>
      </c>
      <c r="L53">
        <v>22.41</v>
      </c>
      <c r="M53">
        <v>0.05</v>
      </c>
      <c r="N53" t="s">
        <v>129</v>
      </c>
    </row>
    <row r="54" spans="1:14" x14ac:dyDescent="0.25">
      <c r="A54" t="s">
        <v>242</v>
      </c>
      <c r="B54" s="2">
        <v>45374</v>
      </c>
      <c r="C54" t="s">
        <v>243</v>
      </c>
      <c r="D54" t="s">
        <v>109</v>
      </c>
      <c r="E54" t="s">
        <v>2615</v>
      </c>
      <c r="F54" t="s">
        <v>2623</v>
      </c>
      <c r="G54" t="s">
        <v>144</v>
      </c>
      <c r="H54" t="s">
        <v>2645</v>
      </c>
      <c r="I54" t="s">
        <v>75</v>
      </c>
      <c r="J54">
        <v>59</v>
      </c>
      <c r="K54">
        <v>119.52</v>
      </c>
      <c r="L54">
        <v>75.66</v>
      </c>
      <c r="M54">
        <v>0.05</v>
      </c>
      <c r="N54" t="s">
        <v>45</v>
      </c>
    </row>
    <row r="55" spans="1:14" x14ac:dyDescent="0.25">
      <c r="A55" t="s">
        <v>244</v>
      </c>
      <c r="B55" s="2">
        <v>45377</v>
      </c>
      <c r="C55" t="s">
        <v>245</v>
      </c>
      <c r="D55" t="s">
        <v>49</v>
      </c>
      <c r="E55" t="s">
        <v>2614</v>
      </c>
      <c r="F55" t="s">
        <v>2636</v>
      </c>
      <c r="G55" t="s">
        <v>184</v>
      </c>
      <c r="H55" t="s">
        <v>2645</v>
      </c>
      <c r="I55" t="s">
        <v>70</v>
      </c>
      <c r="J55">
        <v>20</v>
      </c>
      <c r="K55">
        <v>26.85</v>
      </c>
      <c r="L55">
        <v>12.97</v>
      </c>
      <c r="M55">
        <v>0.2</v>
      </c>
      <c r="N55" t="s">
        <v>45</v>
      </c>
    </row>
    <row r="56" spans="1:14" x14ac:dyDescent="0.25">
      <c r="A56" t="s">
        <v>246</v>
      </c>
      <c r="B56" s="2">
        <v>45382</v>
      </c>
      <c r="C56" t="s">
        <v>247</v>
      </c>
      <c r="D56" t="s">
        <v>36</v>
      </c>
      <c r="E56" t="s">
        <v>2614</v>
      </c>
      <c r="F56" t="s">
        <v>2637</v>
      </c>
      <c r="G56" t="s">
        <v>248</v>
      </c>
      <c r="H56" t="s">
        <v>2648</v>
      </c>
      <c r="I56" t="s">
        <v>84</v>
      </c>
      <c r="J56">
        <v>24</v>
      </c>
      <c r="K56">
        <v>167.13</v>
      </c>
      <c r="L56">
        <v>99.09</v>
      </c>
      <c r="M56">
        <v>0.05</v>
      </c>
      <c r="N56" t="s">
        <v>129</v>
      </c>
    </row>
    <row r="57" spans="1:14" x14ac:dyDescent="0.25">
      <c r="A57" t="s">
        <v>249</v>
      </c>
      <c r="B57" s="2">
        <v>45490</v>
      </c>
      <c r="C57" t="s">
        <v>104</v>
      </c>
      <c r="D57" t="s">
        <v>250</v>
      </c>
      <c r="E57" t="s">
        <v>2615</v>
      </c>
      <c r="F57" t="s">
        <v>2623</v>
      </c>
      <c r="G57" t="s">
        <v>253</v>
      </c>
      <c r="H57" t="s">
        <v>2645</v>
      </c>
      <c r="I57" t="s">
        <v>44</v>
      </c>
      <c r="J57">
        <v>-5</v>
      </c>
      <c r="K57">
        <v>60.77</v>
      </c>
      <c r="L57">
        <v>37.200000000000003</v>
      </c>
      <c r="M57">
        <v>0.05</v>
      </c>
      <c r="N57" t="s">
        <v>129</v>
      </c>
    </row>
    <row r="58" spans="1:14" x14ac:dyDescent="0.25">
      <c r="A58" t="s">
        <v>254</v>
      </c>
      <c r="B58" s="2">
        <v>45351</v>
      </c>
      <c r="C58" t="s">
        <v>255</v>
      </c>
      <c r="D58" t="s">
        <v>165</v>
      </c>
      <c r="E58" t="s">
        <v>2614</v>
      </c>
      <c r="F58" t="s">
        <v>2636</v>
      </c>
      <c r="G58" t="s">
        <v>152</v>
      </c>
      <c r="H58" t="s">
        <v>2647</v>
      </c>
      <c r="I58" t="s">
        <v>2578</v>
      </c>
      <c r="J58">
        <v>74</v>
      </c>
      <c r="K58">
        <v>41.73</v>
      </c>
      <c r="L58">
        <v>24.21</v>
      </c>
      <c r="M58">
        <v>0.05</v>
      </c>
      <c r="N58" t="s">
        <v>45</v>
      </c>
    </row>
    <row r="59" spans="1:14" x14ac:dyDescent="0.25">
      <c r="A59" t="s">
        <v>257</v>
      </c>
      <c r="B59" s="2">
        <v>45454</v>
      </c>
      <c r="C59" t="s">
        <v>258</v>
      </c>
      <c r="D59" t="s">
        <v>176</v>
      </c>
      <c r="E59" t="s">
        <v>2615</v>
      </c>
      <c r="F59" t="s">
        <v>2630</v>
      </c>
      <c r="G59" t="s">
        <v>83</v>
      </c>
      <c r="H59" t="s">
        <v>2646</v>
      </c>
      <c r="I59" t="s">
        <v>2578</v>
      </c>
      <c r="J59">
        <v>49</v>
      </c>
      <c r="K59">
        <v>104.24</v>
      </c>
      <c r="L59">
        <v>63.16</v>
      </c>
      <c r="M59">
        <v>0.15</v>
      </c>
      <c r="N59" t="s">
        <v>45</v>
      </c>
    </row>
    <row r="60" spans="1:14" x14ac:dyDescent="0.25">
      <c r="A60" t="s">
        <v>260</v>
      </c>
      <c r="B60" s="2">
        <v>45357</v>
      </c>
      <c r="C60" t="s">
        <v>192</v>
      </c>
      <c r="D60" t="s">
        <v>165</v>
      </c>
      <c r="E60" t="s">
        <v>2618</v>
      </c>
      <c r="F60" t="s">
        <v>2634</v>
      </c>
      <c r="G60" t="s">
        <v>261</v>
      </c>
      <c r="H60" t="s">
        <v>2648</v>
      </c>
      <c r="I60" t="s">
        <v>84</v>
      </c>
      <c r="J60">
        <v>25</v>
      </c>
      <c r="K60">
        <v>38.799999999999997</v>
      </c>
      <c r="L60">
        <v>26.33</v>
      </c>
      <c r="M60">
        <v>0.1</v>
      </c>
      <c r="N60" t="s">
        <v>45</v>
      </c>
    </row>
    <row r="61" spans="1:14" x14ac:dyDescent="0.25">
      <c r="A61" t="s">
        <v>262</v>
      </c>
      <c r="B61" s="2">
        <v>45322</v>
      </c>
      <c r="C61" t="s">
        <v>263</v>
      </c>
      <c r="D61" t="s">
        <v>23</v>
      </c>
      <c r="E61" t="s">
        <v>2615</v>
      </c>
      <c r="F61" t="s">
        <v>2630</v>
      </c>
      <c r="G61" t="s">
        <v>265</v>
      </c>
      <c r="H61" t="s">
        <v>2647</v>
      </c>
      <c r="I61" t="s">
        <v>2578</v>
      </c>
      <c r="J61">
        <v>49</v>
      </c>
      <c r="K61">
        <v>72.63</v>
      </c>
      <c r="L61">
        <v>44.45</v>
      </c>
      <c r="M61">
        <v>0.2</v>
      </c>
      <c r="N61" t="s">
        <v>45</v>
      </c>
    </row>
    <row r="62" spans="1:14" x14ac:dyDescent="0.25">
      <c r="A62" t="s">
        <v>266</v>
      </c>
      <c r="B62" s="2">
        <v>45633</v>
      </c>
      <c r="C62" t="s">
        <v>267</v>
      </c>
      <c r="D62" t="s">
        <v>132</v>
      </c>
      <c r="E62" t="s">
        <v>2618</v>
      </c>
      <c r="F62" t="s">
        <v>2634</v>
      </c>
      <c r="G62" t="s">
        <v>83</v>
      </c>
      <c r="H62" t="s">
        <v>2648</v>
      </c>
      <c r="I62" t="s">
        <v>70</v>
      </c>
      <c r="J62">
        <v>75</v>
      </c>
      <c r="K62">
        <v>56.21</v>
      </c>
      <c r="L62">
        <v>34.85</v>
      </c>
      <c r="M62">
        <v>0.15</v>
      </c>
      <c r="N62" t="s">
        <v>45</v>
      </c>
    </row>
    <row r="63" spans="1:14" x14ac:dyDescent="0.25">
      <c r="A63" t="s">
        <v>268</v>
      </c>
      <c r="B63" s="2">
        <v>45546</v>
      </c>
      <c r="C63" t="s">
        <v>269</v>
      </c>
      <c r="D63" t="s">
        <v>132</v>
      </c>
      <c r="E63" t="s">
        <v>2616</v>
      </c>
      <c r="F63" t="s">
        <v>2638</v>
      </c>
      <c r="G63" t="s">
        <v>248</v>
      </c>
      <c r="H63" t="s">
        <v>2648</v>
      </c>
      <c r="I63" t="s">
        <v>2578</v>
      </c>
      <c r="J63">
        <v>75</v>
      </c>
      <c r="K63">
        <v>61.36</v>
      </c>
      <c r="L63">
        <v>31.74</v>
      </c>
      <c r="M63">
        <v>0.02</v>
      </c>
      <c r="N63" t="s">
        <v>32</v>
      </c>
    </row>
    <row r="64" spans="1:14" x14ac:dyDescent="0.25">
      <c r="A64" t="s">
        <v>271</v>
      </c>
      <c r="B64" s="2">
        <v>45414</v>
      </c>
      <c r="C64" t="s">
        <v>272</v>
      </c>
      <c r="D64" t="s">
        <v>109</v>
      </c>
      <c r="E64" t="s">
        <v>2615</v>
      </c>
      <c r="F64" t="s">
        <v>2627</v>
      </c>
      <c r="G64" t="s">
        <v>144</v>
      </c>
      <c r="H64" t="s">
        <v>2645</v>
      </c>
      <c r="I64" t="s">
        <v>2578</v>
      </c>
      <c r="J64">
        <v>80</v>
      </c>
      <c r="K64">
        <v>134.26</v>
      </c>
      <c r="L64">
        <v>72.13</v>
      </c>
      <c r="M64">
        <v>0.02</v>
      </c>
      <c r="N64" t="s">
        <v>45</v>
      </c>
    </row>
    <row r="65" spans="1:14" x14ac:dyDescent="0.25">
      <c r="A65" t="s">
        <v>273</v>
      </c>
      <c r="B65" s="2">
        <v>45457</v>
      </c>
      <c r="C65" t="s">
        <v>239</v>
      </c>
      <c r="D65" t="s">
        <v>187</v>
      </c>
      <c r="E65" t="s">
        <v>2615</v>
      </c>
      <c r="F65" t="s">
        <v>2623</v>
      </c>
      <c r="G65" t="s">
        <v>170</v>
      </c>
      <c r="H65" t="s">
        <v>2645</v>
      </c>
      <c r="I65" t="s">
        <v>70</v>
      </c>
      <c r="J65">
        <v>27</v>
      </c>
      <c r="K65">
        <v>49.18</v>
      </c>
      <c r="L65">
        <v>27.39</v>
      </c>
      <c r="M65">
        <v>0</v>
      </c>
      <c r="N65" t="s">
        <v>129</v>
      </c>
    </row>
    <row r="66" spans="1:14" x14ac:dyDescent="0.25">
      <c r="A66" t="s">
        <v>274</v>
      </c>
      <c r="B66" s="2">
        <v>45467</v>
      </c>
      <c r="C66" t="s">
        <v>34</v>
      </c>
      <c r="D66" t="s">
        <v>99</v>
      </c>
      <c r="E66" t="s">
        <v>2618</v>
      </c>
      <c r="F66" t="s">
        <v>2632</v>
      </c>
      <c r="G66" t="s">
        <v>248</v>
      </c>
      <c r="H66" t="s">
        <v>2646</v>
      </c>
      <c r="I66" t="s">
        <v>70</v>
      </c>
      <c r="J66">
        <v>7</v>
      </c>
      <c r="K66">
        <v>69.91</v>
      </c>
      <c r="L66">
        <v>39.409999999999997</v>
      </c>
      <c r="M66" t="e">
        <f>ROUND(#REF!/#REF!,2)</f>
        <v>#REF!</v>
      </c>
      <c r="N66" t="s">
        <v>45</v>
      </c>
    </row>
    <row r="67" spans="1:14" x14ac:dyDescent="0.25">
      <c r="A67" t="s">
        <v>275</v>
      </c>
      <c r="B67" s="2">
        <v>45381</v>
      </c>
      <c r="C67" t="s">
        <v>276</v>
      </c>
      <c r="D67" t="s">
        <v>93</v>
      </c>
      <c r="E67" t="s">
        <v>2616</v>
      </c>
      <c r="F67" t="s">
        <v>2624</v>
      </c>
      <c r="G67" t="s">
        <v>184</v>
      </c>
      <c r="H67" t="s">
        <v>2647</v>
      </c>
      <c r="I67" t="s">
        <v>44</v>
      </c>
      <c r="J67">
        <v>34</v>
      </c>
      <c r="K67">
        <v>58.97</v>
      </c>
      <c r="L67">
        <v>30.21</v>
      </c>
      <c r="M67">
        <v>0.2</v>
      </c>
      <c r="N67" t="s">
        <v>45</v>
      </c>
    </row>
    <row r="68" spans="1:14" x14ac:dyDescent="0.25">
      <c r="A68" t="s">
        <v>277</v>
      </c>
      <c r="B68" s="2">
        <v>45493</v>
      </c>
      <c r="C68" t="s">
        <v>278</v>
      </c>
      <c r="D68" t="s">
        <v>93</v>
      </c>
      <c r="E68" t="s">
        <v>2617</v>
      </c>
      <c r="F68" t="s">
        <v>2625</v>
      </c>
      <c r="G68" t="s">
        <v>178</v>
      </c>
      <c r="H68" t="s">
        <v>2645</v>
      </c>
      <c r="I68" t="s">
        <v>44</v>
      </c>
      <c r="J68">
        <v>9</v>
      </c>
      <c r="K68">
        <v>55.15</v>
      </c>
      <c r="L68">
        <v>31.64</v>
      </c>
      <c r="M68">
        <v>0.2</v>
      </c>
      <c r="N68" t="s">
        <v>129</v>
      </c>
    </row>
    <row r="69" spans="1:14" x14ac:dyDescent="0.25">
      <c r="A69" t="s">
        <v>279</v>
      </c>
      <c r="B69" s="2">
        <v>45417</v>
      </c>
      <c r="C69" t="s">
        <v>280</v>
      </c>
      <c r="D69" t="s">
        <v>99</v>
      </c>
      <c r="E69" t="s">
        <v>2617</v>
      </c>
      <c r="F69" t="s">
        <v>2625</v>
      </c>
      <c r="G69" t="s">
        <v>195</v>
      </c>
      <c r="H69" t="s">
        <v>2645</v>
      </c>
      <c r="I69" t="s">
        <v>44</v>
      </c>
      <c r="J69">
        <v>12</v>
      </c>
      <c r="K69">
        <v>69.08</v>
      </c>
      <c r="L69">
        <v>39.18</v>
      </c>
      <c r="M69">
        <v>0.05</v>
      </c>
      <c r="N69" t="s">
        <v>32</v>
      </c>
    </row>
    <row r="70" spans="1:14" x14ac:dyDescent="0.25">
      <c r="A70" t="s">
        <v>281</v>
      </c>
      <c r="B70" s="2">
        <v>45319</v>
      </c>
      <c r="C70" t="s">
        <v>282</v>
      </c>
      <c r="D70" t="s">
        <v>66</v>
      </c>
      <c r="E70" t="s">
        <v>2617</v>
      </c>
      <c r="F70" t="s">
        <v>2625</v>
      </c>
      <c r="G70" t="s">
        <v>111</v>
      </c>
      <c r="H70" t="s">
        <v>2646</v>
      </c>
      <c r="I70" t="s">
        <v>44</v>
      </c>
      <c r="J70">
        <v>45</v>
      </c>
      <c r="K70">
        <v>162.16</v>
      </c>
      <c r="L70">
        <v>104.64</v>
      </c>
      <c r="M70">
        <v>0.1</v>
      </c>
      <c r="N70" t="s">
        <v>45</v>
      </c>
    </row>
    <row r="71" spans="1:14" x14ac:dyDescent="0.25">
      <c r="A71" t="s">
        <v>283</v>
      </c>
      <c r="B71" s="2">
        <v>45440</v>
      </c>
      <c r="C71" t="s">
        <v>284</v>
      </c>
      <c r="D71" t="s">
        <v>209</v>
      </c>
      <c r="E71" t="s">
        <v>2616</v>
      </c>
      <c r="F71" t="s">
        <v>2639</v>
      </c>
      <c r="G71" t="s">
        <v>111</v>
      </c>
      <c r="H71" t="s">
        <v>2647</v>
      </c>
      <c r="I71" t="s">
        <v>44</v>
      </c>
      <c r="J71">
        <v>37</v>
      </c>
      <c r="K71">
        <v>17.510000000000002</v>
      </c>
      <c r="L71">
        <v>9.89</v>
      </c>
      <c r="M71">
        <v>0.1</v>
      </c>
      <c r="N71" t="s">
        <v>45</v>
      </c>
    </row>
    <row r="72" spans="1:14" x14ac:dyDescent="0.25">
      <c r="A72" t="s">
        <v>286</v>
      </c>
      <c r="B72" s="2">
        <v>45377</v>
      </c>
      <c r="C72" t="s">
        <v>287</v>
      </c>
      <c r="D72" t="s">
        <v>78</v>
      </c>
      <c r="E72" t="s">
        <v>2615</v>
      </c>
      <c r="F72" t="s">
        <v>2640</v>
      </c>
      <c r="G72" t="s">
        <v>90</v>
      </c>
      <c r="H72" t="s">
        <v>2646</v>
      </c>
      <c r="I72" t="s">
        <v>84</v>
      </c>
      <c r="J72">
        <v>48</v>
      </c>
      <c r="K72">
        <v>129.68</v>
      </c>
      <c r="L72">
        <v>85.93</v>
      </c>
      <c r="M72">
        <v>0.02</v>
      </c>
      <c r="N72" t="s">
        <v>45</v>
      </c>
    </row>
    <row r="73" spans="1:14" x14ac:dyDescent="0.25">
      <c r="A73" t="s">
        <v>290</v>
      </c>
      <c r="B73" s="2">
        <v>45419</v>
      </c>
      <c r="C73" t="s">
        <v>291</v>
      </c>
      <c r="D73" t="s">
        <v>114</v>
      </c>
      <c r="E73" t="s">
        <v>2616</v>
      </c>
      <c r="F73" t="s">
        <v>2624</v>
      </c>
      <c r="G73" t="s">
        <v>90</v>
      </c>
      <c r="H73" t="s">
        <v>2648</v>
      </c>
      <c r="I73" t="s">
        <v>84</v>
      </c>
      <c r="J73">
        <v>50</v>
      </c>
      <c r="K73">
        <v>36.14</v>
      </c>
      <c r="L73">
        <v>21.14</v>
      </c>
      <c r="M73">
        <v>0.1</v>
      </c>
      <c r="N73" t="s">
        <v>32</v>
      </c>
    </row>
    <row r="74" spans="1:14" x14ac:dyDescent="0.25">
      <c r="A74" t="s">
        <v>292</v>
      </c>
      <c r="B74" s="2">
        <v>45485</v>
      </c>
      <c r="C74" t="s">
        <v>293</v>
      </c>
      <c r="D74" t="s">
        <v>222</v>
      </c>
      <c r="E74" t="s">
        <v>2618</v>
      </c>
      <c r="F74" t="s">
        <v>2632</v>
      </c>
      <c r="G74" t="s">
        <v>118</v>
      </c>
      <c r="H74" t="s">
        <v>2647</v>
      </c>
      <c r="I74" t="s">
        <v>2578</v>
      </c>
      <c r="J74">
        <v>1</v>
      </c>
      <c r="K74">
        <v>114.58</v>
      </c>
      <c r="L74">
        <v>80.02</v>
      </c>
      <c r="M74">
        <v>0.02</v>
      </c>
      <c r="N74" t="s">
        <v>45</v>
      </c>
    </row>
    <row r="75" spans="1:14" x14ac:dyDescent="0.25">
      <c r="A75" t="s">
        <v>294</v>
      </c>
      <c r="B75" s="2">
        <v>45581</v>
      </c>
      <c r="C75" t="s">
        <v>295</v>
      </c>
      <c r="D75" t="s">
        <v>209</v>
      </c>
      <c r="E75" t="s">
        <v>2618</v>
      </c>
      <c r="F75" t="s">
        <v>2628</v>
      </c>
      <c r="G75" t="s">
        <v>170</v>
      </c>
      <c r="H75" t="s">
        <v>2646</v>
      </c>
      <c r="I75" t="s">
        <v>44</v>
      </c>
      <c r="J75">
        <v>52</v>
      </c>
      <c r="K75">
        <v>19.260000000000002</v>
      </c>
      <c r="L75">
        <v>10.31</v>
      </c>
      <c r="M75">
        <v>0</v>
      </c>
      <c r="N75" t="s">
        <v>45</v>
      </c>
    </row>
    <row r="76" spans="1:14" x14ac:dyDescent="0.25">
      <c r="A76" t="s">
        <v>296</v>
      </c>
      <c r="B76" s="2">
        <v>45568</v>
      </c>
      <c r="C76" t="s">
        <v>297</v>
      </c>
      <c r="D76" t="s">
        <v>36</v>
      </c>
      <c r="E76" t="s">
        <v>2617</v>
      </c>
      <c r="F76" t="s">
        <v>2625</v>
      </c>
      <c r="G76" t="s">
        <v>111</v>
      </c>
      <c r="H76" t="s">
        <v>2646</v>
      </c>
      <c r="I76" t="s">
        <v>2578</v>
      </c>
      <c r="J76">
        <v>70</v>
      </c>
      <c r="K76">
        <v>165.82</v>
      </c>
      <c r="L76">
        <v>105.92</v>
      </c>
      <c r="M76">
        <v>0</v>
      </c>
      <c r="N76" t="s">
        <v>45</v>
      </c>
    </row>
    <row r="77" spans="1:14" x14ac:dyDescent="0.25">
      <c r="A77" t="s">
        <v>298</v>
      </c>
      <c r="B77" s="2">
        <v>45625</v>
      </c>
      <c r="C77" t="s">
        <v>299</v>
      </c>
      <c r="D77" t="s">
        <v>209</v>
      </c>
      <c r="E77" t="s">
        <v>2618</v>
      </c>
      <c r="F77" t="s">
        <v>2632</v>
      </c>
      <c r="G77" t="s">
        <v>60</v>
      </c>
      <c r="H77" t="s">
        <v>2648</v>
      </c>
      <c r="I77" t="s">
        <v>75</v>
      </c>
      <c r="J77">
        <v>39</v>
      </c>
      <c r="K77">
        <v>17.63</v>
      </c>
      <c r="L77">
        <v>10.26</v>
      </c>
      <c r="M77">
        <v>0.15</v>
      </c>
      <c r="N77" t="s">
        <v>45</v>
      </c>
    </row>
    <row r="78" spans="1:14" x14ac:dyDescent="0.25">
      <c r="A78" t="s">
        <v>300</v>
      </c>
      <c r="B78" s="2">
        <v>45361</v>
      </c>
      <c r="C78" t="s">
        <v>301</v>
      </c>
      <c r="D78" t="s">
        <v>222</v>
      </c>
      <c r="E78" t="s">
        <v>2614</v>
      </c>
      <c r="F78" t="s">
        <v>2637</v>
      </c>
      <c r="G78" t="s">
        <v>69</v>
      </c>
      <c r="H78" t="s">
        <v>2648</v>
      </c>
      <c r="I78" t="s">
        <v>70</v>
      </c>
      <c r="J78">
        <v>29</v>
      </c>
      <c r="K78">
        <v>117.61</v>
      </c>
      <c r="L78">
        <v>81.790000000000006</v>
      </c>
      <c r="M78">
        <v>0.2</v>
      </c>
      <c r="N78" t="s">
        <v>45</v>
      </c>
    </row>
    <row r="79" spans="1:14" x14ac:dyDescent="0.25">
      <c r="A79" t="s">
        <v>302</v>
      </c>
      <c r="B79" s="2">
        <v>45579</v>
      </c>
      <c r="C79" t="s">
        <v>303</v>
      </c>
      <c r="D79" t="s">
        <v>216</v>
      </c>
      <c r="E79" t="s">
        <v>2615</v>
      </c>
      <c r="F79" t="s">
        <v>2627</v>
      </c>
      <c r="G79" t="s">
        <v>29</v>
      </c>
      <c r="H79" t="s">
        <v>2645</v>
      </c>
      <c r="I79" t="s">
        <v>75</v>
      </c>
      <c r="J79">
        <v>2</v>
      </c>
      <c r="K79">
        <v>101.43</v>
      </c>
      <c r="L79">
        <v>68.75</v>
      </c>
      <c r="M79">
        <v>0</v>
      </c>
      <c r="N79" t="s">
        <v>129</v>
      </c>
    </row>
    <row r="80" spans="1:14" x14ac:dyDescent="0.25">
      <c r="A80" t="s">
        <v>304</v>
      </c>
      <c r="B80" s="2">
        <v>45548</v>
      </c>
      <c r="C80" t="s">
        <v>305</v>
      </c>
      <c r="D80" t="s">
        <v>250</v>
      </c>
      <c r="E80" t="s">
        <v>2618</v>
      </c>
      <c r="F80" t="s">
        <v>2632</v>
      </c>
      <c r="G80" t="s">
        <v>144</v>
      </c>
      <c r="H80" t="s">
        <v>2647</v>
      </c>
      <c r="I80" t="s">
        <v>2578</v>
      </c>
      <c r="J80">
        <v>15</v>
      </c>
      <c r="K80">
        <v>63.52</v>
      </c>
      <c r="L80">
        <v>38.9</v>
      </c>
      <c r="M80">
        <v>0.15</v>
      </c>
      <c r="N80" t="s">
        <v>129</v>
      </c>
    </row>
    <row r="81" spans="1:14" x14ac:dyDescent="0.25">
      <c r="A81" t="s">
        <v>306</v>
      </c>
      <c r="B81" s="2">
        <v>45357</v>
      </c>
      <c r="C81" t="s">
        <v>307</v>
      </c>
      <c r="D81" t="s">
        <v>216</v>
      </c>
      <c r="E81" t="s">
        <v>2618</v>
      </c>
      <c r="F81" t="s">
        <v>2634</v>
      </c>
      <c r="G81" t="s">
        <v>253</v>
      </c>
      <c r="H81" t="s">
        <v>2645</v>
      </c>
      <c r="I81" t="s">
        <v>75</v>
      </c>
      <c r="J81">
        <v>64</v>
      </c>
      <c r="K81">
        <v>103.34</v>
      </c>
      <c r="L81">
        <v>63.76</v>
      </c>
      <c r="M81">
        <v>0</v>
      </c>
      <c r="N81" t="s">
        <v>45</v>
      </c>
    </row>
    <row r="82" spans="1:14" x14ac:dyDescent="0.25">
      <c r="A82" t="s">
        <v>308</v>
      </c>
      <c r="B82" s="2">
        <v>45574</v>
      </c>
      <c r="C82" t="s">
        <v>309</v>
      </c>
      <c r="D82" t="s">
        <v>109</v>
      </c>
      <c r="E82" t="s">
        <v>2616</v>
      </c>
      <c r="F82" t="s">
        <v>2624</v>
      </c>
      <c r="G82" t="s">
        <v>69</v>
      </c>
      <c r="H82" t="s">
        <v>2645</v>
      </c>
      <c r="I82" t="s">
        <v>75</v>
      </c>
      <c r="J82">
        <v>7</v>
      </c>
      <c r="K82">
        <v>129.75</v>
      </c>
      <c r="L82">
        <v>73.430000000000007</v>
      </c>
      <c r="M82">
        <v>0</v>
      </c>
      <c r="N82" t="s">
        <v>129</v>
      </c>
    </row>
    <row r="83" spans="1:14" x14ac:dyDescent="0.25">
      <c r="A83" t="s">
        <v>310</v>
      </c>
      <c r="B83" s="2">
        <v>45564</v>
      </c>
      <c r="C83" t="s">
        <v>239</v>
      </c>
      <c r="D83" t="s">
        <v>150</v>
      </c>
      <c r="E83" t="s">
        <v>2616</v>
      </c>
      <c r="F83" t="s">
        <v>2633</v>
      </c>
      <c r="G83" t="s">
        <v>184</v>
      </c>
      <c r="H83" t="s">
        <v>2647</v>
      </c>
      <c r="I83" t="s">
        <v>44</v>
      </c>
      <c r="J83">
        <v>65</v>
      </c>
      <c r="K83">
        <v>89.32</v>
      </c>
      <c r="L83">
        <v>49.71</v>
      </c>
      <c r="M83">
        <v>0</v>
      </c>
      <c r="N83" t="s">
        <v>32</v>
      </c>
    </row>
    <row r="84" spans="1:14" x14ac:dyDescent="0.25">
      <c r="A84" t="s">
        <v>311</v>
      </c>
      <c r="B84" s="2">
        <v>45513</v>
      </c>
      <c r="C84" t="s">
        <v>312</v>
      </c>
      <c r="D84" t="s">
        <v>23</v>
      </c>
      <c r="E84" t="s">
        <v>2616</v>
      </c>
      <c r="F84" t="s">
        <v>2633</v>
      </c>
      <c r="G84" t="s">
        <v>265</v>
      </c>
      <c r="H84" t="s">
        <v>2646</v>
      </c>
      <c r="I84" t="s">
        <v>75</v>
      </c>
      <c r="J84">
        <v>77</v>
      </c>
      <c r="K84">
        <v>76.78</v>
      </c>
      <c r="L84">
        <v>42.36</v>
      </c>
      <c r="M84">
        <v>0</v>
      </c>
      <c r="N84" t="s">
        <v>129</v>
      </c>
    </row>
    <row r="85" spans="1:14" x14ac:dyDescent="0.25">
      <c r="A85" t="s">
        <v>313</v>
      </c>
      <c r="B85" s="2">
        <v>45473</v>
      </c>
      <c r="C85" t="s">
        <v>314</v>
      </c>
      <c r="D85" t="s">
        <v>250</v>
      </c>
      <c r="E85" t="s">
        <v>2614</v>
      </c>
      <c r="F85" t="s">
        <v>2622</v>
      </c>
      <c r="G85" t="s">
        <v>42</v>
      </c>
      <c r="H85" t="s">
        <v>2646</v>
      </c>
      <c r="I85" t="s">
        <v>44</v>
      </c>
      <c r="J85">
        <v>68</v>
      </c>
      <c r="K85">
        <v>63.42</v>
      </c>
      <c r="L85">
        <v>37.22</v>
      </c>
      <c r="M85">
        <v>0.15</v>
      </c>
      <c r="N85" t="s">
        <v>45</v>
      </c>
    </row>
    <row r="86" spans="1:14" x14ac:dyDescent="0.25">
      <c r="A86" t="s">
        <v>315</v>
      </c>
      <c r="B86" s="2">
        <v>45505</v>
      </c>
      <c r="C86" t="s">
        <v>316</v>
      </c>
      <c r="D86" t="s">
        <v>114</v>
      </c>
      <c r="E86" t="s">
        <v>2618</v>
      </c>
      <c r="F86" t="s">
        <v>2634</v>
      </c>
      <c r="G86" t="s">
        <v>248</v>
      </c>
      <c r="H86" t="s">
        <v>2647</v>
      </c>
      <c r="I86" t="s">
        <v>44</v>
      </c>
      <c r="J86">
        <v>76</v>
      </c>
      <c r="K86">
        <v>35.47</v>
      </c>
      <c r="L86">
        <v>20.67</v>
      </c>
      <c r="M86">
        <v>0.1</v>
      </c>
      <c r="N86" t="s">
        <v>45</v>
      </c>
    </row>
    <row r="87" spans="1:14" x14ac:dyDescent="0.25">
      <c r="A87" t="s">
        <v>317</v>
      </c>
      <c r="B87" s="2">
        <v>45443</v>
      </c>
      <c r="C87" t="s">
        <v>318</v>
      </c>
      <c r="D87" t="s">
        <v>187</v>
      </c>
      <c r="E87" t="s">
        <v>2615</v>
      </c>
      <c r="F87" t="s">
        <v>2627</v>
      </c>
      <c r="G87" t="s">
        <v>195</v>
      </c>
      <c r="H87" t="s">
        <v>2645</v>
      </c>
      <c r="I87" t="s">
        <v>44</v>
      </c>
      <c r="J87">
        <v>20</v>
      </c>
      <c r="K87">
        <v>48.21</v>
      </c>
      <c r="L87">
        <v>31.29</v>
      </c>
      <c r="M87">
        <v>0.02</v>
      </c>
      <c r="N87" t="s">
        <v>45</v>
      </c>
    </row>
    <row r="88" spans="1:14" x14ac:dyDescent="0.25">
      <c r="A88" t="s">
        <v>319</v>
      </c>
      <c r="B88" s="2">
        <v>45360</v>
      </c>
      <c r="C88" t="s">
        <v>320</v>
      </c>
      <c r="D88" t="s">
        <v>165</v>
      </c>
      <c r="E88" t="s">
        <v>2615</v>
      </c>
      <c r="F88" t="s">
        <v>2627</v>
      </c>
      <c r="G88" t="s">
        <v>69</v>
      </c>
      <c r="H88" t="s">
        <v>2646</v>
      </c>
      <c r="I88" t="s">
        <v>84</v>
      </c>
      <c r="J88">
        <v>65</v>
      </c>
      <c r="K88">
        <v>43.96</v>
      </c>
      <c r="L88">
        <v>26.16</v>
      </c>
      <c r="M88">
        <v>0.1</v>
      </c>
      <c r="N88" t="s">
        <v>45</v>
      </c>
    </row>
    <row r="89" spans="1:14" x14ac:dyDescent="0.25">
      <c r="A89" t="s">
        <v>321</v>
      </c>
      <c r="B89" s="2">
        <v>45299</v>
      </c>
      <c r="C89" t="s">
        <v>322</v>
      </c>
      <c r="D89" t="s">
        <v>126</v>
      </c>
      <c r="E89" t="s">
        <v>2617</v>
      </c>
      <c r="F89" t="s">
        <v>2641</v>
      </c>
      <c r="G89" t="s">
        <v>69</v>
      </c>
      <c r="H89" t="s">
        <v>2647</v>
      </c>
      <c r="I89" t="s">
        <v>44</v>
      </c>
      <c r="J89">
        <v>44</v>
      </c>
      <c r="K89">
        <v>84.11</v>
      </c>
      <c r="L89">
        <v>52.95</v>
      </c>
      <c r="M89">
        <v>0.05</v>
      </c>
      <c r="N89" t="s">
        <v>129</v>
      </c>
    </row>
    <row r="90" spans="1:14" x14ac:dyDescent="0.25">
      <c r="A90" t="s">
        <v>324</v>
      </c>
      <c r="B90" s="2">
        <v>45494</v>
      </c>
      <c r="C90" t="s">
        <v>325</v>
      </c>
      <c r="D90" t="s">
        <v>222</v>
      </c>
      <c r="E90" t="s">
        <v>2614</v>
      </c>
      <c r="F90" t="s">
        <v>2622</v>
      </c>
      <c r="G90" t="s">
        <v>90</v>
      </c>
      <c r="H90" t="s">
        <v>2647</v>
      </c>
      <c r="I90" t="s">
        <v>70</v>
      </c>
      <c r="J90">
        <v>52</v>
      </c>
      <c r="K90">
        <v>111.1</v>
      </c>
      <c r="L90">
        <v>80.95</v>
      </c>
      <c r="M90">
        <v>0.2</v>
      </c>
      <c r="N90" t="s">
        <v>45</v>
      </c>
    </row>
    <row r="91" spans="1:14" x14ac:dyDescent="0.25">
      <c r="A91" t="s">
        <v>326</v>
      </c>
      <c r="B91" s="2">
        <v>45324</v>
      </c>
      <c r="C91" t="s">
        <v>278</v>
      </c>
      <c r="D91" t="s">
        <v>99</v>
      </c>
      <c r="E91" t="s">
        <v>2616</v>
      </c>
      <c r="F91" t="s">
        <v>2631</v>
      </c>
      <c r="G91" t="s">
        <v>265</v>
      </c>
      <c r="H91" t="s">
        <v>2647</v>
      </c>
      <c r="I91" t="s">
        <v>84</v>
      </c>
      <c r="J91">
        <v>61</v>
      </c>
      <c r="K91">
        <v>67.959999999999994</v>
      </c>
      <c r="L91">
        <v>43.28</v>
      </c>
      <c r="M91">
        <v>0.2</v>
      </c>
      <c r="N91" t="s">
        <v>32</v>
      </c>
    </row>
    <row r="92" spans="1:14" x14ac:dyDescent="0.25">
      <c r="A92" t="s">
        <v>327</v>
      </c>
      <c r="B92" s="2">
        <v>45312</v>
      </c>
      <c r="C92" t="s">
        <v>328</v>
      </c>
      <c r="D92" t="s">
        <v>187</v>
      </c>
      <c r="E92" t="s">
        <v>2614</v>
      </c>
      <c r="F92" t="s">
        <v>2637</v>
      </c>
      <c r="G92" t="s">
        <v>178</v>
      </c>
      <c r="H92" t="s">
        <v>2647</v>
      </c>
      <c r="I92" t="s">
        <v>84</v>
      </c>
      <c r="J92">
        <v>50</v>
      </c>
      <c r="K92">
        <v>49.48</v>
      </c>
      <c r="L92">
        <v>27.91</v>
      </c>
      <c r="M92">
        <v>0.05</v>
      </c>
      <c r="N92" t="s">
        <v>45</v>
      </c>
    </row>
    <row r="93" spans="1:14" x14ac:dyDescent="0.25">
      <c r="A93" t="s">
        <v>329</v>
      </c>
      <c r="B93" s="2">
        <v>45372</v>
      </c>
      <c r="C93" t="s">
        <v>307</v>
      </c>
      <c r="D93" t="s">
        <v>250</v>
      </c>
      <c r="E93" t="s">
        <v>2617</v>
      </c>
      <c r="F93" t="s">
        <v>2625</v>
      </c>
      <c r="G93" t="s">
        <v>152</v>
      </c>
      <c r="H93" t="s">
        <v>2646</v>
      </c>
      <c r="I93" t="s">
        <v>44</v>
      </c>
      <c r="J93">
        <v>57</v>
      </c>
      <c r="K93">
        <v>63.84</v>
      </c>
      <c r="L93">
        <v>36.61</v>
      </c>
      <c r="M93">
        <v>0.15</v>
      </c>
      <c r="N93" t="s">
        <v>45</v>
      </c>
    </row>
    <row r="94" spans="1:14" x14ac:dyDescent="0.25">
      <c r="A94" t="s">
        <v>330</v>
      </c>
      <c r="B94" s="2">
        <v>45316</v>
      </c>
      <c r="C94" t="s">
        <v>331</v>
      </c>
      <c r="D94" t="s">
        <v>109</v>
      </c>
      <c r="E94" t="s">
        <v>2614</v>
      </c>
      <c r="F94" t="s">
        <v>2637</v>
      </c>
      <c r="G94" t="s">
        <v>253</v>
      </c>
      <c r="H94" t="s">
        <v>2645</v>
      </c>
      <c r="I94" t="s">
        <v>70</v>
      </c>
      <c r="J94">
        <v>10</v>
      </c>
      <c r="K94">
        <v>119.59</v>
      </c>
      <c r="L94">
        <v>69.47</v>
      </c>
      <c r="M94">
        <v>0.05</v>
      </c>
      <c r="N94" t="s">
        <v>32</v>
      </c>
    </row>
    <row r="95" spans="1:14" x14ac:dyDescent="0.25">
      <c r="A95" t="s">
        <v>332</v>
      </c>
      <c r="B95" s="2">
        <v>45449</v>
      </c>
      <c r="C95" t="s">
        <v>333</v>
      </c>
      <c r="D95" t="s">
        <v>23</v>
      </c>
      <c r="E95" t="s">
        <v>2617</v>
      </c>
      <c r="F95" t="s">
        <v>2625</v>
      </c>
      <c r="G95" t="s">
        <v>170</v>
      </c>
      <c r="H95" t="s">
        <v>2645</v>
      </c>
      <c r="I95" t="s">
        <v>70</v>
      </c>
      <c r="J95">
        <v>54</v>
      </c>
      <c r="K95">
        <v>79.290000000000006</v>
      </c>
      <c r="L95">
        <v>46.86</v>
      </c>
      <c r="M95">
        <v>0.2</v>
      </c>
      <c r="N95" t="s">
        <v>45</v>
      </c>
    </row>
    <row r="96" spans="1:14" x14ac:dyDescent="0.25">
      <c r="A96" t="s">
        <v>334</v>
      </c>
      <c r="B96" s="2">
        <v>45642</v>
      </c>
      <c r="C96" t="s">
        <v>335</v>
      </c>
      <c r="D96" t="s">
        <v>187</v>
      </c>
      <c r="E96" t="s">
        <v>2616</v>
      </c>
      <c r="F96" t="s">
        <v>2624</v>
      </c>
      <c r="G96" t="s">
        <v>111</v>
      </c>
      <c r="H96" t="s">
        <v>2645</v>
      </c>
      <c r="I96" t="s">
        <v>84</v>
      </c>
      <c r="J96">
        <v>74</v>
      </c>
      <c r="K96">
        <v>47.4</v>
      </c>
      <c r="L96">
        <v>30.1</v>
      </c>
      <c r="M96">
        <v>0</v>
      </c>
      <c r="N96" t="s">
        <v>45</v>
      </c>
    </row>
    <row r="97" spans="1:14" x14ac:dyDescent="0.25">
      <c r="A97" t="s">
        <v>336</v>
      </c>
      <c r="B97" s="2">
        <v>45388</v>
      </c>
      <c r="C97" t="s">
        <v>337</v>
      </c>
      <c r="D97" t="s">
        <v>109</v>
      </c>
      <c r="E97" t="s">
        <v>2614</v>
      </c>
      <c r="F97" t="s">
        <v>2636</v>
      </c>
      <c r="G97" t="s">
        <v>253</v>
      </c>
      <c r="H97" t="s">
        <v>2648</v>
      </c>
      <c r="I97" t="s">
        <v>44</v>
      </c>
      <c r="J97">
        <v>33</v>
      </c>
      <c r="K97">
        <v>119.05</v>
      </c>
      <c r="L97">
        <v>75.040000000000006</v>
      </c>
      <c r="M97">
        <v>0.1</v>
      </c>
      <c r="N97" t="s">
        <v>32</v>
      </c>
    </row>
    <row r="98" spans="1:14" x14ac:dyDescent="0.25">
      <c r="A98" t="s">
        <v>338</v>
      </c>
      <c r="B98" s="2">
        <v>45426</v>
      </c>
      <c r="C98" t="s">
        <v>339</v>
      </c>
      <c r="D98" t="s">
        <v>187</v>
      </c>
      <c r="E98" t="s">
        <v>2615</v>
      </c>
      <c r="F98" t="s">
        <v>2630</v>
      </c>
      <c r="G98" t="s">
        <v>184</v>
      </c>
      <c r="H98" t="s">
        <v>2645</v>
      </c>
      <c r="I98" t="s">
        <v>44</v>
      </c>
      <c r="J98">
        <v>74</v>
      </c>
      <c r="K98">
        <v>48.98</v>
      </c>
      <c r="L98">
        <v>27.06</v>
      </c>
      <c r="M98">
        <v>0.2</v>
      </c>
      <c r="N98" t="s">
        <v>45</v>
      </c>
    </row>
    <row r="99" spans="1:14" x14ac:dyDescent="0.25">
      <c r="A99" t="s">
        <v>340</v>
      </c>
      <c r="B99" s="2">
        <v>45638</v>
      </c>
      <c r="C99" t="s">
        <v>341</v>
      </c>
      <c r="D99" t="s">
        <v>49</v>
      </c>
      <c r="E99" t="s">
        <v>2615</v>
      </c>
      <c r="F99" t="s">
        <v>2640</v>
      </c>
      <c r="G99" t="s">
        <v>69</v>
      </c>
      <c r="H99" t="s">
        <v>2646</v>
      </c>
      <c r="I99" t="s">
        <v>2578</v>
      </c>
      <c r="J99">
        <v>13</v>
      </c>
      <c r="K99">
        <v>25.38</v>
      </c>
      <c r="L99">
        <v>13.5</v>
      </c>
      <c r="M99">
        <v>0</v>
      </c>
      <c r="N99" t="s">
        <v>45</v>
      </c>
    </row>
    <row r="100" spans="1:14" x14ac:dyDescent="0.25">
      <c r="A100" t="s">
        <v>342</v>
      </c>
      <c r="B100" s="2">
        <v>45334</v>
      </c>
      <c r="C100" t="s">
        <v>328</v>
      </c>
      <c r="D100" t="s">
        <v>187</v>
      </c>
      <c r="E100" t="s">
        <v>2615</v>
      </c>
      <c r="F100" t="s">
        <v>2630</v>
      </c>
      <c r="G100" t="s">
        <v>90</v>
      </c>
      <c r="H100" t="s">
        <v>2645</v>
      </c>
      <c r="I100" t="s">
        <v>2578</v>
      </c>
      <c r="J100">
        <v>32</v>
      </c>
      <c r="K100">
        <v>49.32</v>
      </c>
      <c r="L100">
        <v>29.61</v>
      </c>
      <c r="M100">
        <v>0.2</v>
      </c>
      <c r="N100" t="s">
        <v>129</v>
      </c>
    </row>
    <row r="101" spans="1:14" x14ac:dyDescent="0.25">
      <c r="A101" t="s">
        <v>343</v>
      </c>
      <c r="B101" s="2">
        <v>45635</v>
      </c>
      <c r="C101" t="s">
        <v>344</v>
      </c>
      <c r="D101" t="s">
        <v>109</v>
      </c>
      <c r="E101" t="s">
        <v>2617</v>
      </c>
      <c r="F101" t="s">
        <v>2642</v>
      </c>
      <c r="G101" t="s">
        <v>265</v>
      </c>
      <c r="H101" t="s">
        <v>2647</v>
      </c>
      <c r="I101" t="s">
        <v>70</v>
      </c>
      <c r="J101">
        <v>57</v>
      </c>
      <c r="K101">
        <v>134.88</v>
      </c>
      <c r="L101">
        <v>75.92</v>
      </c>
      <c r="M101">
        <v>0.2</v>
      </c>
      <c r="N101" t="s">
        <v>32</v>
      </c>
    </row>
    <row r="102" spans="1:14" x14ac:dyDescent="0.25">
      <c r="A102" t="s">
        <v>346</v>
      </c>
      <c r="B102" s="2">
        <v>45534</v>
      </c>
      <c r="C102" t="s">
        <v>347</v>
      </c>
      <c r="D102" t="s">
        <v>250</v>
      </c>
      <c r="E102" t="s">
        <v>2617</v>
      </c>
      <c r="F102" t="s">
        <v>2625</v>
      </c>
      <c r="G102" t="s">
        <v>111</v>
      </c>
      <c r="H102" t="s">
        <v>2648</v>
      </c>
      <c r="I102" t="s">
        <v>84</v>
      </c>
      <c r="J102">
        <v>71</v>
      </c>
      <c r="K102">
        <v>63.58</v>
      </c>
      <c r="L102">
        <v>40.869999999999997</v>
      </c>
      <c r="M102">
        <v>0.15</v>
      </c>
      <c r="N102" t="s">
        <v>129</v>
      </c>
    </row>
    <row r="103" spans="1:14" x14ac:dyDescent="0.25">
      <c r="A103" t="s">
        <v>348</v>
      </c>
      <c r="B103" s="2">
        <v>45303</v>
      </c>
      <c r="C103" t="s">
        <v>341</v>
      </c>
      <c r="D103" t="s">
        <v>165</v>
      </c>
      <c r="E103" t="s">
        <v>2616</v>
      </c>
      <c r="F103" t="s">
        <v>2624</v>
      </c>
      <c r="G103" t="s">
        <v>69</v>
      </c>
      <c r="H103" t="s">
        <v>2646</v>
      </c>
      <c r="I103" t="s">
        <v>70</v>
      </c>
      <c r="J103">
        <v>51</v>
      </c>
      <c r="K103">
        <v>39.21</v>
      </c>
      <c r="L103">
        <v>26.95</v>
      </c>
      <c r="M103">
        <v>0.05</v>
      </c>
      <c r="N103" t="s">
        <v>45</v>
      </c>
    </row>
    <row r="104" spans="1:14" x14ac:dyDescent="0.25">
      <c r="A104" t="s">
        <v>349</v>
      </c>
      <c r="B104" s="2">
        <v>45533</v>
      </c>
      <c r="C104" t="s">
        <v>350</v>
      </c>
      <c r="D104" t="s">
        <v>132</v>
      </c>
      <c r="E104" t="s">
        <v>2617</v>
      </c>
      <c r="F104" t="s">
        <v>2625</v>
      </c>
      <c r="G104" t="s">
        <v>152</v>
      </c>
      <c r="H104" t="s">
        <v>2647</v>
      </c>
      <c r="I104" t="s">
        <v>2578</v>
      </c>
      <c r="J104">
        <v>15</v>
      </c>
      <c r="K104">
        <v>56.75</v>
      </c>
      <c r="L104">
        <v>34.85</v>
      </c>
      <c r="M104">
        <v>0.1</v>
      </c>
      <c r="N104" t="s">
        <v>45</v>
      </c>
    </row>
    <row r="105" spans="1:14" x14ac:dyDescent="0.25">
      <c r="A105" t="s">
        <v>352</v>
      </c>
      <c r="B105" s="2">
        <v>45324</v>
      </c>
      <c r="C105" t="s">
        <v>220</v>
      </c>
      <c r="D105" t="s">
        <v>150</v>
      </c>
      <c r="E105" t="s">
        <v>2614</v>
      </c>
      <c r="F105" t="s">
        <v>2636</v>
      </c>
      <c r="G105" t="s">
        <v>152</v>
      </c>
      <c r="H105" t="s">
        <v>2645</v>
      </c>
      <c r="I105" t="s">
        <v>70</v>
      </c>
      <c r="J105">
        <v>64</v>
      </c>
      <c r="K105">
        <v>81.33</v>
      </c>
      <c r="L105">
        <v>46.93</v>
      </c>
      <c r="M105">
        <v>0.05</v>
      </c>
      <c r="N105" t="s">
        <v>129</v>
      </c>
    </row>
    <row r="106" spans="1:14" x14ac:dyDescent="0.25">
      <c r="A106" t="s">
        <v>353</v>
      </c>
      <c r="B106" s="2">
        <v>45452</v>
      </c>
      <c r="C106" t="s">
        <v>354</v>
      </c>
      <c r="D106" t="s">
        <v>165</v>
      </c>
      <c r="E106" t="s">
        <v>2618</v>
      </c>
      <c r="F106" t="s">
        <v>2632</v>
      </c>
      <c r="G106" t="s">
        <v>261</v>
      </c>
      <c r="H106" t="s">
        <v>2647</v>
      </c>
      <c r="I106" t="s">
        <v>75</v>
      </c>
      <c r="J106">
        <v>46</v>
      </c>
      <c r="K106">
        <v>43.02</v>
      </c>
      <c r="L106">
        <v>26.32</v>
      </c>
      <c r="M106">
        <v>0.02</v>
      </c>
      <c r="N106" t="s">
        <v>45</v>
      </c>
    </row>
    <row r="107" spans="1:14" x14ac:dyDescent="0.25">
      <c r="A107" t="s">
        <v>355</v>
      </c>
      <c r="B107" s="2">
        <v>45464</v>
      </c>
      <c r="C107" t="s">
        <v>356</v>
      </c>
      <c r="D107" t="s">
        <v>66</v>
      </c>
      <c r="E107" t="s">
        <v>2616</v>
      </c>
      <c r="F107" t="s">
        <v>2633</v>
      </c>
      <c r="G107" t="s">
        <v>261</v>
      </c>
      <c r="H107" t="s">
        <v>2648</v>
      </c>
      <c r="I107" t="s">
        <v>84</v>
      </c>
      <c r="J107">
        <v>36</v>
      </c>
      <c r="K107">
        <v>157.25</v>
      </c>
      <c r="L107">
        <v>109.27</v>
      </c>
      <c r="M107">
        <v>0.2</v>
      </c>
      <c r="N107" t="s">
        <v>45</v>
      </c>
    </row>
    <row r="108" spans="1:14" x14ac:dyDescent="0.25">
      <c r="A108" t="s">
        <v>357</v>
      </c>
      <c r="B108" s="2">
        <v>45571</v>
      </c>
      <c r="C108" t="s">
        <v>358</v>
      </c>
      <c r="D108" t="s">
        <v>78</v>
      </c>
      <c r="E108" t="s">
        <v>2618</v>
      </c>
      <c r="F108" t="s">
        <v>2628</v>
      </c>
      <c r="G108" t="s">
        <v>118</v>
      </c>
      <c r="H108" t="s">
        <v>2646</v>
      </c>
      <c r="I108" t="s">
        <v>70</v>
      </c>
      <c r="J108">
        <v>63</v>
      </c>
      <c r="K108">
        <v>150.51</v>
      </c>
      <c r="L108">
        <v>82.3</v>
      </c>
      <c r="M108">
        <v>0.02</v>
      </c>
      <c r="N108" t="s">
        <v>129</v>
      </c>
    </row>
    <row r="109" spans="1:14" x14ac:dyDescent="0.25">
      <c r="A109" t="s">
        <v>360</v>
      </c>
      <c r="B109" s="2">
        <v>45490</v>
      </c>
      <c r="C109" t="s">
        <v>361</v>
      </c>
      <c r="D109" t="s">
        <v>49</v>
      </c>
      <c r="E109" t="s">
        <v>2615</v>
      </c>
      <c r="F109" t="s">
        <v>2623</v>
      </c>
      <c r="G109" t="s">
        <v>83</v>
      </c>
      <c r="H109" t="s">
        <v>2646</v>
      </c>
      <c r="I109" t="s">
        <v>2578</v>
      </c>
      <c r="J109">
        <v>32</v>
      </c>
      <c r="K109">
        <v>25.98</v>
      </c>
      <c r="L109">
        <v>13.17</v>
      </c>
      <c r="M109">
        <v>0.05</v>
      </c>
      <c r="N109" t="s">
        <v>45</v>
      </c>
    </row>
    <row r="110" spans="1:14" x14ac:dyDescent="0.25">
      <c r="A110" t="s">
        <v>362</v>
      </c>
      <c r="B110" s="2">
        <v>45488</v>
      </c>
      <c r="C110" t="s">
        <v>363</v>
      </c>
      <c r="D110" t="s">
        <v>126</v>
      </c>
      <c r="E110" t="s">
        <v>2618</v>
      </c>
      <c r="F110" t="s">
        <v>2634</v>
      </c>
      <c r="G110" t="s">
        <v>111</v>
      </c>
      <c r="H110" t="s">
        <v>2645</v>
      </c>
      <c r="I110" t="s">
        <v>75</v>
      </c>
      <c r="J110">
        <v>75</v>
      </c>
      <c r="K110">
        <v>94.37</v>
      </c>
      <c r="L110">
        <v>56.64</v>
      </c>
      <c r="M110">
        <v>0.2</v>
      </c>
      <c r="N110" t="s">
        <v>129</v>
      </c>
    </row>
    <row r="111" spans="1:14" x14ac:dyDescent="0.25">
      <c r="A111" t="s">
        <v>364</v>
      </c>
      <c r="B111" s="2">
        <v>45654</v>
      </c>
      <c r="C111" t="s">
        <v>365</v>
      </c>
      <c r="D111" t="s">
        <v>36</v>
      </c>
      <c r="E111" t="s">
        <v>2615</v>
      </c>
      <c r="F111" t="s">
        <v>2627</v>
      </c>
      <c r="G111" t="s">
        <v>170</v>
      </c>
      <c r="H111" t="s">
        <v>2648</v>
      </c>
      <c r="I111" t="s">
        <v>84</v>
      </c>
      <c r="J111">
        <v>73</v>
      </c>
      <c r="K111">
        <v>161.62</v>
      </c>
      <c r="L111">
        <v>103.38</v>
      </c>
      <c r="M111">
        <v>0.05</v>
      </c>
      <c r="N111" t="s">
        <v>129</v>
      </c>
    </row>
    <row r="112" spans="1:14" x14ac:dyDescent="0.25">
      <c r="A112" t="s">
        <v>366</v>
      </c>
      <c r="B112" s="2">
        <v>45417</v>
      </c>
      <c r="C112" t="s">
        <v>367</v>
      </c>
      <c r="D112" t="s">
        <v>78</v>
      </c>
      <c r="E112" t="s">
        <v>2616</v>
      </c>
      <c r="F112" t="s">
        <v>2638</v>
      </c>
      <c r="G112" t="s">
        <v>144</v>
      </c>
      <c r="H112" t="s">
        <v>2647</v>
      </c>
      <c r="I112" t="s">
        <v>75</v>
      </c>
      <c r="J112">
        <v>68</v>
      </c>
      <c r="K112">
        <v>148.66999999999999</v>
      </c>
      <c r="L112">
        <v>85.67</v>
      </c>
      <c r="M112">
        <v>0.1</v>
      </c>
      <c r="N112" t="s">
        <v>45</v>
      </c>
    </row>
    <row r="113" spans="1:14" x14ac:dyDescent="0.25">
      <c r="A113" t="s">
        <v>369</v>
      </c>
      <c r="B113" s="2">
        <v>45628</v>
      </c>
      <c r="C113" t="s">
        <v>155</v>
      </c>
      <c r="D113" t="s">
        <v>66</v>
      </c>
      <c r="E113" t="s">
        <v>2616</v>
      </c>
      <c r="F113" t="s">
        <v>2624</v>
      </c>
      <c r="G113" t="s">
        <v>218</v>
      </c>
      <c r="H113" t="s">
        <v>2647</v>
      </c>
      <c r="I113" t="s">
        <v>44</v>
      </c>
      <c r="J113">
        <v>75</v>
      </c>
      <c r="K113">
        <v>148.66</v>
      </c>
      <c r="L113">
        <v>102.65</v>
      </c>
      <c r="M113">
        <v>0</v>
      </c>
      <c r="N113" t="s">
        <v>32</v>
      </c>
    </row>
    <row r="114" spans="1:14" x14ac:dyDescent="0.25">
      <c r="A114" t="s">
        <v>370</v>
      </c>
      <c r="B114" s="2">
        <v>45499</v>
      </c>
      <c r="C114" t="s">
        <v>371</v>
      </c>
      <c r="D114" t="s">
        <v>36</v>
      </c>
      <c r="E114" t="s">
        <v>2617</v>
      </c>
      <c r="F114" t="s">
        <v>2641</v>
      </c>
      <c r="G114" t="s">
        <v>195</v>
      </c>
      <c r="H114" t="s">
        <v>2645</v>
      </c>
      <c r="I114" t="s">
        <v>75</v>
      </c>
      <c r="J114">
        <v>49</v>
      </c>
      <c r="K114">
        <v>158.94999999999999</v>
      </c>
      <c r="L114">
        <v>94.28</v>
      </c>
      <c r="M114">
        <v>0.15</v>
      </c>
      <c r="N114" t="s">
        <v>45</v>
      </c>
    </row>
    <row r="115" spans="1:14" x14ac:dyDescent="0.25">
      <c r="A115" t="s">
        <v>372</v>
      </c>
      <c r="B115" s="2">
        <v>45412</v>
      </c>
      <c r="C115" t="s">
        <v>373</v>
      </c>
      <c r="D115" t="s">
        <v>114</v>
      </c>
      <c r="E115" t="s">
        <v>2614</v>
      </c>
      <c r="F115" t="s">
        <v>2629</v>
      </c>
      <c r="G115" t="s">
        <v>152</v>
      </c>
      <c r="H115" t="s">
        <v>2646</v>
      </c>
      <c r="I115" t="s">
        <v>70</v>
      </c>
      <c r="J115">
        <v>61</v>
      </c>
      <c r="K115">
        <v>33.47</v>
      </c>
      <c r="L115">
        <v>19.57</v>
      </c>
      <c r="M115">
        <v>0.05</v>
      </c>
      <c r="N115" t="s">
        <v>45</v>
      </c>
    </row>
    <row r="116" spans="1:14" x14ac:dyDescent="0.25">
      <c r="A116" t="s">
        <v>374</v>
      </c>
      <c r="B116" s="2">
        <v>45470</v>
      </c>
      <c r="C116" t="s">
        <v>375</v>
      </c>
      <c r="D116" t="s">
        <v>187</v>
      </c>
      <c r="E116" t="s">
        <v>2616</v>
      </c>
      <c r="F116" t="s">
        <v>2631</v>
      </c>
      <c r="G116" t="s">
        <v>248</v>
      </c>
      <c r="H116" t="s">
        <v>2648</v>
      </c>
      <c r="I116" t="s">
        <v>44</v>
      </c>
      <c r="J116">
        <v>59</v>
      </c>
      <c r="K116">
        <v>49.27</v>
      </c>
      <c r="L116">
        <v>29.11</v>
      </c>
      <c r="M116">
        <v>0.05</v>
      </c>
      <c r="N116" t="s">
        <v>32</v>
      </c>
    </row>
    <row r="117" spans="1:14" x14ac:dyDescent="0.25">
      <c r="A117" t="s">
        <v>376</v>
      </c>
      <c r="B117" s="2">
        <v>45299</v>
      </c>
      <c r="C117" t="s">
        <v>337</v>
      </c>
      <c r="D117" t="s">
        <v>78</v>
      </c>
      <c r="E117" t="s">
        <v>2618</v>
      </c>
      <c r="F117" t="s">
        <v>2634</v>
      </c>
      <c r="G117" t="s">
        <v>184</v>
      </c>
      <c r="H117" t="s">
        <v>2646</v>
      </c>
      <c r="I117" t="s">
        <v>75</v>
      </c>
      <c r="J117">
        <v>68</v>
      </c>
      <c r="K117">
        <v>141</v>
      </c>
      <c r="L117">
        <v>75.52</v>
      </c>
      <c r="M117">
        <v>0.1</v>
      </c>
      <c r="N117" t="s">
        <v>129</v>
      </c>
    </row>
    <row r="118" spans="1:14" x14ac:dyDescent="0.25">
      <c r="A118" t="s">
        <v>377</v>
      </c>
      <c r="B118" s="2">
        <v>45579</v>
      </c>
      <c r="C118" t="s">
        <v>378</v>
      </c>
      <c r="D118" t="s">
        <v>150</v>
      </c>
      <c r="E118" t="s">
        <v>2616</v>
      </c>
      <c r="F118" t="s">
        <v>2631</v>
      </c>
      <c r="G118" t="s">
        <v>195</v>
      </c>
      <c r="H118" t="s">
        <v>2646</v>
      </c>
      <c r="I118" t="s">
        <v>44</v>
      </c>
      <c r="J118">
        <v>77</v>
      </c>
      <c r="K118">
        <v>85.63</v>
      </c>
      <c r="L118">
        <v>54.81</v>
      </c>
      <c r="M118">
        <v>0.05</v>
      </c>
      <c r="N118" t="s">
        <v>45</v>
      </c>
    </row>
    <row r="119" spans="1:14" x14ac:dyDescent="0.25">
      <c r="A119" t="s">
        <v>379</v>
      </c>
      <c r="B119" s="2">
        <v>45641</v>
      </c>
      <c r="C119" t="s">
        <v>380</v>
      </c>
      <c r="D119" t="s">
        <v>216</v>
      </c>
      <c r="E119" t="s">
        <v>2618</v>
      </c>
      <c r="F119" t="s">
        <v>2628</v>
      </c>
      <c r="G119" t="s">
        <v>170</v>
      </c>
      <c r="H119" t="s">
        <v>2648</v>
      </c>
      <c r="I119" t="s">
        <v>44</v>
      </c>
      <c r="J119">
        <v>66</v>
      </c>
      <c r="K119">
        <v>108.1</v>
      </c>
      <c r="L119">
        <v>71.239999999999995</v>
      </c>
      <c r="M119">
        <v>0.02</v>
      </c>
      <c r="N119" t="s">
        <v>129</v>
      </c>
    </row>
    <row r="120" spans="1:14" x14ac:dyDescent="0.25">
      <c r="A120" t="s">
        <v>381</v>
      </c>
      <c r="B120" s="2">
        <v>45506</v>
      </c>
      <c r="C120" t="s">
        <v>382</v>
      </c>
      <c r="D120" t="s">
        <v>176</v>
      </c>
      <c r="E120" t="s">
        <v>2617</v>
      </c>
      <c r="F120" t="s">
        <v>2625</v>
      </c>
      <c r="G120" t="s">
        <v>42</v>
      </c>
      <c r="H120" t="s">
        <v>2647</v>
      </c>
      <c r="I120" t="s">
        <v>84</v>
      </c>
      <c r="J120">
        <v>52</v>
      </c>
      <c r="K120">
        <v>104.37</v>
      </c>
      <c r="L120">
        <v>61</v>
      </c>
      <c r="M120">
        <v>0.1</v>
      </c>
      <c r="N120" t="s">
        <v>129</v>
      </c>
    </row>
    <row r="121" spans="1:14" x14ac:dyDescent="0.25">
      <c r="A121" t="s">
        <v>383</v>
      </c>
      <c r="B121" s="2">
        <v>45489</v>
      </c>
      <c r="C121" t="s">
        <v>384</v>
      </c>
      <c r="D121" t="s">
        <v>216</v>
      </c>
      <c r="E121" t="s">
        <v>2618</v>
      </c>
      <c r="F121" t="s">
        <v>2628</v>
      </c>
      <c r="G121" t="s">
        <v>265</v>
      </c>
      <c r="H121" t="s">
        <v>2649</v>
      </c>
      <c r="I121" t="s">
        <v>75</v>
      </c>
      <c r="J121">
        <v>18</v>
      </c>
      <c r="K121">
        <v>101.62</v>
      </c>
      <c r="L121">
        <v>70.59</v>
      </c>
      <c r="M121">
        <v>0.1</v>
      </c>
      <c r="N121" t="s">
        <v>45</v>
      </c>
    </row>
    <row r="122" spans="1:14" x14ac:dyDescent="0.25">
      <c r="A122" t="s">
        <v>386</v>
      </c>
      <c r="B122" s="2">
        <v>45335</v>
      </c>
      <c r="C122" t="s">
        <v>387</v>
      </c>
      <c r="D122" t="s">
        <v>49</v>
      </c>
      <c r="E122" t="s">
        <v>2618</v>
      </c>
      <c r="F122" t="s">
        <v>2632</v>
      </c>
      <c r="G122" t="s">
        <v>265</v>
      </c>
      <c r="H122" t="s">
        <v>2646</v>
      </c>
      <c r="I122" t="s">
        <v>84</v>
      </c>
      <c r="J122">
        <v>80</v>
      </c>
      <c r="K122">
        <v>24.24</v>
      </c>
      <c r="L122">
        <v>13.65</v>
      </c>
      <c r="M122">
        <v>0.05</v>
      </c>
      <c r="N122" t="s">
        <v>45</v>
      </c>
    </row>
    <row r="123" spans="1:14" x14ac:dyDescent="0.25">
      <c r="A123" t="s">
        <v>388</v>
      </c>
      <c r="B123" s="2">
        <v>45611</v>
      </c>
      <c r="C123" t="s">
        <v>389</v>
      </c>
      <c r="D123" t="s">
        <v>141</v>
      </c>
      <c r="E123" t="s">
        <v>2617</v>
      </c>
      <c r="F123" t="s">
        <v>2641</v>
      </c>
      <c r="G123" t="s">
        <v>111</v>
      </c>
      <c r="H123" t="s">
        <v>2646</v>
      </c>
      <c r="I123" t="s">
        <v>75</v>
      </c>
      <c r="J123">
        <v>27</v>
      </c>
      <c r="K123">
        <v>91.27</v>
      </c>
      <c r="L123">
        <v>61.16</v>
      </c>
      <c r="M123">
        <v>0.15</v>
      </c>
      <c r="N123" t="s">
        <v>45</v>
      </c>
    </row>
    <row r="124" spans="1:14" x14ac:dyDescent="0.25">
      <c r="A124" t="s">
        <v>390</v>
      </c>
      <c r="B124" s="2">
        <v>45506</v>
      </c>
      <c r="C124" t="s">
        <v>2619</v>
      </c>
      <c r="D124" t="s">
        <v>187</v>
      </c>
      <c r="E124" t="s">
        <v>2615</v>
      </c>
      <c r="F124" t="s">
        <v>2630</v>
      </c>
      <c r="G124" t="s">
        <v>265</v>
      </c>
      <c r="H124" t="s">
        <v>2647</v>
      </c>
      <c r="I124" t="s">
        <v>75</v>
      </c>
      <c r="J124">
        <v>61</v>
      </c>
      <c r="K124">
        <v>45.98</v>
      </c>
      <c r="L124">
        <v>26.91</v>
      </c>
      <c r="M124">
        <v>0.05</v>
      </c>
      <c r="N124" t="s">
        <v>45</v>
      </c>
    </row>
    <row r="125" spans="1:14" x14ac:dyDescent="0.25">
      <c r="A125" t="s">
        <v>391</v>
      </c>
      <c r="B125" s="2">
        <v>45308</v>
      </c>
      <c r="C125" t="s">
        <v>392</v>
      </c>
      <c r="D125" t="s">
        <v>176</v>
      </c>
      <c r="E125" t="s">
        <v>2618</v>
      </c>
      <c r="F125" t="s">
        <v>2634</v>
      </c>
      <c r="G125" t="s">
        <v>184</v>
      </c>
      <c r="H125" t="s">
        <v>2648</v>
      </c>
      <c r="I125" t="s">
        <v>70</v>
      </c>
      <c r="J125">
        <v>74</v>
      </c>
      <c r="K125">
        <v>101.96</v>
      </c>
      <c r="L125">
        <v>66.319999999999993</v>
      </c>
      <c r="M125">
        <v>0.2</v>
      </c>
      <c r="N125" t="s">
        <v>45</v>
      </c>
    </row>
    <row r="126" spans="1:14" x14ac:dyDescent="0.25">
      <c r="A126" t="s">
        <v>394</v>
      </c>
      <c r="B126" s="2">
        <v>45580</v>
      </c>
      <c r="C126" t="s">
        <v>395</v>
      </c>
      <c r="D126" t="s">
        <v>250</v>
      </c>
      <c r="E126" t="s">
        <v>2616</v>
      </c>
      <c r="F126" t="s">
        <v>2624</v>
      </c>
      <c r="G126" t="s">
        <v>178</v>
      </c>
      <c r="H126" t="s">
        <v>2645</v>
      </c>
      <c r="I126" t="s">
        <v>70</v>
      </c>
      <c r="J126">
        <v>61</v>
      </c>
      <c r="K126">
        <v>62.99</v>
      </c>
      <c r="L126">
        <v>35.200000000000003</v>
      </c>
      <c r="M126">
        <v>0.05</v>
      </c>
      <c r="N126" t="s">
        <v>45</v>
      </c>
    </row>
    <row r="127" spans="1:14" x14ac:dyDescent="0.25">
      <c r="A127" t="s">
        <v>396</v>
      </c>
      <c r="B127" s="2">
        <v>45333</v>
      </c>
      <c r="C127" t="s">
        <v>397</v>
      </c>
      <c r="D127" t="s">
        <v>150</v>
      </c>
      <c r="E127" t="s">
        <v>2614</v>
      </c>
      <c r="F127" t="s">
        <v>2637</v>
      </c>
      <c r="G127" t="s">
        <v>265</v>
      </c>
      <c r="H127" t="s">
        <v>2648</v>
      </c>
      <c r="I127" t="s">
        <v>2578</v>
      </c>
      <c r="J127">
        <v>1</v>
      </c>
      <c r="K127">
        <v>84.73</v>
      </c>
      <c r="L127">
        <v>47.78</v>
      </c>
      <c r="M127">
        <v>0</v>
      </c>
      <c r="N127" t="s">
        <v>129</v>
      </c>
    </row>
    <row r="128" spans="1:14" x14ac:dyDescent="0.25">
      <c r="A128" t="s">
        <v>398</v>
      </c>
      <c r="B128" s="2">
        <v>45397</v>
      </c>
      <c r="C128" t="s">
        <v>399</v>
      </c>
      <c r="D128" t="s">
        <v>99</v>
      </c>
      <c r="E128" t="s">
        <v>2616</v>
      </c>
      <c r="F128" t="s">
        <v>2624</v>
      </c>
      <c r="G128" t="s">
        <v>90</v>
      </c>
      <c r="H128" t="s">
        <v>2648</v>
      </c>
      <c r="I128" t="s">
        <v>44</v>
      </c>
      <c r="J128">
        <v>12</v>
      </c>
      <c r="K128">
        <v>67.540000000000006</v>
      </c>
      <c r="L128">
        <v>43.35</v>
      </c>
      <c r="M128">
        <v>0.02</v>
      </c>
      <c r="N128" t="s">
        <v>45</v>
      </c>
    </row>
    <row r="129" spans="1:14" x14ac:dyDescent="0.25">
      <c r="A129" t="s">
        <v>400</v>
      </c>
      <c r="B129" s="2">
        <v>45584</v>
      </c>
      <c r="C129" t="s">
        <v>309</v>
      </c>
      <c r="D129" t="s">
        <v>93</v>
      </c>
      <c r="E129" t="s">
        <v>2618</v>
      </c>
      <c r="F129" t="s">
        <v>2635</v>
      </c>
      <c r="G129" t="s">
        <v>69</v>
      </c>
      <c r="H129" t="s">
        <v>2648</v>
      </c>
      <c r="I129" t="s">
        <v>2578</v>
      </c>
      <c r="J129">
        <v>44</v>
      </c>
      <c r="K129">
        <v>57.26</v>
      </c>
      <c r="L129">
        <v>31.7</v>
      </c>
      <c r="M129">
        <v>0</v>
      </c>
      <c r="N129" t="s">
        <v>32</v>
      </c>
    </row>
    <row r="130" spans="1:14" x14ac:dyDescent="0.25">
      <c r="A130" t="s">
        <v>401</v>
      </c>
      <c r="B130" s="2">
        <v>45488</v>
      </c>
      <c r="C130" t="s">
        <v>402</v>
      </c>
      <c r="D130" t="s">
        <v>209</v>
      </c>
      <c r="E130" t="s">
        <v>2618</v>
      </c>
      <c r="F130" t="s">
        <v>2635</v>
      </c>
      <c r="G130" t="s">
        <v>184</v>
      </c>
      <c r="H130" t="s">
        <v>2646</v>
      </c>
      <c r="I130" t="s">
        <v>75</v>
      </c>
      <c r="J130">
        <v>36</v>
      </c>
      <c r="K130">
        <v>17.38</v>
      </c>
      <c r="L130">
        <v>10.51</v>
      </c>
      <c r="M130">
        <v>0.02</v>
      </c>
      <c r="N130" t="s">
        <v>32</v>
      </c>
    </row>
    <row r="131" spans="1:14" x14ac:dyDescent="0.25">
      <c r="A131" t="s">
        <v>403</v>
      </c>
      <c r="B131" s="2">
        <v>45502</v>
      </c>
      <c r="C131" t="s">
        <v>404</v>
      </c>
      <c r="D131" t="s">
        <v>126</v>
      </c>
      <c r="E131" t="s">
        <v>2618</v>
      </c>
      <c r="F131" t="s">
        <v>2632</v>
      </c>
      <c r="G131" t="s">
        <v>29</v>
      </c>
      <c r="H131" t="s">
        <v>2646</v>
      </c>
      <c r="I131" t="s">
        <v>44</v>
      </c>
      <c r="J131">
        <v>17</v>
      </c>
      <c r="K131">
        <v>94.38</v>
      </c>
      <c r="L131">
        <v>54.82</v>
      </c>
      <c r="M131">
        <v>0.15</v>
      </c>
      <c r="N131" t="s">
        <v>45</v>
      </c>
    </row>
    <row r="132" spans="1:14" x14ac:dyDescent="0.25">
      <c r="A132" t="s">
        <v>405</v>
      </c>
      <c r="B132" s="2">
        <v>45565</v>
      </c>
      <c r="C132" t="s">
        <v>354</v>
      </c>
      <c r="D132" t="s">
        <v>165</v>
      </c>
      <c r="E132" t="s">
        <v>2616</v>
      </c>
      <c r="F132" t="s">
        <v>2624</v>
      </c>
      <c r="G132" t="s">
        <v>42</v>
      </c>
      <c r="H132" t="s">
        <v>2648</v>
      </c>
      <c r="I132" t="s">
        <v>75</v>
      </c>
      <c r="J132">
        <v>60</v>
      </c>
      <c r="K132">
        <v>45.31</v>
      </c>
      <c r="L132">
        <v>23.53</v>
      </c>
      <c r="M132">
        <v>0.1</v>
      </c>
      <c r="N132" t="s">
        <v>45</v>
      </c>
    </row>
    <row r="133" spans="1:14" x14ac:dyDescent="0.25">
      <c r="A133" t="s">
        <v>407</v>
      </c>
      <c r="B133" s="2">
        <v>45591</v>
      </c>
      <c r="C133" t="s">
        <v>408</v>
      </c>
      <c r="D133" t="s">
        <v>209</v>
      </c>
      <c r="E133" t="s">
        <v>2614</v>
      </c>
      <c r="F133" t="s">
        <v>2629</v>
      </c>
      <c r="G133" t="s">
        <v>60</v>
      </c>
      <c r="H133" t="s">
        <v>2648</v>
      </c>
      <c r="I133" t="s">
        <v>75</v>
      </c>
      <c r="J133">
        <v>68</v>
      </c>
      <c r="K133">
        <v>17.329999999999998</v>
      </c>
      <c r="L133">
        <v>9.66</v>
      </c>
      <c r="M133">
        <v>0</v>
      </c>
      <c r="N133" t="s">
        <v>45</v>
      </c>
    </row>
    <row r="134" spans="1:14" x14ac:dyDescent="0.25">
      <c r="A134" t="s">
        <v>409</v>
      </c>
      <c r="B134" s="2">
        <v>45368</v>
      </c>
      <c r="C134" t="s">
        <v>410</v>
      </c>
      <c r="D134" t="s">
        <v>209</v>
      </c>
      <c r="E134" t="s">
        <v>2616</v>
      </c>
      <c r="F134" t="s">
        <v>2631</v>
      </c>
      <c r="G134" t="s">
        <v>170</v>
      </c>
      <c r="H134" t="s">
        <v>2645</v>
      </c>
      <c r="I134" t="s">
        <v>2578</v>
      </c>
      <c r="J134">
        <v>35</v>
      </c>
      <c r="K134">
        <v>18.91</v>
      </c>
      <c r="L134">
        <v>9.49</v>
      </c>
      <c r="M134">
        <v>0.05</v>
      </c>
      <c r="N134" t="s">
        <v>45</v>
      </c>
    </row>
    <row r="135" spans="1:14" x14ac:dyDescent="0.25">
      <c r="A135" t="s">
        <v>411</v>
      </c>
      <c r="B135" s="2">
        <v>45630</v>
      </c>
      <c r="C135" t="s">
        <v>98</v>
      </c>
      <c r="D135" t="s">
        <v>209</v>
      </c>
      <c r="E135" t="s">
        <v>2614</v>
      </c>
      <c r="F135" t="s">
        <v>2637</v>
      </c>
      <c r="G135" t="s">
        <v>29</v>
      </c>
      <c r="H135" t="s">
        <v>2646</v>
      </c>
      <c r="I135" t="s">
        <v>70</v>
      </c>
      <c r="J135">
        <v>35</v>
      </c>
      <c r="K135">
        <v>17.670000000000002</v>
      </c>
      <c r="L135">
        <v>10.29</v>
      </c>
      <c r="M135">
        <v>0.2</v>
      </c>
      <c r="N135" t="s">
        <v>45</v>
      </c>
    </row>
    <row r="136" spans="1:14" x14ac:dyDescent="0.25">
      <c r="A136" t="s">
        <v>412</v>
      </c>
      <c r="B136" s="2">
        <v>45335</v>
      </c>
      <c r="C136" t="s">
        <v>199</v>
      </c>
      <c r="D136" t="s">
        <v>165</v>
      </c>
      <c r="E136" t="s">
        <v>2616</v>
      </c>
      <c r="F136" t="s">
        <v>2633</v>
      </c>
      <c r="G136" t="s">
        <v>178</v>
      </c>
      <c r="H136" t="s">
        <v>2645</v>
      </c>
      <c r="I136" t="s">
        <v>2578</v>
      </c>
      <c r="J136">
        <v>24</v>
      </c>
      <c r="K136">
        <v>40.020000000000003</v>
      </c>
      <c r="L136">
        <v>26.51</v>
      </c>
      <c r="M136">
        <v>0.2</v>
      </c>
      <c r="N136" t="s">
        <v>45</v>
      </c>
    </row>
    <row r="137" spans="1:14" x14ac:dyDescent="0.25">
      <c r="A137" t="s">
        <v>413</v>
      </c>
      <c r="B137" s="2">
        <v>45335</v>
      </c>
      <c r="C137" t="s">
        <v>414</v>
      </c>
      <c r="D137" t="s">
        <v>109</v>
      </c>
      <c r="E137" t="s">
        <v>2618</v>
      </c>
      <c r="F137" t="s">
        <v>2635</v>
      </c>
      <c r="G137" t="s">
        <v>178</v>
      </c>
      <c r="H137" t="s">
        <v>2647</v>
      </c>
      <c r="I137" t="s">
        <v>44</v>
      </c>
      <c r="J137">
        <v>5</v>
      </c>
      <c r="K137">
        <v>134.76</v>
      </c>
      <c r="L137">
        <v>69.7</v>
      </c>
      <c r="M137">
        <v>0.15</v>
      </c>
      <c r="N137" t="s">
        <v>32</v>
      </c>
    </row>
    <row r="138" spans="1:14" x14ac:dyDescent="0.25">
      <c r="A138" t="s">
        <v>415</v>
      </c>
      <c r="B138" s="2">
        <v>45339</v>
      </c>
      <c r="C138" t="s">
        <v>416</v>
      </c>
      <c r="D138" t="s">
        <v>165</v>
      </c>
      <c r="E138" t="s">
        <v>2618</v>
      </c>
      <c r="F138" t="s">
        <v>2635</v>
      </c>
      <c r="G138" t="s">
        <v>178</v>
      </c>
      <c r="H138" t="s">
        <v>2647</v>
      </c>
      <c r="I138" t="s">
        <v>2578</v>
      </c>
      <c r="J138">
        <v>78</v>
      </c>
      <c r="K138">
        <v>44.16</v>
      </c>
      <c r="L138">
        <v>24.91</v>
      </c>
      <c r="M138">
        <v>0.2</v>
      </c>
      <c r="N138" t="s">
        <v>45</v>
      </c>
    </row>
    <row r="139" spans="1:14" x14ac:dyDescent="0.25">
      <c r="A139" t="s">
        <v>417</v>
      </c>
      <c r="B139" s="2">
        <v>45329</v>
      </c>
      <c r="C139" t="s">
        <v>418</v>
      </c>
      <c r="D139" t="s">
        <v>114</v>
      </c>
      <c r="E139" t="s">
        <v>2617</v>
      </c>
      <c r="F139" t="s">
        <v>2641</v>
      </c>
      <c r="G139" t="s">
        <v>90</v>
      </c>
      <c r="H139" t="s">
        <v>2645</v>
      </c>
      <c r="I139" t="s">
        <v>44</v>
      </c>
      <c r="J139">
        <v>77</v>
      </c>
      <c r="K139">
        <v>37.06</v>
      </c>
      <c r="L139">
        <v>22.03</v>
      </c>
      <c r="M139">
        <v>0.15</v>
      </c>
      <c r="N139" t="s">
        <v>45</v>
      </c>
    </row>
    <row r="140" spans="1:14" x14ac:dyDescent="0.25">
      <c r="A140" t="s">
        <v>419</v>
      </c>
      <c r="B140" s="2">
        <v>45397</v>
      </c>
      <c r="C140" t="s">
        <v>420</v>
      </c>
      <c r="D140" t="s">
        <v>99</v>
      </c>
      <c r="E140" t="s">
        <v>2617</v>
      </c>
      <c r="F140" t="s">
        <v>2641</v>
      </c>
      <c r="G140" t="s">
        <v>111</v>
      </c>
      <c r="H140" t="s">
        <v>2648</v>
      </c>
      <c r="I140" t="s">
        <v>84</v>
      </c>
      <c r="J140">
        <v>63</v>
      </c>
      <c r="K140">
        <v>65.290000000000006</v>
      </c>
      <c r="L140">
        <v>42.52</v>
      </c>
      <c r="M140">
        <v>0.1</v>
      </c>
      <c r="N140" t="s">
        <v>32</v>
      </c>
    </row>
    <row r="141" spans="1:14" x14ac:dyDescent="0.25">
      <c r="A141" t="s">
        <v>421</v>
      </c>
      <c r="B141" s="2">
        <v>45328</v>
      </c>
      <c r="C141" t="s">
        <v>422</v>
      </c>
      <c r="D141" t="s">
        <v>141</v>
      </c>
      <c r="E141" t="s">
        <v>2616</v>
      </c>
      <c r="F141" t="s">
        <v>2631</v>
      </c>
      <c r="G141" t="s">
        <v>195</v>
      </c>
      <c r="H141" t="s">
        <v>2648</v>
      </c>
      <c r="I141" t="s">
        <v>84</v>
      </c>
      <c r="J141" t="e">
        <f>ROUND(#REF!/Sales12[[#This Row],[Unit_Price]],0)</f>
        <v>#REF!</v>
      </c>
      <c r="K141">
        <v>97.49</v>
      </c>
      <c r="L141">
        <v>62.05</v>
      </c>
      <c r="M141">
        <v>0.02</v>
      </c>
      <c r="N141" t="s">
        <v>129</v>
      </c>
    </row>
    <row r="142" spans="1:14" x14ac:dyDescent="0.25">
      <c r="A142" t="s">
        <v>423</v>
      </c>
      <c r="B142" s="2">
        <v>45332</v>
      </c>
      <c r="C142" t="s">
        <v>192</v>
      </c>
      <c r="D142" t="s">
        <v>150</v>
      </c>
      <c r="E142" t="s">
        <v>2618</v>
      </c>
      <c r="F142" t="s">
        <v>2634</v>
      </c>
      <c r="G142" t="s">
        <v>248</v>
      </c>
      <c r="H142" t="s">
        <v>2646</v>
      </c>
      <c r="I142" t="s">
        <v>44</v>
      </c>
      <c r="J142">
        <v>48</v>
      </c>
      <c r="K142">
        <v>81.25</v>
      </c>
      <c r="L142">
        <v>48.76</v>
      </c>
      <c r="M142">
        <v>0.2</v>
      </c>
      <c r="N142" t="s">
        <v>45</v>
      </c>
    </row>
    <row r="143" spans="1:14" x14ac:dyDescent="0.25">
      <c r="A143" t="s">
        <v>424</v>
      </c>
      <c r="B143" s="2">
        <v>45579</v>
      </c>
      <c r="C143" t="s">
        <v>215</v>
      </c>
      <c r="D143" t="s">
        <v>78</v>
      </c>
      <c r="E143" t="s">
        <v>2618</v>
      </c>
      <c r="F143" t="s">
        <v>2632</v>
      </c>
      <c r="G143" t="s">
        <v>144</v>
      </c>
      <c r="H143" t="s">
        <v>2645</v>
      </c>
      <c r="I143" t="s">
        <v>2578</v>
      </c>
      <c r="J143">
        <v>56</v>
      </c>
      <c r="K143">
        <v>146.71</v>
      </c>
      <c r="L143">
        <v>84.55</v>
      </c>
      <c r="M143">
        <v>0.1</v>
      </c>
      <c r="N143" t="s">
        <v>45</v>
      </c>
    </row>
    <row r="144" spans="1:14" x14ac:dyDescent="0.25">
      <c r="A144" t="s">
        <v>425</v>
      </c>
      <c r="B144" s="2">
        <v>45519</v>
      </c>
      <c r="C144" t="s">
        <v>426</v>
      </c>
      <c r="D144" t="s">
        <v>99</v>
      </c>
      <c r="E144" t="s">
        <v>2618</v>
      </c>
      <c r="F144" t="s">
        <v>2628</v>
      </c>
      <c r="G144" t="s">
        <v>83</v>
      </c>
      <c r="H144" t="s">
        <v>2646</v>
      </c>
      <c r="I144" t="s">
        <v>70</v>
      </c>
      <c r="J144">
        <v>19</v>
      </c>
      <c r="K144">
        <v>68.86</v>
      </c>
      <c r="L144">
        <v>39.71</v>
      </c>
      <c r="M144">
        <v>0.2</v>
      </c>
      <c r="N144" t="s">
        <v>32</v>
      </c>
    </row>
    <row r="145" spans="1:14" x14ac:dyDescent="0.25">
      <c r="A145" t="s">
        <v>427</v>
      </c>
      <c r="B145" s="2">
        <v>45301</v>
      </c>
      <c r="C145" t="s">
        <v>428</v>
      </c>
      <c r="D145" t="s">
        <v>114</v>
      </c>
      <c r="E145" t="s">
        <v>2617</v>
      </c>
      <c r="F145" t="s">
        <v>2625</v>
      </c>
      <c r="G145" t="s">
        <v>265</v>
      </c>
      <c r="H145" t="s">
        <v>2645</v>
      </c>
      <c r="I145" t="s">
        <v>2578</v>
      </c>
      <c r="J145">
        <v>53</v>
      </c>
      <c r="K145">
        <v>34.659999999999997</v>
      </c>
      <c r="L145">
        <v>21.37</v>
      </c>
      <c r="M145">
        <v>0.15</v>
      </c>
      <c r="N145" t="s">
        <v>45</v>
      </c>
    </row>
    <row r="146" spans="1:14" x14ac:dyDescent="0.25">
      <c r="A146" t="s">
        <v>429</v>
      </c>
      <c r="B146" s="2">
        <v>45454</v>
      </c>
      <c r="C146" t="s">
        <v>430</v>
      </c>
      <c r="D146" t="s">
        <v>216</v>
      </c>
      <c r="E146" t="s">
        <v>2618</v>
      </c>
      <c r="F146" t="s">
        <v>2632</v>
      </c>
      <c r="G146" t="s">
        <v>184</v>
      </c>
      <c r="H146" t="s">
        <v>2648</v>
      </c>
      <c r="I146" t="s">
        <v>44</v>
      </c>
      <c r="J146">
        <v>60</v>
      </c>
      <c r="K146">
        <v>108.88</v>
      </c>
      <c r="L146">
        <v>67.86</v>
      </c>
      <c r="M146">
        <v>0.02</v>
      </c>
      <c r="N146" t="s">
        <v>32</v>
      </c>
    </row>
    <row r="147" spans="1:14" x14ac:dyDescent="0.25">
      <c r="A147" t="s">
        <v>432</v>
      </c>
      <c r="B147" s="2">
        <v>45529</v>
      </c>
      <c r="C147" t="s">
        <v>433</v>
      </c>
      <c r="D147" t="s">
        <v>99</v>
      </c>
      <c r="E147" t="s">
        <v>2614</v>
      </c>
      <c r="F147" t="s">
        <v>2637</v>
      </c>
      <c r="G147" t="s">
        <v>144</v>
      </c>
      <c r="H147" t="s">
        <v>2648</v>
      </c>
      <c r="I147" t="s">
        <v>2578</v>
      </c>
      <c r="J147">
        <v>18</v>
      </c>
      <c r="K147">
        <v>68.2</v>
      </c>
      <c r="L147">
        <v>43.07</v>
      </c>
      <c r="M147">
        <v>0.2</v>
      </c>
      <c r="N147" t="s">
        <v>129</v>
      </c>
    </row>
    <row r="148" spans="1:14" x14ac:dyDescent="0.25">
      <c r="A148" t="s">
        <v>434</v>
      </c>
      <c r="B148" s="2">
        <v>45483</v>
      </c>
      <c r="C148" t="s">
        <v>213</v>
      </c>
      <c r="D148" t="s">
        <v>109</v>
      </c>
      <c r="E148" t="s">
        <v>2615</v>
      </c>
      <c r="F148" t="s">
        <v>2623</v>
      </c>
      <c r="G148" t="s">
        <v>60</v>
      </c>
      <c r="H148" t="s">
        <v>2646</v>
      </c>
      <c r="I148" t="s">
        <v>84</v>
      </c>
      <c r="J148">
        <v>33</v>
      </c>
      <c r="K148">
        <v>134.66999999999999</v>
      </c>
      <c r="L148">
        <v>70.91</v>
      </c>
      <c r="M148">
        <v>0.15</v>
      </c>
      <c r="N148" t="s">
        <v>45</v>
      </c>
    </row>
    <row r="149" spans="1:14" x14ac:dyDescent="0.25">
      <c r="A149" t="s">
        <v>435</v>
      </c>
      <c r="B149" s="2">
        <v>45547</v>
      </c>
      <c r="C149" t="s">
        <v>436</v>
      </c>
      <c r="D149" t="s">
        <v>114</v>
      </c>
      <c r="E149" t="s">
        <v>2616</v>
      </c>
      <c r="F149" t="s">
        <v>2633</v>
      </c>
      <c r="G149" t="s">
        <v>261</v>
      </c>
      <c r="H149" t="s">
        <v>2645</v>
      </c>
      <c r="I149" t="s">
        <v>2578</v>
      </c>
      <c r="J149">
        <v>41</v>
      </c>
      <c r="K149">
        <v>32.520000000000003</v>
      </c>
      <c r="L149">
        <v>20.58</v>
      </c>
      <c r="M149">
        <v>0.05</v>
      </c>
      <c r="N149" t="s">
        <v>32</v>
      </c>
    </row>
    <row r="150" spans="1:14" x14ac:dyDescent="0.25">
      <c r="A150" t="s">
        <v>437</v>
      </c>
      <c r="B150" s="2">
        <v>45623</v>
      </c>
      <c r="C150" t="s">
        <v>438</v>
      </c>
      <c r="D150" t="s">
        <v>78</v>
      </c>
      <c r="E150" t="s">
        <v>2616</v>
      </c>
      <c r="F150" t="s">
        <v>2633</v>
      </c>
      <c r="G150" t="s">
        <v>69</v>
      </c>
      <c r="H150" t="s">
        <v>2646</v>
      </c>
      <c r="I150" t="s">
        <v>84</v>
      </c>
      <c r="J150">
        <v>30</v>
      </c>
      <c r="K150">
        <v>138.6</v>
      </c>
      <c r="L150">
        <v>78.52</v>
      </c>
      <c r="M150">
        <v>0.15</v>
      </c>
      <c r="N150" t="s">
        <v>45</v>
      </c>
    </row>
    <row r="151" spans="1:14" x14ac:dyDescent="0.25">
      <c r="A151" t="s">
        <v>439</v>
      </c>
      <c r="B151" s="2">
        <v>45294</v>
      </c>
      <c r="C151" t="s">
        <v>203</v>
      </c>
      <c r="D151" t="s">
        <v>36</v>
      </c>
      <c r="E151" t="s">
        <v>2614</v>
      </c>
      <c r="F151" t="s">
        <v>2637</v>
      </c>
      <c r="G151" t="s">
        <v>111</v>
      </c>
      <c r="H151" t="s">
        <v>2646</v>
      </c>
      <c r="I151" t="s">
        <v>70</v>
      </c>
      <c r="J151">
        <v>47</v>
      </c>
      <c r="K151">
        <v>151.97</v>
      </c>
      <c r="L151">
        <v>106.58</v>
      </c>
      <c r="M151">
        <v>0.15</v>
      </c>
      <c r="N151" t="s">
        <v>32</v>
      </c>
    </row>
    <row r="152" spans="1:14" x14ac:dyDescent="0.25">
      <c r="A152" t="s">
        <v>440</v>
      </c>
      <c r="B152" s="2">
        <v>45393</v>
      </c>
      <c r="C152" t="s">
        <v>305</v>
      </c>
      <c r="D152" t="s">
        <v>222</v>
      </c>
      <c r="E152" t="s">
        <v>2617</v>
      </c>
      <c r="F152" t="s">
        <v>2642</v>
      </c>
      <c r="G152" t="s">
        <v>29</v>
      </c>
      <c r="H152" t="s">
        <v>2647</v>
      </c>
      <c r="I152" t="s">
        <v>75</v>
      </c>
      <c r="J152">
        <v>75</v>
      </c>
      <c r="K152">
        <v>113.38</v>
      </c>
      <c r="L152">
        <v>74.03</v>
      </c>
      <c r="M152">
        <v>0.1</v>
      </c>
      <c r="N152" t="s">
        <v>45</v>
      </c>
    </row>
    <row r="153" spans="1:14" x14ac:dyDescent="0.25">
      <c r="A153" t="s">
        <v>441</v>
      </c>
      <c r="B153" s="2">
        <v>45533</v>
      </c>
      <c r="C153" t="s">
        <v>442</v>
      </c>
      <c r="D153" t="s">
        <v>99</v>
      </c>
      <c r="E153" t="s">
        <v>2615</v>
      </c>
      <c r="F153" t="s">
        <v>2630</v>
      </c>
      <c r="G153" t="s">
        <v>178</v>
      </c>
      <c r="H153" t="s">
        <v>2648</v>
      </c>
      <c r="I153" t="s">
        <v>2578</v>
      </c>
      <c r="J153">
        <v>25</v>
      </c>
      <c r="K153">
        <v>74.55</v>
      </c>
      <c r="L153">
        <v>41.82</v>
      </c>
      <c r="M153">
        <v>0.15</v>
      </c>
      <c r="N153" t="s">
        <v>45</v>
      </c>
    </row>
    <row r="154" spans="1:14" x14ac:dyDescent="0.25">
      <c r="A154" t="s">
        <v>443</v>
      </c>
      <c r="B154" s="2">
        <v>45557</v>
      </c>
      <c r="C154" t="s">
        <v>414</v>
      </c>
      <c r="D154" t="s">
        <v>209</v>
      </c>
      <c r="E154" t="s">
        <v>2618</v>
      </c>
      <c r="F154" t="s">
        <v>2635</v>
      </c>
      <c r="G154" t="s">
        <v>144</v>
      </c>
      <c r="H154" t="s">
        <v>2645</v>
      </c>
      <c r="I154" t="s">
        <v>75</v>
      </c>
      <c r="J154">
        <v>77</v>
      </c>
      <c r="K154">
        <v>17.36</v>
      </c>
      <c r="L154">
        <v>10.77</v>
      </c>
      <c r="M154">
        <v>0.05</v>
      </c>
      <c r="N154" t="s">
        <v>32</v>
      </c>
    </row>
    <row r="155" spans="1:14" x14ac:dyDescent="0.25">
      <c r="A155" t="s">
        <v>444</v>
      </c>
      <c r="B155" s="2">
        <v>45492</v>
      </c>
      <c r="C155" t="s">
        <v>325</v>
      </c>
      <c r="D155" t="s">
        <v>150</v>
      </c>
      <c r="E155" t="s">
        <v>2615</v>
      </c>
      <c r="F155" t="s">
        <v>2630</v>
      </c>
      <c r="G155" t="s">
        <v>178</v>
      </c>
      <c r="H155" t="s">
        <v>2648</v>
      </c>
      <c r="I155" t="s">
        <v>84</v>
      </c>
      <c r="J155">
        <v>34</v>
      </c>
      <c r="K155">
        <v>82.5</v>
      </c>
      <c r="L155">
        <v>51.06</v>
      </c>
      <c r="M155">
        <v>0.1</v>
      </c>
      <c r="N155" t="s">
        <v>45</v>
      </c>
    </row>
    <row r="156" spans="1:14" x14ac:dyDescent="0.25">
      <c r="A156" t="s">
        <v>445</v>
      </c>
      <c r="B156" s="2">
        <v>45300</v>
      </c>
      <c r="C156" t="s">
        <v>356</v>
      </c>
      <c r="D156" t="s">
        <v>216</v>
      </c>
      <c r="E156" t="s">
        <v>2614</v>
      </c>
      <c r="F156" t="s">
        <v>2629</v>
      </c>
      <c r="G156" t="s">
        <v>248</v>
      </c>
      <c r="H156" t="s">
        <v>2647</v>
      </c>
      <c r="I156" t="s">
        <v>44</v>
      </c>
      <c r="J156">
        <v>47</v>
      </c>
      <c r="K156">
        <v>108.93</v>
      </c>
      <c r="L156">
        <v>68.209999999999994</v>
      </c>
      <c r="M156">
        <v>0</v>
      </c>
      <c r="N156" t="s">
        <v>45</v>
      </c>
    </row>
    <row r="157" spans="1:14" x14ac:dyDescent="0.25">
      <c r="A157" t="s">
        <v>446</v>
      </c>
      <c r="B157" s="2">
        <v>45588</v>
      </c>
      <c r="C157" t="s">
        <v>447</v>
      </c>
      <c r="D157" t="s">
        <v>49</v>
      </c>
      <c r="E157" t="s">
        <v>2616</v>
      </c>
      <c r="F157" t="s">
        <v>2631</v>
      </c>
      <c r="G157" t="s">
        <v>218</v>
      </c>
      <c r="H157" t="s">
        <v>2646</v>
      </c>
      <c r="I157" t="s">
        <v>2578</v>
      </c>
      <c r="J157">
        <v>77</v>
      </c>
      <c r="K157">
        <v>23.17</v>
      </c>
      <c r="L157">
        <v>13.28</v>
      </c>
      <c r="M157">
        <v>0.2</v>
      </c>
      <c r="N157" t="s">
        <v>45</v>
      </c>
    </row>
    <row r="158" spans="1:14" x14ac:dyDescent="0.25">
      <c r="A158" t="s">
        <v>448</v>
      </c>
      <c r="B158" s="2">
        <v>45597</v>
      </c>
      <c r="C158" t="s">
        <v>449</v>
      </c>
      <c r="D158" t="s">
        <v>141</v>
      </c>
      <c r="E158" t="s">
        <v>2618</v>
      </c>
      <c r="F158" t="s">
        <v>2628</v>
      </c>
      <c r="G158" t="s">
        <v>170</v>
      </c>
      <c r="H158" t="s">
        <v>2647</v>
      </c>
      <c r="I158" t="s">
        <v>84</v>
      </c>
      <c r="J158">
        <v>37</v>
      </c>
      <c r="K158">
        <v>90.22</v>
      </c>
      <c r="L158">
        <v>55.95</v>
      </c>
      <c r="M158">
        <v>0.1</v>
      </c>
      <c r="N158" t="s">
        <v>45</v>
      </c>
    </row>
    <row r="159" spans="1:14" x14ac:dyDescent="0.25">
      <c r="A159" t="s">
        <v>450</v>
      </c>
      <c r="B159" s="2">
        <v>45582</v>
      </c>
      <c r="C159" t="s">
        <v>451</v>
      </c>
      <c r="D159" t="s">
        <v>132</v>
      </c>
      <c r="E159" t="s">
        <v>2614</v>
      </c>
      <c r="F159" t="s">
        <v>2622</v>
      </c>
      <c r="G159" t="s">
        <v>60</v>
      </c>
      <c r="H159" t="s">
        <v>2648</v>
      </c>
      <c r="I159" t="s">
        <v>44</v>
      </c>
      <c r="J159">
        <v>64</v>
      </c>
      <c r="K159">
        <v>61.45</v>
      </c>
      <c r="L159">
        <v>34.25</v>
      </c>
      <c r="M159">
        <v>0</v>
      </c>
      <c r="N159" t="s">
        <v>45</v>
      </c>
    </row>
    <row r="160" spans="1:14" x14ac:dyDescent="0.25">
      <c r="A160" t="s">
        <v>453</v>
      </c>
      <c r="B160" s="2">
        <v>45419</v>
      </c>
      <c r="C160" t="s">
        <v>454</v>
      </c>
      <c r="D160" t="s">
        <v>176</v>
      </c>
      <c r="E160" t="s">
        <v>2616</v>
      </c>
      <c r="F160" t="s">
        <v>2624</v>
      </c>
      <c r="G160" t="s">
        <v>111</v>
      </c>
      <c r="H160" t="s">
        <v>2647</v>
      </c>
      <c r="I160" t="s">
        <v>75</v>
      </c>
      <c r="J160">
        <v>30</v>
      </c>
      <c r="K160">
        <v>97.11</v>
      </c>
      <c r="L160">
        <v>60.02</v>
      </c>
      <c r="M160">
        <v>0.02</v>
      </c>
      <c r="N160" t="s">
        <v>129</v>
      </c>
    </row>
    <row r="161" spans="1:14" x14ac:dyDescent="0.25">
      <c r="A161" t="s">
        <v>455</v>
      </c>
      <c r="B161" s="2">
        <v>45656</v>
      </c>
      <c r="C161" t="s">
        <v>456</v>
      </c>
      <c r="D161" t="s">
        <v>187</v>
      </c>
      <c r="E161" t="s">
        <v>2617</v>
      </c>
      <c r="F161" t="s">
        <v>2642</v>
      </c>
      <c r="G161" t="s">
        <v>218</v>
      </c>
      <c r="H161" t="s">
        <v>2648</v>
      </c>
      <c r="I161" t="s">
        <v>70</v>
      </c>
      <c r="J161">
        <v>71</v>
      </c>
      <c r="K161">
        <v>48.25</v>
      </c>
      <c r="L161">
        <v>27.22</v>
      </c>
      <c r="M161">
        <v>0.15</v>
      </c>
      <c r="N161" t="s">
        <v>32</v>
      </c>
    </row>
    <row r="162" spans="1:14" x14ac:dyDescent="0.25">
      <c r="A162" t="s">
        <v>457</v>
      </c>
      <c r="B162" s="2">
        <v>45312</v>
      </c>
      <c r="C162" t="s">
        <v>458</v>
      </c>
      <c r="D162" t="s">
        <v>36</v>
      </c>
      <c r="E162" t="s">
        <v>2614</v>
      </c>
      <c r="F162" t="s">
        <v>2637</v>
      </c>
      <c r="G162" t="s">
        <v>261</v>
      </c>
      <c r="H162" t="s">
        <v>2647</v>
      </c>
      <c r="I162" t="s">
        <v>75</v>
      </c>
      <c r="J162" t="e">
        <f>ROUND(#REF!/Sales12[[#This Row],[Unit_Price]],0)</f>
        <v>#REF!</v>
      </c>
      <c r="K162">
        <v>155.52000000000001</v>
      </c>
      <c r="L162">
        <v>93.87</v>
      </c>
      <c r="M162">
        <v>0.05</v>
      </c>
      <c r="N162" t="s">
        <v>32</v>
      </c>
    </row>
    <row r="163" spans="1:14" x14ac:dyDescent="0.25">
      <c r="A163" t="s">
        <v>459</v>
      </c>
      <c r="B163" s="2">
        <v>45506</v>
      </c>
      <c r="C163" t="s">
        <v>378</v>
      </c>
      <c r="D163" t="s">
        <v>23</v>
      </c>
      <c r="E163" t="s">
        <v>2617</v>
      </c>
      <c r="F163" t="s">
        <v>2626</v>
      </c>
      <c r="G163" t="s">
        <v>83</v>
      </c>
      <c r="H163" t="s">
        <v>2647</v>
      </c>
      <c r="I163" t="s">
        <v>75</v>
      </c>
      <c r="J163">
        <v>31</v>
      </c>
      <c r="K163">
        <v>78.94</v>
      </c>
      <c r="L163">
        <v>46.04</v>
      </c>
      <c r="M163">
        <v>0.05</v>
      </c>
      <c r="N163" t="s">
        <v>45</v>
      </c>
    </row>
    <row r="164" spans="1:14" x14ac:dyDescent="0.25">
      <c r="A164" t="s">
        <v>460</v>
      </c>
      <c r="B164" s="2">
        <v>45508</v>
      </c>
      <c r="C164" t="s">
        <v>461</v>
      </c>
      <c r="D164" t="s">
        <v>36</v>
      </c>
      <c r="E164" t="s">
        <v>2615</v>
      </c>
      <c r="F164" t="s">
        <v>2639</v>
      </c>
      <c r="G164" t="s">
        <v>253</v>
      </c>
      <c r="H164" t="s">
        <v>2647</v>
      </c>
      <c r="I164" t="s">
        <v>84</v>
      </c>
      <c r="J164">
        <v>46</v>
      </c>
      <c r="K164">
        <v>170.91</v>
      </c>
      <c r="L164">
        <v>92.99</v>
      </c>
      <c r="M164">
        <v>0.02</v>
      </c>
      <c r="N164" t="s">
        <v>45</v>
      </c>
    </row>
    <row r="165" spans="1:14" x14ac:dyDescent="0.25">
      <c r="A165" t="s">
        <v>462</v>
      </c>
      <c r="B165" s="2">
        <v>45482</v>
      </c>
      <c r="C165" t="s">
        <v>339</v>
      </c>
      <c r="D165" t="s">
        <v>109</v>
      </c>
      <c r="E165" t="s">
        <v>2616</v>
      </c>
      <c r="F165" t="s">
        <v>2638</v>
      </c>
      <c r="G165" t="s">
        <v>152</v>
      </c>
      <c r="H165" t="s">
        <v>2645</v>
      </c>
      <c r="I165" t="s">
        <v>75</v>
      </c>
      <c r="J165">
        <v>19</v>
      </c>
      <c r="K165">
        <v>120.17</v>
      </c>
      <c r="L165">
        <v>73.22</v>
      </c>
      <c r="M165">
        <v>0.2</v>
      </c>
      <c r="N165" t="s">
        <v>45</v>
      </c>
    </row>
    <row r="166" spans="1:14" x14ac:dyDescent="0.25">
      <c r="A166" t="s">
        <v>463</v>
      </c>
      <c r="B166" s="2">
        <v>45382</v>
      </c>
      <c r="C166" t="s">
        <v>464</v>
      </c>
      <c r="D166" t="s">
        <v>36</v>
      </c>
      <c r="E166" t="s">
        <v>2614</v>
      </c>
      <c r="F166" t="s">
        <v>2636</v>
      </c>
      <c r="G166" t="s">
        <v>253</v>
      </c>
      <c r="H166" t="s">
        <v>2647</v>
      </c>
      <c r="I166" t="s">
        <v>70</v>
      </c>
      <c r="J166">
        <v>26</v>
      </c>
      <c r="K166">
        <v>165.59</v>
      </c>
      <c r="L166">
        <v>91.95</v>
      </c>
      <c r="M166">
        <v>0.05</v>
      </c>
      <c r="N166" t="s">
        <v>129</v>
      </c>
    </row>
    <row r="167" spans="1:14" x14ac:dyDescent="0.25">
      <c r="A167" t="s">
        <v>465</v>
      </c>
      <c r="B167" s="2">
        <v>45327</v>
      </c>
      <c r="C167" t="s">
        <v>466</v>
      </c>
      <c r="D167" t="s">
        <v>250</v>
      </c>
      <c r="E167" t="s">
        <v>2618</v>
      </c>
      <c r="F167" t="s">
        <v>2628</v>
      </c>
      <c r="G167" t="s">
        <v>69</v>
      </c>
      <c r="H167" t="s">
        <v>2647</v>
      </c>
      <c r="I167" t="s">
        <v>84</v>
      </c>
      <c r="J167">
        <v>71</v>
      </c>
      <c r="K167">
        <v>68.069999999999993</v>
      </c>
      <c r="L167">
        <v>38.020000000000003</v>
      </c>
      <c r="M167">
        <v>0.02</v>
      </c>
      <c r="N167" t="s">
        <v>45</v>
      </c>
    </row>
    <row r="168" spans="1:14" x14ac:dyDescent="0.25">
      <c r="A168" t="s">
        <v>467</v>
      </c>
      <c r="B168" s="2">
        <v>45307</v>
      </c>
      <c r="C168" t="s">
        <v>468</v>
      </c>
      <c r="D168" t="s">
        <v>49</v>
      </c>
      <c r="E168" t="s">
        <v>2616</v>
      </c>
      <c r="F168" t="s">
        <v>2631</v>
      </c>
      <c r="G168" t="s">
        <v>144</v>
      </c>
      <c r="H168" t="s">
        <v>2648</v>
      </c>
      <c r="I168" t="s">
        <v>75</v>
      </c>
      <c r="J168">
        <v>49</v>
      </c>
      <c r="K168">
        <v>26.16</v>
      </c>
      <c r="L168">
        <v>13</v>
      </c>
      <c r="M168">
        <v>0.2</v>
      </c>
      <c r="N168" t="s">
        <v>45</v>
      </c>
    </row>
    <row r="169" spans="1:14" x14ac:dyDescent="0.25">
      <c r="A169" t="s">
        <v>469</v>
      </c>
      <c r="B169" s="2">
        <v>45487</v>
      </c>
      <c r="C169" t="s">
        <v>104</v>
      </c>
      <c r="D169" t="s">
        <v>36</v>
      </c>
      <c r="E169" t="s">
        <v>2614</v>
      </c>
      <c r="F169" t="s">
        <v>2636</v>
      </c>
      <c r="G169" t="s">
        <v>118</v>
      </c>
      <c r="H169" t="s">
        <v>2647</v>
      </c>
      <c r="I169" t="s">
        <v>84</v>
      </c>
      <c r="J169">
        <v>19</v>
      </c>
      <c r="K169">
        <v>160.6</v>
      </c>
      <c r="L169">
        <v>97.39</v>
      </c>
      <c r="M169">
        <v>0</v>
      </c>
      <c r="N169" t="s">
        <v>45</v>
      </c>
    </row>
    <row r="170" spans="1:14" x14ac:dyDescent="0.25">
      <c r="A170" t="s">
        <v>470</v>
      </c>
      <c r="B170" s="2">
        <v>45551</v>
      </c>
      <c r="C170" t="s">
        <v>471</v>
      </c>
      <c r="D170" t="s">
        <v>222</v>
      </c>
      <c r="E170" t="s">
        <v>2614</v>
      </c>
      <c r="F170" t="s">
        <v>2636</v>
      </c>
      <c r="G170" t="s">
        <v>178</v>
      </c>
      <c r="H170" t="s">
        <v>2647</v>
      </c>
      <c r="I170" t="s">
        <v>70</v>
      </c>
      <c r="J170">
        <v>4</v>
      </c>
      <c r="K170">
        <v>124.15</v>
      </c>
      <c r="L170">
        <v>79.98</v>
      </c>
      <c r="M170">
        <v>0.15</v>
      </c>
      <c r="N170" t="s">
        <v>32</v>
      </c>
    </row>
    <row r="171" spans="1:14" x14ac:dyDescent="0.25">
      <c r="A171" t="s">
        <v>472</v>
      </c>
      <c r="B171" s="2">
        <v>45492</v>
      </c>
      <c r="C171" t="s">
        <v>473</v>
      </c>
      <c r="D171" t="s">
        <v>23</v>
      </c>
      <c r="E171" t="s">
        <v>2618</v>
      </c>
      <c r="F171" t="s">
        <v>2628</v>
      </c>
      <c r="G171" t="s">
        <v>195</v>
      </c>
      <c r="H171" t="s">
        <v>2645</v>
      </c>
      <c r="I171" t="s">
        <v>2578</v>
      </c>
      <c r="J171">
        <v>38</v>
      </c>
      <c r="K171">
        <v>77.010000000000005</v>
      </c>
      <c r="L171">
        <v>41.69</v>
      </c>
      <c r="M171">
        <v>0.2</v>
      </c>
      <c r="N171" t="s">
        <v>45</v>
      </c>
    </row>
    <row r="172" spans="1:14" x14ac:dyDescent="0.25">
      <c r="A172" t="s">
        <v>474</v>
      </c>
      <c r="B172" s="2">
        <v>45347</v>
      </c>
      <c r="C172" t="s">
        <v>475</v>
      </c>
      <c r="D172" t="s">
        <v>216</v>
      </c>
      <c r="E172" t="s">
        <v>2618</v>
      </c>
      <c r="F172" t="s">
        <v>2628</v>
      </c>
      <c r="G172" t="s">
        <v>60</v>
      </c>
      <c r="H172" t="s">
        <v>2645</v>
      </c>
      <c r="I172" t="s">
        <v>2578</v>
      </c>
      <c r="J172">
        <v>24</v>
      </c>
      <c r="K172">
        <v>105.28</v>
      </c>
      <c r="L172">
        <v>61.79</v>
      </c>
      <c r="M172">
        <v>0.02</v>
      </c>
      <c r="N172" t="s">
        <v>32</v>
      </c>
    </row>
    <row r="173" spans="1:14" x14ac:dyDescent="0.25">
      <c r="A173" t="s">
        <v>476</v>
      </c>
      <c r="B173" s="2">
        <v>45485</v>
      </c>
      <c r="C173" t="s">
        <v>477</v>
      </c>
      <c r="D173" t="s">
        <v>49</v>
      </c>
      <c r="E173" t="s">
        <v>2616</v>
      </c>
      <c r="F173" t="s">
        <v>2631</v>
      </c>
      <c r="G173" t="s">
        <v>184</v>
      </c>
      <c r="H173" t="s">
        <v>2645</v>
      </c>
      <c r="I173" t="s">
        <v>84</v>
      </c>
      <c r="J173">
        <v>11</v>
      </c>
      <c r="K173">
        <v>26.03</v>
      </c>
      <c r="L173">
        <v>12.3</v>
      </c>
      <c r="M173">
        <v>0.1</v>
      </c>
      <c r="N173" t="s">
        <v>32</v>
      </c>
    </row>
    <row r="174" spans="1:14" x14ac:dyDescent="0.25">
      <c r="A174" t="s">
        <v>478</v>
      </c>
      <c r="B174" s="2">
        <v>45607</v>
      </c>
      <c r="C174" t="s">
        <v>234</v>
      </c>
      <c r="D174" t="s">
        <v>132</v>
      </c>
      <c r="E174" t="s">
        <v>2615</v>
      </c>
      <c r="F174" t="s">
        <v>2627</v>
      </c>
      <c r="G174" t="s">
        <v>69</v>
      </c>
      <c r="H174" t="s">
        <v>2646</v>
      </c>
      <c r="I174" t="s">
        <v>2578</v>
      </c>
      <c r="J174">
        <v>46</v>
      </c>
      <c r="K174">
        <v>61.12</v>
      </c>
      <c r="L174">
        <v>36.619999999999997</v>
      </c>
      <c r="M174">
        <v>0.05</v>
      </c>
      <c r="N174" t="s">
        <v>32</v>
      </c>
    </row>
    <row r="175" spans="1:14" x14ac:dyDescent="0.25">
      <c r="A175" t="s">
        <v>479</v>
      </c>
      <c r="B175" s="2">
        <v>45390</v>
      </c>
      <c r="C175" t="s">
        <v>480</v>
      </c>
      <c r="D175" t="s">
        <v>150</v>
      </c>
      <c r="E175" t="s">
        <v>2618</v>
      </c>
      <c r="F175" t="s">
        <v>2628</v>
      </c>
      <c r="G175" t="s">
        <v>265</v>
      </c>
      <c r="H175" t="s">
        <v>2645</v>
      </c>
      <c r="I175" t="s">
        <v>75</v>
      </c>
      <c r="J175">
        <v>17</v>
      </c>
      <c r="K175">
        <v>79.06</v>
      </c>
      <c r="L175">
        <v>55</v>
      </c>
      <c r="M175">
        <v>0</v>
      </c>
      <c r="N175" t="s">
        <v>129</v>
      </c>
    </row>
    <row r="176" spans="1:14" x14ac:dyDescent="0.25">
      <c r="A176" t="s">
        <v>481</v>
      </c>
      <c r="B176" s="2">
        <v>45509</v>
      </c>
      <c r="C176" t="s">
        <v>208</v>
      </c>
      <c r="D176" t="s">
        <v>132</v>
      </c>
      <c r="E176" t="s">
        <v>2615</v>
      </c>
      <c r="F176" t="s">
        <v>2630</v>
      </c>
      <c r="G176" t="s">
        <v>265</v>
      </c>
      <c r="H176" t="s">
        <v>2648</v>
      </c>
      <c r="I176" t="s">
        <v>70</v>
      </c>
      <c r="J176">
        <v>3</v>
      </c>
      <c r="K176">
        <v>62.64</v>
      </c>
      <c r="L176">
        <v>32.56</v>
      </c>
      <c r="M176">
        <v>0.15</v>
      </c>
      <c r="N176" t="s">
        <v>45</v>
      </c>
    </row>
    <row r="177" spans="1:14" x14ac:dyDescent="0.25">
      <c r="A177" t="s">
        <v>482</v>
      </c>
      <c r="B177" s="2">
        <v>45558</v>
      </c>
      <c r="C177" t="s">
        <v>483</v>
      </c>
      <c r="D177" t="s">
        <v>93</v>
      </c>
      <c r="E177" t="s">
        <v>2614</v>
      </c>
      <c r="F177" t="s">
        <v>2637</v>
      </c>
      <c r="G177" t="s">
        <v>111</v>
      </c>
      <c r="H177" t="s">
        <v>2647</v>
      </c>
      <c r="I177" t="s">
        <v>44</v>
      </c>
      <c r="J177">
        <v>79</v>
      </c>
      <c r="K177">
        <v>56</v>
      </c>
      <c r="L177">
        <v>30.3</v>
      </c>
      <c r="M177">
        <v>0.2</v>
      </c>
      <c r="N177" t="s">
        <v>45</v>
      </c>
    </row>
    <row r="178" spans="1:14" x14ac:dyDescent="0.25">
      <c r="A178" t="s">
        <v>484</v>
      </c>
      <c r="B178" s="2">
        <v>45356</v>
      </c>
      <c r="C178" t="s">
        <v>485</v>
      </c>
      <c r="D178" t="s">
        <v>93</v>
      </c>
      <c r="E178" t="s">
        <v>2615</v>
      </c>
      <c r="F178" t="s">
        <v>2630</v>
      </c>
      <c r="G178" t="s">
        <v>253</v>
      </c>
      <c r="H178" t="s">
        <v>2648</v>
      </c>
      <c r="I178" t="s">
        <v>2578</v>
      </c>
      <c r="J178">
        <v>63</v>
      </c>
      <c r="K178">
        <v>56.81</v>
      </c>
      <c r="L178">
        <v>34.18</v>
      </c>
      <c r="M178">
        <v>0.02</v>
      </c>
      <c r="N178" t="s">
        <v>129</v>
      </c>
    </row>
    <row r="179" spans="1:14" x14ac:dyDescent="0.25">
      <c r="A179" t="s">
        <v>486</v>
      </c>
      <c r="B179" s="2">
        <v>45442</v>
      </c>
      <c r="C179" t="s">
        <v>487</v>
      </c>
      <c r="D179" t="s">
        <v>126</v>
      </c>
      <c r="E179" t="s">
        <v>2618</v>
      </c>
      <c r="F179" t="s">
        <v>2632</v>
      </c>
      <c r="G179" t="s">
        <v>60</v>
      </c>
      <c r="H179" t="s">
        <v>2645</v>
      </c>
      <c r="I179" t="s">
        <v>2578</v>
      </c>
      <c r="J179">
        <v>79</v>
      </c>
      <c r="K179">
        <v>92.82</v>
      </c>
      <c r="L179">
        <v>50.07</v>
      </c>
      <c r="M179">
        <v>0</v>
      </c>
      <c r="N179" t="s">
        <v>45</v>
      </c>
    </row>
    <row r="180" spans="1:14" x14ac:dyDescent="0.25">
      <c r="A180" t="s">
        <v>488</v>
      </c>
      <c r="B180" s="2">
        <v>45499</v>
      </c>
      <c r="C180" t="s">
        <v>489</v>
      </c>
      <c r="D180" t="s">
        <v>126</v>
      </c>
      <c r="E180" t="s">
        <v>2614</v>
      </c>
      <c r="F180" t="s">
        <v>2629</v>
      </c>
      <c r="G180" t="s">
        <v>74</v>
      </c>
      <c r="H180" t="s">
        <v>2647</v>
      </c>
      <c r="I180" t="s">
        <v>70</v>
      </c>
      <c r="J180">
        <v>73</v>
      </c>
      <c r="K180">
        <v>89.83</v>
      </c>
      <c r="L180">
        <v>52.17</v>
      </c>
      <c r="M180">
        <v>0.02</v>
      </c>
      <c r="N180" t="s">
        <v>32</v>
      </c>
    </row>
    <row r="181" spans="1:14" x14ac:dyDescent="0.25">
      <c r="A181" t="s">
        <v>490</v>
      </c>
      <c r="B181" s="2">
        <v>45641</v>
      </c>
      <c r="C181" t="s">
        <v>491</v>
      </c>
      <c r="D181" t="s">
        <v>222</v>
      </c>
      <c r="E181" t="s">
        <v>2614</v>
      </c>
      <c r="F181" t="s">
        <v>2636</v>
      </c>
      <c r="G181" t="s">
        <v>178</v>
      </c>
      <c r="H181" t="s">
        <v>2646</v>
      </c>
      <c r="I181" t="s">
        <v>2578</v>
      </c>
      <c r="J181">
        <v>53</v>
      </c>
      <c r="K181">
        <v>112.76</v>
      </c>
      <c r="L181">
        <v>82.85</v>
      </c>
      <c r="M181">
        <v>0.15</v>
      </c>
      <c r="N181" t="s">
        <v>45</v>
      </c>
    </row>
    <row r="182" spans="1:14" x14ac:dyDescent="0.25">
      <c r="A182" t="s">
        <v>492</v>
      </c>
      <c r="B182" s="2">
        <v>45567</v>
      </c>
      <c r="C182" t="s">
        <v>493</v>
      </c>
      <c r="D182" t="s">
        <v>49</v>
      </c>
      <c r="E182" t="s">
        <v>2614</v>
      </c>
      <c r="F182" t="s">
        <v>2629</v>
      </c>
      <c r="G182" t="s">
        <v>83</v>
      </c>
      <c r="H182" t="s">
        <v>2646</v>
      </c>
      <c r="I182" t="s">
        <v>70</v>
      </c>
      <c r="J182">
        <v>63</v>
      </c>
      <c r="K182">
        <v>24.48</v>
      </c>
      <c r="L182">
        <v>12.07</v>
      </c>
      <c r="M182">
        <v>0.05</v>
      </c>
      <c r="N182" t="s">
        <v>32</v>
      </c>
    </row>
    <row r="183" spans="1:14" x14ac:dyDescent="0.25">
      <c r="A183" t="s">
        <v>494</v>
      </c>
      <c r="B183" s="2">
        <v>45490</v>
      </c>
      <c r="C183" t="s">
        <v>495</v>
      </c>
      <c r="D183" t="s">
        <v>176</v>
      </c>
      <c r="E183" t="s">
        <v>2615</v>
      </c>
      <c r="F183" t="s">
        <v>2627</v>
      </c>
      <c r="G183" t="s">
        <v>69</v>
      </c>
      <c r="H183" t="s">
        <v>2646</v>
      </c>
      <c r="I183" t="s">
        <v>70</v>
      </c>
      <c r="J183">
        <v>42</v>
      </c>
      <c r="K183">
        <v>103.17</v>
      </c>
      <c r="L183">
        <v>60.32</v>
      </c>
      <c r="M183">
        <v>0.2</v>
      </c>
      <c r="N183" t="s">
        <v>45</v>
      </c>
    </row>
    <row r="184" spans="1:14" x14ac:dyDescent="0.25">
      <c r="A184" t="s">
        <v>496</v>
      </c>
      <c r="B184" s="2">
        <v>45656</v>
      </c>
      <c r="C184" t="s">
        <v>497</v>
      </c>
      <c r="D184" t="s">
        <v>49</v>
      </c>
      <c r="E184" t="s">
        <v>2614</v>
      </c>
      <c r="F184" t="s">
        <v>2637</v>
      </c>
      <c r="G184" t="s">
        <v>83</v>
      </c>
      <c r="H184" t="s">
        <v>2647</v>
      </c>
      <c r="I184" t="s">
        <v>70</v>
      </c>
      <c r="J184">
        <v>57</v>
      </c>
      <c r="K184">
        <v>26.76</v>
      </c>
      <c r="L184">
        <v>13.94</v>
      </c>
      <c r="M184">
        <v>0</v>
      </c>
      <c r="N184" t="s">
        <v>45</v>
      </c>
    </row>
    <row r="185" spans="1:14" x14ac:dyDescent="0.25">
      <c r="A185" t="s">
        <v>498</v>
      </c>
      <c r="B185" s="2">
        <v>45443</v>
      </c>
      <c r="C185" t="s">
        <v>499</v>
      </c>
      <c r="D185" t="s">
        <v>216</v>
      </c>
      <c r="E185" t="s">
        <v>2618</v>
      </c>
      <c r="F185" t="s">
        <v>2639</v>
      </c>
      <c r="G185" t="s">
        <v>184</v>
      </c>
      <c r="H185" t="s">
        <v>2645</v>
      </c>
      <c r="I185" t="s">
        <v>2578</v>
      </c>
      <c r="J185">
        <v>32</v>
      </c>
      <c r="K185">
        <v>112.3</v>
      </c>
      <c r="L185">
        <v>66.44</v>
      </c>
      <c r="M185">
        <v>0</v>
      </c>
      <c r="N185" t="s">
        <v>32</v>
      </c>
    </row>
    <row r="186" spans="1:14" x14ac:dyDescent="0.25">
      <c r="A186" t="s">
        <v>500</v>
      </c>
      <c r="B186" s="2">
        <v>45295</v>
      </c>
      <c r="C186" t="s">
        <v>293</v>
      </c>
      <c r="D186" t="s">
        <v>109</v>
      </c>
      <c r="E186" t="s">
        <v>2615</v>
      </c>
      <c r="F186" t="s">
        <v>2630</v>
      </c>
      <c r="G186" t="s">
        <v>253</v>
      </c>
      <c r="H186" t="s">
        <v>2648</v>
      </c>
      <c r="I186" t="s">
        <v>2619</v>
      </c>
      <c r="J186">
        <v>66</v>
      </c>
      <c r="K186">
        <v>122.18</v>
      </c>
      <c r="L186">
        <v>78.47</v>
      </c>
      <c r="M186">
        <v>0.2</v>
      </c>
      <c r="N186" t="s">
        <v>129</v>
      </c>
    </row>
    <row r="187" spans="1:14" x14ac:dyDescent="0.25">
      <c r="A187" t="s">
        <v>501</v>
      </c>
      <c r="B187" s="2">
        <v>45378</v>
      </c>
      <c r="C187" t="s">
        <v>241</v>
      </c>
      <c r="D187" t="s">
        <v>109</v>
      </c>
      <c r="E187" t="s">
        <v>2614</v>
      </c>
      <c r="F187" t="s">
        <v>2637</v>
      </c>
      <c r="G187" t="s">
        <v>218</v>
      </c>
      <c r="H187" t="s">
        <v>2648</v>
      </c>
      <c r="I187" t="s">
        <v>70</v>
      </c>
      <c r="J187">
        <v>15</v>
      </c>
      <c r="K187">
        <v>116.31</v>
      </c>
      <c r="L187">
        <v>73.849999999999994</v>
      </c>
      <c r="M187">
        <v>0.02</v>
      </c>
      <c r="N187" t="s">
        <v>32</v>
      </c>
    </row>
    <row r="188" spans="1:14" x14ac:dyDescent="0.25">
      <c r="A188" t="s">
        <v>502</v>
      </c>
      <c r="B188" s="2">
        <v>45383</v>
      </c>
      <c r="C188" t="s">
        <v>503</v>
      </c>
      <c r="D188" t="s">
        <v>222</v>
      </c>
      <c r="E188" t="s">
        <v>2617</v>
      </c>
      <c r="F188" t="s">
        <v>2642</v>
      </c>
      <c r="G188" t="s">
        <v>42</v>
      </c>
      <c r="H188" t="s">
        <v>2647</v>
      </c>
      <c r="I188" t="s">
        <v>2578</v>
      </c>
      <c r="J188">
        <v>41</v>
      </c>
      <c r="K188">
        <v>119.3</v>
      </c>
      <c r="L188">
        <v>76.17</v>
      </c>
      <c r="M188">
        <v>0</v>
      </c>
      <c r="N188" t="s">
        <v>45</v>
      </c>
    </row>
    <row r="189" spans="1:14" x14ac:dyDescent="0.25">
      <c r="A189" t="s">
        <v>504</v>
      </c>
      <c r="B189" s="2">
        <v>45297</v>
      </c>
      <c r="C189" t="s">
        <v>408</v>
      </c>
      <c r="D189" t="s">
        <v>209</v>
      </c>
      <c r="E189" t="s">
        <v>2614</v>
      </c>
      <c r="F189" t="s">
        <v>2636</v>
      </c>
      <c r="G189" t="s">
        <v>248</v>
      </c>
      <c r="H189" t="s">
        <v>2645</v>
      </c>
      <c r="I189" t="s">
        <v>44</v>
      </c>
      <c r="J189">
        <v>36</v>
      </c>
      <c r="K189">
        <v>16.71</v>
      </c>
      <c r="L189">
        <v>10.01</v>
      </c>
      <c r="M189">
        <v>0</v>
      </c>
      <c r="N189" t="s">
        <v>45</v>
      </c>
    </row>
    <row r="190" spans="1:14" x14ac:dyDescent="0.25">
      <c r="A190" t="s">
        <v>505</v>
      </c>
      <c r="B190" s="2">
        <v>45524</v>
      </c>
      <c r="C190" t="s">
        <v>506</v>
      </c>
      <c r="D190" t="s">
        <v>250</v>
      </c>
      <c r="E190" t="s">
        <v>2618</v>
      </c>
      <c r="F190" t="s">
        <v>2632</v>
      </c>
      <c r="G190" t="s">
        <v>152</v>
      </c>
      <c r="H190" t="s">
        <v>2646</v>
      </c>
      <c r="I190" t="s">
        <v>75</v>
      </c>
      <c r="J190">
        <v>53</v>
      </c>
      <c r="K190">
        <v>68.77</v>
      </c>
      <c r="L190">
        <v>39.880000000000003</v>
      </c>
      <c r="M190">
        <v>0.1</v>
      </c>
      <c r="N190" t="s">
        <v>32</v>
      </c>
    </row>
    <row r="191" spans="1:14" x14ac:dyDescent="0.25">
      <c r="A191" t="s">
        <v>507</v>
      </c>
      <c r="B191" s="2">
        <v>45585</v>
      </c>
      <c r="C191" t="s">
        <v>155</v>
      </c>
      <c r="D191" t="s">
        <v>141</v>
      </c>
      <c r="E191" t="s">
        <v>2615</v>
      </c>
      <c r="F191" t="s">
        <v>2627</v>
      </c>
      <c r="G191" t="s">
        <v>111</v>
      </c>
      <c r="H191" t="s">
        <v>2648</v>
      </c>
      <c r="I191" t="s">
        <v>70</v>
      </c>
      <c r="J191">
        <v>52</v>
      </c>
      <c r="K191">
        <v>99.7</v>
      </c>
      <c r="L191">
        <v>60.88</v>
      </c>
      <c r="M191">
        <v>0.2</v>
      </c>
      <c r="N191" t="s">
        <v>45</v>
      </c>
    </row>
    <row r="192" spans="1:14" x14ac:dyDescent="0.25">
      <c r="A192" t="s">
        <v>508</v>
      </c>
      <c r="B192" s="2">
        <v>45359</v>
      </c>
      <c r="C192" t="s">
        <v>509</v>
      </c>
      <c r="D192" t="s">
        <v>222</v>
      </c>
      <c r="E192" t="s">
        <v>2618</v>
      </c>
      <c r="F192" t="s">
        <v>2634</v>
      </c>
      <c r="G192" t="s">
        <v>69</v>
      </c>
      <c r="H192" t="s">
        <v>2647</v>
      </c>
      <c r="I192" t="s">
        <v>75</v>
      </c>
      <c r="J192">
        <v>67</v>
      </c>
      <c r="K192">
        <v>126.52</v>
      </c>
      <c r="L192">
        <v>71.81</v>
      </c>
      <c r="M192">
        <v>0.05</v>
      </c>
      <c r="N192" t="s">
        <v>32</v>
      </c>
    </row>
    <row r="193" spans="1:14" x14ac:dyDescent="0.25">
      <c r="A193" t="s">
        <v>510</v>
      </c>
      <c r="B193" s="2">
        <v>45461</v>
      </c>
      <c r="C193" t="s">
        <v>511</v>
      </c>
      <c r="D193" t="s">
        <v>209</v>
      </c>
      <c r="E193" t="s">
        <v>2615</v>
      </c>
      <c r="F193" t="s">
        <v>2623</v>
      </c>
      <c r="G193" t="s">
        <v>42</v>
      </c>
      <c r="H193" t="s">
        <v>2648</v>
      </c>
      <c r="I193" t="s">
        <v>75</v>
      </c>
      <c r="J193">
        <v>47</v>
      </c>
      <c r="K193">
        <v>18.21</v>
      </c>
      <c r="L193">
        <v>10.14</v>
      </c>
      <c r="M193">
        <v>0.2</v>
      </c>
      <c r="N193" t="s">
        <v>129</v>
      </c>
    </row>
    <row r="194" spans="1:14" x14ac:dyDescent="0.25">
      <c r="A194" t="s">
        <v>512</v>
      </c>
      <c r="B194" s="2">
        <v>45530</v>
      </c>
      <c r="C194" t="s">
        <v>513</v>
      </c>
      <c r="D194" t="s">
        <v>209</v>
      </c>
      <c r="E194" t="s">
        <v>2616</v>
      </c>
      <c r="F194" t="s">
        <v>2638</v>
      </c>
      <c r="G194" t="s">
        <v>152</v>
      </c>
      <c r="H194" t="s">
        <v>2647</v>
      </c>
      <c r="I194" t="s">
        <v>84</v>
      </c>
      <c r="J194">
        <v>20</v>
      </c>
      <c r="K194">
        <v>16.61</v>
      </c>
      <c r="L194">
        <v>10.74</v>
      </c>
      <c r="M194">
        <v>0.15</v>
      </c>
      <c r="N194" t="s">
        <v>45</v>
      </c>
    </row>
    <row r="195" spans="1:14" x14ac:dyDescent="0.25">
      <c r="A195" t="s">
        <v>514</v>
      </c>
      <c r="B195" s="2">
        <v>45308</v>
      </c>
      <c r="C195" t="s">
        <v>515</v>
      </c>
      <c r="D195" t="s">
        <v>216</v>
      </c>
      <c r="E195" t="s">
        <v>2614</v>
      </c>
      <c r="F195" t="s">
        <v>2622</v>
      </c>
      <c r="G195" t="s">
        <v>69</v>
      </c>
      <c r="H195" t="s">
        <v>2648</v>
      </c>
      <c r="I195" t="s">
        <v>84</v>
      </c>
      <c r="J195">
        <v>59</v>
      </c>
      <c r="K195">
        <v>102.37</v>
      </c>
      <c r="L195">
        <v>69.58</v>
      </c>
      <c r="M195">
        <v>0</v>
      </c>
      <c r="N195" t="s">
        <v>45</v>
      </c>
    </row>
    <row r="196" spans="1:14" x14ac:dyDescent="0.25">
      <c r="A196" t="s">
        <v>516</v>
      </c>
      <c r="B196" s="2">
        <v>45432</v>
      </c>
      <c r="C196" t="s">
        <v>517</v>
      </c>
      <c r="D196" t="s">
        <v>165</v>
      </c>
      <c r="E196" t="s">
        <v>2618</v>
      </c>
      <c r="F196" t="s">
        <v>2635</v>
      </c>
      <c r="G196" t="s">
        <v>248</v>
      </c>
      <c r="H196" t="s">
        <v>2646</v>
      </c>
      <c r="I196" t="s">
        <v>75</v>
      </c>
      <c r="J196">
        <v>72</v>
      </c>
      <c r="K196">
        <v>43.94</v>
      </c>
      <c r="L196">
        <v>26.57</v>
      </c>
      <c r="M196">
        <v>0.15</v>
      </c>
      <c r="N196" t="s">
        <v>45</v>
      </c>
    </row>
    <row r="197" spans="1:14" x14ac:dyDescent="0.25">
      <c r="A197" t="s">
        <v>518</v>
      </c>
      <c r="B197" s="2">
        <v>45594</v>
      </c>
      <c r="C197" t="s">
        <v>519</v>
      </c>
      <c r="D197" t="s">
        <v>66</v>
      </c>
      <c r="E197" t="s">
        <v>2616</v>
      </c>
      <c r="F197" t="s">
        <v>2624</v>
      </c>
      <c r="G197" t="s">
        <v>170</v>
      </c>
      <c r="H197" t="s">
        <v>2646</v>
      </c>
      <c r="I197" t="s">
        <v>2578</v>
      </c>
      <c r="J197">
        <v>14</v>
      </c>
      <c r="K197">
        <v>168.01</v>
      </c>
      <c r="L197">
        <v>107.63</v>
      </c>
      <c r="M197">
        <v>0.05</v>
      </c>
      <c r="N197" t="s">
        <v>129</v>
      </c>
    </row>
    <row r="198" spans="1:14" x14ac:dyDescent="0.25">
      <c r="A198" t="s">
        <v>521</v>
      </c>
      <c r="B198" s="2">
        <v>45581</v>
      </c>
      <c r="C198" t="s">
        <v>305</v>
      </c>
      <c r="D198" t="s">
        <v>132</v>
      </c>
      <c r="E198" t="s">
        <v>2614</v>
      </c>
      <c r="F198" t="s">
        <v>2629</v>
      </c>
      <c r="G198" t="s">
        <v>118</v>
      </c>
      <c r="H198" t="s">
        <v>2646</v>
      </c>
      <c r="I198" t="s">
        <v>44</v>
      </c>
      <c r="J198">
        <v>62</v>
      </c>
      <c r="K198">
        <v>61.61</v>
      </c>
      <c r="L198">
        <v>34.51</v>
      </c>
      <c r="M198">
        <v>0.2</v>
      </c>
      <c r="N198" t="s">
        <v>129</v>
      </c>
    </row>
    <row r="199" spans="1:14" x14ac:dyDescent="0.25">
      <c r="A199" t="s">
        <v>522</v>
      </c>
      <c r="B199" s="2">
        <v>45322</v>
      </c>
      <c r="C199" t="s">
        <v>451</v>
      </c>
      <c r="D199" t="s">
        <v>165</v>
      </c>
      <c r="E199" t="s">
        <v>2615</v>
      </c>
      <c r="F199" t="s">
        <v>2627</v>
      </c>
      <c r="G199" t="s">
        <v>90</v>
      </c>
      <c r="H199" t="s">
        <v>2645</v>
      </c>
      <c r="I199" t="s">
        <v>44</v>
      </c>
      <c r="J199">
        <v>1</v>
      </c>
      <c r="K199">
        <v>43.71</v>
      </c>
      <c r="L199">
        <v>25.31</v>
      </c>
      <c r="M199">
        <v>0.15</v>
      </c>
      <c r="N199" t="s">
        <v>32</v>
      </c>
    </row>
    <row r="200" spans="1:14" x14ac:dyDescent="0.25">
      <c r="A200" t="s">
        <v>523</v>
      </c>
      <c r="B200" s="2">
        <v>45533</v>
      </c>
      <c r="C200" t="s">
        <v>524</v>
      </c>
      <c r="D200" t="s">
        <v>78</v>
      </c>
      <c r="E200" t="s">
        <v>2614</v>
      </c>
      <c r="F200" t="s">
        <v>2622</v>
      </c>
      <c r="G200" t="s">
        <v>83</v>
      </c>
      <c r="H200" t="s">
        <v>2647</v>
      </c>
      <c r="I200" t="s">
        <v>70</v>
      </c>
      <c r="J200">
        <v>4</v>
      </c>
      <c r="K200">
        <v>143.35</v>
      </c>
      <c r="L200">
        <v>86.58</v>
      </c>
      <c r="M200">
        <v>0.15</v>
      </c>
      <c r="N200" t="s">
        <v>129</v>
      </c>
    </row>
    <row r="201" spans="1:14" x14ac:dyDescent="0.25">
      <c r="A201" t="s">
        <v>525</v>
      </c>
      <c r="B201" s="2">
        <v>45475</v>
      </c>
      <c r="C201" t="s">
        <v>526</v>
      </c>
      <c r="D201" t="s">
        <v>93</v>
      </c>
      <c r="E201" t="s">
        <v>2617</v>
      </c>
      <c r="F201" t="s">
        <v>2626</v>
      </c>
      <c r="G201" t="s">
        <v>170</v>
      </c>
      <c r="H201" t="s">
        <v>2647</v>
      </c>
      <c r="I201" t="s">
        <v>75</v>
      </c>
      <c r="J201">
        <v>25</v>
      </c>
      <c r="K201">
        <v>52.79</v>
      </c>
      <c r="L201">
        <v>33.25</v>
      </c>
      <c r="M201">
        <v>0.02</v>
      </c>
      <c r="N201" t="s">
        <v>129</v>
      </c>
    </row>
    <row r="202" spans="1:14" x14ac:dyDescent="0.25">
      <c r="A202" t="s">
        <v>527</v>
      </c>
      <c r="B202" s="2">
        <v>45490</v>
      </c>
      <c r="C202" t="s">
        <v>408</v>
      </c>
      <c r="D202" t="s">
        <v>132</v>
      </c>
      <c r="E202" t="s">
        <v>2617</v>
      </c>
      <c r="F202" t="s">
        <v>2625</v>
      </c>
      <c r="G202" t="s">
        <v>111</v>
      </c>
      <c r="H202" t="s">
        <v>2645</v>
      </c>
      <c r="I202" t="s">
        <v>44</v>
      </c>
      <c r="J202">
        <v>48</v>
      </c>
      <c r="K202">
        <v>61.78</v>
      </c>
      <c r="L202">
        <v>33.090000000000003</v>
      </c>
      <c r="M202" t="e">
        <f>ROUND(#REF!/#REF!,2)</f>
        <v>#REF!</v>
      </c>
      <c r="N202" t="s">
        <v>32</v>
      </c>
    </row>
    <row r="203" spans="1:14" x14ac:dyDescent="0.25">
      <c r="A203" t="s">
        <v>528</v>
      </c>
      <c r="B203" s="2">
        <v>45294</v>
      </c>
      <c r="C203" t="s">
        <v>529</v>
      </c>
      <c r="D203" t="s">
        <v>150</v>
      </c>
      <c r="E203" t="s">
        <v>2617</v>
      </c>
      <c r="F203" t="s">
        <v>2625</v>
      </c>
      <c r="G203" t="s">
        <v>111</v>
      </c>
      <c r="H203" t="s">
        <v>2647</v>
      </c>
      <c r="I203" t="s">
        <v>84</v>
      </c>
      <c r="J203">
        <v>53</v>
      </c>
      <c r="K203">
        <v>79.260000000000005</v>
      </c>
      <c r="L203">
        <v>50.25</v>
      </c>
      <c r="M203">
        <v>0.02</v>
      </c>
      <c r="N203" t="s">
        <v>45</v>
      </c>
    </row>
    <row r="204" spans="1:14" x14ac:dyDescent="0.25">
      <c r="A204" t="s">
        <v>530</v>
      </c>
      <c r="B204" s="2">
        <v>45305</v>
      </c>
      <c r="C204" t="s">
        <v>531</v>
      </c>
      <c r="D204" t="s">
        <v>165</v>
      </c>
      <c r="E204" t="s">
        <v>2618</v>
      </c>
      <c r="F204" t="s">
        <v>2635</v>
      </c>
      <c r="G204" t="s">
        <v>195</v>
      </c>
      <c r="H204" t="s">
        <v>2647</v>
      </c>
      <c r="I204" t="s">
        <v>2578</v>
      </c>
      <c r="J204">
        <v>64</v>
      </c>
      <c r="K204">
        <v>39.630000000000003</v>
      </c>
      <c r="L204">
        <v>23.03</v>
      </c>
      <c r="M204">
        <v>0.02</v>
      </c>
      <c r="N204" t="s">
        <v>129</v>
      </c>
    </row>
    <row r="205" spans="1:14" x14ac:dyDescent="0.25">
      <c r="A205" t="s">
        <v>532</v>
      </c>
      <c r="B205" s="2">
        <v>45296</v>
      </c>
      <c r="C205" t="s">
        <v>533</v>
      </c>
      <c r="D205" t="s">
        <v>78</v>
      </c>
      <c r="E205" t="s">
        <v>2618</v>
      </c>
      <c r="F205" t="s">
        <v>2634</v>
      </c>
      <c r="G205" t="s">
        <v>90</v>
      </c>
      <c r="H205" t="s">
        <v>2647</v>
      </c>
      <c r="I205" t="s">
        <v>75</v>
      </c>
      <c r="J205">
        <v>55</v>
      </c>
      <c r="K205">
        <v>138.81</v>
      </c>
      <c r="L205">
        <v>82.02</v>
      </c>
      <c r="M205">
        <v>0.02</v>
      </c>
      <c r="N205" t="s">
        <v>45</v>
      </c>
    </row>
    <row r="206" spans="1:14" x14ac:dyDescent="0.25">
      <c r="A206" t="s">
        <v>534</v>
      </c>
      <c r="B206" s="2">
        <v>45440</v>
      </c>
      <c r="C206" t="s">
        <v>535</v>
      </c>
      <c r="D206" t="s">
        <v>216</v>
      </c>
      <c r="E206" t="s">
        <v>2618</v>
      </c>
      <c r="F206" t="s">
        <v>2632</v>
      </c>
      <c r="G206" t="s">
        <v>218</v>
      </c>
      <c r="H206" t="s">
        <v>2648</v>
      </c>
      <c r="I206" t="s">
        <v>2578</v>
      </c>
      <c r="J206">
        <v>71</v>
      </c>
      <c r="K206">
        <v>106.07</v>
      </c>
      <c r="L206">
        <v>67.989999999999995</v>
      </c>
      <c r="M206">
        <v>0.1</v>
      </c>
      <c r="N206" t="s">
        <v>32</v>
      </c>
    </row>
    <row r="207" spans="1:14" x14ac:dyDescent="0.25">
      <c r="A207" t="s">
        <v>536</v>
      </c>
      <c r="B207" s="2">
        <v>45644</v>
      </c>
      <c r="C207" t="s">
        <v>537</v>
      </c>
      <c r="D207" t="s">
        <v>114</v>
      </c>
      <c r="E207" t="s">
        <v>2617</v>
      </c>
      <c r="F207" t="s">
        <v>2641</v>
      </c>
      <c r="G207" t="s">
        <v>170</v>
      </c>
      <c r="H207" t="s">
        <v>2648</v>
      </c>
      <c r="I207" t="s">
        <v>84</v>
      </c>
      <c r="J207">
        <v>65</v>
      </c>
      <c r="K207">
        <v>35.19</v>
      </c>
      <c r="L207">
        <v>22.24</v>
      </c>
      <c r="M207">
        <v>0.1</v>
      </c>
      <c r="N207" t="s">
        <v>32</v>
      </c>
    </row>
    <row r="208" spans="1:14" x14ac:dyDescent="0.25">
      <c r="A208" t="s">
        <v>538</v>
      </c>
      <c r="B208" s="2">
        <v>45649</v>
      </c>
      <c r="C208" t="s">
        <v>511</v>
      </c>
      <c r="D208" t="s">
        <v>126</v>
      </c>
      <c r="E208" t="s">
        <v>2618</v>
      </c>
      <c r="F208" t="s">
        <v>2634</v>
      </c>
      <c r="G208" t="s">
        <v>111</v>
      </c>
      <c r="H208" t="s">
        <v>2645</v>
      </c>
      <c r="I208" t="s">
        <v>2578</v>
      </c>
      <c r="J208">
        <v>70</v>
      </c>
      <c r="K208">
        <v>96.15</v>
      </c>
      <c r="L208">
        <v>49.65</v>
      </c>
      <c r="M208">
        <v>0.15</v>
      </c>
      <c r="N208" t="s">
        <v>32</v>
      </c>
    </row>
    <row r="209" spans="1:14" x14ac:dyDescent="0.25">
      <c r="A209" t="s">
        <v>539</v>
      </c>
      <c r="B209" s="2">
        <v>45327</v>
      </c>
      <c r="C209" t="s">
        <v>454</v>
      </c>
      <c r="D209" t="s">
        <v>66</v>
      </c>
      <c r="E209" t="s">
        <v>2617</v>
      </c>
      <c r="F209" t="s">
        <v>2625</v>
      </c>
      <c r="G209" t="s">
        <v>83</v>
      </c>
      <c r="H209" t="s">
        <v>2645</v>
      </c>
      <c r="I209" t="s">
        <v>70</v>
      </c>
      <c r="J209">
        <v>27</v>
      </c>
      <c r="K209">
        <v>164.45</v>
      </c>
      <c r="L209">
        <v>96.72</v>
      </c>
      <c r="M209">
        <v>0</v>
      </c>
      <c r="N209" t="s">
        <v>32</v>
      </c>
    </row>
    <row r="210" spans="1:14" x14ac:dyDescent="0.25">
      <c r="A210" t="s">
        <v>540</v>
      </c>
      <c r="B210" s="2">
        <v>45323</v>
      </c>
      <c r="C210" t="s">
        <v>541</v>
      </c>
      <c r="D210" t="s">
        <v>114</v>
      </c>
      <c r="E210" t="s">
        <v>2615</v>
      </c>
      <c r="F210" t="s">
        <v>2623</v>
      </c>
      <c r="G210" t="s">
        <v>29</v>
      </c>
      <c r="H210" t="s">
        <v>2646</v>
      </c>
      <c r="I210" t="s">
        <v>44</v>
      </c>
      <c r="J210">
        <v>34</v>
      </c>
      <c r="K210">
        <v>35.76</v>
      </c>
      <c r="L210">
        <v>19.489999999999998</v>
      </c>
      <c r="M210">
        <v>0.05</v>
      </c>
      <c r="N210" t="s">
        <v>45</v>
      </c>
    </row>
    <row r="211" spans="1:14" x14ac:dyDescent="0.25">
      <c r="A211" t="s">
        <v>542</v>
      </c>
      <c r="B211" s="2">
        <v>45341</v>
      </c>
      <c r="C211" t="s">
        <v>72</v>
      </c>
      <c r="D211" t="s">
        <v>216</v>
      </c>
      <c r="E211" t="s">
        <v>2614</v>
      </c>
      <c r="F211" t="s">
        <v>2622</v>
      </c>
      <c r="G211" t="s">
        <v>118</v>
      </c>
      <c r="H211" t="s">
        <v>2645</v>
      </c>
      <c r="I211" t="s">
        <v>44</v>
      </c>
      <c r="J211">
        <v>22</v>
      </c>
      <c r="K211">
        <v>113.31</v>
      </c>
      <c r="L211">
        <v>66.33</v>
      </c>
      <c r="M211">
        <v>0.2</v>
      </c>
      <c r="N211" t="s">
        <v>45</v>
      </c>
    </row>
    <row r="212" spans="1:14" x14ac:dyDescent="0.25">
      <c r="A212" t="s">
        <v>543</v>
      </c>
      <c r="B212" s="2">
        <v>45363</v>
      </c>
      <c r="C212" t="s">
        <v>511</v>
      </c>
      <c r="D212" t="s">
        <v>109</v>
      </c>
      <c r="E212" t="s">
        <v>2617</v>
      </c>
      <c r="F212" t="s">
        <v>2642</v>
      </c>
      <c r="G212" t="s">
        <v>118</v>
      </c>
      <c r="H212" t="s">
        <v>2646</v>
      </c>
      <c r="I212" t="s">
        <v>70</v>
      </c>
      <c r="J212">
        <v>24</v>
      </c>
      <c r="K212">
        <v>123.16</v>
      </c>
      <c r="L212">
        <v>68.260000000000005</v>
      </c>
      <c r="M212" t="e">
        <f>ROUND(#REF!/#REF!,2)</f>
        <v>#REF!</v>
      </c>
      <c r="N212" t="s">
        <v>45</v>
      </c>
    </row>
    <row r="213" spans="1:14" x14ac:dyDescent="0.25">
      <c r="A213" t="s">
        <v>544</v>
      </c>
      <c r="B213" s="2">
        <v>45614</v>
      </c>
      <c r="C213" t="s">
        <v>545</v>
      </c>
      <c r="D213" t="s">
        <v>78</v>
      </c>
      <c r="E213" t="s">
        <v>2616</v>
      </c>
      <c r="F213" t="s">
        <v>2624</v>
      </c>
      <c r="G213" t="s">
        <v>111</v>
      </c>
      <c r="H213" t="s">
        <v>2647</v>
      </c>
      <c r="I213" t="s">
        <v>75</v>
      </c>
      <c r="J213">
        <v>32</v>
      </c>
      <c r="K213">
        <v>133.65</v>
      </c>
      <c r="L213">
        <v>76.7</v>
      </c>
      <c r="M213">
        <v>0.02</v>
      </c>
      <c r="N213" t="s">
        <v>45</v>
      </c>
    </row>
    <row r="214" spans="1:14" x14ac:dyDescent="0.25">
      <c r="A214" t="s">
        <v>546</v>
      </c>
      <c r="B214" s="2">
        <v>45362</v>
      </c>
      <c r="C214" t="s">
        <v>531</v>
      </c>
      <c r="D214" t="s">
        <v>114</v>
      </c>
      <c r="E214" t="s">
        <v>2614</v>
      </c>
      <c r="F214" t="s">
        <v>2622</v>
      </c>
      <c r="G214" t="s">
        <v>69</v>
      </c>
      <c r="H214" t="s">
        <v>2650</v>
      </c>
      <c r="I214" t="s">
        <v>2578</v>
      </c>
      <c r="J214">
        <v>76</v>
      </c>
      <c r="K214">
        <v>36.81</v>
      </c>
      <c r="L214">
        <v>22.2</v>
      </c>
      <c r="M214">
        <v>0.1</v>
      </c>
      <c r="N214" t="s">
        <v>45</v>
      </c>
    </row>
    <row r="215" spans="1:14" x14ac:dyDescent="0.25">
      <c r="A215" t="s">
        <v>548</v>
      </c>
      <c r="B215" s="2">
        <v>45415</v>
      </c>
      <c r="C215" t="s">
        <v>549</v>
      </c>
      <c r="D215" t="s">
        <v>132</v>
      </c>
      <c r="E215" t="s">
        <v>2615</v>
      </c>
      <c r="F215" t="s">
        <v>2640</v>
      </c>
      <c r="G215" t="s">
        <v>111</v>
      </c>
      <c r="H215" t="s">
        <v>2646</v>
      </c>
      <c r="I215" t="s">
        <v>70</v>
      </c>
      <c r="J215">
        <v>64</v>
      </c>
      <c r="K215">
        <v>55.76</v>
      </c>
      <c r="L215">
        <v>36.49</v>
      </c>
      <c r="M215">
        <v>0.2</v>
      </c>
      <c r="N215" t="s">
        <v>32</v>
      </c>
    </row>
    <row r="216" spans="1:14" x14ac:dyDescent="0.25">
      <c r="A216" t="s">
        <v>551</v>
      </c>
      <c r="B216" s="2">
        <v>45504</v>
      </c>
      <c r="C216" t="s">
        <v>552</v>
      </c>
      <c r="D216" t="s">
        <v>66</v>
      </c>
      <c r="E216" t="s">
        <v>2616</v>
      </c>
      <c r="F216" t="s">
        <v>2631</v>
      </c>
      <c r="G216" t="s">
        <v>152</v>
      </c>
      <c r="H216" t="s">
        <v>2646</v>
      </c>
      <c r="I216" t="s">
        <v>84</v>
      </c>
      <c r="J216">
        <v>69</v>
      </c>
      <c r="K216">
        <v>160.79</v>
      </c>
      <c r="L216">
        <v>105.58</v>
      </c>
      <c r="M216">
        <v>0.1</v>
      </c>
      <c r="N216" t="s">
        <v>45</v>
      </c>
    </row>
    <row r="217" spans="1:14" x14ac:dyDescent="0.25">
      <c r="A217" t="s">
        <v>553</v>
      </c>
      <c r="B217" s="2">
        <v>45454</v>
      </c>
      <c r="C217" t="s">
        <v>506</v>
      </c>
      <c r="D217" t="s">
        <v>49</v>
      </c>
      <c r="E217" t="s">
        <v>2617</v>
      </c>
      <c r="F217" t="s">
        <v>2625</v>
      </c>
      <c r="G217" t="s">
        <v>253</v>
      </c>
      <c r="H217" t="s">
        <v>2648</v>
      </c>
      <c r="I217" t="s">
        <v>2578</v>
      </c>
      <c r="J217">
        <v>45</v>
      </c>
      <c r="K217">
        <v>23.57</v>
      </c>
      <c r="L217">
        <v>12.68</v>
      </c>
      <c r="M217">
        <v>0.1</v>
      </c>
      <c r="N217" t="s">
        <v>32</v>
      </c>
    </row>
    <row r="218" spans="1:14" x14ac:dyDescent="0.25">
      <c r="A218" t="s">
        <v>554</v>
      </c>
      <c r="B218" s="2">
        <v>45446</v>
      </c>
      <c r="C218" t="s">
        <v>205</v>
      </c>
      <c r="D218" t="s">
        <v>187</v>
      </c>
      <c r="E218" t="s">
        <v>2614</v>
      </c>
      <c r="F218" t="s">
        <v>2636</v>
      </c>
      <c r="G218" t="s">
        <v>152</v>
      </c>
      <c r="H218" t="s">
        <v>2647</v>
      </c>
      <c r="I218" t="s">
        <v>44</v>
      </c>
      <c r="J218">
        <v>2</v>
      </c>
      <c r="K218">
        <v>49.2</v>
      </c>
      <c r="L218">
        <v>28.19</v>
      </c>
      <c r="M218">
        <v>0</v>
      </c>
      <c r="N218" t="s">
        <v>45</v>
      </c>
    </row>
    <row r="219" spans="1:14" x14ac:dyDescent="0.25">
      <c r="A219" t="s">
        <v>555</v>
      </c>
      <c r="B219" s="2">
        <v>45537</v>
      </c>
      <c r="C219" t="s">
        <v>408</v>
      </c>
      <c r="D219" t="s">
        <v>99</v>
      </c>
      <c r="E219" t="s">
        <v>2615</v>
      </c>
      <c r="F219" t="s">
        <v>2623</v>
      </c>
      <c r="G219" t="s">
        <v>170</v>
      </c>
      <c r="H219" t="s">
        <v>2647</v>
      </c>
      <c r="I219" t="s">
        <v>75</v>
      </c>
      <c r="J219">
        <v>27</v>
      </c>
      <c r="K219">
        <v>67.599999999999994</v>
      </c>
      <c r="L219">
        <v>43.42</v>
      </c>
      <c r="M219">
        <v>0.05</v>
      </c>
      <c r="N219" t="s">
        <v>129</v>
      </c>
    </row>
    <row r="220" spans="1:14" x14ac:dyDescent="0.25">
      <c r="A220" t="s">
        <v>556</v>
      </c>
      <c r="B220" s="2">
        <v>45481</v>
      </c>
      <c r="C220" t="s">
        <v>557</v>
      </c>
      <c r="D220" t="s">
        <v>114</v>
      </c>
      <c r="E220" t="s">
        <v>2616</v>
      </c>
      <c r="F220" t="s">
        <v>2624</v>
      </c>
      <c r="G220" t="s">
        <v>178</v>
      </c>
      <c r="H220" t="s">
        <v>2645</v>
      </c>
      <c r="I220" t="s">
        <v>75</v>
      </c>
      <c r="J220">
        <v>13</v>
      </c>
      <c r="K220">
        <v>32.39</v>
      </c>
      <c r="L220">
        <v>20.34</v>
      </c>
      <c r="M220">
        <v>0</v>
      </c>
      <c r="N220" t="s">
        <v>45</v>
      </c>
    </row>
    <row r="221" spans="1:14" x14ac:dyDescent="0.25">
      <c r="A221" t="s">
        <v>558</v>
      </c>
      <c r="B221" s="2">
        <v>45382</v>
      </c>
      <c r="C221" t="s">
        <v>559</v>
      </c>
      <c r="D221" t="s">
        <v>109</v>
      </c>
      <c r="E221" t="s">
        <v>2615</v>
      </c>
      <c r="F221" t="s">
        <v>2640</v>
      </c>
      <c r="G221" t="s">
        <v>170</v>
      </c>
      <c r="H221" t="s">
        <v>2645</v>
      </c>
      <c r="I221" t="s">
        <v>70</v>
      </c>
      <c r="J221">
        <v>70</v>
      </c>
      <c r="K221">
        <v>129.37</v>
      </c>
      <c r="L221">
        <v>76.75</v>
      </c>
      <c r="M221">
        <v>0.2</v>
      </c>
      <c r="N221" t="s">
        <v>45</v>
      </c>
    </row>
    <row r="222" spans="1:14" x14ac:dyDescent="0.25">
      <c r="A222" t="s">
        <v>560</v>
      </c>
      <c r="B222" s="2">
        <v>45582</v>
      </c>
      <c r="C222" t="s">
        <v>559</v>
      </c>
      <c r="D222" t="s">
        <v>36</v>
      </c>
      <c r="E222" t="s">
        <v>2614</v>
      </c>
      <c r="F222" t="s">
        <v>2637</v>
      </c>
      <c r="G222" t="s">
        <v>118</v>
      </c>
      <c r="H222" t="s">
        <v>2647</v>
      </c>
      <c r="I222" t="s">
        <v>75</v>
      </c>
      <c r="J222">
        <v>28</v>
      </c>
      <c r="K222">
        <v>172.89</v>
      </c>
      <c r="L222">
        <v>95.72</v>
      </c>
      <c r="M222">
        <v>0.02</v>
      </c>
      <c r="N222" t="s">
        <v>45</v>
      </c>
    </row>
    <row r="223" spans="1:14" x14ac:dyDescent="0.25">
      <c r="A223" t="s">
        <v>561</v>
      </c>
      <c r="B223" s="2">
        <v>45341</v>
      </c>
      <c r="C223" t="s">
        <v>529</v>
      </c>
      <c r="D223" t="s">
        <v>126</v>
      </c>
      <c r="E223" t="s">
        <v>2615</v>
      </c>
      <c r="F223" t="s">
        <v>2640</v>
      </c>
      <c r="G223" t="s">
        <v>83</v>
      </c>
      <c r="H223" t="s">
        <v>2647</v>
      </c>
      <c r="I223" t="s">
        <v>70</v>
      </c>
      <c r="J223">
        <v>29</v>
      </c>
      <c r="K223">
        <v>88.66</v>
      </c>
      <c r="L223">
        <v>49.32</v>
      </c>
      <c r="M223">
        <v>0.02</v>
      </c>
      <c r="N223" t="s">
        <v>32</v>
      </c>
    </row>
    <row r="224" spans="1:14" x14ac:dyDescent="0.25">
      <c r="A224" t="s">
        <v>562</v>
      </c>
      <c r="B224" s="2">
        <v>45296</v>
      </c>
      <c r="C224" t="s">
        <v>563</v>
      </c>
      <c r="D224" t="s">
        <v>93</v>
      </c>
      <c r="E224" t="s">
        <v>2618</v>
      </c>
      <c r="F224" t="s">
        <v>2632</v>
      </c>
      <c r="G224" t="s">
        <v>60</v>
      </c>
      <c r="H224" t="s">
        <v>2648</v>
      </c>
      <c r="I224" t="s">
        <v>2578</v>
      </c>
      <c r="J224">
        <v>23</v>
      </c>
      <c r="K224">
        <v>51.33</v>
      </c>
      <c r="L224">
        <v>32.53</v>
      </c>
      <c r="M224">
        <v>0.1</v>
      </c>
      <c r="N224" t="s">
        <v>45</v>
      </c>
    </row>
    <row r="225" spans="1:14" x14ac:dyDescent="0.25">
      <c r="A225" t="s">
        <v>564</v>
      </c>
      <c r="B225" s="2">
        <v>45384</v>
      </c>
      <c r="C225" t="s">
        <v>565</v>
      </c>
      <c r="D225" t="s">
        <v>49</v>
      </c>
      <c r="E225" t="s">
        <v>2614</v>
      </c>
      <c r="F225" t="s">
        <v>2622</v>
      </c>
      <c r="G225" t="s">
        <v>83</v>
      </c>
      <c r="H225" t="s">
        <v>2647</v>
      </c>
      <c r="I225" t="s">
        <v>44</v>
      </c>
      <c r="J225">
        <v>71</v>
      </c>
      <c r="K225">
        <v>23.26</v>
      </c>
      <c r="L225">
        <v>12.62</v>
      </c>
      <c r="M225">
        <v>0.1</v>
      </c>
      <c r="N225" t="s">
        <v>32</v>
      </c>
    </row>
    <row r="226" spans="1:14" x14ac:dyDescent="0.25">
      <c r="A226" t="s">
        <v>566</v>
      </c>
      <c r="B226" s="2">
        <v>45449</v>
      </c>
      <c r="C226" t="s">
        <v>567</v>
      </c>
      <c r="D226" t="s">
        <v>126</v>
      </c>
      <c r="E226" t="s">
        <v>2617</v>
      </c>
      <c r="F226" t="s">
        <v>2626</v>
      </c>
      <c r="G226" t="s">
        <v>248</v>
      </c>
      <c r="H226" t="s">
        <v>2648</v>
      </c>
      <c r="I226" t="s">
        <v>84</v>
      </c>
      <c r="J226">
        <v>80</v>
      </c>
      <c r="K226">
        <v>94.26</v>
      </c>
      <c r="L226">
        <v>50.25</v>
      </c>
      <c r="M226">
        <v>0</v>
      </c>
      <c r="N226" t="s">
        <v>45</v>
      </c>
    </row>
    <row r="227" spans="1:14" x14ac:dyDescent="0.25">
      <c r="A227" t="s">
        <v>568</v>
      </c>
      <c r="B227" s="2">
        <v>45320</v>
      </c>
      <c r="C227" t="s">
        <v>569</v>
      </c>
      <c r="D227" t="s">
        <v>222</v>
      </c>
      <c r="E227" t="s">
        <v>2617</v>
      </c>
      <c r="F227" t="s">
        <v>2642</v>
      </c>
      <c r="G227" t="s">
        <v>195</v>
      </c>
      <c r="H227" t="s">
        <v>2647</v>
      </c>
      <c r="I227" t="s">
        <v>84</v>
      </c>
      <c r="J227">
        <v>58</v>
      </c>
      <c r="K227">
        <v>111.3</v>
      </c>
      <c r="L227">
        <v>75.209999999999994</v>
      </c>
      <c r="M227">
        <v>0.15</v>
      </c>
      <c r="N227" t="s">
        <v>129</v>
      </c>
    </row>
    <row r="228" spans="1:14" x14ac:dyDescent="0.25">
      <c r="A228" t="s">
        <v>570</v>
      </c>
      <c r="B228" s="2">
        <v>45453</v>
      </c>
      <c r="C228" t="s">
        <v>280</v>
      </c>
      <c r="D228" t="s">
        <v>132</v>
      </c>
      <c r="E228" t="s">
        <v>2615</v>
      </c>
      <c r="F228" t="s">
        <v>2623</v>
      </c>
      <c r="G228" t="s">
        <v>261</v>
      </c>
      <c r="H228" t="s">
        <v>2648</v>
      </c>
      <c r="I228" t="s">
        <v>70</v>
      </c>
      <c r="J228">
        <v>76</v>
      </c>
      <c r="K228">
        <v>56.74</v>
      </c>
      <c r="L228">
        <v>34.94</v>
      </c>
      <c r="M228">
        <v>0.02</v>
      </c>
      <c r="N228" t="s">
        <v>45</v>
      </c>
    </row>
    <row r="229" spans="1:14" x14ac:dyDescent="0.25">
      <c r="A229" t="s">
        <v>571</v>
      </c>
      <c r="B229" s="2">
        <v>45571</v>
      </c>
      <c r="C229" t="s">
        <v>572</v>
      </c>
      <c r="D229" t="s">
        <v>176</v>
      </c>
      <c r="E229" t="s">
        <v>2616</v>
      </c>
      <c r="F229" t="s">
        <v>2624</v>
      </c>
      <c r="G229" t="s">
        <v>42</v>
      </c>
      <c r="H229" t="s">
        <v>2646</v>
      </c>
      <c r="I229" t="s">
        <v>2578</v>
      </c>
      <c r="J229">
        <v>14</v>
      </c>
      <c r="K229">
        <v>103.05</v>
      </c>
      <c r="L229">
        <v>58.35</v>
      </c>
      <c r="M229">
        <v>0.1</v>
      </c>
      <c r="N229" t="s">
        <v>45</v>
      </c>
    </row>
    <row r="230" spans="1:14" x14ac:dyDescent="0.25">
      <c r="A230" t="s">
        <v>573</v>
      </c>
      <c r="B230" s="2">
        <v>45379</v>
      </c>
      <c r="C230" t="s">
        <v>499</v>
      </c>
      <c r="D230" t="s">
        <v>23</v>
      </c>
      <c r="E230" t="s">
        <v>2615</v>
      </c>
      <c r="F230" t="s">
        <v>2623</v>
      </c>
      <c r="G230" t="s">
        <v>83</v>
      </c>
      <c r="H230" t="s">
        <v>2645</v>
      </c>
      <c r="I230" t="s">
        <v>70</v>
      </c>
      <c r="J230">
        <v>10</v>
      </c>
      <c r="K230">
        <v>78.989999999999995</v>
      </c>
      <c r="L230">
        <v>44.05</v>
      </c>
      <c r="M230">
        <v>0.05</v>
      </c>
      <c r="N230" t="s">
        <v>45</v>
      </c>
    </row>
    <row r="231" spans="1:14" x14ac:dyDescent="0.25">
      <c r="A231" t="s">
        <v>574</v>
      </c>
      <c r="B231" s="2">
        <v>45387</v>
      </c>
      <c r="C231" t="s">
        <v>278</v>
      </c>
      <c r="D231" t="s">
        <v>187</v>
      </c>
      <c r="E231" t="s">
        <v>2614</v>
      </c>
      <c r="F231" t="s">
        <v>2629</v>
      </c>
      <c r="G231" t="s">
        <v>144</v>
      </c>
      <c r="H231" t="s">
        <v>2648</v>
      </c>
      <c r="I231" t="s">
        <v>2578</v>
      </c>
      <c r="J231">
        <v>69</v>
      </c>
      <c r="K231">
        <v>51.64</v>
      </c>
      <c r="L231">
        <v>28.84</v>
      </c>
      <c r="M231">
        <v>0.05</v>
      </c>
      <c r="N231" t="s">
        <v>45</v>
      </c>
    </row>
    <row r="232" spans="1:14" x14ac:dyDescent="0.25">
      <c r="A232" t="s">
        <v>575</v>
      </c>
      <c r="B232" s="2">
        <v>45597</v>
      </c>
      <c r="C232" t="s">
        <v>282</v>
      </c>
      <c r="D232" t="s">
        <v>222</v>
      </c>
      <c r="E232" t="s">
        <v>2617</v>
      </c>
      <c r="F232" t="s">
        <v>2642</v>
      </c>
      <c r="G232" t="s">
        <v>170</v>
      </c>
      <c r="H232" t="s">
        <v>2648</v>
      </c>
      <c r="I232" t="s">
        <v>2578</v>
      </c>
      <c r="J232">
        <v>77</v>
      </c>
      <c r="K232">
        <v>128.63999999999999</v>
      </c>
      <c r="L232">
        <v>80.819999999999993</v>
      </c>
      <c r="M232">
        <v>0.05</v>
      </c>
      <c r="N232" t="s">
        <v>45</v>
      </c>
    </row>
    <row r="233" spans="1:14" x14ac:dyDescent="0.25">
      <c r="A233" t="s">
        <v>576</v>
      </c>
      <c r="B233" s="2">
        <v>45467</v>
      </c>
      <c r="C233" t="s">
        <v>280</v>
      </c>
      <c r="D233" t="s">
        <v>93</v>
      </c>
      <c r="E233" t="s">
        <v>2617</v>
      </c>
      <c r="F233" t="s">
        <v>2642</v>
      </c>
      <c r="G233" t="s">
        <v>184</v>
      </c>
      <c r="H233" t="s">
        <v>2646</v>
      </c>
      <c r="I233" t="s">
        <v>84</v>
      </c>
      <c r="J233">
        <v>15</v>
      </c>
      <c r="K233">
        <v>53.21</v>
      </c>
      <c r="L233">
        <v>30.64</v>
      </c>
      <c r="M233">
        <v>0.05</v>
      </c>
      <c r="N233" t="s">
        <v>45</v>
      </c>
    </row>
    <row r="234" spans="1:14" x14ac:dyDescent="0.25">
      <c r="A234" t="s">
        <v>577</v>
      </c>
      <c r="B234" s="2">
        <v>45538</v>
      </c>
      <c r="C234" t="s">
        <v>578</v>
      </c>
      <c r="D234" t="s">
        <v>216</v>
      </c>
      <c r="E234" t="s">
        <v>2616</v>
      </c>
      <c r="F234" t="s">
        <v>2631</v>
      </c>
      <c r="G234" t="s">
        <v>152</v>
      </c>
      <c r="H234" t="s">
        <v>2647</v>
      </c>
      <c r="I234" t="s">
        <v>44</v>
      </c>
      <c r="J234">
        <v>22</v>
      </c>
      <c r="K234">
        <v>104.86</v>
      </c>
      <c r="L234">
        <v>61.92</v>
      </c>
      <c r="M234">
        <v>0.02</v>
      </c>
      <c r="N234" t="s">
        <v>45</v>
      </c>
    </row>
    <row r="235" spans="1:14" x14ac:dyDescent="0.25">
      <c r="A235" t="s">
        <v>579</v>
      </c>
      <c r="B235" s="2">
        <v>45354</v>
      </c>
      <c r="C235" t="s">
        <v>580</v>
      </c>
      <c r="D235" t="s">
        <v>114</v>
      </c>
      <c r="E235" t="s">
        <v>2615</v>
      </c>
      <c r="F235" t="s">
        <v>2623</v>
      </c>
      <c r="G235" t="s">
        <v>74</v>
      </c>
      <c r="H235" t="s">
        <v>2648</v>
      </c>
      <c r="I235" t="s">
        <v>2578</v>
      </c>
      <c r="J235">
        <v>59</v>
      </c>
      <c r="K235">
        <v>32.340000000000003</v>
      </c>
      <c r="L235">
        <v>19.68</v>
      </c>
      <c r="M235">
        <v>0.02</v>
      </c>
      <c r="N235" t="s">
        <v>32</v>
      </c>
    </row>
    <row r="236" spans="1:14" x14ac:dyDescent="0.25">
      <c r="A236" t="s">
        <v>581</v>
      </c>
      <c r="B236" s="2">
        <v>45302</v>
      </c>
      <c r="C236" t="s">
        <v>464</v>
      </c>
      <c r="D236" t="s">
        <v>187</v>
      </c>
      <c r="E236" t="s">
        <v>2618</v>
      </c>
      <c r="F236" t="s">
        <v>2635</v>
      </c>
      <c r="G236" t="s">
        <v>118</v>
      </c>
      <c r="H236" t="s">
        <v>2645</v>
      </c>
      <c r="I236" t="s">
        <v>2578</v>
      </c>
      <c r="J236">
        <v>56</v>
      </c>
      <c r="K236">
        <v>49.2</v>
      </c>
      <c r="L236">
        <v>27.8</v>
      </c>
      <c r="M236">
        <v>0.05</v>
      </c>
      <c r="N236" t="s">
        <v>129</v>
      </c>
    </row>
    <row r="237" spans="1:14" x14ac:dyDescent="0.25">
      <c r="A237" t="s">
        <v>582</v>
      </c>
      <c r="B237" s="2">
        <v>45397</v>
      </c>
      <c r="C237" t="s">
        <v>392</v>
      </c>
      <c r="D237" t="s">
        <v>216</v>
      </c>
      <c r="E237" t="s">
        <v>2618</v>
      </c>
      <c r="F237" t="s">
        <v>2635</v>
      </c>
      <c r="G237" t="s">
        <v>83</v>
      </c>
      <c r="H237" t="s">
        <v>2645</v>
      </c>
      <c r="I237" t="s">
        <v>2578</v>
      </c>
      <c r="J237">
        <v>64</v>
      </c>
      <c r="K237">
        <v>113.61</v>
      </c>
      <c r="L237">
        <v>70.400000000000006</v>
      </c>
      <c r="M237">
        <v>0.2</v>
      </c>
      <c r="N237" t="s">
        <v>32</v>
      </c>
    </row>
    <row r="238" spans="1:14" x14ac:dyDescent="0.25">
      <c r="A238" t="s">
        <v>583</v>
      </c>
      <c r="B238" s="2">
        <v>45594</v>
      </c>
      <c r="C238" t="s">
        <v>584</v>
      </c>
      <c r="D238" t="s">
        <v>99</v>
      </c>
      <c r="E238" t="s">
        <v>2616</v>
      </c>
      <c r="F238" t="s">
        <v>2638</v>
      </c>
      <c r="G238" t="s">
        <v>90</v>
      </c>
      <c r="H238" t="s">
        <v>2645</v>
      </c>
      <c r="I238" t="s">
        <v>44</v>
      </c>
      <c r="J238">
        <v>56</v>
      </c>
      <c r="K238">
        <v>75.5</v>
      </c>
      <c r="L238">
        <v>41.29</v>
      </c>
      <c r="M238">
        <v>0.2</v>
      </c>
      <c r="N238" t="s">
        <v>32</v>
      </c>
    </row>
    <row r="239" spans="1:14" x14ac:dyDescent="0.25">
      <c r="A239" t="s">
        <v>585</v>
      </c>
      <c r="B239" s="2">
        <v>45316</v>
      </c>
      <c r="C239" t="s">
        <v>237</v>
      </c>
      <c r="D239" t="s">
        <v>99</v>
      </c>
      <c r="E239" t="s">
        <v>2618</v>
      </c>
      <c r="F239" t="s">
        <v>2628</v>
      </c>
      <c r="G239" t="s">
        <v>265</v>
      </c>
      <c r="H239" t="s">
        <v>2645</v>
      </c>
      <c r="I239" t="s">
        <v>70</v>
      </c>
      <c r="J239">
        <v>37</v>
      </c>
      <c r="K239">
        <v>66.59</v>
      </c>
      <c r="L239">
        <v>37.770000000000003</v>
      </c>
      <c r="M239">
        <v>0.05</v>
      </c>
      <c r="N239" t="s">
        <v>45</v>
      </c>
    </row>
    <row r="240" spans="1:14" x14ac:dyDescent="0.25">
      <c r="A240" t="s">
        <v>586</v>
      </c>
      <c r="B240" s="2">
        <v>45293</v>
      </c>
      <c r="C240" t="s">
        <v>428</v>
      </c>
      <c r="D240" t="s">
        <v>150</v>
      </c>
      <c r="E240" t="s">
        <v>2616</v>
      </c>
      <c r="F240" t="s">
        <v>2638</v>
      </c>
      <c r="G240" t="s">
        <v>218</v>
      </c>
      <c r="H240" t="s">
        <v>2648</v>
      </c>
      <c r="I240" t="s">
        <v>44</v>
      </c>
      <c r="J240">
        <v>52</v>
      </c>
      <c r="K240">
        <v>90.15</v>
      </c>
      <c r="L240">
        <v>50.22</v>
      </c>
      <c r="M240">
        <v>0.02</v>
      </c>
      <c r="N240" t="s">
        <v>45</v>
      </c>
    </row>
    <row r="241" spans="1:14" x14ac:dyDescent="0.25">
      <c r="A241" t="s">
        <v>587</v>
      </c>
      <c r="B241" s="2">
        <v>45303</v>
      </c>
      <c r="C241" t="s">
        <v>309</v>
      </c>
      <c r="D241" t="s">
        <v>132</v>
      </c>
      <c r="E241" t="s">
        <v>2615</v>
      </c>
      <c r="F241" t="s">
        <v>2640</v>
      </c>
      <c r="G241" t="s">
        <v>178</v>
      </c>
      <c r="H241" t="s">
        <v>2648</v>
      </c>
      <c r="I241" t="s">
        <v>70</v>
      </c>
      <c r="J241">
        <v>29</v>
      </c>
      <c r="K241">
        <v>62.34</v>
      </c>
      <c r="L241">
        <v>34.03</v>
      </c>
      <c r="M241">
        <v>0.05</v>
      </c>
      <c r="N241" t="s">
        <v>45</v>
      </c>
    </row>
    <row r="242" spans="1:14" x14ac:dyDescent="0.25">
      <c r="A242" t="s">
        <v>588</v>
      </c>
      <c r="B242" s="2">
        <v>45326</v>
      </c>
      <c r="C242" t="s">
        <v>384</v>
      </c>
      <c r="D242" t="s">
        <v>216</v>
      </c>
      <c r="E242" t="s">
        <v>2618</v>
      </c>
      <c r="F242" t="s">
        <v>2634</v>
      </c>
      <c r="G242" t="s">
        <v>111</v>
      </c>
      <c r="H242" t="s">
        <v>2648</v>
      </c>
      <c r="I242" t="s">
        <v>2578</v>
      </c>
      <c r="J242">
        <v>33</v>
      </c>
      <c r="K242">
        <v>106.23</v>
      </c>
      <c r="L242">
        <v>66.28</v>
      </c>
      <c r="M242">
        <v>0.1</v>
      </c>
      <c r="N242" t="s">
        <v>45</v>
      </c>
    </row>
    <row r="243" spans="1:14" x14ac:dyDescent="0.25">
      <c r="A243" t="s">
        <v>589</v>
      </c>
      <c r="B243" s="2">
        <v>45522</v>
      </c>
      <c r="C243" t="s">
        <v>56</v>
      </c>
      <c r="D243" t="s">
        <v>176</v>
      </c>
      <c r="E243" t="s">
        <v>2615</v>
      </c>
      <c r="F243" t="s">
        <v>2630</v>
      </c>
      <c r="G243" t="s">
        <v>195</v>
      </c>
      <c r="H243" t="s">
        <v>2648</v>
      </c>
      <c r="I243" t="s">
        <v>75</v>
      </c>
      <c r="J243">
        <v>57</v>
      </c>
      <c r="K243">
        <v>101.16</v>
      </c>
      <c r="L243">
        <v>59.88</v>
      </c>
      <c r="M243">
        <v>0.1</v>
      </c>
      <c r="N243" t="s">
        <v>45</v>
      </c>
    </row>
    <row r="244" spans="1:14" x14ac:dyDescent="0.25">
      <c r="A244" t="s">
        <v>590</v>
      </c>
      <c r="B244" s="2">
        <v>45495</v>
      </c>
      <c r="C244" t="s">
        <v>344</v>
      </c>
      <c r="D244" t="s">
        <v>99</v>
      </c>
      <c r="E244" t="s">
        <v>2618</v>
      </c>
      <c r="F244" t="s">
        <v>2635</v>
      </c>
      <c r="G244" t="s">
        <v>195</v>
      </c>
      <c r="H244" t="s">
        <v>2646</v>
      </c>
      <c r="I244" t="s">
        <v>70</v>
      </c>
      <c r="J244">
        <v>41</v>
      </c>
      <c r="K244">
        <v>71.510000000000005</v>
      </c>
      <c r="L244">
        <v>38.020000000000003</v>
      </c>
      <c r="M244">
        <v>0.2</v>
      </c>
      <c r="N244" t="s">
        <v>32</v>
      </c>
    </row>
    <row r="245" spans="1:14" x14ac:dyDescent="0.25">
      <c r="A245" t="s">
        <v>591</v>
      </c>
      <c r="B245" s="2">
        <v>45588</v>
      </c>
      <c r="C245" t="s">
        <v>2619</v>
      </c>
      <c r="D245" t="s">
        <v>78</v>
      </c>
      <c r="E245" t="s">
        <v>2616</v>
      </c>
      <c r="F245" t="s">
        <v>2631</v>
      </c>
      <c r="G245" t="s">
        <v>74</v>
      </c>
      <c r="H245" t="s">
        <v>2647</v>
      </c>
      <c r="I245" t="s">
        <v>2578</v>
      </c>
      <c r="J245">
        <v>2</v>
      </c>
      <c r="K245">
        <v>135.66</v>
      </c>
      <c r="L245">
        <v>83.63</v>
      </c>
      <c r="M245">
        <v>0.1</v>
      </c>
      <c r="N245" t="s">
        <v>45</v>
      </c>
    </row>
    <row r="246" spans="1:14" x14ac:dyDescent="0.25">
      <c r="A246" t="s">
        <v>592</v>
      </c>
      <c r="B246" s="2">
        <v>45487</v>
      </c>
      <c r="C246" t="s">
        <v>572</v>
      </c>
      <c r="D246" t="s">
        <v>99</v>
      </c>
      <c r="E246" t="s">
        <v>2614</v>
      </c>
      <c r="F246" t="s">
        <v>2622</v>
      </c>
      <c r="G246" t="s">
        <v>42</v>
      </c>
      <c r="H246" t="s">
        <v>2645</v>
      </c>
      <c r="I246" t="s">
        <v>44</v>
      </c>
      <c r="J246">
        <v>11</v>
      </c>
      <c r="K246">
        <v>65.760000000000005</v>
      </c>
      <c r="L246">
        <v>40.47</v>
      </c>
      <c r="M246">
        <v>0</v>
      </c>
      <c r="N246" t="s">
        <v>129</v>
      </c>
    </row>
    <row r="247" spans="1:14" x14ac:dyDescent="0.25">
      <c r="A247" t="s">
        <v>593</v>
      </c>
      <c r="B247" s="2">
        <v>45554</v>
      </c>
      <c r="C247" t="s">
        <v>594</v>
      </c>
      <c r="D247" t="s">
        <v>165</v>
      </c>
      <c r="E247" t="s">
        <v>2614</v>
      </c>
      <c r="F247" t="s">
        <v>2636</v>
      </c>
      <c r="G247" t="s">
        <v>111</v>
      </c>
      <c r="H247" t="s">
        <v>2646</v>
      </c>
      <c r="I247" t="s">
        <v>2578</v>
      </c>
      <c r="J247">
        <v>14</v>
      </c>
      <c r="K247">
        <v>44.04</v>
      </c>
      <c r="L247">
        <v>25.16</v>
      </c>
      <c r="M247">
        <v>0.15</v>
      </c>
      <c r="N247" t="s">
        <v>129</v>
      </c>
    </row>
    <row r="248" spans="1:14" x14ac:dyDescent="0.25">
      <c r="A248" t="s">
        <v>595</v>
      </c>
      <c r="B248" s="2">
        <v>45505</v>
      </c>
      <c r="C248" t="s">
        <v>596</v>
      </c>
      <c r="D248" t="s">
        <v>93</v>
      </c>
      <c r="E248" t="s">
        <v>2617</v>
      </c>
      <c r="F248" t="s">
        <v>2626</v>
      </c>
      <c r="G248" t="s">
        <v>74</v>
      </c>
      <c r="H248" t="s">
        <v>2645</v>
      </c>
      <c r="I248" t="s">
        <v>2578</v>
      </c>
      <c r="J248">
        <v>8</v>
      </c>
      <c r="K248">
        <v>59.12</v>
      </c>
      <c r="L248">
        <v>31.69</v>
      </c>
      <c r="M248">
        <v>0.05</v>
      </c>
      <c r="N248" t="s">
        <v>32</v>
      </c>
    </row>
    <row r="249" spans="1:14" x14ac:dyDescent="0.25">
      <c r="A249" t="s">
        <v>598</v>
      </c>
      <c r="B249" s="2">
        <v>45590</v>
      </c>
      <c r="C249" t="s">
        <v>578</v>
      </c>
      <c r="D249" t="s">
        <v>49</v>
      </c>
      <c r="E249" t="s">
        <v>2618</v>
      </c>
      <c r="F249" t="s">
        <v>2628</v>
      </c>
      <c r="G249" t="s">
        <v>60</v>
      </c>
      <c r="H249" t="s">
        <v>2646</v>
      </c>
      <c r="I249" t="s">
        <v>84</v>
      </c>
      <c r="J249">
        <v>57</v>
      </c>
      <c r="K249">
        <v>23.85</v>
      </c>
      <c r="L249">
        <v>14.03</v>
      </c>
      <c r="M249">
        <v>0.2</v>
      </c>
      <c r="N249" t="s">
        <v>45</v>
      </c>
    </row>
    <row r="250" spans="1:14" x14ac:dyDescent="0.25">
      <c r="A250" t="s">
        <v>599</v>
      </c>
      <c r="B250" s="2">
        <v>45493</v>
      </c>
      <c r="C250" t="s">
        <v>600</v>
      </c>
      <c r="D250" t="s">
        <v>78</v>
      </c>
      <c r="E250" t="s">
        <v>2615</v>
      </c>
      <c r="F250" t="s">
        <v>2627</v>
      </c>
      <c r="G250" t="s">
        <v>248</v>
      </c>
      <c r="H250" t="s">
        <v>2645</v>
      </c>
      <c r="I250" t="s">
        <v>44</v>
      </c>
      <c r="J250">
        <v>6</v>
      </c>
      <c r="K250">
        <v>136.99</v>
      </c>
      <c r="L250">
        <v>78.400000000000006</v>
      </c>
      <c r="M250">
        <v>0.05</v>
      </c>
      <c r="N250" t="s">
        <v>32</v>
      </c>
    </row>
    <row r="251" spans="1:14" x14ac:dyDescent="0.25">
      <c r="A251" t="s">
        <v>601</v>
      </c>
      <c r="B251" s="2">
        <v>45654</v>
      </c>
      <c r="C251" t="s">
        <v>602</v>
      </c>
      <c r="D251" t="s">
        <v>109</v>
      </c>
      <c r="E251" t="s">
        <v>2618</v>
      </c>
      <c r="F251" t="s">
        <v>2632</v>
      </c>
      <c r="G251" t="s">
        <v>261</v>
      </c>
      <c r="H251" t="s">
        <v>2646</v>
      </c>
      <c r="I251" t="s">
        <v>70</v>
      </c>
      <c r="J251">
        <v>55</v>
      </c>
      <c r="K251">
        <v>119.75</v>
      </c>
      <c r="L251">
        <v>72.5</v>
      </c>
      <c r="M251">
        <v>0.2</v>
      </c>
      <c r="N251" t="s">
        <v>32</v>
      </c>
    </row>
    <row r="252" spans="1:14" x14ac:dyDescent="0.25">
      <c r="A252" t="s">
        <v>603</v>
      </c>
      <c r="B252" s="2">
        <v>45562</v>
      </c>
      <c r="C252" t="s">
        <v>485</v>
      </c>
      <c r="D252" t="s">
        <v>250</v>
      </c>
      <c r="E252" t="s">
        <v>2616</v>
      </c>
      <c r="F252" t="s">
        <v>2633</v>
      </c>
      <c r="G252" t="s">
        <v>60</v>
      </c>
      <c r="H252" t="s">
        <v>2645</v>
      </c>
      <c r="I252" t="s">
        <v>44</v>
      </c>
      <c r="J252">
        <v>2</v>
      </c>
      <c r="K252">
        <v>61.8</v>
      </c>
      <c r="L252">
        <v>35.21</v>
      </c>
      <c r="M252">
        <v>0.05</v>
      </c>
      <c r="N252" t="s">
        <v>45</v>
      </c>
    </row>
    <row r="253" spans="1:14" x14ac:dyDescent="0.25">
      <c r="A253" t="s">
        <v>604</v>
      </c>
      <c r="B253" s="2">
        <v>45538</v>
      </c>
      <c r="C253" t="s">
        <v>220</v>
      </c>
      <c r="D253" t="s">
        <v>150</v>
      </c>
      <c r="E253" t="s">
        <v>2616</v>
      </c>
      <c r="F253" t="s">
        <v>2631</v>
      </c>
      <c r="G253" t="s">
        <v>144</v>
      </c>
      <c r="H253" t="s">
        <v>2645</v>
      </c>
      <c r="I253" t="s">
        <v>70</v>
      </c>
      <c r="J253">
        <v>28</v>
      </c>
      <c r="K253">
        <v>82.44</v>
      </c>
      <c r="L253">
        <v>51.16</v>
      </c>
      <c r="M253">
        <v>0.1</v>
      </c>
      <c r="N253" t="s">
        <v>45</v>
      </c>
    </row>
    <row r="254" spans="1:14" x14ac:dyDescent="0.25">
      <c r="A254" t="s">
        <v>605</v>
      </c>
      <c r="B254" s="2">
        <v>45509</v>
      </c>
      <c r="C254" t="s">
        <v>320</v>
      </c>
      <c r="D254" t="s">
        <v>150</v>
      </c>
      <c r="E254" t="s">
        <v>2614</v>
      </c>
      <c r="F254" t="s">
        <v>2629</v>
      </c>
      <c r="G254" t="s">
        <v>42</v>
      </c>
      <c r="H254" t="s">
        <v>2647</v>
      </c>
      <c r="I254" t="s">
        <v>2578</v>
      </c>
      <c r="J254">
        <v>33</v>
      </c>
      <c r="K254">
        <v>79.11</v>
      </c>
      <c r="L254">
        <v>54.08</v>
      </c>
      <c r="M254">
        <v>0.2</v>
      </c>
      <c r="N254" t="s">
        <v>129</v>
      </c>
    </row>
    <row r="255" spans="1:14" x14ac:dyDescent="0.25">
      <c r="A255" t="s">
        <v>606</v>
      </c>
      <c r="B255" s="2">
        <v>45539</v>
      </c>
      <c r="C255" t="s">
        <v>180</v>
      </c>
      <c r="D255" t="s">
        <v>66</v>
      </c>
      <c r="E255" t="s">
        <v>2616</v>
      </c>
      <c r="F255" t="s">
        <v>2633</v>
      </c>
      <c r="G255" t="s">
        <v>170</v>
      </c>
      <c r="H255" t="s">
        <v>2647</v>
      </c>
      <c r="I255" t="s">
        <v>44</v>
      </c>
      <c r="J255">
        <v>54</v>
      </c>
      <c r="K255">
        <v>154.19</v>
      </c>
      <c r="L255">
        <v>104.3</v>
      </c>
      <c r="M255">
        <v>0.15</v>
      </c>
      <c r="N255" t="s">
        <v>45</v>
      </c>
    </row>
    <row r="256" spans="1:14" x14ac:dyDescent="0.25">
      <c r="A256" t="s">
        <v>607</v>
      </c>
      <c r="B256" s="2">
        <v>45298</v>
      </c>
      <c r="C256" t="s">
        <v>608</v>
      </c>
      <c r="D256" t="s">
        <v>78</v>
      </c>
      <c r="E256" t="s">
        <v>2614</v>
      </c>
      <c r="F256" t="s">
        <v>2629</v>
      </c>
      <c r="G256" t="s">
        <v>111</v>
      </c>
      <c r="H256" t="s">
        <v>2646</v>
      </c>
      <c r="I256" t="s">
        <v>2578</v>
      </c>
      <c r="J256">
        <v>54</v>
      </c>
      <c r="K256">
        <v>147.12</v>
      </c>
      <c r="L256">
        <v>86.73</v>
      </c>
      <c r="M256">
        <v>0.1</v>
      </c>
      <c r="N256" t="s">
        <v>129</v>
      </c>
    </row>
    <row r="257" spans="1:14" x14ac:dyDescent="0.25">
      <c r="A257" t="s">
        <v>610</v>
      </c>
      <c r="B257" s="2">
        <v>45368</v>
      </c>
      <c r="C257" t="s">
        <v>611</v>
      </c>
      <c r="D257" t="s">
        <v>126</v>
      </c>
      <c r="E257" t="s">
        <v>2616</v>
      </c>
      <c r="F257" t="s">
        <v>2631</v>
      </c>
      <c r="G257" t="s">
        <v>152</v>
      </c>
      <c r="H257" t="s">
        <v>2645</v>
      </c>
      <c r="I257" t="s">
        <v>2578</v>
      </c>
      <c r="J257">
        <v>42</v>
      </c>
      <c r="K257">
        <v>87.6</v>
      </c>
      <c r="L257">
        <v>54.44</v>
      </c>
      <c r="M257">
        <v>0</v>
      </c>
      <c r="N257" t="s">
        <v>45</v>
      </c>
    </row>
    <row r="258" spans="1:14" x14ac:dyDescent="0.25">
      <c r="A258" t="s">
        <v>612</v>
      </c>
      <c r="B258" s="2">
        <v>45571</v>
      </c>
      <c r="C258" t="s">
        <v>613</v>
      </c>
      <c r="D258" t="s">
        <v>78</v>
      </c>
      <c r="E258" t="s">
        <v>2614</v>
      </c>
      <c r="F258" t="s">
        <v>2629</v>
      </c>
      <c r="G258" t="s">
        <v>195</v>
      </c>
      <c r="H258" t="s">
        <v>2648</v>
      </c>
      <c r="I258" t="s">
        <v>75</v>
      </c>
      <c r="J258">
        <v>55</v>
      </c>
      <c r="K258">
        <v>137.62</v>
      </c>
      <c r="L258">
        <v>83.98</v>
      </c>
      <c r="M258">
        <v>0.1</v>
      </c>
      <c r="N258" t="s">
        <v>45</v>
      </c>
    </row>
    <row r="259" spans="1:14" x14ac:dyDescent="0.25">
      <c r="A259" t="s">
        <v>614</v>
      </c>
      <c r="B259" s="2">
        <v>45551</v>
      </c>
      <c r="C259" t="s">
        <v>615</v>
      </c>
      <c r="D259" t="s">
        <v>150</v>
      </c>
      <c r="E259" t="s">
        <v>2617</v>
      </c>
      <c r="F259" t="s">
        <v>2641</v>
      </c>
      <c r="G259" t="s">
        <v>265</v>
      </c>
      <c r="H259" t="s">
        <v>2645</v>
      </c>
      <c r="I259" t="s">
        <v>2578</v>
      </c>
      <c r="J259">
        <v>6</v>
      </c>
      <c r="K259">
        <v>79.53</v>
      </c>
      <c r="L259">
        <v>50.9</v>
      </c>
      <c r="M259">
        <v>0.1</v>
      </c>
      <c r="N259" t="s">
        <v>45</v>
      </c>
    </row>
    <row r="260" spans="1:14" x14ac:dyDescent="0.25">
      <c r="A260" t="s">
        <v>616</v>
      </c>
      <c r="B260" s="2">
        <v>45569</v>
      </c>
      <c r="C260" t="s">
        <v>617</v>
      </c>
      <c r="D260" t="s">
        <v>187</v>
      </c>
      <c r="E260" t="s">
        <v>2615</v>
      </c>
      <c r="F260" t="s">
        <v>2640</v>
      </c>
      <c r="G260" t="s">
        <v>253</v>
      </c>
      <c r="H260" t="s">
        <v>2647</v>
      </c>
      <c r="I260" t="s">
        <v>2578</v>
      </c>
      <c r="J260">
        <v>6</v>
      </c>
      <c r="K260">
        <v>45.21</v>
      </c>
      <c r="L260">
        <v>26.75</v>
      </c>
      <c r="M260">
        <v>0.2</v>
      </c>
      <c r="N260" t="s">
        <v>45</v>
      </c>
    </row>
    <row r="261" spans="1:14" x14ac:dyDescent="0.25">
      <c r="A261" t="s">
        <v>618</v>
      </c>
      <c r="B261" s="2">
        <v>45324</v>
      </c>
      <c r="C261" t="s">
        <v>426</v>
      </c>
      <c r="D261" t="s">
        <v>187</v>
      </c>
      <c r="E261" t="s">
        <v>2616</v>
      </c>
      <c r="F261" t="s">
        <v>2638</v>
      </c>
      <c r="G261" t="s">
        <v>111</v>
      </c>
      <c r="H261" t="s">
        <v>2648</v>
      </c>
      <c r="I261" t="s">
        <v>2578</v>
      </c>
      <c r="J261">
        <v>22</v>
      </c>
      <c r="K261">
        <v>51.32</v>
      </c>
      <c r="L261">
        <v>30.7</v>
      </c>
      <c r="M261">
        <v>0.1</v>
      </c>
      <c r="N261" t="s">
        <v>45</v>
      </c>
    </row>
    <row r="262" spans="1:14" x14ac:dyDescent="0.25">
      <c r="A262" t="s">
        <v>619</v>
      </c>
      <c r="B262" s="2">
        <v>45298</v>
      </c>
      <c r="C262" t="s">
        <v>569</v>
      </c>
      <c r="D262" t="s">
        <v>187</v>
      </c>
      <c r="E262" t="s">
        <v>2615</v>
      </c>
      <c r="F262" t="s">
        <v>2627</v>
      </c>
      <c r="G262" t="s">
        <v>111</v>
      </c>
      <c r="H262" t="s">
        <v>2646</v>
      </c>
      <c r="I262" t="s">
        <v>2578</v>
      </c>
      <c r="J262">
        <v>80</v>
      </c>
      <c r="K262">
        <v>46.12</v>
      </c>
      <c r="L262">
        <v>29.84</v>
      </c>
      <c r="M262">
        <v>0.15</v>
      </c>
      <c r="N262" t="s">
        <v>45</v>
      </c>
    </row>
    <row r="263" spans="1:14" x14ac:dyDescent="0.25">
      <c r="A263" t="s">
        <v>620</v>
      </c>
      <c r="B263" s="2">
        <v>45591</v>
      </c>
      <c r="C263" t="s">
        <v>395</v>
      </c>
      <c r="D263" t="s">
        <v>36</v>
      </c>
      <c r="E263" t="s">
        <v>2614</v>
      </c>
      <c r="F263" t="s">
        <v>2622</v>
      </c>
      <c r="G263" t="s">
        <v>111</v>
      </c>
      <c r="H263" t="s">
        <v>2648</v>
      </c>
      <c r="I263" t="s">
        <v>2578</v>
      </c>
      <c r="J263">
        <v>70</v>
      </c>
      <c r="K263">
        <v>173.34</v>
      </c>
      <c r="L263">
        <v>94.64</v>
      </c>
      <c r="M263">
        <v>0.02</v>
      </c>
      <c r="N263" t="s">
        <v>45</v>
      </c>
    </row>
    <row r="264" spans="1:14" x14ac:dyDescent="0.25">
      <c r="A264" t="s">
        <v>621</v>
      </c>
      <c r="B264" s="2">
        <v>45385</v>
      </c>
      <c r="C264" t="s">
        <v>295</v>
      </c>
      <c r="D264" t="s">
        <v>250</v>
      </c>
      <c r="E264" t="s">
        <v>2617</v>
      </c>
      <c r="F264" t="s">
        <v>2642</v>
      </c>
      <c r="G264" t="s">
        <v>74</v>
      </c>
      <c r="H264" t="s">
        <v>2645</v>
      </c>
      <c r="I264" t="s">
        <v>2578</v>
      </c>
      <c r="J264">
        <v>48</v>
      </c>
      <c r="K264">
        <v>65.209999999999994</v>
      </c>
      <c r="L264">
        <v>40.14</v>
      </c>
      <c r="M264">
        <v>0.2</v>
      </c>
      <c r="N264" t="s">
        <v>32</v>
      </c>
    </row>
    <row r="265" spans="1:14" x14ac:dyDescent="0.25">
      <c r="A265" t="s">
        <v>622</v>
      </c>
      <c r="B265" s="2">
        <v>45640</v>
      </c>
      <c r="C265" t="s">
        <v>623</v>
      </c>
      <c r="D265" t="s">
        <v>126</v>
      </c>
      <c r="E265" t="s">
        <v>2618</v>
      </c>
      <c r="F265" t="s">
        <v>2634</v>
      </c>
      <c r="G265" t="s">
        <v>90</v>
      </c>
      <c r="H265" t="s">
        <v>2645</v>
      </c>
      <c r="I265" t="s">
        <v>44</v>
      </c>
      <c r="J265">
        <v>3</v>
      </c>
      <c r="K265">
        <v>94.79</v>
      </c>
      <c r="L265">
        <v>55.59</v>
      </c>
      <c r="M265">
        <v>0</v>
      </c>
      <c r="N265" t="s">
        <v>45</v>
      </c>
    </row>
    <row r="266" spans="1:14" x14ac:dyDescent="0.25">
      <c r="A266" t="s">
        <v>624</v>
      </c>
      <c r="B266" s="2">
        <v>45549</v>
      </c>
      <c r="C266" t="s">
        <v>2619</v>
      </c>
      <c r="D266" t="s">
        <v>222</v>
      </c>
      <c r="E266" t="s">
        <v>2616</v>
      </c>
      <c r="F266" t="s">
        <v>2633</v>
      </c>
      <c r="G266" t="s">
        <v>152</v>
      </c>
      <c r="H266" t="s">
        <v>2647</v>
      </c>
      <c r="I266" t="s">
        <v>75</v>
      </c>
      <c r="J266">
        <v>74</v>
      </c>
      <c r="K266">
        <v>116.86</v>
      </c>
      <c r="L266">
        <v>73.44</v>
      </c>
      <c r="M266">
        <v>0.15</v>
      </c>
      <c r="N266" t="s">
        <v>45</v>
      </c>
    </row>
    <row r="267" spans="1:14" x14ac:dyDescent="0.25">
      <c r="A267" t="s">
        <v>625</v>
      </c>
      <c r="B267" s="2">
        <v>45515</v>
      </c>
      <c r="C267" t="s">
        <v>626</v>
      </c>
      <c r="D267" t="s">
        <v>49</v>
      </c>
      <c r="E267" t="s">
        <v>2615</v>
      </c>
      <c r="F267" t="s">
        <v>2623</v>
      </c>
      <c r="G267" t="s">
        <v>184</v>
      </c>
      <c r="H267" t="s">
        <v>2645</v>
      </c>
      <c r="I267" t="s">
        <v>44</v>
      </c>
      <c r="J267">
        <v>74</v>
      </c>
      <c r="K267">
        <v>27</v>
      </c>
      <c r="L267">
        <v>12.64</v>
      </c>
      <c r="M267">
        <v>0</v>
      </c>
      <c r="N267" t="s">
        <v>129</v>
      </c>
    </row>
    <row r="268" spans="1:14" x14ac:dyDescent="0.25">
      <c r="A268" t="s">
        <v>627</v>
      </c>
      <c r="B268" s="2">
        <v>45536</v>
      </c>
      <c r="C268" t="s">
        <v>461</v>
      </c>
      <c r="D268" t="s">
        <v>150</v>
      </c>
      <c r="E268" t="s">
        <v>2616</v>
      </c>
      <c r="F268" t="s">
        <v>2631</v>
      </c>
      <c r="G268" t="s">
        <v>60</v>
      </c>
      <c r="H268" t="s">
        <v>2648</v>
      </c>
      <c r="I268" t="s">
        <v>44</v>
      </c>
      <c r="J268">
        <v>61</v>
      </c>
      <c r="K268">
        <v>81.55</v>
      </c>
      <c r="L268">
        <v>50.76</v>
      </c>
      <c r="M268">
        <v>0.05</v>
      </c>
      <c r="N268" t="s">
        <v>45</v>
      </c>
    </row>
    <row r="269" spans="1:14" x14ac:dyDescent="0.25">
      <c r="A269" t="s">
        <v>628</v>
      </c>
      <c r="B269" s="2">
        <v>45592</v>
      </c>
      <c r="C269" t="s">
        <v>569</v>
      </c>
      <c r="D269" t="s">
        <v>150</v>
      </c>
      <c r="E269" t="s">
        <v>2617</v>
      </c>
      <c r="F269" t="s">
        <v>2641</v>
      </c>
      <c r="G269" t="s">
        <v>29</v>
      </c>
      <c r="H269" t="s">
        <v>2645</v>
      </c>
      <c r="I269" t="s">
        <v>2578</v>
      </c>
      <c r="J269">
        <v>65</v>
      </c>
      <c r="K269">
        <v>82.07</v>
      </c>
      <c r="L269">
        <v>48.01</v>
      </c>
      <c r="M269">
        <v>0.05</v>
      </c>
      <c r="N269" t="s">
        <v>129</v>
      </c>
    </row>
    <row r="270" spans="1:14" x14ac:dyDescent="0.25">
      <c r="A270" t="s">
        <v>629</v>
      </c>
      <c r="B270" s="2">
        <v>45622</v>
      </c>
      <c r="C270" t="s">
        <v>447</v>
      </c>
      <c r="D270" t="s">
        <v>93</v>
      </c>
      <c r="E270" t="s">
        <v>2618</v>
      </c>
      <c r="F270" t="s">
        <v>2635</v>
      </c>
      <c r="G270" t="s">
        <v>152</v>
      </c>
      <c r="H270" t="s">
        <v>2648</v>
      </c>
      <c r="I270" t="s">
        <v>70</v>
      </c>
      <c r="J270">
        <v>11</v>
      </c>
      <c r="K270">
        <v>58.49</v>
      </c>
      <c r="L270">
        <v>31.87</v>
      </c>
      <c r="M270">
        <v>0.02</v>
      </c>
      <c r="N270" t="s">
        <v>129</v>
      </c>
    </row>
    <row r="271" spans="1:14" x14ac:dyDescent="0.25">
      <c r="A271" t="s">
        <v>630</v>
      </c>
      <c r="B271" s="2">
        <v>45387</v>
      </c>
      <c r="C271" t="s">
        <v>631</v>
      </c>
      <c r="D271" t="s">
        <v>176</v>
      </c>
      <c r="E271" t="s">
        <v>2615</v>
      </c>
      <c r="F271" t="s">
        <v>2623</v>
      </c>
      <c r="G271" t="s">
        <v>265</v>
      </c>
      <c r="H271" t="s">
        <v>2645</v>
      </c>
      <c r="I271" t="s">
        <v>44</v>
      </c>
      <c r="J271">
        <v>10</v>
      </c>
      <c r="K271">
        <v>99.61</v>
      </c>
      <c r="L271">
        <v>65.069999999999993</v>
      </c>
      <c r="M271">
        <v>0</v>
      </c>
      <c r="N271" t="s">
        <v>32</v>
      </c>
    </row>
    <row r="272" spans="1:14" x14ac:dyDescent="0.25">
      <c r="A272" t="s">
        <v>632</v>
      </c>
      <c r="B272" s="2">
        <v>45312</v>
      </c>
      <c r="C272" t="s">
        <v>344</v>
      </c>
      <c r="D272" t="s">
        <v>165</v>
      </c>
      <c r="E272" t="s">
        <v>2616</v>
      </c>
      <c r="F272" t="s">
        <v>2633</v>
      </c>
      <c r="G272" t="s">
        <v>218</v>
      </c>
      <c r="H272" t="s">
        <v>2647</v>
      </c>
      <c r="I272" t="s">
        <v>2578</v>
      </c>
      <c r="J272">
        <v>26</v>
      </c>
      <c r="K272">
        <v>41.89</v>
      </c>
      <c r="L272">
        <v>26.35</v>
      </c>
      <c r="M272">
        <v>0</v>
      </c>
      <c r="N272" t="s">
        <v>129</v>
      </c>
    </row>
    <row r="273" spans="1:14" x14ac:dyDescent="0.25">
      <c r="A273" t="s">
        <v>633</v>
      </c>
      <c r="B273" s="2">
        <v>45458</v>
      </c>
      <c r="C273" t="s">
        <v>322</v>
      </c>
      <c r="D273" t="s">
        <v>109</v>
      </c>
      <c r="E273" t="s">
        <v>2615</v>
      </c>
      <c r="F273" t="s">
        <v>2640</v>
      </c>
      <c r="G273" t="s">
        <v>118</v>
      </c>
      <c r="H273" t="s">
        <v>2647</v>
      </c>
      <c r="I273" t="s">
        <v>75</v>
      </c>
      <c r="J273">
        <v>76</v>
      </c>
      <c r="K273">
        <v>122.36</v>
      </c>
      <c r="L273">
        <v>72.98</v>
      </c>
      <c r="M273">
        <v>0</v>
      </c>
      <c r="N273" t="s">
        <v>45</v>
      </c>
    </row>
    <row r="274" spans="1:14" x14ac:dyDescent="0.25">
      <c r="A274" t="s">
        <v>634</v>
      </c>
      <c r="B274" s="2">
        <v>45418</v>
      </c>
      <c r="C274" t="s">
        <v>471</v>
      </c>
      <c r="D274" t="s">
        <v>209</v>
      </c>
      <c r="E274" t="s">
        <v>2616</v>
      </c>
      <c r="F274" t="s">
        <v>2638</v>
      </c>
      <c r="G274" t="s">
        <v>195</v>
      </c>
      <c r="H274" t="s">
        <v>2647</v>
      </c>
      <c r="I274" t="s">
        <v>44</v>
      </c>
      <c r="J274">
        <v>42</v>
      </c>
      <c r="K274">
        <v>16.649999999999999</v>
      </c>
      <c r="L274">
        <v>10.7</v>
      </c>
      <c r="M274">
        <v>0.1</v>
      </c>
      <c r="N274" t="s">
        <v>45</v>
      </c>
    </row>
    <row r="275" spans="1:14" x14ac:dyDescent="0.25">
      <c r="A275" t="s">
        <v>635</v>
      </c>
      <c r="B275" s="2">
        <v>45501</v>
      </c>
      <c r="C275" t="s">
        <v>636</v>
      </c>
      <c r="D275" t="s">
        <v>109</v>
      </c>
      <c r="E275" t="s">
        <v>2618</v>
      </c>
      <c r="F275" t="s">
        <v>2635</v>
      </c>
      <c r="G275" t="s">
        <v>111</v>
      </c>
      <c r="H275" t="s">
        <v>2648</v>
      </c>
      <c r="I275" t="s">
        <v>84</v>
      </c>
      <c r="J275">
        <v>47</v>
      </c>
      <c r="K275">
        <v>126.04</v>
      </c>
      <c r="L275">
        <v>73.239999999999995</v>
      </c>
      <c r="M275">
        <v>0</v>
      </c>
      <c r="N275" t="s">
        <v>32</v>
      </c>
    </row>
    <row r="276" spans="1:14" x14ac:dyDescent="0.25">
      <c r="A276" t="s">
        <v>637</v>
      </c>
      <c r="B276" s="2">
        <v>45528</v>
      </c>
      <c r="C276" t="s">
        <v>638</v>
      </c>
      <c r="D276" t="s">
        <v>141</v>
      </c>
      <c r="E276" t="s">
        <v>2615</v>
      </c>
      <c r="F276" t="s">
        <v>2627</v>
      </c>
      <c r="G276" t="s">
        <v>144</v>
      </c>
      <c r="H276" t="s">
        <v>2647</v>
      </c>
      <c r="I276" t="s">
        <v>2578</v>
      </c>
      <c r="J276">
        <v>30</v>
      </c>
      <c r="K276">
        <v>101.9</v>
      </c>
      <c r="L276">
        <v>58.99</v>
      </c>
      <c r="M276">
        <v>0.1</v>
      </c>
      <c r="N276" t="s">
        <v>45</v>
      </c>
    </row>
    <row r="277" spans="1:14" x14ac:dyDescent="0.25">
      <c r="A277" t="s">
        <v>639</v>
      </c>
      <c r="B277" s="2">
        <v>45480</v>
      </c>
      <c r="C277" t="s">
        <v>552</v>
      </c>
      <c r="D277" t="s">
        <v>132</v>
      </c>
      <c r="E277" t="s">
        <v>2618</v>
      </c>
      <c r="F277" t="s">
        <v>2632</v>
      </c>
      <c r="G277" t="s">
        <v>118</v>
      </c>
      <c r="H277" t="s">
        <v>2646</v>
      </c>
      <c r="I277" t="s">
        <v>84</v>
      </c>
      <c r="J277">
        <v>79</v>
      </c>
      <c r="K277">
        <v>57.54</v>
      </c>
      <c r="L277">
        <v>34.31</v>
      </c>
      <c r="M277">
        <v>0.05</v>
      </c>
      <c r="N277" t="s">
        <v>32</v>
      </c>
    </row>
    <row r="278" spans="1:14" x14ac:dyDescent="0.25">
      <c r="A278" t="s">
        <v>640</v>
      </c>
      <c r="B278" s="2">
        <v>45652</v>
      </c>
      <c r="C278" t="s">
        <v>234</v>
      </c>
      <c r="D278" t="s">
        <v>216</v>
      </c>
      <c r="E278" t="s">
        <v>2616</v>
      </c>
      <c r="F278" t="s">
        <v>2624</v>
      </c>
      <c r="G278" t="s">
        <v>60</v>
      </c>
      <c r="H278" t="s">
        <v>2647</v>
      </c>
      <c r="I278" t="s">
        <v>75</v>
      </c>
      <c r="J278">
        <v>49</v>
      </c>
      <c r="K278">
        <v>118.53</v>
      </c>
      <c r="L278">
        <v>71.69</v>
      </c>
      <c r="M278">
        <v>0</v>
      </c>
      <c r="N278" t="s">
        <v>129</v>
      </c>
    </row>
    <row r="279" spans="1:14" x14ac:dyDescent="0.25">
      <c r="A279" t="s">
        <v>641</v>
      </c>
      <c r="B279" s="2">
        <v>45602</v>
      </c>
      <c r="C279" t="s">
        <v>389</v>
      </c>
      <c r="D279" t="s">
        <v>165</v>
      </c>
      <c r="E279" t="s">
        <v>2618</v>
      </c>
      <c r="F279" t="s">
        <v>2632</v>
      </c>
      <c r="G279" t="s">
        <v>69</v>
      </c>
      <c r="H279" t="s">
        <v>2647</v>
      </c>
      <c r="I279" t="s">
        <v>70</v>
      </c>
      <c r="J279">
        <v>16</v>
      </c>
      <c r="K279">
        <v>43.98</v>
      </c>
      <c r="L279">
        <v>25.83</v>
      </c>
      <c r="M279">
        <v>0</v>
      </c>
      <c r="N279" t="s">
        <v>32</v>
      </c>
    </row>
    <row r="280" spans="1:14" x14ac:dyDescent="0.25">
      <c r="A280" t="s">
        <v>642</v>
      </c>
      <c r="B280" s="2">
        <v>45559</v>
      </c>
      <c r="C280" t="s">
        <v>643</v>
      </c>
      <c r="D280" t="s">
        <v>99</v>
      </c>
      <c r="E280" t="s">
        <v>2614</v>
      </c>
      <c r="F280" t="s">
        <v>2622</v>
      </c>
      <c r="G280" t="s">
        <v>83</v>
      </c>
      <c r="H280" t="s">
        <v>2648</v>
      </c>
      <c r="I280" t="s">
        <v>44</v>
      </c>
      <c r="J280">
        <v>76</v>
      </c>
      <c r="K280">
        <v>67.3</v>
      </c>
      <c r="L280">
        <v>39</v>
      </c>
      <c r="M280">
        <v>0.2</v>
      </c>
      <c r="N280" t="s">
        <v>129</v>
      </c>
    </row>
    <row r="281" spans="1:14" x14ac:dyDescent="0.25">
      <c r="A281" t="s">
        <v>644</v>
      </c>
      <c r="B281" s="2">
        <v>45452</v>
      </c>
      <c r="C281" t="s">
        <v>645</v>
      </c>
      <c r="D281" t="s">
        <v>114</v>
      </c>
      <c r="E281" t="s">
        <v>2615</v>
      </c>
      <c r="F281" t="s">
        <v>2630</v>
      </c>
      <c r="G281" t="s">
        <v>184</v>
      </c>
      <c r="H281" t="s">
        <v>2647</v>
      </c>
      <c r="I281" t="s">
        <v>70</v>
      </c>
      <c r="J281">
        <v>8</v>
      </c>
      <c r="K281">
        <v>37.630000000000003</v>
      </c>
      <c r="L281">
        <v>21.92</v>
      </c>
      <c r="M281">
        <v>0</v>
      </c>
      <c r="N281" t="s">
        <v>32</v>
      </c>
    </row>
    <row r="282" spans="1:14" x14ac:dyDescent="0.25">
      <c r="A282" t="s">
        <v>646</v>
      </c>
      <c r="B282" s="2">
        <v>45497</v>
      </c>
      <c r="C282" t="s">
        <v>647</v>
      </c>
      <c r="D282" t="s">
        <v>222</v>
      </c>
      <c r="E282" t="s">
        <v>2618</v>
      </c>
      <c r="F282" t="s">
        <v>2635</v>
      </c>
      <c r="G282" t="s">
        <v>265</v>
      </c>
      <c r="H282" t="s">
        <v>2648</v>
      </c>
      <c r="I282" t="s">
        <v>2578</v>
      </c>
      <c r="J282">
        <v>26</v>
      </c>
      <c r="K282">
        <v>-25</v>
      </c>
      <c r="L282">
        <v>74.22</v>
      </c>
      <c r="M282">
        <v>0.02</v>
      </c>
      <c r="N282" t="s">
        <v>45</v>
      </c>
    </row>
    <row r="283" spans="1:14" x14ac:dyDescent="0.25">
      <c r="A283" t="s">
        <v>648</v>
      </c>
      <c r="B283" s="2">
        <v>45293</v>
      </c>
      <c r="C283" t="s">
        <v>649</v>
      </c>
      <c r="D283" t="s">
        <v>165</v>
      </c>
      <c r="E283" t="s">
        <v>2614</v>
      </c>
      <c r="F283" t="s">
        <v>2622</v>
      </c>
      <c r="G283" t="s">
        <v>184</v>
      </c>
      <c r="H283" t="s">
        <v>2645</v>
      </c>
      <c r="I283" t="s">
        <v>70</v>
      </c>
      <c r="J283">
        <v>53</v>
      </c>
      <c r="K283">
        <v>43.16</v>
      </c>
      <c r="L283">
        <v>26.05</v>
      </c>
      <c r="M283">
        <v>0.1</v>
      </c>
      <c r="N283" t="s">
        <v>45</v>
      </c>
    </row>
    <row r="284" spans="1:14" x14ac:dyDescent="0.25">
      <c r="A284" t="s">
        <v>650</v>
      </c>
      <c r="B284" s="2">
        <v>45561</v>
      </c>
      <c r="C284" t="s">
        <v>651</v>
      </c>
      <c r="D284" t="s">
        <v>150</v>
      </c>
      <c r="E284" t="s">
        <v>2617</v>
      </c>
      <c r="F284" t="s">
        <v>2625</v>
      </c>
      <c r="G284" t="s">
        <v>184</v>
      </c>
      <c r="H284" t="s">
        <v>2648</v>
      </c>
      <c r="I284" t="s">
        <v>44</v>
      </c>
      <c r="J284">
        <v>62</v>
      </c>
      <c r="K284">
        <v>78.989999999999995</v>
      </c>
      <c r="L284">
        <v>55.04</v>
      </c>
      <c r="M284">
        <v>0.2</v>
      </c>
      <c r="N284" t="s">
        <v>45</v>
      </c>
    </row>
    <row r="285" spans="1:14" x14ac:dyDescent="0.25">
      <c r="A285" t="s">
        <v>652</v>
      </c>
      <c r="B285" s="2">
        <v>45643</v>
      </c>
      <c r="C285" t="s">
        <v>653</v>
      </c>
      <c r="D285" t="s">
        <v>216</v>
      </c>
      <c r="E285" t="s">
        <v>2617</v>
      </c>
      <c r="F285" t="s">
        <v>2641</v>
      </c>
      <c r="G285" t="s">
        <v>261</v>
      </c>
      <c r="H285" t="s">
        <v>2646</v>
      </c>
      <c r="I285" t="s">
        <v>70</v>
      </c>
      <c r="J285">
        <v>34</v>
      </c>
      <c r="K285">
        <v>106.14</v>
      </c>
      <c r="L285">
        <v>67.459999999999994</v>
      </c>
      <c r="M285">
        <v>0.15</v>
      </c>
      <c r="N285" t="s">
        <v>129</v>
      </c>
    </row>
    <row r="286" spans="1:14" x14ac:dyDescent="0.25">
      <c r="A286" t="s">
        <v>654</v>
      </c>
      <c r="B286" s="2">
        <v>45642</v>
      </c>
      <c r="C286" t="s">
        <v>655</v>
      </c>
      <c r="D286" t="s">
        <v>78</v>
      </c>
      <c r="E286" t="s">
        <v>2615</v>
      </c>
      <c r="F286" t="s">
        <v>2630</v>
      </c>
      <c r="G286" t="s">
        <v>90</v>
      </c>
      <c r="H286" t="s">
        <v>2645</v>
      </c>
      <c r="I286" t="s">
        <v>2578</v>
      </c>
      <c r="J286">
        <v>17</v>
      </c>
      <c r="K286">
        <v>139.15</v>
      </c>
      <c r="L286">
        <v>87.87</v>
      </c>
      <c r="M286">
        <v>0.1</v>
      </c>
      <c r="N286" t="s">
        <v>45</v>
      </c>
    </row>
    <row r="287" spans="1:14" x14ac:dyDescent="0.25">
      <c r="A287" t="s">
        <v>656</v>
      </c>
      <c r="B287" s="2">
        <v>45518</v>
      </c>
      <c r="C287" t="s">
        <v>643</v>
      </c>
      <c r="D287" t="s">
        <v>222</v>
      </c>
      <c r="E287" t="s">
        <v>2616</v>
      </c>
      <c r="F287" t="s">
        <v>2631</v>
      </c>
      <c r="G287" t="s">
        <v>152</v>
      </c>
      <c r="H287" t="s">
        <v>2645</v>
      </c>
      <c r="I287" t="s">
        <v>70</v>
      </c>
      <c r="J287">
        <v>20</v>
      </c>
      <c r="K287">
        <v>112.18</v>
      </c>
      <c r="L287">
        <v>81.099999999999994</v>
      </c>
      <c r="M287">
        <v>0.2</v>
      </c>
      <c r="N287" t="s">
        <v>32</v>
      </c>
    </row>
    <row r="288" spans="1:14" x14ac:dyDescent="0.25">
      <c r="A288" t="s">
        <v>657</v>
      </c>
      <c r="B288" s="2">
        <v>45536</v>
      </c>
      <c r="C288" t="s">
        <v>658</v>
      </c>
      <c r="D288" t="s">
        <v>165</v>
      </c>
      <c r="E288" t="s">
        <v>2614</v>
      </c>
      <c r="F288" t="s">
        <v>2637</v>
      </c>
      <c r="G288" t="s">
        <v>218</v>
      </c>
      <c r="H288" t="s">
        <v>2647</v>
      </c>
      <c r="I288" t="s">
        <v>70</v>
      </c>
      <c r="J288">
        <v>39</v>
      </c>
      <c r="K288">
        <v>40.299999999999997</v>
      </c>
      <c r="L288">
        <v>26.28</v>
      </c>
      <c r="M288">
        <v>0</v>
      </c>
      <c r="N288" t="s">
        <v>32</v>
      </c>
    </row>
    <row r="289" spans="1:14" x14ac:dyDescent="0.25">
      <c r="A289" t="s">
        <v>659</v>
      </c>
      <c r="B289" s="2">
        <v>45596</v>
      </c>
      <c r="C289" t="s">
        <v>660</v>
      </c>
      <c r="D289" t="s">
        <v>141</v>
      </c>
      <c r="E289" t="s">
        <v>2614</v>
      </c>
      <c r="F289" t="s">
        <v>2622</v>
      </c>
      <c r="G289" t="s">
        <v>178</v>
      </c>
      <c r="H289" t="s">
        <v>2647</v>
      </c>
      <c r="I289" t="s">
        <v>2578</v>
      </c>
      <c r="J289">
        <v>20</v>
      </c>
      <c r="K289">
        <v>-25</v>
      </c>
      <c r="L289">
        <v>62.12</v>
      </c>
      <c r="M289">
        <v>0.1</v>
      </c>
      <c r="N289" t="s">
        <v>129</v>
      </c>
    </row>
    <row r="290" spans="1:14" x14ac:dyDescent="0.25">
      <c r="A290" t="s">
        <v>661</v>
      </c>
      <c r="B290" s="2">
        <v>45468</v>
      </c>
      <c r="C290" t="s">
        <v>662</v>
      </c>
      <c r="D290" t="s">
        <v>209</v>
      </c>
      <c r="E290" t="s">
        <v>2617</v>
      </c>
      <c r="F290" t="s">
        <v>2642</v>
      </c>
      <c r="G290" t="s">
        <v>90</v>
      </c>
      <c r="H290" t="s">
        <v>2648</v>
      </c>
      <c r="I290" t="s">
        <v>75</v>
      </c>
      <c r="J290">
        <v>31</v>
      </c>
      <c r="K290">
        <v>18.16</v>
      </c>
      <c r="L290">
        <v>10.18</v>
      </c>
      <c r="M290">
        <v>0.2</v>
      </c>
      <c r="N290" t="s">
        <v>45</v>
      </c>
    </row>
    <row r="291" spans="1:14" x14ac:dyDescent="0.25">
      <c r="A291" t="s">
        <v>663</v>
      </c>
      <c r="B291" s="2">
        <v>45354</v>
      </c>
      <c r="C291" t="s">
        <v>664</v>
      </c>
      <c r="D291" t="s">
        <v>165</v>
      </c>
      <c r="E291" t="s">
        <v>2617</v>
      </c>
      <c r="F291" t="s">
        <v>2625</v>
      </c>
      <c r="G291" t="s">
        <v>178</v>
      </c>
      <c r="H291" t="s">
        <v>2645</v>
      </c>
      <c r="I291" t="s">
        <v>84</v>
      </c>
      <c r="J291">
        <v>74</v>
      </c>
      <c r="K291">
        <v>41.26</v>
      </c>
      <c r="L291">
        <v>23.04</v>
      </c>
      <c r="M291">
        <v>0.2</v>
      </c>
      <c r="N291" t="s">
        <v>45</v>
      </c>
    </row>
    <row r="292" spans="1:14" x14ac:dyDescent="0.25">
      <c r="A292" t="s">
        <v>665</v>
      </c>
      <c r="B292" s="2">
        <v>45293</v>
      </c>
      <c r="C292" t="s">
        <v>666</v>
      </c>
      <c r="D292" t="s">
        <v>78</v>
      </c>
      <c r="E292" t="s">
        <v>2617</v>
      </c>
      <c r="F292" t="s">
        <v>2642</v>
      </c>
      <c r="G292" t="s">
        <v>83</v>
      </c>
      <c r="H292" t="s">
        <v>2647</v>
      </c>
      <c r="I292" t="s">
        <v>2578</v>
      </c>
      <c r="J292">
        <v>20</v>
      </c>
      <c r="K292" s="3" t="e">
        <f>#REF!/Sales12[[#This Row],[Quantity]]</f>
        <v>#REF!</v>
      </c>
      <c r="L292">
        <v>80.83</v>
      </c>
      <c r="M292">
        <v>0.2</v>
      </c>
      <c r="N292" t="s">
        <v>45</v>
      </c>
    </row>
    <row r="293" spans="1:14" x14ac:dyDescent="0.25">
      <c r="A293" t="s">
        <v>667</v>
      </c>
      <c r="B293" s="2">
        <v>45641</v>
      </c>
      <c r="C293" t="s">
        <v>602</v>
      </c>
      <c r="D293" t="s">
        <v>176</v>
      </c>
      <c r="E293" t="s">
        <v>2614</v>
      </c>
      <c r="F293" t="s">
        <v>2637</v>
      </c>
      <c r="G293" t="s">
        <v>253</v>
      </c>
      <c r="H293" t="s">
        <v>2645</v>
      </c>
      <c r="I293" t="s">
        <v>75</v>
      </c>
      <c r="J293">
        <v>8</v>
      </c>
      <c r="K293">
        <v>102.31</v>
      </c>
      <c r="L293">
        <v>58.76</v>
      </c>
      <c r="M293">
        <v>0.02</v>
      </c>
      <c r="N293" t="s">
        <v>45</v>
      </c>
    </row>
    <row r="294" spans="1:14" x14ac:dyDescent="0.25">
      <c r="A294" t="s">
        <v>668</v>
      </c>
      <c r="B294" s="2">
        <v>45362</v>
      </c>
      <c r="C294" t="s">
        <v>180</v>
      </c>
      <c r="D294" t="s">
        <v>209</v>
      </c>
      <c r="E294" t="s">
        <v>2615</v>
      </c>
      <c r="F294" t="s">
        <v>2623</v>
      </c>
      <c r="G294" t="s">
        <v>265</v>
      </c>
      <c r="H294" t="s">
        <v>2645</v>
      </c>
      <c r="I294" t="s">
        <v>70</v>
      </c>
      <c r="J294">
        <v>79</v>
      </c>
      <c r="K294">
        <v>17.73</v>
      </c>
      <c r="L294">
        <v>10.65</v>
      </c>
      <c r="M294">
        <v>0.15</v>
      </c>
      <c r="N294" t="s">
        <v>45</v>
      </c>
    </row>
    <row r="295" spans="1:14" x14ac:dyDescent="0.25">
      <c r="A295" t="s">
        <v>669</v>
      </c>
      <c r="B295" s="2">
        <v>45401</v>
      </c>
      <c r="C295" t="s">
        <v>347</v>
      </c>
      <c r="D295" t="s">
        <v>109</v>
      </c>
      <c r="E295" t="s">
        <v>2614</v>
      </c>
      <c r="F295" t="s">
        <v>2636</v>
      </c>
      <c r="G295" t="s">
        <v>60</v>
      </c>
      <c r="H295" t="s">
        <v>2645</v>
      </c>
      <c r="I295" t="s">
        <v>70</v>
      </c>
      <c r="J295">
        <v>73</v>
      </c>
      <c r="K295">
        <v>119.37</v>
      </c>
      <c r="L295">
        <v>70.239999999999995</v>
      </c>
      <c r="M295">
        <v>0.15</v>
      </c>
      <c r="N295" t="s">
        <v>45</v>
      </c>
    </row>
    <row r="296" spans="1:14" x14ac:dyDescent="0.25">
      <c r="A296" t="s">
        <v>670</v>
      </c>
      <c r="B296" s="2">
        <v>45311</v>
      </c>
      <c r="C296" t="s">
        <v>511</v>
      </c>
      <c r="D296" t="s">
        <v>141</v>
      </c>
      <c r="E296" t="s">
        <v>2615</v>
      </c>
      <c r="F296" t="s">
        <v>2627</v>
      </c>
      <c r="G296" t="s">
        <v>261</v>
      </c>
      <c r="H296" t="s">
        <v>2648</v>
      </c>
      <c r="I296" t="s">
        <v>44</v>
      </c>
      <c r="J296">
        <v>79</v>
      </c>
      <c r="K296">
        <v>93.81</v>
      </c>
      <c r="L296">
        <v>57.17</v>
      </c>
      <c r="M296">
        <v>0.05</v>
      </c>
      <c r="N296" t="s">
        <v>45</v>
      </c>
    </row>
    <row r="297" spans="1:14" x14ac:dyDescent="0.25">
      <c r="A297" t="s">
        <v>671</v>
      </c>
      <c r="B297" s="2">
        <v>45636</v>
      </c>
      <c r="C297" t="s">
        <v>458</v>
      </c>
      <c r="D297" t="s">
        <v>176</v>
      </c>
      <c r="E297" t="s">
        <v>2614</v>
      </c>
      <c r="F297" t="s">
        <v>2636</v>
      </c>
      <c r="G297" t="s">
        <v>184</v>
      </c>
      <c r="H297" t="s">
        <v>2645</v>
      </c>
      <c r="I297" t="s">
        <v>44</v>
      </c>
      <c r="J297">
        <v>23</v>
      </c>
      <c r="K297">
        <v>109.74</v>
      </c>
      <c r="L297">
        <v>65.099999999999994</v>
      </c>
      <c r="M297">
        <v>0.1</v>
      </c>
      <c r="N297" t="s">
        <v>45</v>
      </c>
    </row>
    <row r="298" spans="1:14" x14ac:dyDescent="0.25">
      <c r="A298" t="s">
        <v>672</v>
      </c>
      <c r="B298" s="2">
        <v>45544</v>
      </c>
      <c r="C298" t="s">
        <v>229</v>
      </c>
      <c r="D298" t="s">
        <v>49</v>
      </c>
      <c r="E298" t="s">
        <v>2615</v>
      </c>
      <c r="F298" t="s">
        <v>2640</v>
      </c>
      <c r="G298" t="s">
        <v>184</v>
      </c>
      <c r="H298" t="s">
        <v>2648</v>
      </c>
      <c r="I298" t="s">
        <v>84</v>
      </c>
      <c r="J298">
        <v>23</v>
      </c>
      <c r="K298">
        <v>26.37</v>
      </c>
      <c r="L298">
        <v>12.61</v>
      </c>
      <c r="M298">
        <v>0.05</v>
      </c>
      <c r="N298" t="s">
        <v>45</v>
      </c>
    </row>
    <row r="299" spans="1:14" x14ac:dyDescent="0.25">
      <c r="A299" t="s">
        <v>673</v>
      </c>
      <c r="B299" s="2">
        <v>45587</v>
      </c>
      <c r="C299" t="s">
        <v>674</v>
      </c>
      <c r="D299" t="s">
        <v>150</v>
      </c>
      <c r="E299" t="s">
        <v>2616</v>
      </c>
      <c r="F299" t="s">
        <v>2633</v>
      </c>
      <c r="G299" t="s">
        <v>74</v>
      </c>
      <c r="H299" t="s">
        <v>2648</v>
      </c>
      <c r="I299" t="s">
        <v>2578</v>
      </c>
      <c r="J299">
        <v>64</v>
      </c>
      <c r="K299">
        <v>84.85</v>
      </c>
      <c r="L299">
        <v>53.21</v>
      </c>
      <c r="M299">
        <v>0.2</v>
      </c>
      <c r="N299" t="s">
        <v>32</v>
      </c>
    </row>
    <row r="300" spans="1:14" x14ac:dyDescent="0.25">
      <c r="A300" t="s">
        <v>675</v>
      </c>
      <c r="B300" s="2">
        <v>45425</v>
      </c>
      <c r="C300" t="s">
        <v>676</v>
      </c>
      <c r="D300" t="s">
        <v>66</v>
      </c>
      <c r="E300" t="s">
        <v>2616</v>
      </c>
      <c r="F300" t="s">
        <v>2624</v>
      </c>
      <c r="G300" t="s">
        <v>253</v>
      </c>
      <c r="H300" t="s">
        <v>2648</v>
      </c>
      <c r="I300" t="s">
        <v>84</v>
      </c>
      <c r="J300">
        <v>47</v>
      </c>
      <c r="K300">
        <v>154.59</v>
      </c>
      <c r="L300">
        <v>101.6</v>
      </c>
      <c r="M300">
        <v>0.05</v>
      </c>
      <c r="N300" t="s">
        <v>45</v>
      </c>
    </row>
    <row r="301" spans="1:14" x14ac:dyDescent="0.25">
      <c r="A301" t="s">
        <v>677</v>
      </c>
      <c r="B301" s="2">
        <v>45321</v>
      </c>
      <c r="C301" t="s">
        <v>182</v>
      </c>
      <c r="D301" t="s">
        <v>36</v>
      </c>
      <c r="E301" t="s">
        <v>2614</v>
      </c>
      <c r="F301" t="s">
        <v>2637</v>
      </c>
      <c r="G301" t="s">
        <v>144</v>
      </c>
      <c r="H301" t="s">
        <v>2648</v>
      </c>
      <c r="I301" t="s">
        <v>2578</v>
      </c>
      <c r="J301">
        <v>48</v>
      </c>
      <c r="K301">
        <v>152.31</v>
      </c>
      <c r="L301">
        <v>95.2</v>
      </c>
      <c r="M301">
        <v>0.15</v>
      </c>
      <c r="N301" t="s">
        <v>45</v>
      </c>
    </row>
    <row r="302" spans="1:14" x14ac:dyDescent="0.25">
      <c r="A302" t="s">
        <v>678</v>
      </c>
      <c r="B302" s="2">
        <v>45526</v>
      </c>
      <c r="C302" t="s">
        <v>679</v>
      </c>
      <c r="D302" t="s">
        <v>114</v>
      </c>
      <c r="E302" t="s">
        <v>2618</v>
      </c>
      <c r="F302" t="s">
        <v>2634</v>
      </c>
      <c r="G302" t="s">
        <v>265</v>
      </c>
      <c r="H302" t="s">
        <v>2647</v>
      </c>
      <c r="I302" t="s">
        <v>2578</v>
      </c>
      <c r="J302">
        <v>24</v>
      </c>
      <c r="K302">
        <v>35.36</v>
      </c>
      <c r="L302">
        <v>21.91</v>
      </c>
      <c r="M302">
        <v>0.02</v>
      </c>
      <c r="N302" t="s">
        <v>45</v>
      </c>
    </row>
    <row r="303" spans="1:14" x14ac:dyDescent="0.25">
      <c r="A303" t="s">
        <v>680</v>
      </c>
      <c r="B303" s="2">
        <v>45376</v>
      </c>
      <c r="C303" t="s">
        <v>681</v>
      </c>
      <c r="D303" t="s">
        <v>216</v>
      </c>
      <c r="E303" t="s">
        <v>2615</v>
      </c>
      <c r="F303" t="s">
        <v>2623</v>
      </c>
      <c r="G303" t="s">
        <v>90</v>
      </c>
      <c r="H303" t="s">
        <v>2647</v>
      </c>
      <c r="I303" t="s">
        <v>44</v>
      </c>
      <c r="J303">
        <v>42</v>
      </c>
      <c r="K303">
        <v>102.48</v>
      </c>
      <c r="L303">
        <v>70.45</v>
      </c>
      <c r="M303">
        <v>0.15</v>
      </c>
      <c r="N303" t="s">
        <v>45</v>
      </c>
    </row>
    <row r="304" spans="1:14" x14ac:dyDescent="0.25">
      <c r="A304" t="s">
        <v>682</v>
      </c>
      <c r="B304" s="2">
        <v>45461</v>
      </c>
      <c r="C304" t="s">
        <v>466</v>
      </c>
      <c r="D304" t="s">
        <v>99</v>
      </c>
      <c r="E304" t="s">
        <v>2617</v>
      </c>
      <c r="F304" t="s">
        <v>2626</v>
      </c>
      <c r="G304" t="s">
        <v>261</v>
      </c>
      <c r="H304" t="s">
        <v>2648</v>
      </c>
      <c r="I304" t="s">
        <v>75</v>
      </c>
      <c r="J304">
        <v>59</v>
      </c>
      <c r="K304">
        <v>64.53</v>
      </c>
      <c r="L304">
        <v>42.89</v>
      </c>
      <c r="M304">
        <v>0.1</v>
      </c>
      <c r="N304" t="s">
        <v>45</v>
      </c>
    </row>
    <row r="305" spans="1:14" x14ac:dyDescent="0.25">
      <c r="A305" t="s">
        <v>683</v>
      </c>
      <c r="B305" s="2">
        <v>45449</v>
      </c>
      <c r="C305" t="s">
        <v>636</v>
      </c>
      <c r="D305" t="s">
        <v>99</v>
      </c>
      <c r="E305" t="s">
        <v>2616</v>
      </c>
      <c r="F305" t="s">
        <v>2638</v>
      </c>
      <c r="G305" t="s">
        <v>195</v>
      </c>
      <c r="H305" t="s">
        <v>2646</v>
      </c>
      <c r="I305" t="s">
        <v>44</v>
      </c>
      <c r="J305">
        <v>43</v>
      </c>
      <c r="K305">
        <v>74.55</v>
      </c>
      <c r="L305">
        <v>39.36</v>
      </c>
      <c r="M305">
        <v>0.1</v>
      </c>
      <c r="N305" t="s">
        <v>129</v>
      </c>
    </row>
    <row r="306" spans="1:14" x14ac:dyDescent="0.25">
      <c r="A306" t="s">
        <v>684</v>
      </c>
      <c r="B306" s="2">
        <v>45644</v>
      </c>
      <c r="C306" t="s">
        <v>258</v>
      </c>
      <c r="D306" t="s">
        <v>250</v>
      </c>
      <c r="E306" t="s">
        <v>2616</v>
      </c>
      <c r="F306" t="s">
        <v>2638</v>
      </c>
      <c r="G306" t="s">
        <v>261</v>
      </c>
      <c r="H306" t="s">
        <v>2647</v>
      </c>
      <c r="I306" t="s">
        <v>2578</v>
      </c>
      <c r="J306">
        <v>36</v>
      </c>
      <c r="K306">
        <v>64.489999999999995</v>
      </c>
      <c r="L306">
        <v>36.08</v>
      </c>
      <c r="M306">
        <v>0.1</v>
      </c>
      <c r="N306" t="s">
        <v>45</v>
      </c>
    </row>
    <row r="307" spans="1:14" x14ac:dyDescent="0.25">
      <c r="A307" t="s">
        <v>685</v>
      </c>
      <c r="B307" s="2">
        <v>45301</v>
      </c>
      <c r="C307" t="s">
        <v>466</v>
      </c>
      <c r="D307" t="s">
        <v>209</v>
      </c>
      <c r="E307" t="s">
        <v>2616</v>
      </c>
      <c r="F307" t="s">
        <v>2638</v>
      </c>
      <c r="G307" t="s">
        <v>90</v>
      </c>
      <c r="H307" t="s">
        <v>2647</v>
      </c>
      <c r="I307" t="s">
        <v>44</v>
      </c>
      <c r="J307">
        <v>35</v>
      </c>
      <c r="K307">
        <v>19.23</v>
      </c>
      <c r="L307">
        <v>9.58</v>
      </c>
      <c r="M307">
        <v>0.15</v>
      </c>
      <c r="N307" t="s">
        <v>129</v>
      </c>
    </row>
    <row r="308" spans="1:14" x14ac:dyDescent="0.25">
      <c r="A308" t="s">
        <v>686</v>
      </c>
      <c r="B308" s="2">
        <v>45615</v>
      </c>
      <c r="C308" t="s">
        <v>337</v>
      </c>
      <c r="D308" t="s">
        <v>93</v>
      </c>
      <c r="E308" t="s">
        <v>2615</v>
      </c>
      <c r="F308" t="s">
        <v>2627</v>
      </c>
      <c r="G308" t="s">
        <v>170</v>
      </c>
      <c r="H308" t="s">
        <v>2647</v>
      </c>
      <c r="I308" t="s">
        <v>70</v>
      </c>
      <c r="J308">
        <v>26</v>
      </c>
      <c r="K308">
        <v>56.2</v>
      </c>
      <c r="L308">
        <v>34.119999999999997</v>
      </c>
      <c r="M308">
        <v>0.02</v>
      </c>
      <c r="N308" t="s">
        <v>45</v>
      </c>
    </row>
    <row r="309" spans="1:14" x14ac:dyDescent="0.25">
      <c r="A309" t="s">
        <v>687</v>
      </c>
      <c r="B309" s="2">
        <v>45418</v>
      </c>
      <c r="C309" t="s">
        <v>688</v>
      </c>
      <c r="D309" t="s">
        <v>222</v>
      </c>
      <c r="E309" t="s">
        <v>2614</v>
      </c>
      <c r="F309" t="s">
        <v>2636</v>
      </c>
      <c r="G309" t="s">
        <v>60</v>
      </c>
      <c r="H309" t="s">
        <v>2647</v>
      </c>
      <c r="I309" t="s">
        <v>75</v>
      </c>
      <c r="J309">
        <v>26</v>
      </c>
      <c r="K309">
        <v>127.54</v>
      </c>
      <c r="L309">
        <v>78.489999999999995</v>
      </c>
      <c r="M309">
        <v>0</v>
      </c>
      <c r="N309" t="s">
        <v>45</v>
      </c>
    </row>
    <row r="310" spans="1:14" x14ac:dyDescent="0.25">
      <c r="A310" t="s">
        <v>689</v>
      </c>
      <c r="B310" s="2">
        <v>45340</v>
      </c>
      <c r="C310" t="s">
        <v>158</v>
      </c>
      <c r="D310" t="s">
        <v>109</v>
      </c>
      <c r="E310" t="s">
        <v>2616</v>
      </c>
      <c r="F310" t="s">
        <v>2638</v>
      </c>
      <c r="G310" t="s">
        <v>90</v>
      </c>
      <c r="H310" t="s">
        <v>2646</v>
      </c>
      <c r="I310" t="s">
        <v>70</v>
      </c>
      <c r="J310">
        <v>60</v>
      </c>
      <c r="K310">
        <v>119.23</v>
      </c>
      <c r="L310">
        <v>71.959999999999994</v>
      </c>
      <c r="M310">
        <v>0</v>
      </c>
      <c r="N310" t="s">
        <v>45</v>
      </c>
    </row>
    <row r="311" spans="1:14" x14ac:dyDescent="0.25">
      <c r="A311" t="s">
        <v>690</v>
      </c>
      <c r="B311" s="2">
        <v>45514</v>
      </c>
      <c r="C311" t="s">
        <v>691</v>
      </c>
      <c r="D311" t="s">
        <v>109</v>
      </c>
      <c r="E311" t="s">
        <v>2614</v>
      </c>
      <c r="F311" t="s">
        <v>2636</v>
      </c>
      <c r="G311" t="s">
        <v>261</v>
      </c>
      <c r="H311" t="s">
        <v>2648</v>
      </c>
      <c r="I311" t="s">
        <v>2578</v>
      </c>
      <c r="J311">
        <v>17</v>
      </c>
      <c r="K311">
        <v>125.23</v>
      </c>
      <c r="L311">
        <v>74.38</v>
      </c>
      <c r="M311">
        <v>0.02</v>
      </c>
      <c r="N311" t="s">
        <v>129</v>
      </c>
    </row>
    <row r="312" spans="1:14" x14ac:dyDescent="0.25">
      <c r="A312" t="s">
        <v>692</v>
      </c>
      <c r="B312" s="2">
        <v>45618</v>
      </c>
      <c r="C312" t="s">
        <v>693</v>
      </c>
      <c r="D312" t="s">
        <v>165</v>
      </c>
      <c r="E312" t="s">
        <v>2617</v>
      </c>
      <c r="F312" t="s">
        <v>2641</v>
      </c>
      <c r="G312" t="s">
        <v>42</v>
      </c>
      <c r="H312" t="s">
        <v>2645</v>
      </c>
      <c r="I312" t="s">
        <v>2578</v>
      </c>
      <c r="J312">
        <v>63</v>
      </c>
      <c r="K312">
        <v>42.74</v>
      </c>
      <c r="L312">
        <v>25.01</v>
      </c>
      <c r="M312">
        <v>0</v>
      </c>
      <c r="N312" t="s">
        <v>45</v>
      </c>
    </row>
    <row r="313" spans="1:14" x14ac:dyDescent="0.25">
      <c r="A313" t="s">
        <v>695</v>
      </c>
      <c r="B313" s="2">
        <v>45491</v>
      </c>
      <c r="C313" t="s">
        <v>696</v>
      </c>
      <c r="D313" t="s">
        <v>165</v>
      </c>
      <c r="E313" t="s">
        <v>2615</v>
      </c>
      <c r="F313" t="s">
        <v>2630</v>
      </c>
      <c r="G313" t="s">
        <v>178</v>
      </c>
      <c r="H313" t="s">
        <v>2648</v>
      </c>
      <c r="I313" t="s">
        <v>84</v>
      </c>
      <c r="J313">
        <v>61</v>
      </c>
      <c r="K313">
        <v>45.06</v>
      </c>
      <c r="L313">
        <v>25.95</v>
      </c>
      <c r="M313">
        <v>0</v>
      </c>
      <c r="N313" t="s">
        <v>129</v>
      </c>
    </row>
    <row r="314" spans="1:14" x14ac:dyDescent="0.25">
      <c r="A314" t="s">
        <v>697</v>
      </c>
      <c r="B314" s="2">
        <v>45294</v>
      </c>
      <c r="C314" t="s">
        <v>649</v>
      </c>
      <c r="D314" t="s">
        <v>109</v>
      </c>
      <c r="E314" t="s">
        <v>2615</v>
      </c>
      <c r="F314" t="s">
        <v>2630</v>
      </c>
      <c r="G314" t="s">
        <v>265</v>
      </c>
      <c r="H314" t="s">
        <v>2648</v>
      </c>
      <c r="I314" t="s">
        <v>2578</v>
      </c>
      <c r="J314">
        <v>40</v>
      </c>
      <c r="K314">
        <v>132.44</v>
      </c>
      <c r="L314">
        <v>68.430000000000007</v>
      </c>
      <c r="M314">
        <v>0</v>
      </c>
      <c r="N314" t="s">
        <v>45</v>
      </c>
    </row>
    <row r="315" spans="1:14" x14ac:dyDescent="0.25">
      <c r="A315" t="s">
        <v>698</v>
      </c>
      <c r="B315" s="2">
        <v>45379</v>
      </c>
      <c r="C315" t="s">
        <v>623</v>
      </c>
      <c r="D315" t="s">
        <v>23</v>
      </c>
      <c r="E315" t="s">
        <v>2617</v>
      </c>
      <c r="F315" t="s">
        <v>2642</v>
      </c>
      <c r="G315" t="s">
        <v>195</v>
      </c>
      <c r="H315" t="s">
        <v>2648</v>
      </c>
      <c r="I315" t="s">
        <v>70</v>
      </c>
      <c r="J315">
        <v>29</v>
      </c>
      <c r="K315">
        <v>71.23</v>
      </c>
      <c r="L315">
        <v>46.13</v>
      </c>
      <c r="M315">
        <v>0</v>
      </c>
      <c r="N315" t="s">
        <v>129</v>
      </c>
    </row>
    <row r="316" spans="1:14" x14ac:dyDescent="0.25">
      <c r="A316" t="s">
        <v>699</v>
      </c>
      <c r="B316" s="2">
        <v>45446</v>
      </c>
      <c r="C316" t="s">
        <v>307</v>
      </c>
      <c r="D316" t="s">
        <v>250</v>
      </c>
      <c r="E316" t="s">
        <v>2617</v>
      </c>
      <c r="F316" t="s">
        <v>2626</v>
      </c>
      <c r="G316" t="s">
        <v>144</v>
      </c>
      <c r="H316" t="s">
        <v>2646</v>
      </c>
      <c r="I316" t="s">
        <v>84</v>
      </c>
      <c r="J316">
        <v>28</v>
      </c>
      <c r="K316">
        <v>67.05</v>
      </c>
      <c r="L316">
        <v>39.1</v>
      </c>
      <c r="M316">
        <v>0.15</v>
      </c>
      <c r="N316" t="s">
        <v>45</v>
      </c>
    </row>
    <row r="317" spans="1:14" x14ac:dyDescent="0.25">
      <c r="A317" t="s">
        <v>700</v>
      </c>
      <c r="B317" s="2">
        <v>45333</v>
      </c>
      <c r="C317" t="s">
        <v>701</v>
      </c>
      <c r="D317" t="s">
        <v>99</v>
      </c>
      <c r="E317" t="s">
        <v>2615</v>
      </c>
      <c r="F317" t="s">
        <v>2623</v>
      </c>
      <c r="G317" t="s">
        <v>42</v>
      </c>
      <c r="H317" t="s">
        <v>2646</v>
      </c>
      <c r="I317" t="s">
        <v>70</v>
      </c>
      <c r="J317">
        <v>43</v>
      </c>
      <c r="K317">
        <v>72.150000000000006</v>
      </c>
      <c r="L317">
        <v>39.07</v>
      </c>
      <c r="M317">
        <v>0.02</v>
      </c>
      <c r="N317" t="s">
        <v>45</v>
      </c>
    </row>
    <row r="318" spans="1:14" x14ac:dyDescent="0.25">
      <c r="A318" t="s">
        <v>702</v>
      </c>
      <c r="B318" s="2">
        <v>45560</v>
      </c>
      <c r="C318" t="s">
        <v>420</v>
      </c>
      <c r="D318" t="s">
        <v>209</v>
      </c>
      <c r="E318" t="s">
        <v>2616</v>
      </c>
      <c r="F318" t="s">
        <v>2633</v>
      </c>
      <c r="G318" t="s">
        <v>29</v>
      </c>
      <c r="H318" t="s">
        <v>2647</v>
      </c>
      <c r="I318" t="s">
        <v>84</v>
      </c>
      <c r="J318">
        <v>14</v>
      </c>
      <c r="K318">
        <v>18.440000000000001</v>
      </c>
      <c r="L318">
        <v>9.7899999999999991</v>
      </c>
      <c r="M318">
        <v>0.2</v>
      </c>
      <c r="N318" t="s">
        <v>45</v>
      </c>
    </row>
    <row r="319" spans="1:14" x14ac:dyDescent="0.25">
      <c r="A319" t="s">
        <v>703</v>
      </c>
      <c r="B319" s="2">
        <v>45373</v>
      </c>
      <c r="C319" t="s">
        <v>704</v>
      </c>
      <c r="D319" t="s">
        <v>99</v>
      </c>
      <c r="E319" t="s">
        <v>2615</v>
      </c>
      <c r="F319" t="s">
        <v>2627</v>
      </c>
      <c r="G319" t="s">
        <v>170</v>
      </c>
      <c r="H319" t="s">
        <v>2647</v>
      </c>
      <c r="I319" t="s">
        <v>44</v>
      </c>
      <c r="J319">
        <v>50</v>
      </c>
      <c r="K319">
        <v>67.31</v>
      </c>
      <c r="L319">
        <v>44.08</v>
      </c>
      <c r="M319">
        <v>0.15</v>
      </c>
      <c r="N319" t="s">
        <v>45</v>
      </c>
    </row>
    <row r="320" spans="1:14" x14ac:dyDescent="0.25">
      <c r="A320" t="s">
        <v>705</v>
      </c>
      <c r="B320" s="2">
        <v>45518</v>
      </c>
      <c r="C320" t="s">
        <v>301</v>
      </c>
      <c r="D320" t="s">
        <v>132</v>
      </c>
      <c r="E320" t="s">
        <v>2617</v>
      </c>
      <c r="F320" t="s">
        <v>2626</v>
      </c>
      <c r="G320" t="s">
        <v>74</v>
      </c>
      <c r="H320" t="s">
        <v>2645</v>
      </c>
      <c r="I320" t="s">
        <v>75</v>
      </c>
      <c r="J320">
        <v>57</v>
      </c>
      <c r="K320">
        <v>56.35</v>
      </c>
      <c r="L320">
        <v>35.159999999999997</v>
      </c>
      <c r="M320">
        <v>0.2</v>
      </c>
      <c r="N320" t="s">
        <v>129</v>
      </c>
    </row>
    <row r="321" spans="1:14" x14ac:dyDescent="0.25">
      <c r="A321" t="s">
        <v>706</v>
      </c>
      <c r="B321" s="2">
        <v>45296</v>
      </c>
      <c r="C321" t="s">
        <v>707</v>
      </c>
      <c r="D321" t="s">
        <v>93</v>
      </c>
      <c r="E321" t="s">
        <v>2615</v>
      </c>
      <c r="F321" t="s">
        <v>2630</v>
      </c>
      <c r="G321" t="s">
        <v>265</v>
      </c>
      <c r="H321" t="s">
        <v>2647</v>
      </c>
      <c r="I321" t="s">
        <v>75</v>
      </c>
      <c r="J321">
        <v>14</v>
      </c>
      <c r="K321">
        <v>52.9</v>
      </c>
      <c r="L321">
        <v>30.7</v>
      </c>
      <c r="M321">
        <v>0.15</v>
      </c>
      <c r="N321" t="s">
        <v>45</v>
      </c>
    </row>
    <row r="322" spans="1:14" x14ac:dyDescent="0.25">
      <c r="A322" t="s">
        <v>708</v>
      </c>
      <c r="B322" s="2">
        <v>45362</v>
      </c>
      <c r="C322" t="s">
        <v>631</v>
      </c>
      <c r="D322" t="s">
        <v>109</v>
      </c>
      <c r="E322" t="s">
        <v>2615</v>
      </c>
      <c r="F322" t="s">
        <v>2623</v>
      </c>
      <c r="G322" t="s">
        <v>265</v>
      </c>
      <c r="H322" t="s">
        <v>2647</v>
      </c>
      <c r="I322" t="s">
        <v>75</v>
      </c>
      <c r="J322">
        <v>16</v>
      </c>
      <c r="K322">
        <v>123.45</v>
      </c>
      <c r="L322">
        <v>72.180000000000007</v>
      </c>
      <c r="M322">
        <v>0</v>
      </c>
      <c r="N322" t="s">
        <v>45</v>
      </c>
    </row>
    <row r="323" spans="1:14" x14ac:dyDescent="0.25">
      <c r="A323" t="s">
        <v>709</v>
      </c>
      <c r="B323" s="2">
        <v>45375</v>
      </c>
      <c r="C323" t="s">
        <v>361</v>
      </c>
      <c r="D323" t="s">
        <v>150</v>
      </c>
      <c r="E323" t="s">
        <v>2617</v>
      </c>
      <c r="F323" t="s">
        <v>2642</v>
      </c>
      <c r="G323" t="s">
        <v>218</v>
      </c>
      <c r="H323" t="s">
        <v>2645</v>
      </c>
      <c r="I323" t="s">
        <v>84</v>
      </c>
      <c r="J323">
        <v>4</v>
      </c>
      <c r="K323">
        <v>82.79</v>
      </c>
      <c r="L323">
        <v>47.08</v>
      </c>
      <c r="M323">
        <v>0.1</v>
      </c>
      <c r="N323" t="s">
        <v>45</v>
      </c>
    </row>
    <row r="324" spans="1:14" x14ac:dyDescent="0.25">
      <c r="A324" t="s">
        <v>710</v>
      </c>
      <c r="B324" s="2">
        <v>45534</v>
      </c>
      <c r="C324" t="s">
        <v>711</v>
      </c>
      <c r="D324" t="s">
        <v>141</v>
      </c>
      <c r="E324" t="s">
        <v>2617</v>
      </c>
      <c r="F324" t="s">
        <v>2626</v>
      </c>
      <c r="G324" t="s">
        <v>184</v>
      </c>
      <c r="H324" t="s">
        <v>2647</v>
      </c>
      <c r="I324" t="s">
        <v>2578</v>
      </c>
      <c r="J324">
        <v>5</v>
      </c>
      <c r="K324">
        <v>91.46</v>
      </c>
      <c r="L324">
        <v>61.51</v>
      </c>
      <c r="M324">
        <v>0.2</v>
      </c>
      <c r="N324" t="s">
        <v>32</v>
      </c>
    </row>
    <row r="325" spans="1:14" x14ac:dyDescent="0.25">
      <c r="A325" t="s">
        <v>713</v>
      </c>
      <c r="B325" s="2">
        <v>45559</v>
      </c>
      <c r="C325" t="s">
        <v>681</v>
      </c>
      <c r="D325" t="s">
        <v>132</v>
      </c>
      <c r="E325" t="s">
        <v>2615</v>
      </c>
      <c r="F325" t="s">
        <v>2623</v>
      </c>
      <c r="G325" t="s">
        <v>218</v>
      </c>
      <c r="H325" t="s">
        <v>2645</v>
      </c>
      <c r="I325" t="s">
        <v>84</v>
      </c>
      <c r="J325">
        <v>49</v>
      </c>
      <c r="K325">
        <v>56.59</v>
      </c>
      <c r="L325">
        <v>33.94</v>
      </c>
      <c r="M325">
        <v>0.1</v>
      </c>
      <c r="N325" t="s">
        <v>32</v>
      </c>
    </row>
    <row r="326" spans="1:14" x14ac:dyDescent="0.25">
      <c r="A326" t="s">
        <v>714</v>
      </c>
      <c r="B326" s="2">
        <v>45474</v>
      </c>
      <c r="C326" t="s">
        <v>715</v>
      </c>
      <c r="D326" t="s">
        <v>126</v>
      </c>
      <c r="E326" t="s">
        <v>2616</v>
      </c>
      <c r="F326" t="s">
        <v>2631</v>
      </c>
      <c r="G326" t="s">
        <v>152</v>
      </c>
      <c r="H326" t="s">
        <v>2647</v>
      </c>
      <c r="I326" t="s">
        <v>75</v>
      </c>
      <c r="J326">
        <v>51</v>
      </c>
      <c r="K326" s="3" t="e">
        <f>#REF!/Sales12[[#This Row],[Quantity]]</f>
        <v>#REF!</v>
      </c>
      <c r="L326">
        <v>53.39</v>
      </c>
      <c r="M326">
        <v>0.15</v>
      </c>
      <c r="N326" t="s">
        <v>45</v>
      </c>
    </row>
    <row r="327" spans="1:14" x14ac:dyDescent="0.25">
      <c r="A327" t="s">
        <v>716</v>
      </c>
      <c r="B327" s="2">
        <v>45332</v>
      </c>
      <c r="C327" t="s">
        <v>717</v>
      </c>
      <c r="D327" t="s">
        <v>250</v>
      </c>
      <c r="E327" t="s">
        <v>2618</v>
      </c>
      <c r="F327" t="s">
        <v>2634</v>
      </c>
      <c r="G327" t="s">
        <v>74</v>
      </c>
      <c r="H327" t="s">
        <v>2647</v>
      </c>
      <c r="I327" t="s">
        <v>2578</v>
      </c>
      <c r="J327">
        <v>50</v>
      </c>
      <c r="K327">
        <v>61.13</v>
      </c>
      <c r="L327">
        <v>39.61</v>
      </c>
      <c r="M327">
        <v>0.05</v>
      </c>
      <c r="N327" t="s">
        <v>45</v>
      </c>
    </row>
    <row r="328" spans="1:14" x14ac:dyDescent="0.25">
      <c r="A328" t="s">
        <v>718</v>
      </c>
      <c r="B328" s="2">
        <v>45612</v>
      </c>
      <c r="C328" t="s">
        <v>2619</v>
      </c>
      <c r="D328" t="s">
        <v>93</v>
      </c>
      <c r="E328" t="s">
        <v>2618</v>
      </c>
      <c r="F328" t="s">
        <v>2632</v>
      </c>
      <c r="G328" t="s">
        <v>218</v>
      </c>
      <c r="H328" t="s">
        <v>2645</v>
      </c>
      <c r="I328" t="s">
        <v>75</v>
      </c>
      <c r="J328">
        <v>69</v>
      </c>
      <c r="K328">
        <v>55.59</v>
      </c>
      <c r="L328">
        <v>30.75</v>
      </c>
      <c r="M328">
        <v>0.02</v>
      </c>
      <c r="N328" t="s">
        <v>45</v>
      </c>
    </row>
    <row r="329" spans="1:14" x14ac:dyDescent="0.25">
      <c r="A329" t="s">
        <v>719</v>
      </c>
      <c r="B329" s="2">
        <v>45524</v>
      </c>
      <c r="C329" t="s">
        <v>572</v>
      </c>
      <c r="D329" t="s">
        <v>126</v>
      </c>
      <c r="E329" t="s">
        <v>2616</v>
      </c>
      <c r="F329" t="s">
        <v>2638</v>
      </c>
      <c r="G329" t="s">
        <v>60</v>
      </c>
      <c r="H329" t="s">
        <v>2648</v>
      </c>
      <c r="I329" t="s">
        <v>75</v>
      </c>
      <c r="J329">
        <v>69</v>
      </c>
      <c r="K329">
        <v>90.92</v>
      </c>
      <c r="L329">
        <v>51.8</v>
      </c>
      <c r="M329">
        <v>0.05</v>
      </c>
      <c r="N329" t="s">
        <v>45</v>
      </c>
    </row>
    <row r="330" spans="1:14" x14ac:dyDescent="0.25">
      <c r="A330" t="s">
        <v>720</v>
      </c>
      <c r="B330" s="2">
        <v>45639</v>
      </c>
      <c r="C330" t="s">
        <v>721</v>
      </c>
      <c r="D330" t="s">
        <v>49</v>
      </c>
      <c r="E330" t="s">
        <v>2614</v>
      </c>
      <c r="F330" t="s">
        <v>2629</v>
      </c>
      <c r="G330" t="s">
        <v>42</v>
      </c>
      <c r="H330" t="s">
        <v>2647</v>
      </c>
      <c r="I330" t="s">
        <v>84</v>
      </c>
      <c r="J330">
        <v>78</v>
      </c>
      <c r="K330">
        <v>25.88</v>
      </c>
      <c r="L330">
        <v>12.58</v>
      </c>
      <c r="M330">
        <v>0.02</v>
      </c>
      <c r="N330" t="s">
        <v>45</v>
      </c>
    </row>
    <row r="331" spans="1:14" x14ac:dyDescent="0.25">
      <c r="A331" t="s">
        <v>722</v>
      </c>
      <c r="B331" s="2">
        <v>45402</v>
      </c>
      <c r="C331" t="s">
        <v>723</v>
      </c>
      <c r="D331" t="s">
        <v>216</v>
      </c>
      <c r="E331" t="s">
        <v>2618</v>
      </c>
      <c r="F331" t="s">
        <v>2635</v>
      </c>
      <c r="G331" t="s">
        <v>69</v>
      </c>
      <c r="H331" t="s">
        <v>2648</v>
      </c>
      <c r="I331" t="s">
        <v>84</v>
      </c>
      <c r="J331">
        <v>18</v>
      </c>
      <c r="K331">
        <v>112.04</v>
      </c>
      <c r="L331">
        <v>63.66</v>
      </c>
      <c r="M331">
        <v>0.15</v>
      </c>
      <c r="N331" t="s">
        <v>45</v>
      </c>
    </row>
    <row r="332" spans="1:14" x14ac:dyDescent="0.25">
      <c r="A332" t="s">
        <v>724</v>
      </c>
      <c r="B332" s="2">
        <v>45356</v>
      </c>
      <c r="C332" t="s">
        <v>653</v>
      </c>
      <c r="D332" t="s">
        <v>250</v>
      </c>
      <c r="E332" t="s">
        <v>2614</v>
      </c>
      <c r="F332" t="s">
        <v>2629</v>
      </c>
      <c r="G332" t="s">
        <v>69</v>
      </c>
      <c r="H332" t="s">
        <v>2646</v>
      </c>
      <c r="I332" t="s">
        <v>2578</v>
      </c>
      <c r="J332">
        <v>66</v>
      </c>
      <c r="K332">
        <v>61.38</v>
      </c>
      <c r="L332">
        <v>35.33</v>
      </c>
      <c r="M332">
        <v>0.15</v>
      </c>
      <c r="N332" t="s">
        <v>129</v>
      </c>
    </row>
    <row r="333" spans="1:14" x14ac:dyDescent="0.25">
      <c r="A333" t="s">
        <v>725</v>
      </c>
      <c r="B333" s="2">
        <v>45302</v>
      </c>
      <c r="C333" t="s">
        <v>140</v>
      </c>
      <c r="D333" t="s">
        <v>109</v>
      </c>
      <c r="E333" t="s">
        <v>2617</v>
      </c>
      <c r="F333" t="s">
        <v>2641</v>
      </c>
      <c r="G333" t="s">
        <v>261</v>
      </c>
      <c r="H333" t="s">
        <v>2645</v>
      </c>
      <c r="I333" t="s">
        <v>44</v>
      </c>
      <c r="J333">
        <v>74</v>
      </c>
      <c r="K333">
        <v>130.54</v>
      </c>
      <c r="L333">
        <v>78.290000000000006</v>
      </c>
      <c r="M333">
        <v>0.05</v>
      </c>
      <c r="N333" t="s">
        <v>129</v>
      </c>
    </row>
    <row r="334" spans="1:14" x14ac:dyDescent="0.25">
      <c r="A334" t="s">
        <v>726</v>
      </c>
      <c r="B334" s="2">
        <v>45515</v>
      </c>
      <c r="C334" t="s">
        <v>727</v>
      </c>
      <c r="D334" t="s">
        <v>187</v>
      </c>
      <c r="E334" t="s">
        <v>2618</v>
      </c>
      <c r="F334" t="s">
        <v>2632</v>
      </c>
      <c r="G334" t="s">
        <v>170</v>
      </c>
      <c r="H334" t="s">
        <v>2645</v>
      </c>
      <c r="I334" t="s">
        <v>44</v>
      </c>
      <c r="J334">
        <v>68</v>
      </c>
      <c r="K334">
        <v>51.18</v>
      </c>
      <c r="L334">
        <v>28.69</v>
      </c>
      <c r="M334">
        <v>0.05</v>
      </c>
      <c r="N334" t="s">
        <v>32</v>
      </c>
    </row>
    <row r="335" spans="1:14" x14ac:dyDescent="0.25">
      <c r="A335" t="s">
        <v>728</v>
      </c>
      <c r="B335" s="2">
        <v>45576</v>
      </c>
      <c r="C335" t="s">
        <v>255</v>
      </c>
      <c r="D335" t="s">
        <v>150</v>
      </c>
      <c r="E335" t="s">
        <v>2618</v>
      </c>
      <c r="F335" t="s">
        <v>2632</v>
      </c>
      <c r="G335" t="s">
        <v>2619</v>
      </c>
      <c r="H335" t="s">
        <v>2648</v>
      </c>
      <c r="I335" t="s">
        <v>75</v>
      </c>
      <c r="J335">
        <v>58</v>
      </c>
      <c r="K335">
        <v>91.7</v>
      </c>
      <c r="L335">
        <v>54.48</v>
      </c>
      <c r="M335">
        <v>0</v>
      </c>
      <c r="N335" t="s">
        <v>45</v>
      </c>
    </row>
    <row r="336" spans="1:14" x14ac:dyDescent="0.25">
      <c r="A336" t="s">
        <v>729</v>
      </c>
      <c r="B336" s="2">
        <v>45539</v>
      </c>
      <c r="C336" t="s">
        <v>428</v>
      </c>
      <c r="D336" t="s">
        <v>209</v>
      </c>
      <c r="E336" t="s">
        <v>2615</v>
      </c>
      <c r="F336" t="s">
        <v>2627</v>
      </c>
      <c r="G336" t="s">
        <v>42</v>
      </c>
      <c r="H336" t="s">
        <v>2645</v>
      </c>
      <c r="I336" t="s">
        <v>2578</v>
      </c>
      <c r="J336">
        <v>45</v>
      </c>
      <c r="K336">
        <v>16.920000000000002</v>
      </c>
      <c r="L336">
        <v>9.23</v>
      </c>
      <c r="M336">
        <v>0.02</v>
      </c>
      <c r="N336" t="s">
        <v>45</v>
      </c>
    </row>
    <row r="337" spans="1:14" x14ac:dyDescent="0.25">
      <c r="A337" t="s">
        <v>730</v>
      </c>
      <c r="B337" s="2">
        <v>45325</v>
      </c>
      <c r="C337" t="s">
        <v>237</v>
      </c>
      <c r="D337" t="s">
        <v>23</v>
      </c>
      <c r="E337" t="s">
        <v>2615</v>
      </c>
      <c r="F337" t="s">
        <v>2627</v>
      </c>
      <c r="G337" t="s">
        <v>253</v>
      </c>
      <c r="H337" t="s">
        <v>2646</v>
      </c>
      <c r="I337" t="s">
        <v>84</v>
      </c>
      <c r="J337">
        <v>14</v>
      </c>
      <c r="K337">
        <v>69.97</v>
      </c>
      <c r="L337">
        <v>43.32</v>
      </c>
      <c r="M337">
        <v>0.2</v>
      </c>
      <c r="N337" t="s">
        <v>45</v>
      </c>
    </row>
    <row r="338" spans="1:14" x14ac:dyDescent="0.25">
      <c r="A338" t="s">
        <v>731</v>
      </c>
      <c r="B338" s="2">
        <v>45589</v>
      </c>
      <c r="C338" t="s">
        <v>732</v>
      </c>
      <c r="D338" t="s">
        <v>78</v>
      </c>
      <c r="E338" t="s">
        <v>2616</v>
      </c>
      <c r="F338" t="s">
        <v>2638</v>
      </c>
      <c r="G338" t="s">
        <v>29</v>
      </c>
      <c r="H338" t="s">
        <v>2648</v>
      </c>
      <c r="I338" t="s">
        <v>75</v>
      </c>
      <c r="J338">
        <v>52</v>
      </c>
      <c r="K338">
        <v>141.61000000000001</v>
      </c>
      <c r="L338">
        <v>86.37</v>
      </c>
      <c r="M338">
        <v>0.05</v>
      </c>
      <c r="N338" t="s">
        <v>129</v>
      </c>
    </row>
    <row r="339" spans="1:14" x14ac:dyDescent="0.25">
      <c r="A339" t="s">
        <v>733</v>
      </c>
      <c r="B339" s="2">
        <v>45575</v>
      </c>
      <c r="C339" t="s">
        <v>477</v>
      </c>
      <c r="D339" t="s">
        <v>176</v>
      </c>
      <c r="E339" t="s">
        <v>2618</v>
      </c>
      <c r="F339" t="s">
        <v>2628</v>
      </c>
      <c r="G339" t="s">
        <v>253</v>
      </c>
      <c r="H339" t="s">
        <v>2647</v>
      </c>
      <c r="I339" t="s">
        <v>2578</v>
      </c>
      <c r="J339">
        <v>60</v>
      </c>
      <c r="K339">
        <v>110.1</v>
      </c>
      <c r="L339">
        <v>59.34</v>
      </c>
      <c r="M339">
        <v>0.05</v>
      </c>
      <c r="N339" t="s">
        <v>45</v>
      </c>
    </row>
    <row r="340" spans="1:14" x14ac:dyDescent="0.25">
      <c r="A340" t="s">
        <v>734</v>
      </c>
      <c r="B340" s="2">
        <v>45427</v>
      </c>
      <c r="C340" t="s">
        <v>735</v>
      </c>
      <c r="D340" t="s">
        <v>99</v>
      </c>
      <c r="E340" t="s">
        <v>2617</v>
      </c>
      <c r="F340" t="s">
        <v>2626</v>
      </c>
      <c r="G340" t="s">
        <v>118</v>
      </c>
      <c r="H340" t="s">
        <v>2647</v>
      </c>
      <c r="I340" t="s">
        <v>2578</v>
      </c>
      <c r="J340">
        <v>1</v>
      </c>
      <c r="K340">
        <v>66.41</v>
      </c>
      <c r="L340">
        <v>42.27</v>
      </c>
      <c r="M340">
        <v>0.15</v>
      </c>
      <c r="N340" t="s">
        <v>45</v>
      </c>
    </row>
    <row r="341" spans="1:14" x14ac:dyDescent="0.25">
      <c r="A341" t="s">
        <v>736</v>
      </c>
      <c r="B341" s="2">
        <v>45649</v>
      </c>
      <c r="C341" t="s">
        <v>737</v>
      </c>
      <c r="D341" t="s">
        <v>250</v>
      </c>
      <c r="E341" t="s">
        <v>2617</v>
      </c>
      <c r="F341" t="s">
        <v>2625</v>
      </c>
      <c r="G341" t="s">
        <v>170</v>
      </c>
      <c r="H341" t="s">
        <v>2646</v>
      </c>
      <c r="I341" t="s">
        <v>75</v>
      </c>
      <c r="J341">
        <v>11</v>
      </c>
      <c r="K341">
        <v>64.099999999999994</v>
      </c>
      <c r="L341">
        <v>39.07</v>
      </c>
      <c r="M341">
        <v>0.2</v>
      </c>
      <c r="N341" t="s">
        <v>45</v>
      </c>
    </row>
    <row r="342" spans="1:14" x14ac:dyDescent="0.25">
      <c r="A342" t="s">
        <v>738</v>
      </c>
      <c r="B342" s="2">
        <v>45325</v>
      </c>
      <c r="C342" t="s">
        <v>739</v>
      </c>
      <c r="D342" t="s">
        <v>66</v>
      </c>
      <c r="E342" t="s">
        <v>2614</v>
      </c>
      <c r="F342" t="s">
        <v>2622</v>
      </c>
      <c r="G342" t="s">
        <v>248</v>
      </c>
      <c r="H342" t="s">
        <v>2648</v>
      </c>
      <c r="I342" t="s">
        <v>70</v>
      </c>
      <c r="J342">
        <v>35</v>
      </c>
      <c r="K342">
        <v>151.44</v>
      </c>
      <c r="L342">
        <v>110.5</v>
      </c>
      <c r="M342">
        <v>0.02</v>
      </c>
      <c r="N342" t="s">
        <v>32</v>
      </c>
    </row>
    <row r="343" spans="1:14" x14ac:dyDescent="0.25">
      <c r="A343" t="s">
        <v>740</v>
      </c>
      <c r="B343" s="2">
        <v>45630</v>
      </c>
      <c r="C343" t="s">
        <v>674</v>
      </c>
      <c r="D343" t="s">
        <v>165</v>
      </c>
      <c r="E343" t="s">
        <v>2615</v>
      </c>
      <c r="F343" t="s">
        <v>2640</v>
      </c>
      <c r="G343" t="s">
        <v>90</v>
      </c>
      <c r="H343" t="s">
        <v>2646</v>
      </c>
      <c r="I343" t="s">
        <v>2578</v>
      </c>
      <c r="J343">
        <v>37</v>
      </c>
      <c r="K343">
        <v>43.81</v>
      </c>
      <c r="L343">
        <v>23.75</v>
      </c>
      <c r="M343">
        <v>0.05</v>
      </c>
      <c r="N343" t="s">
        <v>32</v>
      </c>
    </row>
    <row r="344" spans="1:14" x14ac:dyDescent="0.25">
      <c r="A344" t="s">
        <v>741</v>
      </c>
      <c r="B344" s="2">
        <v>45499</v>
      </c>
      <c r="C344" t="s">
        <v>408</v>
      </c>
      <c r="D344" t="s">
        <v>150</v>
      </c>
      <c r="E344" t="s">
        <v>2615</v>
      </c>
      <c r="F344" t="s">
        <v>2640</v>
      </c>
      <c r="G344" t="s">
        <v>218</v>
      </c>
      <c r="H344" t="s">
        <v>2647</v>
      </c>
      <c r="I344" t="s">
        <v>2578</v>
      </c>
      <c r="J344">
        <v>-2</v>
      </c>
      <c r="K344">
        <v>90.27</v>
      </c>
      <c r="L344">
        <v>50.77</v>
      </c>
      <c r="M344">
        <v>0</v>
      </c>
      <c r="N344" t="s">
        <v>32</v>
      </c>
    </row>
    <row r="345" spans="1:14" x14ac:dyDescent="0.25">
      <c r="A345" t="s">
        <v>742</v>
      </c>
      <c r="B345" s="2">
        <v>45365</v>
      </c>
      <c r="C345" t="s">
        <v>239</v>
      </c>
      <c r="D345" t="s">
        <v>141</v>
      </c>
      <c r="E345" t="s">
        <v>2616</v>
      </c>
      <c r="F345" t="s">
        <v>2624</v>
      </c>
      <c r="G345" t="s">
        <v>152</v>
      </c>
      <c r="H345" t="s">
        <v>2645</v>
      </c>
      <c r="I345" t="s">
        <v>84</v>
      </c>
      <c r="J345">
        <v>19</v>
      </c>
      <c r="K345">
        <v>98.12</v>
      </c>
      <c r="L345">
        <v>57.33</v>
      </c>
      <c r="M345">
        <v>0.02</v>
      </c>
      <c r="N345" t="s">
        <v>45</v>
      </c>
    </row>
    <row r="346" spans="1:14" x14ac:dyDescent="0.25">
      <c r="A346" t="s">
        <v>743</v>
      </c>
      <c r="B346" s="2">
        <v>45332</v>
      </c>
      <c r="C346" t="s">
        <v>744</v>
      </c>
      <c r="D346" t="s">
        <v>187</v>
      </c>
      <c r="E346" t="s">
        <v>2614</v>
      </c>
      <c r="F346" t="s">
        <v>2637</v>
      </c>
      <c r="G346" t="s">
        <v>253</v>
      </c>
      <c r="H346" t="s">
        <v>2648</v>
      </c>
      <c r="I346" t="s">
        <v>84</v>
      </c>
      <c r="J346">
        <v>56</v>
      </c>
      <c r="K346">
        <v>50.73</v>
      </c>
      <c r="L346">
        <v>29.94</v>
      </c>
      <c r="M346">
        <v>0.15</v>
      </c>
      <c r="N346" t="s">
        <v>45</v>
      </c>
    </row>
    <row r="347" spans="1:14" x14ac:dyDescent="0.25">
      <c r="A347" t="s">
        <v>745</v>
      </c>
      <c r="B347" s="2">
        <v>45450</v>
      </c>
      <c r="C347" t="s">
        <v>243</v>
      </c>
      <c r="D347" t="s">
        <v>141</v>
      </c>
      <c r="E347" t="s">
        <v>2616</v>
      </c>
      <c r="F347" t="s">
        <v>2633</v>
      </c>
      <c r="G347" t="s">
        <v>118</v>
      </c>
      <c r="H347" t="s">
        <v>2647</v>
      </c>
      <c r="I347" t="s">
        <v>70</v>
      </c>
      <c r="J347">
        <v>56</v>
      </c>
      <c r="K347">
        <v>90.54</v>
      </c>
      <c r="L347">
        <v>56.74</v>
      </c>
      <c r="M347">
        <v>0.2</v>
      </c>
      <c r="N347" t="s">
        <v>45</v>
      </c>
    </row>
    <row r="348" spans="1:14" x14ac:dyDescent="0.25">
      <c r="A348" t="s">
        <v>746</v>
      </c>
      <c r="B348" s="2">
        <v>45559</v>
      </c>
      <c r="C348" t="s">
        <v>365</v>
      </c>
      <c r="D348" t="s">
        <v>165</v>
      </c>
      <c r="E348" t="s">
        <v>2614</v>
      </c>
      <c r="F348" t="s">
        <v>2637</v>
      </c>
      <c r="G348" t="s">
        <v>42</v>
      </c>
      <c r="H348" t="s">
        <v>2647</v>
      </c>
      <c r="I348" t="s">
        <v>2578</v>
      </c>
      <c r="J348">
        <v>54</v>
      </c>
      <c r="K348">
        <v>42.22</v>
      </c>
      <c r="L348">
        <v>23.21</v>
      </c>
      <c r="M348">
        <v>0.15</v>
      </c>
      <c r="N348" t="s">
        <v>45</v>
      </c>
    </row>
    <row r="349" spans="1:14" x14ac:dyDescent="0.25">
      <c r="A349" t="s">
        <v>747</v>
      </c>
      <c r="B349" s="2">
        <v>45356</v>
      </c>
      <c r="C349" t="s">
        <v>287</v>
      </c>
      <c r="D349" t="s">
        <v>209</v>
      </c>
      <c r="E349" t="s">
        <v>2615</v>
      </c>
      <c r="F349" t="s">
        <v>2623</v>
      </c>
      <c r="G349" t="s">
        <v>118</v>
      </c>
      <c r="H349" t="s">
        <v>2646</v>
      </c>
      <c r="I349" t="s">
        <v>2578</v>
      </c>
      <c r="J349">
        <v>9</v>
      </c>
      <c r="K349">
        <v>0</v>
      </c>
      <c r="L349">
        <v>10.01</v>
      </c>
      <c r="M349">
        <v>0</v>
      </c>
      <c r="N349" t="s">
        <v>45</v>
      </c>
    </row>
    <row r="350" spans="1:14" x14ac:dyDescent="0.25">
      <c r="A350" t="s">
        <v>748</v>
      </c>
      <c r="B350" s="2">
        <v>45467</v>
      </c>
      <c r="C350" t="s">
        <v>727</v>
      </c>
      <c r="D350" t="s">
        <v>216</v>
      </c>
      <c r="E350" t="s">
        <v>2616</v>
      </c>
      <c r="F350" t="s">
        <v>2638</v>
      </c>
      <c r="G350" t="s">
        <v>261</v>
      </c>
      <c r="H350" t="s">
        <v>2647</v>
      </c>
      <c r="I350" t="s">
        <v>70</v>
      </c>
      <c r="J350">
        <v>72</v>
      </c>
      <c r="K350">
        <v>118.35</v>
      </c>
      <c r="L350">
        <v>63.09</v>
      </c>
      <c r="M350">
        <v>0.2</v>
      </c>
      <c r="N350" t="s">
        <v>129</v>
      </c>
    </row>
    <row r="351" spans="1:14" x14ac:dyDescent="0.25">
      <c r="A351" t="s">
        <v>749</v>
      </c>
      <c r="B351" s="2">
        <v>45344</v>
      </c>
      <c r="C351" t="s">
        <v>750</v>
      </c>
      <c r="D351" t="s">
        <v>49</v>
      </c>
      <c r="E351" t="s">
        <v>2617</v>
      </c>
      <c r="F351" t="s">
        <v>2626</v>
      </c>
      <c r="G351" t="s">
        <v>261</v>
      </c>
      <c r="H351" t="s">
        <v>2646</v>
      </c>
      <c r="I351" t="s">
        <v>44</v>
      </c>
      <c r="J351">
        <v>69</v>
      </c>
      <c r="K351">
        <v>25.64</v>
      </c>
      <c r="L351">
        <v>13.82</v>
      </c>
      <c r="M351">
        <v>0.15</v>
      </c>
      <c r="N351" t="s">
        <v>45</v>
      </c>
    </row>
    <row r="352" spans="1:14" x14ac:dyDescent="0.25">
      <c r="A352" t="s">
        <v>751</v>
      </c>
      <c r="B352" s="2">
        <v>45584</v>
      </c>
      <c r="C352" t="s">
        <v>511</v>
      </c>
      <c r="D352" t="s">
        <v>109</v>
      </c>
      <c r="E352" t="s">
        <v>2618</v>
      </c>
      <c r="F352" t="s">
        <v>2634</v>
      </c>
      <c r="G352" t="s">
        <v>29</v>
      </c>
      <c r="H352" t="s">
        <v>2646</v>
      </c>
      <c r="I352" t="s">
        <v>84</v>
      </c>
      <c r="J352">
        <v>66</v>
      </c>
      <c r="K352">
        <v>117</v>
      </c>
      <c r="L352">
        <v>68.28</v>
      </c>
      <c r="M352">
        <v>0.1</v>
      </c>
      <c r="N352" t="s">
        <v>32</v>
      </c>
    </row>
    <row r="353" spans="1:14" x14ac:dyDescent="0.25">
      <c r="A353" t="s">
        <v>752</v>
      </c>
      <c r="B353" s="2">
        <v>45338</v>
      </c>
      <c r="C353" t="s">
        <v>344</v>
      </c>
      <c r="D353" t="s">
        <v>150</v>
      </c>
      <c r="E353" t="s">
        <v>2617</v>
      </c>
      <c r="F353" t="s">
        <v>2642</v>
      </c>
      <c r="G353" t="s">
        <v>42</v>
      </c>
      <c r="H353" t="s">
        <v>2648</v>
      </c>
      <c r="I353" t="s">
        <v>84</v>
      </c>
      <c r="J353">
        <v>19</v>
      </c>
      <c r="K353">
        <v>88.72</v>
      </c>
      <c r="L353">
        <v>47.99</v>
      </c>
      <c r="M353">
        <v>0.2</v>
      </c>
      <c r="N353" t="s">
        <v>45</v>
      </c>
    </row>
    <row r="354" spans="1:14" x14ac:dyDescent="0.25">
      <c r="A354" t="s">
        <v>469</v>
      </c>
      <c r="B354" s="2">
        <v>45487</v>
      </c>
      <c r="C354" t="s">
        <v>104</v>
      </c>
      <c r="D354" t="s">
        <v>36</v>
      </c>
      <c r="E354" t="s">
        <v>2614</v>
      </c>
      <c r="F354" t="s">
        <v>2636</v>
      </c>
      <c r="G354" t="s">
        <v>118</v>
      </c>
      <c r="H354" t="s">
        <v>2647</v>
      </c>
      <c r="I354" t="s">
        <v>75</v>
      </c>
      <c r="J354">
        <v>19</v>
      </c>
      <c r="K354">
        <v>160.6</v>
      </c>
      <c r="L354">
        <v>97.39</v>
      </c>
      <c r="M354">
        <v>0</v>
      </c>
      <c r="N354" t="s">
        <v>45</v>
      </c>
    </row>
    <row r="355" spans="1:14" x14ac:dyDescent="0.25">
      <c r="A355" t="s">
        <v>753</v>
      </c>
      <c r="B355" s="2">
        <v>45571</v>
      </c>
      <c r="C355" t="s">
        <v>464</v>
      </c>
      <c r="D355" t="s">
        <v>250</v>
      </c>
      <c r="E355" t="s">
        <v>2618</v>
      </c>
      <c r="F355" t="s">
        <v>2632</v>
      </c>
      <c r="G355" t="s">
        <v>218</v>
      </c>
      <c r="H355" t="s">
        <v>2648</v>
      </c>
      <c r="I355" t="s">
        <v>70</v>
      </c>
      <c r="J355">
        <v>38</v>
      </c>
      <c r="K355">
        <v>65.67</v>
      </c>
      <c r="L355">
        <v>35.36</v>
      </c>
      <c r="M355">
        <v>0.2</v>
      </c>
      <c r="N355" t="s">
        <v>32</v>
      </c>
    </row>
    <row r="356" spans="1:14" x14ac:dyDescent="0.25">
      <c r="A356" t="s">
        <v>755</v>
      </c>
      <c r="B356" s="2">
        <v>45419</v>
      </c>
      <c r="C356" t="s">
        <v>491</v>
      </c>
      <c r="D356" t="s">
        <v>99</v>
      </c>
      <c r="E356" t="s">
        <v>2618</v>
      </c>
      <c r="F356" t="s">
        <v>2628</v>
      </c>
      <c r="G356" t="s">
        <v>170</v>
      </c>
      <c r="H356" t="s">
        <v>2648</v>
      </c>
      <c r="I356" t="s">
        <v>44</v>
      </c>
      <c r="J356">
        <v>63</v>
      </c>
      <c r="K356">
        <v>73.14</v>
      </c>
      <c r="L356">
        <v>41.55</v>
      </c>
      <c r="M356">
        <v>0.15</v>
      </c>
      <c r="N356" t="s">
        <v>45</v>
      </c>
    </row>
    <row r="357" spans="1:14" x14ac:dyDescent="0.25">
      <c r="A357" t="s">
        <v>756</v>
      </c>
      <c r="B357" s="2">
        <v>45629</v>
      </c>
      <c r="C357" t="s">
        <v>757</v>
      </c>
      <c r="D357" t="s">
        <v>78</v>
      </c>
      <c r="E357" t="s">
        <v>2614</v>
      </c>
      <c r="F357" t="s">
        <v>2637</v>
      </c>
      <c r="G357" t="s">
        <v>265</v>
      </c>
      <c r="H357" t="s">
        <v>2648</v>
      </c>
      <c r="I357" t="s">
        <v>44</v>
      </c>
      <c r="J357">
        <v>76</v>
      </c>
      <c r="K357">
        <v>149.94</v>
      </c>
      <c r="L357">
        <v>88.04</v>
      </c>
      <c r="M357">
        <v>0</v>
      </c>
      <c r="N357" t="s">
        <v>32</v>
      </c>
    </row>
    <row r="358" spans="1:14" x14ac:dyDescent="0.25">
      <c r="A358" t="s">
        <v>758</v>
      </c>
      <c r="B358" s="2">
        <v>45459</v>
      </c>
      <c r="C358" t="s">
        <v>759</v>
      </c>
      <c r="D358" t="s">
        <v>36</v>
      </c>
      <c r="E358" t="s">
        <v>2614</v>
      </c>
      <c r="F358" t="s">
        <v>2636</v>
      </c>
      <c r="G358" t="s">
        <v>42</v>
      </c>
      <c r="H358" t="s">
        <v>2648</v>
      </c>
      <c r="I358" t="s">
        <v>70</v>
      </c>
      <c r="J358">
        <v>50</v>
      </c>
      <c r="K358">
        <v>170.59</v>
      </c>
      <c r="L358">
        <v>106.62</v>
      </c>
      <c r="M358">
        <v>0.05</v>
      </c>
      <c r="N358" t="s">
        <v>45</v>
      </c>
    </row>
    <row r="359" spans="1:14" x14ac:dyDescent="0.25">
      <c r="A359" t="s">
        <v>760</v>
      </c>
      <c r="B359" s="2">
        <v>45493</v>
      </c>
      <c r="C359" t="s">
        <v>64</v>
      </c>
      <c r="D359" t="s">
        <v>250</v>
      </c>
      <c r="E359" t="s">
        <v>2617</v>
      </c>
      <c r="F359" t="s">
        <v>2642</v>
      </c>
      <c r="G359" t="s">
        <v>184</v>
      </c>
      <c r="H359" t="s">
        <v>2645</v>
      </c>
      <c r="I359" t="s">
        <v>84</v>
      </c>
      <c r="J359">
        <v>44</v>
      </c>
      <c r="K359">
        <v>63.51</v>
      </c>
      <c r="L359">
        <v>37.11</v>
      </c>
      <c r="M359">
        <v>0.2</v>
      </c>
      <c r="N359" t="s">
        <v>32</v>
      </c>
    </row>
    <row r="360" spans="1:14" x14ac:dyDescent="0.25">
      <c r="A360" t="s">
        <v>761</v>
      </c>
      <c r="B360" s="2">
        <v>45455</v>
      </c>
      <c r="C360" t="s">
        <v>392</v>
      </c>
      <c r="D360" t="s">
        <v>93</v>
      </c>
      <c r="E360" t="s">
        <v>2615</v>
      </c>
      <c r="F360" t="s">
        <v>2640</v>
      </c>
      <c r="G360" t="s">
        <v>253</v>
      </c>
      <c r="H360" t="s">
        <v>2645</v>
      </c>
      <c r="I360" t="s">
        <v>44</v>
      </c>
      <c r="J360">
        <v>9</v>
      </c>
      <c r="K360">
        <v>53.44</v>
      </c>
      <c r="L360">
        <v>33.590000000000003</v>
      </c>
      <c r="M360">
        <v>0</v>
      </c>
      <c r="N360" t="s">
        <v>45</v>
      </c>
    </row>
    <row r="361" spans="1:14" x14ac:dyDescent="0.25">
      <c r="A361" t="s">
        <v>762</v>
      </c>
      <c r="B361" s="2">
        <v>45346</v>
      </c>
      <c r="C361" t="s">
        <v>763</v>
      </c>
      <c r="D361" t="s">
        <v>176</v>
      </c>
      <c r="E361" t="s">
        <v>2614</v>
      </c>
      <c r="F361" t="s">
        <v>2629</v>
      </c>
      <c r="G361" t="s">
        <v>152</v>
      </c>
      <c r="H361" t="s">
        <v>2648</v>
      </c>
      <c r="I361" t="s">
        <v>75</v>
      </c>
      <c r="J361">
        <v>9</v>
      </c>
      <c r="K361">
        <v>110.15</v>
      </c>
      <c r="L361">
        <v>67.89</v>
      </c>
      <c r="M361">
        <v>0.05</v>
      </c>
      <c r="N361" t="s">
        <v>45</v>
      </c>
    </row>
    <row r="362" spans="1:14" x14ac:dyDescent="0.25">
      <c r="A362" t="s">
        <v>764</v>
      </c>
      <c r="B362" s="2">
        <v>45502</v>
      </c>
      <c r="C362" t="s">
        <v>295</v>
      </c>
      <c r="D362" t="s">
        <v>36</v>
      </c>
      <c r="E362" t="s">
        <v>2614</v>
      </c>
      <c r="F362" t="s">
        <v>2622</v>
      </c>
      <c r="G362" t="s">
        <v>29</v>
      </c>
      <c r="H362" t="s">
        <v>2645</v>
      </c>
      <c r="I362" t="s">
        <v>70</v>
      </c>
      <c r="J362">
        <v>29</v>
      </c>
      <c r="K362">
        <v>171.33</v>
      </c>
      <c r="L362">
        <v>105.62</v>
      </c>
      <c r="M362">
        <v>0.2</v>
      </c>
      <c r="N362" t="s">
        <v>45</v>
      </c>
    </row>
    <row r="363" spans="1:14" x14ac:dyDescent="0.25">
      <c r="A363" t="s">
        <v>765</v>
      </c>
      <c r="B363" s="2">
        <v>45572</v>
      </c>
      <c r="C363" t="s">
        <v>213</v>
      </c>
      <c r="D363" t="s">
        <v>176</v>
      </c>
      <c r="E363" t="s">
        <v>2615</v>
      </c>
      <c r="F363" t="s">
        <v>2630</v>
      </c>
      <c r="G363" t="s">
        <v>178</v>
      </c>
      <c r="H363" t="s">
        <v>2645</v>
      </c>
      <c r="I363" t="s">
        <v>75</v>
      </c>
      <c r="J363">
        <v>52</v>
      </c>
      <c r="K363">
        <v>111.28</v>
      </c>
      <c r="L363">
        <v>67.88</v>
      </c>
      <c r="M363">
        <v>0.05</v>
      </c>
      <c r="N363" t="s">
        <v>45</v>
      </c>
    </row>
    <row r="364" spans="1:14" x14ac:dyDescent="0.25">
      <c r="A364" t="s">
        <v>766</v>
      </c>
      <c r="B364" s="2">
        <v>45329</v>
      </c>
      <c r="C364" t="s">
        <v>617</v>
      </c>
      <c r="D364" t="s">
        <v>109</v>
      </c>
      <c r="E364" t="s">
        <v>2617</v>
      </c>
      <c r="F364" t="s">
        <v>2626</v>
      </c>
      <c r="G364" t="s">
        <v>111</v>
      </c>
      <c r="H364" t="s">
        <v>2645</v>
      </c>
      <c r="I364" t="s">
        <v>2578</v>
      </c>
      <c r="J364">
        <v>8</v>
      </c>
      <c r="K364">
        <v>117.02</v>
      </c>
      <c r="L364">
        <v>68.3</v>
      </c>
      <c r="M364">
        <v>0.02</v>
      </c>
      <c r="N364" t="s">
        <v>45</v>
      </c>
    </row>
    <row r="365" spans="1:14" x14ac:dyDescent="0.25">
      <c r="A365" t="s">
        <v>767</v>
      </c>
      <c r="B365" s="2">
        <v>45390</v>
      </c>
      <c r="C365" t="s">
        <v>408</v>
      </c>
      <c r="D365" t="s">
        <v>222</v>
      </c>
      <c r="E365" t="s">
        <v>2616</v>
      </c>
      <c r="F365" t="s">
        <v>2633</v>
      </c>
      <c r="G365" t="s">
        <v>152</v>
      </c>
      <c r="H365" t="s">
        <v>2647</v>
      </c>
      <c r="I365" t="s">
        <v>70</v>
      </c>
      <c r="J365">
        <v>74</v>
      </c>
      <c r="K365">
        <v>126.64</v>
      </c>
      <c r="L365">
        <v>79.42</v>
      </c>
      <c r="M365">
        <v>0.05</v>
      </c>
      <c r="N365" t="s">
        <v>45</v>
      </c>
    </row>
    <row r="366" spans="1:14" x14ac:dyDescent="0.25">
      <c r="A366" t="s">
        <v>768</v>
      </c>
      <c r="B366" s="2">
        <v>45433</v>
      </c>
      <c r="C366" t="s">
        <v>314</v>
      </c>
      <c r="D366" t="s">
        <v>216</v>
      </c>
      <c r="E366" t="s">
        <v>2614</v>
      </c>
      <c r="F366" t="s">
        <v>2637</v>
      </c>
      <c r="G366" t="s">
        <v>83</v>
      </c>
      <c r="H366" t="s">
        <v>2646</v>
      </c>
      <c r="I366" t="s">
        <v>75</v>
      </c>
      <c r="J366">
        <v>60</v>
      </c>
      <c r="K366">
        <v>115.67</v>
      </c>
      <c r="L366">
        <v>70.760000000000005</v>
      </c>
      <c r="M366">
        <v>0.1</v>
      </c>
      <c r="N366" t="s">
        <v>129</v>
      </c>
    </row>
    <row r="367" spans="1:14" x14ac:dyDescent="0.25">
      <c r="A367" t="s">
        <v>769</v>
      </c>
      <c r="B367" s="2">
        <v>45325</v>
      </c>
      <c r="C367" t="s">
        <v>679</v>
      </c>
      <c r="D367" t="s">
        <v>176</v>
      </c>
      <c r="E367" t="s">
        <v>2618</v>
      </c>
      <c r="F367" t="s">
        <v>2628</v>
      </c>
      <c r="G367" t="s">
        <v>248</v>
      </c>
      <c r="H367" t="s">
        <v>2647</v>
      </c>
      <c r="I367" t="s">
        <v>70</v>
      </c>
      <c r="J367">
        <v>40</v>
      </c>
      <c r="K367">
        <v>104.87</v>
      </c>
      <c r="L367">
        <v>62.42</v>
      </c>
      <c r="M367">
        <v>0.02</v>
      </c>
      <c r="N367" t="s">
        <v>45</v>
      </c>
    </row>
    <row r="368" spans="1:14" x14ac:dyDescent="0.25">
      <c r="A368" t="s">
        <v>770</v>
      </c>
      <c r="B368" s="2">
        <v>45311</v>
      </c>
      <c r="C368" t="s">
        <v>499</v>
      </c>
      <c r="D368" t="s">
        <v>176</v>
      </c>
      <c r="E368" t="s">
        <v>2615</v>
      </c>
      <c r="F368" t="s">
        <v>2630</v>
      </c>
      <c r="G368" t="s">
        <v>60</v>
      </c>
      <c r="H368" t="s">
        <v>2647</v>
      </c>
      <c r="I368" t="s">
        <v>75</v>
      </c>
      <c r="J368">
        <v>48</v>
      </c>
      <c r="K368">
        <v>103.24</v>
      </c>
      <c r="L368">
        <v>58.36</v>
      </c>
      <c r="M368">
        <v>0</v>
      </c>
      <c r="N368" t="s">
        <v>45</v>
      </c>
    </row>
    <row r="369" spans="1:14" x14ac:dyDescent="0.25">
      <c r="A369" t="s">
        <v>771</v>
      </c>
      <c r="B369" s="2">
        <v>45533</v>
      </c>
      <c r="C369" t="s">
        <v>466</v>
      </c>
      <c r="D369" t="s">
        <v>78</v>
      </c>
      <c r="E369" t="s">
        <v>2615</v>
      </c>
      <c r="F369" t="s">
        <v>2623</v>
      </c>
      <c r="G369" t="s">
        <v>265</v>
      </c>
      <c r="H369" t="s">
        <v>2646</v>
      </c>
      <c r="I369" t="s">
        <v>84</v>
      </c>
      <c r="J369">
        <v>10</v>
      </c>
      <c r="K369">
        <v>132.58000000000001</v>
      </c>
      <c r="L369">
        <v>79.099999999999994</v>
      </c>
      <c r="M369">
        <v>0</v>
      </c>
      <c r="N369" t="s">
        <v>45</v>
      </c>
    </row>
    <row r="370" spans="1:14" x14ac:dyDescent="0.25">
      <c r="A370" t="s">
        <v>772</v>
      </c>
      <c r="B370" s="2">
        <v>45586</v>
      </c>
      <c r="C370" t="s">
        <v>307</v>
      </c>
      <c r="D370" t="s">
        <v>93</v>
      </c>
      <c r="E370" t="s">
        <v>2617</v>
      </c>
      <c r="F370" t="s">
        <v>2625</v>
      </c>
      <c r="G370" t="s">
        <v>248</v>
      </c>
      <c r="H370" t="s">
        <v>2647</v>
      </c>
      <c r="I370" t="s">
        <v>70</v>
      </c>
      <c r="J370">
        <v>49</v>
      </c>
      <c r="K370">
        <v>53.02</v>
      </c>
      <c r="L370">
        <v>33.07</v>
      </c>
      <c r="M370">
        <v>0.1</v>
      </c>
      <c r="N370" t="s">
        <v>45</v>
      </c>
    </row>
    <row r="371" spans="1:14" x14ac:dyDescent="0.25">
      <c r="A371" t="s">
        <v>773</v>
      </c>
      <c r="B371" s="2">
        <v>45330</v>
      </c>
      <c r="C371" t="s">
        <v>172</v>
      </c>
      <c r="D371" t="s">
        <v>250</v>
      </c>
      <c r="E371" t="s">
        <v>2618</v>
      </c>
      <c r="F371" t="s">
        <v>2634</v>
      </c>
      <c r="G371" t="s">
        <v>170</v>
      </c>
      <c r="H371" t="s">
        <v>2647</v>
      </c>
      <c r="I371" t="s">
        <v>2578</v>
      </c>
      <c r="J371">
        <v>64</v>
      </c>
      <c r="K371">
        <v>66.94</v>
      </c>
      <c r="L371">
        <v>35.380000000000003</v>
      </c>
      <c r="M371">
        <v>0</v>
      </c>
      <c r="N371" t="s">
        <v>45</v>
      </c>
    </row>
    <row r="372" spans="1:14" x14ac:dyDescent="0.25">
      <c r="A372" t="s">
        <v>774</v>
      </c>
      <c r="B372" s="2">
        <v>45542</v>
      </c>
      <c r="C372" t="s">
        <v>284</v>
      </c>
      <c r="D372" t="s">
        <v>165</v>
      </c>
      <c r="E372" t="s">
        <v>2618</v>
      </c>
      <c r="F372" t="s">
        <v>2628</v>
      </c>
      <c r="G372" t="s">
        <v>60</v>
      </c>
      <c r="H372" t="s">
        <v>2645</v>
      </c>
      <c r="I372" t="s">
        <v>44</v>
      </c>
      <c r="J372">
        <v>76</v>
      </c>
      <c r="K372">
        <v>39.72</v>
      </c>
      <c r="L372">
        <v>23.09</v>
      </c>
      <c r="M372">
        <v>0.02</v>
      </c>
      <c r="N372" t="s">
        <v>45</v>
      </c>
    </row>
    <row r="373" spans="1:14" x14ac:dyDescent="0.25">
      <c r="A373" t="s">
        <v>775</v>
      </c>
      <c r="B373" s="2">
        <v>45299</v>
      </c>
      <c r="C373" t="s">
        <v>776</v>
      </c>
      <c r="D373" t="s">
        <v>187</v>
      </c>
      <c r="E373" t="s">
        <v>2618</v>
      </c>
      <c r="F373" t="s">
        <v>2632</v>
      </c>
      <c r="G373" t="s">
        <v>42</v>
      </c>
      <c r="H373" t="s">
        <v>2645</v>
      </c>
      <c r="I373" t="s">
        <v>84</v>
      </c>
      <c r="J373">
        <v>61</v>
      </c>
      <c r="K373">
        <v>46.72</v>
      </c>
      <c r="L373">
        <v>30.35</v>
      </c>
      <c r="M373">
        <v>0.15</v>
      </c>
      <c r="N373" t="s">
        <v>45</v>
      </c>
    </row>
    <row r="374" spans="1:14" x14ac:dyDescent="0.25">
      <c r="A374" t="s">
        <v>777</v>
      </c>
      <c r="B374" s="2">
        <v>45567</v>
      </c>
      <c r="C374" t="s">
        <v>466</v>
      </c>
      <c r="D374" t="s">
        <v>222</v>
      </c>
      <c r="E374" t="s">
        <v>2616</v>
      </c>
      <c r="F374" t="s">
        <v>2633</v>
      </c>
      <c r="G374" t="s">
        <v>218</v>
      </c>
      <c r="H374" t="s">
        <v>2646</v>
      </c>
      <c r="I374" t="s">
        <v>70</v>
      </c>
      <c r="J374">
        <v>65</v>
      </c>
      <c r="K374">
        <v>120.98</v>
      </c>
      <c r="L374">
        <v>77.23</v>
      </c>
      <c r="M374">
        <v>0.2</v>
      </c>
      <c r="N374" t="s">
        <v>32</v>
      </c>
    </row>
    <row r="375" spans="1:14" x14ac:dyDescent="0.25">
      <c r="A375" t="s">
        <v>778</v>
      </c>
      <c r="B375" s="2">
        <v>45332</v>
      </c>
      <c r="C375" t="s">
        <v>131</v>
      </c>
      <c r="D375" t="s">
        <v>216</v>
      </c>
      <c r="E375" t="s">
        <v>2617</v>
      </c>
      <c r="F375" t="s">
        <v>2641</v>
      </c>
      <c r="G375" t="s">
        <v>29</v>
      </c>
      <c r="H375" t="s">
        <v>2646</v>
      </c>
      <c r="I375" t="s">
        <v>44</v>
      </c>
      <c r="J375">
        <v>23</v>
      </c>
      <c r="K375">
        <v>111.55</v>
      </c>
      <c r="L375">
        <v>65.900000000000006</v>
      </c>
      <c r="M375">
        <v>0.05</v>
      </c>
      <c r="N375" t="s">
        <v>129</v>
      </c>
    </row>
    <row r="376" spans="1:14" x14ac:dyDescent="0.25">
      <c r="A376" t="s">
        <v>779</v>
      </c>
      <c r="B376" s="2">
        <v>45395</v>
      </c>
      <c r="C376" t="s">
        <v>199</v>
      </c>
      <c r="D376" t="s">
        <v>141</v>
      </c>
      <c r="E376" t="s">
        <v>2617</v>
      </c>
      <c r="F376" t="s">
        <v>2641</v>
      </c>
      <c r="G376" t="s">
        <v>248</v>
      </c>
      <c r="H376" t="s">
        <v>2646</v>
      </c>
      <c r="I376" t="s">
        <v>2578</v>
      </c>
      <c r="J376">
        <v>45</v>
      </c>
      <c r="K376">
        <v>97.7</v>
      </c>
      <c r="L376">
        <v>56.82</v>
      </c>
      <c r="M376">
        <v>0.1</v>
      </c>
      <c r="N376" t="s">
        <v>45</v>
      </c>
    </row>
    <row r="377" spans="1:14" x14ac:dyDescent="0.25">
      <c r="A377" t="s">
        <v>780</v>
      </c>
      <c r="B377" s="2">
        <v>45522</v>
      </c>
      <c r="C377" t="s">
        <v>197</v>
      </c>
      <c r="D377" t="s">
        <v>109</v>
      </c>
      <c r="E377" t="s">
        <v>2617</v>
      </c>
      <c r="F377" t="s">
        <v>2626</v>
      </c>
      <c r="G377" t="s">
        <v>152</v>
      </c>
      <c r="H377" t="s">
        <v>2648</v>
      </c>
      <c r="I377" t="s">
        <v>84</v>
      </c>
      <c r="J377">
        <v>31</v>
      </c>
      <c r="K377">
        <v>130.75</v>
      </c>
      <c r="L377">
        <v>71.05</v>
      </c>
      <c r="M377">
        <v>0.2</v>
      </c>
      <c r="N377" t="s">
        <v>129</v>
      </c>
    </row>
    <row r="378" spans="1:14" x14ac:dyDescent="0.25">
      <c r="A378" t="s">
        <v>781</v>
      </c>
      <c r="B378" s="2">
        <v>45361</v>
      </c>
      <c r="C378" t="s">
        <v>537</v>
      </c>
      <c r="D378" t="s">
        <v>176</v>
      </c>
      <c r="E378" t="s">
        <v>2618</v>
      </c>
      <c r="F378" t="s">
        <v>2634</v>
      </c>
      <c r="G378" t="s">
        <v>248</v>
      </c>
      <c r="H378" t="s">
        <v>2646</v>
      </c>
      <c r="I378" t="s">
        <v>84</v>
      </c>
      <c r="J378">
        <v>10</v>
      </c>
      <c r="K378">
        <v>105.05</v>
      </c>
      <c r="L378">
        <v>66.59</v>
      </c>
      <c r="M378">
        <v>0.1</v>
      </c>
      <c r="N378" t="s">
        <v>129</v>
      </c>
    </row>
    <row r="379" spans="1:14" x14ac:dyDescent="0.25">
      <c r="A379" t="s">
        <v>782</v>
      </c>
      <c r="B379" s="2">
        <v>45558</v>
      </c>
      <c r="C379" t="s">
        <v>524</v>
      </c>
      <c r="D379" t="s">
        <v>132</v>
      </c>
      <c r="E379" t="s">
        <v>2617</v>
      </c>
      <c r="F379" t="s">
        <v>2641</v>
      </c>
      <c r="G379" t="s">
        <v>170</v>
      </c>
      <c r="H379" t="s">
        <v>2648</v>
      </c>
      <c r="I379" t="s">
        <v>70</v>
      </c>
      <c r="J379">
        <v>18</v>
      </c>
      <c r="K379">
        <v>63.24</v>
      </c>
      <c r="L379">
        <v>34.65</v>
      </c>
      <c r="M379">
        <v>0.2</v>
      </c>
      <c r="N379" t="s">
        <v>45</v>
      </c>
    </row>
    <row r="380" spans="1:14" x14ac:dyDescent="0.25">
      <c r="A380" t="s">
        <v>783</v>
      </c>
      <c r="B380" s="2">
        <v>45322</v>
      </c>
      <c r="C380" t="s">
        <v>312</v>
      </c>
      <c r="D380" t="s">
        <v>126</v>
      </c>
      <c r="E380" t="s">
        <v>2617</v>
      </c>
      <c r="F380" t="s">
        <v>2625</v>
      </c>
      <c r="G380" t="s">
        <v>118</v>
      </c>
      <c r="H380" t="s">
        <v>2646</v>
      </c>
      <c r="I380" t="s">
        <v>84</v>
      </c>
      <c r="J380">
        <v>2</v>
      </c>
      <c r="K380">
        <v>92.28</v>
      </c>
      <c r="L380">
        <v>49.35</v>
      </c>
      <c r="M380">
        <v>0.02</v>
      </c>
      <c r="N380" t="s">
        <v>32</v>
      </c>
    </row>
    <row r="381" spans="1:14" x14ac:dyDescent="0.25">
      <c r="A381" t="s">
        <v>784</v>
      </c>
      <c r="B381" s="2">
        <v>45353</v>
      </c>
      <c r="C381" t="s">
        <v>785</v>
      </c>
      <c r="D381" t="s">
        <v>187</v>
      </c>
      <c r="E381" t="s">
        <v>2614</v>
      </c>
      <c r="F381" t="s">
        <v>2637</v>
      </c>
      <c r="G381" t="s">
        <v>248</v>
      </c>
      <c r="H381" t="s">
        <v>2647</v>
      </c>
      <c r="I381" t="s">
        <v>70</v>
      </c>
      <c r="J381">
        <v>36</v>
      </c>
      <c r="K381">
        <v>47.49</v>
      </c>
      <c r="L381">
        <v>31.31</v>
      </c>
      <c r="M381">
        <v>0.2</v>
      </c>
      <c r="N381" t="s">
        <v>45</v>
      </c>
    </row>
    <row r="382" spans="1:14" x14ac:dyDescent="0.25">
      <c r="A382" t="s">
        <v>786</v>
      </c>
      <c r="B382" s="2">
        <v>45452</v>
      </c>
      <c r="C382" t="s">
        <v>519</v>
      </c>
      <c r="D382" t="s">
        <v>66</v>
      </c>
      <c r="E382" t="s">
        <v>2617</v>
      </c>
      <c r="F382" t="s">
        <v>2626</v>
      </c>
      <c r="G382" t="s">
        <v>184</v>
      </c>
      <c r="H382" t="s">
        <v>2646</v>
      </c>
      <c r="I382" t="s">
        <v>70</v>
      </c>
      <c r="J382">
        <v>33</v>
      </c>
      <c r="K382">
        <v>158.16</v>
      </c>
      <c r="L382">
        <v>111.77</v>
      </c>
      <c r="M382">
        <v>0.05</v>
      </c>
      <c r="N382" t="s">
        <v>45</v>
      </c>
    </row>
    <row r="383" spans="1:14" x14ac:dyDescent="0.25">
      <c r="A383" t="s">
        <v>788</v>
      </c>
      <c r="B383" s="2">
        <v>45553</v>
      </c>
      <c r="C383" t="s">
        <v>704</v>
      </c>
      <c r="D383" t="s">
        <v>126</v>
      </c>
      <c r="E383" t="s">
        <v>2617</v>
      </c>
      <c r="F383" t="s">
        <v>2625</v>
      </c>
      <c r="G383" t="s">
        <v>184</v>
      </c>
      <c r="H383" t="s">
        <v>2645</v>
      </c>
      <c r="I383" t="s">
        <v>84</v>
      </c>
      <c r="J383">
        <v>41</v>
      </c>
      <c r="K383">
        <v>86.44</v>
      </c>
      <c r="L383">
        <v>53.66</v>
      </c>
      <c r="M383">
        <v>0</v>
      </c>
      <c r="N383" t="s">
        <v>129</v>
      </c>
    </row>
    <row r="384" spans="1:14" x14ac:dyDescent="0.25">
      <c r="A384" t="s">
        <v>789</v>
      </c>
      <c r="B384" s="2">
        <v>45591</v>
      </c>
      <c r="C384" t="s">
        <v>489</v>
      </c>
      <c r="D384" t="s">
        <v>209</v>
      </c>
      <c r="E384" t="s">
        <v>2615</v>
      </c>
      <c r="F384" t="s">
        <v>2630</v>
      </c>
      <c r="G384" t="s">
        <v>29</v>
      </c>
      <c r="H384" t="s">
        <v>2646</v>
      </c>
      <c r="I384" t="s">
        <v>84</v>
      </c>
      <c r="J384">
        <v>6</v>
      </c>
      <c r="K384">
        <v>17.149999999999999</v>
      </c>
      <c r="L384">
        <v>9.51</v>
      </c>
      <c r="M384">
        <v>0.2</v>
      </c>
      <c r="N384" t="s">
        <v>129</v>
      </c>
    </row>
    <row r="385" spans="1:14" x14ac:dyDescent="0.25">
      <c r="A385" t="s">
        <v>790</v>
      </c>
      <c r="B385" s="2">
        <v>45471</v>
      </c>
      <c r="C385" t="s">
        <v>791</v>
      </c>
      <c r="D385" t="s">
        <v>187</v>
      </c>
      <c r="E385" t="s">
        <v>2614</v>
      </c>
      <c r="F385" t="s">
        <v>2629</v>
      </c>
      <c r="G385" t="s">
        <v>253</v>
      </c>
      <c r="H385" t="s">
        <v>2648</v>
      </c>
      <c r="I385" t="s">
        <v>70</v>
      </c>
      <c r="J385">
        <v>66</v>
      </c>
      <c r="K385">
        <v>46.91</v>
      </c>
      <c r="L385">
        <v>27.22</v>
      </c>
      <c r="M385">
        <v>0.1</v>
      </c>
      <c r="N385" t="s">
        <v>45</v>
      </c>
    </row>
    <row r="386" spans="1:14" x14ac:dyDescent="0.25">
      <c r="A386" t="s">
        <v>792</v>
      </c>
      <c r="B386" s="2">
        <v>45555</v>
      </c>
      <c r="C386" t="s">
        <v>655</v>
      </c>
      <c r="D386" t="s">
        <v>23</v>
      </c>
      <c r="E386" t="s">
        <v>2614</v>
      </c>
      <c r="F386" t="s">
        <v>2629</v>
      </c>
      <c r="G386" t="s">
        <v>118</v>
      </c>
      <c r="H386" t="s">
        <v>2648</v>
      </c>
      <c r="I386" t="s">
        <v>75</v>
      </c>
      <c r="J386">
        <v>66</v>
      </c>
      <c r="K386">
        <v>70.78</v>
      </c>
      <c r="L386">
        <v>43.4</v>
      </c>
      <c r="M386">
        <v>0.1</v>
      </c>
      <c r="N386" t="s">
        <v>45</v>
      </c>
    </row>
    <row r="387" spans="1:14" x14ac:dyDescent="0.25">
      <c r="A387" t="s">
        <v>793</v>
      </c>
      <c r="B387" s="2">
        <v>45333</v>
      </c>
      <c r="C387" t="s">
        <v>794</v>
      </c>
      <c r="D387" t="s">
        <v>109</v>
      </c>
      <c r="E387" t="s">
        <v>2618</v>
      </c>
      <c r="F387" t="s">
        <v>2635</v>
      </c>
      <c r="G387" t="s">
        <v>152</v>
      </c>
      <c r="H387" t="s">
        <v>2648</v>
      </c>
      <c r="I387" t="s">
        <v>70</v>
      </c>
      <c r="J387">
        <v>68</v>
      </c>
      <c r="K387">
        <v>134.04</v>
      </c>
      <c r="L387">
        <v>68.58</v>
      </c>
      <c r="M387">
        <v>0.1</v>
      </c>
      <c r="N387" t="s">
        <v>45</v>
      </c>
    </row>
    <row r="388" spans="1:14" x14ac:dyDescent="0.25">
      <c r="A388" t="s">
        <v>795</v>
      </c>
      <c r="B388" s="2">
        <v>45580</v>
      </c>
      <c r="C388" t="s">
        <v>2619</v>
      </c>
      <c r="D388" t="s">
        <v>209</v>
      </c>
      <c r="E388" t="s">
        <v>2617</v>
      </c>
      <c r="F388" t="s">
        <v>2641</v>
      </c>
      <c r="G388" t="s">
        <v>218</v>
      </c>
      <c r="H388" t="s">
        <v>2647</v>
      </c>
      <c r="I388" t="s">
        <v>2578</v>
      </c>
      <c r="J388">
        <v>25</v>
      </c>
      <c r="K388">
        <v>18.3</v>
      </c>
      <c r="L388">
        <v>9.58</v>
      </c>
      <c r="M388">
        <v>0.1</v>
      </c>
      <c r="N388" t="s">
        <v>45</v>
      </c>
    </row>
    <row r="389" spans="1:14" x14ac:dyDescent="0.25">
      <c r="A389" t="s">
        <v>796</v>
      </c>
      <c r="B389" s="2">
        <v>45357</v>
      </c>
      <c r="C389" t="s">
        <v>596</v>
      </c>
      <c r="D389" t="s">
        <v>114</v>
      </c>
      <c r="E389" t="s">
        <v>2614</v>
      </c>
      <c r="F389" t="s">
        <v>2636</v>
      </c>
      <c r="G389" t="s">
        <v>170</v>
      </c>
      <c r="H389" t="s">
        <v>2648</v>
      </c>
      <c r="I389" t="s">
        <v>2578</v>
      </c>
      <c r="J389">
        <v>47</v>
      </c>
      <c r="K389">
        <v>32.43</v>
      </c>
      <c r="L389">
        <v>19.82</v>
      </c>
      <c r="M389">
        <v>0.05</v>
      </c>
      <c r="N389" t="s">
        <v>45</v>
      </c>
    </row>
    <row r="390" spans="1:14" x14ac:dyDescent="0.25">
      <c r="A390" t="s">
        <v>797</v>
      </c>
      <c r="B390" s="2">
        <v>45548</v>
      </c>
      <c r="C390" t="s">
        <v>798</v>
      </c>
      <c r="D390" t="s">
        <v>132</v>
      </c>
      <c r="E390" t="s">
        <v>2615</v>
      </c>
      <c r="F390" t="s">
        <v>2627</v>
      </c>
      <c r="G390" t="s">
        <v>60</v>
      </c>
      <c r="H390" t="s">
        <v>2648</v>
      </c>
      <c r="I390" t="s">
        <v>84</v>
      </c>
      <c r="J390">
        <v>6</v>
      </c>
      <c r="K390">
        <v>62.41</v>
      </c>
      <c r="L390">
        <v>35.67</v>
      </c>
      <c r="M390">
        <v>0</v>
      </c>
      <c r="N390" t="s">
        <v>32</v>
      </c>
    </row>
    <row r="391" spans="1:14" x14ac:dyDescent="0.25">
      <c r="A391" t="s">
        <v>799</v>
      </c>
      <c r="B391" s="2">
        <v>45494</v>
      </c>
      <c r="C391" t="s">
        <v>800</v>
      </c>
      <c r="D391" t="s">
        <v>141</v>
      </c>
      <c r="E391" t="s">
        <v>2614</v>
      </c>
      <c r="F391" t="s">
        <v>2622</v>
      </c>
      <c r="G391" t="s">
        <v>90</v>
      </c>
      <c r="H391" t="s">
        <v>2645</v>
      </c>
      <c r="I391" t="s">
        <v>84</v>
      </c>
      <c r="J391">
        <v>38</v>
      </c>
      <c r="K391">
        <v>91.58</v>
      </c>
      <c r="L391">
        <v>54.81</v>
      </c>
      <c r="M391">
        <v>0.15</v>
      </c>
      <c r="N391" t="s">
        <v>45</v>
      </c>
    </row>
    <row r="392" spans="1:14" x14ac:dyDescent="0.25">
      <c r="A392" t="s">
        <v>801</v>
      </c>
      <c r="B392" s="2">
        <v>45506</v>
      </c>
      <c r="C392" t="s">
        <v>802</v>
      </c>
      <c r="D392" t="s">
        <v>150</v>
      </c>
      <c r="E392" t="s">
        <v>2614</v>
      </c>
      <c r="F392" t="s">
        <v>2622</v>
      </c>
      <c r="G392" t="s">
        <v>111</v>
      </c>
      <c r="H392" t="s">
        <v>2647</v>
      </c>
      <c r="I392" t="s">
        <v>70</v>
      </c>
      <c r="J392">
        <v>17</v>
      </c>
      <c r="K392">
        <v>89.03</v>
      </c>
      <c r="L392">
        <v>49.14</v>
      </c>
      <c r="M392">
        <v>0.05</v>
      </c>
      <c r="N392" t="s">
        <v>45</v>
      </c>
    </row>
    <row r="393" spans="1:14" x14ac:dyDescent="0.25">
      <c r="A393" t="s">
        <v>803</v>
      </c>
      <c r="B393" s="2">
        <v>45541</v>
      </c>
      <c r="C393" t="s">
        <v>572</v>
      </c>
      <c r="D393" t="s">
        <v>141</v>
      </c>
      <c r="E393" t="s">
        <v>2614</v>
      </c>
      <c r="F393" t="s">
        <v>2629</v>
      </c>
      <c r="G393" t="s">
        <v>170</v>
      </c>
      <c r="H393" t="s">
        <v>2647</v>
      </c>
      <c r="I393" t="s">
        <v>84</v>
      </c>
      <c r="J393">
        <v>37</v>
      </c>
      <c r="K393">
        <v>102.23</v>
      </c>
      <c r="L393">
        <v>60.94</v>
      </c>
      <c r="M393">
        <v>0.05</v>
      </c>
      <c r="N393" t="s">
        <v>129</v>
      </c>
    </row>
    <row r="394" spans="1:14" x14ac:dyDescent="0.25">
      <c r="A394" t="s">
        <v>804</v>
      </c>
      <c r="B394" s="2">
        <v>45482</v>
      </c>
      <c r="C394" t="s">
        <v>466</v>
      </c>
      <c r="D394" t="s">
        <v>93</v>
      </c>
      <c r="E394" t="s">
        <v>2618</v>
      </c>
      <c r="F394" t="s">
        <v>2632</v>
      </c>
      <c r="G394" t="s">
        <v>261</v>
      </c>
      <c r="H394" t="s">
        <v>2646</v>
      </c>
      <c r="I394" t="s">
        <v>70</v>
      </c>
      <c r="J394">
        <v>11</v>
      </c>
      <c r="K394">
        <v>51.65</v>
      </c>
      <c r="L394">
        <v>34</v>
      </c>
      <c r="M394">
        <v>1.1000000000000001</v>
      </c>
      <c r="N394" t="s">
        <v>45</v>
      </c>
    </row>
    <row r="395" spans="1:14" x14ac:dyDescent="0.25">
      <c r="A395" t="s">
        <v>805</v>
      </c>
      <c r="B395" s="2">
        <v>45415</v>
      </c>
      <c r="C395" t="s">
        <v>399</v>
      </c>
      <c r="D395" t="s">
        <v>23</v>
      </c>
      <c r="E395" t="s">
        <v>2615</v>
      </c>
      <c r="F395" t="s">
        <v>2630</v>
      </c>
      <c r="G395" t="s">
        <v>178</v>
      </c>
      <c r="H395" t="s">
        <v>2645</v>
      </c>
      <c r="I395" t="s">
        <v>84</v>
      </c>
      <c r="J395">
        <v>72</v>
      </c>
      <c r="K395">
        <v>75.69</v>
      </c>
      <c r="L395">
        <v>42.92</v>
      </c>
      <c r="M395">
        <v>0.1</v>
      </c>
      <c r="N395" t="s">
        <v>45</v>
      </c>
    </row>
    <row r="396" spans="1:14" x14ac:dyDescent="0.25">
      <c r="A396" t="s">
        <v>806</v>
      </c>
      <c r="B396" s="2">
        <v>45520</v>
      </c>
      <c r="C396" t="s">
        <v>580</v>
      </c>
      <c r="D396" t="s">
        <v>36</v>
      </c>
      <c r="E396" t="s">
        <v>2615</v>
      </c>
      <c r="F396" t="s">
        <v>2623</v>
      </c>
      <c r="G396" t="s">
        <v>42</v>
      </c>
      <c r="H396" t="s">
        <v>2647</v>
      </c>
      <c r="I396" t="s">
        <v>84</v>
      </c>
      <c r="J396">
        <v>48</v>
      </c>
      <c r="K396">
        <v>178.11</v>
      </c>
      <c r="L396">
        <v>99.88</v>
      </c>
      <c r="M396">
        <v>0.1</v>
      </c>
      <c r="N396" t="s">
        <v>45</v>
      </c>
    </row>
    <row r="397" spans="1:14" x14ac:dyDescent="0.25">
      <c r="A397" t="s">
        <v>807</v>
      </c>
      <c r="B397" s="2">
        <v>45360</v>
      </c>
      <c r="C397" t="s">
        <v>533</v>
      </c>
      <c r="D397" t="s">
        <v>165</v>
      </c>
      <c r="E397" t="s">
        <v>2617</v>
      </c>
      <c r="F397" t="s">
        <v>2641</v>
      </c>
      <c r="G397" t="s">
        <v>29</v>
      </c>
      <c r="H397" t="s">
        <v>2646</v>
      </c>
      <c r="I397" t="s">
        <v>84</v>
      </c>
      <c r="J397">
        <v>37</v>
      </c>
      <c r="K397">
        <v>38.979999999999997</v>
      </c>
      <c r="L397">
        <v>23.16</v>
      </c>
      <c r="M397">
        <v>0.1</v>
      </c>
      <c r="N397" t="s">
        <v>32</v>
      </c>
    </row>
    <row r="398" spans="1:14" x14ac:dyDescent="0.25">
      <c r="A398" t="s">
        <v>808</v>
      </c>
      <c r="B398" s="2">
        <v>45301</v>
      </c>
      <c r="C398" t="s">
        <v>312</v>
      </c>
      <c r="D398" t="s">
        <v>99</v>
      </c>
      <c r="E398" t="s">
        <v>2616</v>
      </c>
      <c r="F398" t="s">
        <v>2633</v>
      </c>
      <c r="G398" t="s">
        <v>195</v>
      </c>
      <c r="H398" t="s">
        <v>2647</v>
      </c>
      <c r="I398" t="s">
        <v>84</v>
      </c>
      <c r="J398">
        <v>58</v>
      </c>
      <c r="K398">
        <v>65.28</v>
      </c>
      <c r="L398">
        <v>41.29</v>
      </c>
      <c r="M398">
        <v>0.05</v>
      </c>
      <c r="N398" t="s">
        <v>129</v>
      </c>
    </row>
    <row r="399" spans="1:14" x14ac:dyDescent="0.25">
      <c r="A399" t="s">
        <v>809</v>
      </c>
      <c r="B399" s="2">
        <v>45292</v>
      </c>
      <c r="C399" t="s">
        <v>458</v>
      </c>
      <c r="D399" t="s">
        <v>141</v>
      </c>
      <c r="E399" t="s">
        <v>2618</v>
      </c>
      <c r="F399" t="s">
        <v>2635</v>
      </c>
      <c r="G399" t="s">
        <v>218</v>
      </c>
      <c r="H399" t="s">
        <v>2647</v>
      </c>
      <c r="I399" t="s">
        <v>44</v>
      </c>
      <c r="J399">
        <v>10</v>
      </c>
      <c r="K399">
        <v>100.28</v>
      </c>
      <c r="L399">
        <v>53.58</v>
      </c>
      <c r="M399">
        <v>0.05</v>
      </c>
      <c r="N399" t="s">
        <v>32</v>
      </c>
    </row>
    <row r="400" spans="1:14" x14ac:dyDescent="0.25">
      <c r="A400" t="s">
        <v>810</v>
      </c>
      <c r="B400" s="2">
        <v>45576</v>
      </c>
      <c r="C400" t="s">
        <v>811</v>
      </c>
      <c r="D400" t="s">
        <v>187</v>
      </c>
      <c r="E400" t="s">
        <v>2615</v>
      </c>
      <c r="F400" t="s">
        <v>2640</v>
      </c>
      <c r="G400" t="s">
        <v>265</v>
      </c>
      <c r="H400" t="s">
        <v>2647</v>
      </c>
      <c r="I400" t="s">
        <v>2578</v>
      </c>
      <c r="J400">
        <v>2</v>
      </c>
      <c r="K400">
        <v>51.4</v>
      </c>
      <c r="L400">
        <v>28.18</v>
      </c>
      <c r="M400">
        <v>0.15</v>
      </c>
      <c r="N400" t="s">
        <v>45</v>
      </c>
    </row>
    <row r="401" spans="1:14" x14ac:dyDescent="0.25">
      <c r="A401" t="s">
        <v>812</v>
      </c>
      <c r="B401" s="2">
        <v>45612</v>
      </c>
      <c r="C401" t="s">
        <v>531</v>
      </c>
      <c r="D401" t="s">
        <v>23</v>
      </c>
      <c r="E401" t="s">
        <v>2617</v>
      </c>
      <c r="F401" t="s">
        <v>2642</v>
      </c>
      <c r="G401" t="s">
        <v>261</v>
      </c>
      <c r="H401" t="s">
        <v>2645</v>
      </c>
      <c r="I401" t="s">
        <v>84</v>
      </c>
      <c r="J401">
        <v>2</v>
      </c>
      <c r="K401">
        <v>77.739999999999995</v>
      </c>
      <c r="L401">
        <v>43.98</v>
      </c>
      <c r="M401">
        <v>0.05</v>
      </c>
      <c r="N401" t="s">
        <v>45</v>
      </c>
    </row>
    <row r="402" spans="1:14" x14ac:dyDescent="0.25">
      <c r="A402" t="s">
        <v>813</v>
      </c>
      <c r="B402" s="2">
        <v>45415</v>
      </c>
      <c r="C402" t="s">
        <v>814</v>
      </c>
      <c r="D402" t="s">
        <v>141</v>
      </c>
      <c r="E402" t="s">
        <v>2617</v>
      </c>
      <c r="F402" t="s">
        <v>2626</v>
      </c>
      <c r="G402" t="s">
        <v>195</v>
      </c>
      <c r="H402" t="s">
        <v>2645</v>
      </c>
      <c r="I402" t="s">
        <v>44</v>
      </c>
      <c r="J402">
        <v>69</v>
      </c>
      <c r="K402">
        <v>102.11</v>
      </c>
      <c r="L402">
        <v>53.98</v>
      </c>
      <c r="M402">
        <v>0.05</v>
      </c>
      <c r="N402" t="s">
        <v>45</v>
      </c>
    </row>
    <row r="403" spans="1:14" x14ac:dyDescent="0.25">
      <c r="A403" t="s">
        <v>815</v>
      </c>
      <c r="B403" s="2">
        <v>45436</v>
      </c>
      <c r="C403" t="s">
        <v>239</v>
      </c>
      <c r="D403" t="s">
        <v>66</v>
      </c>
      <c r="E403" t="s">
        <v>2614</v>
      </c>
      <c r="F403" t="s">
        <v>2622</v>
      </c>
      <c r="G403" t="s">
        <v>265</v>
      </c>
      <c r="H403" t="s">
        <v>2645</v>
      </c>
      <c r="I403" t="s">
        <v>84</v>
      </c>
      <c r="J403">
        <v>34</v>
      </c>
      <c r="K403">
        <v>171.96</v>
      </c>
      <c r="L403">
        <v>102.63</v>
      </c>
      <c r="M403">
        <v>0.02</v>
      </c>
      <c r="N403" t="s">
        <v>45</v>
      </c>
    </row>
    <row r="404" spans="1:14" x14ac:dyDescent="0.25">
      <c r="A404" t="s">
        <v>816</v>
      </c>
      <c r="B404" s="2">
        <v>45547</v>
      </c>
      <c r="C404" t="s">
        <v>817</v>
      </c>
      <c r="D404" t="s">
        <v>66</v>
      </c>
      <c r="E404" t="s">
        <v>2614</v>
      </c>
      <c r="F404" t="s">
        <v>2636</v>
      </c>
      <c r="G404" t="s">
        <v>152</v>
      </c>
      <c r="H404" t="s">
        <v>2648</v>
      </c>
      <c r="I404" t="s">
        <v>75</v>
      </c>
      <c r="J404">
        <v>4</v>
      </c>
      <c r="K404">
        <v>152.47</v>
      </c>
      <c r="L404">
        <v>97.54</v>
      </c>
      <c r="M404">
        <v>0.02</v>
      </c>
      <c r="N404" t="s">
        <v>45</v>
      </c>
    </row>
    <row r="405" spans="1:14" x14ac:dyDescent="0.25">
      <c r="A405" t="s">
        <v>818</v>
      </c>
      <c r="B405" s="2">
        <v>45536</v>
      </c>
      <c r="C405" t="s">
        <v>701</v>
      </c>
      <c r="D405" t="s">
        <v>165</v>
      </c>
      <c r="E405" t="s">
        <v>2617</v>
      </c>
      <c r="F405" t="s">
        <v>2625</v>
      </c>
      <c r="G405" t="s">
        <v>42</v>
      </c>
      <c r="H405" t="s">
        <v>2645</v>
      </c>
      <c r="I405" t="s">
        <v>70</v>
      </c>
      <c r="J405">
        <v>9</v>
      </c>
      <c r="K405">
        <v>41.31</v>
      </c>
      <c r="L405">
        <v>24.06</v>
      </c>
      <c r="M405">
        <v>0.2</v>
      </c>
      <c r="N405" t="s">
        <v>32</v>
      </c>
    </row>
    <row r="406" spans="1:14" x14ac:dyDescent="0.25">
      <c r="A406" t="s">
        <v>819</v>
      </c>
      <c r="B406" s="2">
        <v>45569</v>
      </c>
      <c r="C406" t="s">
        <v>477</v>
      </c>
      <c r="D406" t="s">
        <v>109</v>
      </c>
      <c r="E406" t="s">
        <v>2617</v>
      </c>
      <c r="F406" t="s">
        <v>2641</v>
      </c>
      <c r="G406" t="s">
        <v>170</v>
      </c>
      <c r="H406" t="s">
        <v>2646</v>
      </c>
      <c r="I406" t="s">
        <v>84</v>
      </c>
      <c r="J406">
        <v>13</v>
      </c>
      <c r="K406">
        <v>116.37</v>
      </c>
      <c r="L406">
        <v>77.36</v>
      </c>
      <c r="M406">
        <v>0.02</v>
      </c>
      <c r="N406" t="s">
        <v>45</v>
      </c>
    </row>
    <row r="407" spans="1:14" x14ac:dyDescent="0.25">
      <c r="A407" t="s">
        <v>820</v>
      </c>
      <c r="B407" s="2">
        <v>45382</v>
      </c>
      <c r="C407" t="s">
        <v>519</v>
      </c>
      <c r="D407" t="s">
        <v>66</v>
      </c>
      <c r="E407" t="s">
        <v>2618</v>
      </c>
      <c r="F407" t="s">
        <v>2634</v>
      </c>
      <c r="G407" t="s">
        <v>42</v>
      </c>
      <c r="H407" t="s">
        <v>2647</v>
      </c>
      <c r="I407" t="s">
        <v>70</v>
      </c>
      <c r="J407">
        <v>48</v>
      </c>
      <c r="K407">
        <v>151.08000000000001</v>
      </c>
      <c r="L407">
        <v>110.25</v>
      </c>
      <c r="M407">
        <v>0</v>
      </c>
      <c r="N407" t="s">
        <v>45</v>
      </c>
    </row>
    <row r="408" spans="1:14" x14ac:dyDescent="0.25">
      <c r="A408" t="s">
        <v>821</v>
      </c>
      <c r="B408" s="2">
        <v>45476</v>
      </c>
      <c r="C408" t="s">
        <v>817</v>
      </c>
      <c r="D408" t="s">
        <v>150</v>
      </c>
      <c r="E408" t="s">
        <v>2614</v>
      </c>
      <c r="F408" t="s">
        <v>2637</v>
      </c>
      <c r="G408" t="s">
        <v>118</v>
      </c>
      <c r="H408" t="s">
        <v>2648</v>
      </c>
      <c r="I408" t="s">
        <v>70</v>
      </c>
      <c r="J408">
        <v>32</v>
      </c>
      <c r="K408">
        <v>91.67</v>
      </c>
      <c r="L408">
        <v>49.46</v>
      </c>
      <c r="M408">
        <v>0.2</v>
      </c>
      <c r="N408" t="s">
        <v>45</v>
      </c>
    </row>
    <row r="409" spans="1:14" x14ac:dyDescent="0.25">
      <c r="A409" t="s">
        <v>822</v>
      </c>
      <c r="B409" s="2">
        <v>45645</v>
      </c>
      <c r="C409" t="s">
        <v>823</v>
      </c>
      <c r="D409" t="s">
        <v>216</v>
      </c>
      <c r="E409" t="s">
        <v>2614</v>
      </c>
      <c r="F409" t="s">
        <v>2622</v>
      </c>
      <c r="G409" t="s">
        <v>218</v>
      </c>
      <c r="H409" t="s">
        <v>2648</v>
      </c>
      <c r="I409" t="s">
        <v>44</v>
      </c>
      <c r="J409">
        <v>37</v>
      </c>
      <c r="K409">
        <v>115.71</v>
      </c>
      <c r="L409">
        <v>65.37</v>
      </c>
      <c r="M409">
        <v>0.05</v>
      </c>
      <c r="N409" t="s">
        <v>32</v>
      </c>
    </row>
    <row r="410" spans="1:14" x14ac:dyDescent="0.25">
      <c r="A410" t="s">
        <v>824</v>
      </c>
      <c r="B410" s="2">
        <v>45406</v>
      </c>
      <c r="C410" t="s">
        <v>776</v>
      </c>
      <c r="D410" t="s">
        <v>176</v>
      </c>
      <c r="E410" t="s">
        <v>2614</v>
      </c>
      <c r="F410" t="s">
        <v>2629</v>
      </c>
      <c r="G410" t="s">
        <v>83</v>
      </c>
      <c r="H410" t="s">
        <v>2645</v>
      </c>
      <c r="I410" t="s">
        <v>2578</v>
      </c>
      <c r="J410">
        <v>74</v>
      </c>
      <c r="K410">
        <v>111.07</v>
      </c>
      <c r="L410">
        <v>66.489999999999995</v>
      </c>
      <c r="M410">
        <v>0.15</v>
      </c>
      <c r="N410" t="s">
        <v>129</v>
      </c>
    </row>
    <row r="411" spans="1:14" x14ac:dyDescent="0.25">
      <c r="A411" t="s">
        <v>825</v>
      </c>
      <c r="B411" s="2">
        <v>45571</v>
      </c>
      <c r="C411" t="s">
        <v>600</v>
      </c>
      <c r="D411" t="s">
        <v>141</v>
      </c>
      <c r="E411" t="s">
        <v>2618</v>
      </c>
      <c r="F411" t="s">
        <v>2634</v>
      </c>
      <c r="G411" t="s">
        <v>218</v>
      </c>
      <c r="H411" t="s">
        <v>2645</v>
      </c>
      <c r="I411" t="s">
        <v>2619</v>
      </c>
      <c r="J411">
        <v>65</v>
      </c>
      <c r="K411">
        <v>91.32</v>
      </c>
      <c r="L411">
        <v>57.65</v>
      </c>
      <c r="M411">
        <v>0.05</v>
      </c>
      <c r="N411" t="s">
        <v>32</v>
      </c>
    </row>
    <row r="412" spans="1:14" x14ac:dyDescent="0.25">
      <c r="A412" t="s">
        <v>826</v>
      </c>
      <c r="B412" s="2">
        <v>45481</v>
      </c>
      <c r="C412" t="s">
        <v>517</v>
      </c>
      <c r="D412" t="s">
        <v>36</v>
      </c>
      <c r="E412" t="s">
        <v>2618</v>
      </c>
      <c r="F412" t="s">
        <v>2635</v>
      </c>
      <c r="G412" t="s">
        <v>144</v>
      </c>
      <c r="H412" t="s">
        <v>2645</v>
      </c>
      <c r="I412" t="s">
        <v>70</v>
      </c>
      <c r="J412">
        <v>7</v>
      </c>
      <c r="K412">
        <v>-25</v>
      </c>
      <c r="L412">
        <v>94.91</v>
      </c>
      <c r="M412">
        <v>0.05</v>
      </c>
      <c r="N412" t="s">
        <v>32</v>
      </c>
    </row>
    <row r="413" spans="1:14" x14ac:dyDescent="0.25">
      <c r="A413" t="s">
        <v>827</v>
      </c>
      <c r="B413" s="2">
        <v>45401</v>
      </c>
      <c r="C413" t="s">
        <v>811</v>
      </c>
      <c r="D413" t="s">
        <v>126</v>
      </c>
      <c r="E413" t="s">
        <v>2617</v>
      </c>
      <c r="F413" t="s">
        <v>2626</v>
      </c>
      <c r="G413" t="s">
        <v>178</v>
      </c>
      <c r="H413" t="s">
        <v>2648</v>
      </c>
      <c r="I413" t="s">
        <v>75</v>
      </c>
      <c r="J413">
        <v>79</v>
      </c>
      <c r="K413">
        <v>89.84</v>
      </c>
      <c r="L413">
        <v>52.17</v>
      </c>
      <c r="M413">
        <v>0.15</v>
      </c>
      <c r="N413" t="s">
        <v>129</v>
      </c>
    </row>
    <row r="414" spans="1:14" x14ac:dyDescent="0.25">
      <c r="A414" t="s">
        <v>828</v>
      </c>
      <c r="B414" s="2">
        <v>45566</v>
      </c>
      <c r="C414" t="s">
        <v>638</v>
      </c>
      <c r="D414" t="s">
        <v>187</v>
      </c>
      <c r="E414" t="s">
        <v>2616</v>
      </c>
      <c r="F414" t="s">
        <v>2638</v>
      </c>
      <c r="G414" t="s">
        <v>261</v>
      </c>
      <c r="H414" t="s">
        <v>2647</v>
      </c>
      <c r="I414" t="s">
        <v>84</v>
      </c>
      <c r="J414">
        <v>27</v>
      </c>
      <c r="K414">
        <v>48.42</v>
      </c>
      <c r="L414">
        <v>0</v>
      </c>
      <c r="M414">
        <v>0</v>
      </c>
      <c r="N414" t="s">
        <v>32</v>
      </c>
    </row>
    <row r="415" spans="1:14" x14ac:dyDescent="0.25">
      <c r="A415" t="s">
        <v>829</v>
      </c>
      <c r="B415" s="2">
        <v>45606</v>
      </c>
      <c r="C415" t="s">
        <v>382</v>
      </c>
      <c r="D415" t="s">
        <v>36</v>
      </c>
      <c r="E415" t="s">
        <v>2615</v>
      </c>
      <c r="F415" t="s">
        <v>2623</v>
      </c>
      <c r="G415" t="s">
        <v>29</v>
      </c>
      <c r="H415" t="s">
        <v>2647</v>
      </c>
      <c r="I415" t="s">
        <v>70</v>
      </c>
      <c r="J415">
        <v>22</v>
      </c>
      <c r="K415">
        <v>168.52</v>
      </c>
      <c r="L415">
        <v>95.16</v>
      </c>
      <c r="M415">
        <v>0.2</v>
      </c>
      <c r="N415" t="s">
        <v>45</v>
      </c>
    </row>
    <row r="416" spans="1:14" x14ac:dyDescent="0.25">
      <c r="A416" t="s">
        <v>830</v>
      </c>
      <c r="B416" s="2">
        <v>45635</v>
      </c>
      <c r="C416" t="s">
        <v>2619</v>
      </c>
      <c r="D416" t="s">
        <v>216</v>
      </c>
      <c r="E416" t="s">
        <v>2614</v>
      </c>
      <c r="F416" t="s">
        <v>2622</v>
      </c>
      <c r="G416" t="s">
        <v>248</v>
      </c>
      <c r="H416" t="s">
        <v>2646</v>
      </c>
      <c r="I416" t="s">
        <v>84</v>
      </c>
      <c r="J416">
        <v>73</v>
      </c>
      <c r="K416">
        <v>108.25</v>
      </c>
      <c r="L416">
        <v>67.64</v>
      </c>
      <c r="M416">
        <v>0</v>
      </c>
      <c r="N416" t="s">
        <v>129</v>
      </c>
    </row>
    <row r="417" spans="1:14" x14ac:dyDescent="0.25">
      <c r="A417" t="s">
        <v>831</v>
      </c>
      <c r="B417" s="2">
        <v>45622</v>
      </c>
      <c r="C417" t="s">
        <v>832</v>
      </c>
      <c r="D417" t="s">
        <v>49</v>
      </c>
      <c r="E417" t="s">
        <v>2618</v>
      </c>
      <c r="F417" t="s">
        <v>2632</v>
      </c>
      <c r="G417" t="s">
        <v>60</v>
      </c>
      <c r="H417" t="s">
        <v>2646</v>
      </c>
      <c r="I417" t="s">
        <v>44</v>
      </c>
      <c r="J417">
        <v>52</v>
      </c>
      <c r="K417">
        <v>26.83</v>
      </c>
      <c r="L417">
        <v>12.1</v>
      </c>
      <c r="M417">
        <v>0</v>
      </c>
      <c r="N417" t="s">
        <v>45</v>
      </c>
    </row>
    <row r="418" spans="1:14" x14ac:dyDescent="0.25">
      <c r="A418" t="s">
        <v>834</v>
      </c>
      <c r="B418" s="2">
        <v>45417</v>
      </c>
      <c r="C418" t="s">
        <v>483</v>
      </c>
      <c r="D418" t="s">
        <v>93</v>
      </c>
      <c r="E418" t="s">
        <v>2617</v>
      </c>
      <c r="F418" t="s">
        <v>2626</v>
      </c>
      <c r="G418" t="s">
        <v>248</v>
      </c>
      <c r="H418" t="s">
        <v>2648</v>
      </c>
      <c r="I418" t="s">
        <v>2578</v>
      </c>
      <c r="J418">
        <v>19</v>
      </c>
      <c r="K418">
        <v>55.19</v>
      </c>
      <c r="L418">
        <v>29.79</v>
      </c>
      <c r="M418">
        <v>0</v>
      </c>
      <c r="N418" t="s">
        <v>45</v>
      </c>
    </row>
    <row r="419" spans="1:14" x14ac:dyDescent="0.25">
      <c r="A419" t="s">
        <v>835</v>
      </c>
      <c r="B419" s="2">
        <v>45300</v>
      </c>
      <c r="C419" t="s">
        <v>707</v>
      </c>
      <c r="D419" t="s">
        <v>216</v>
      </c>
      <c r="E419" t="s">
        <v>2614</v>
      </c>
      <c r="F419" t="s">
        <v>2629</v>
      </c>
      <c r="G419" t="s">
        <v>111</v>
      </c>
      <c r="H419" t="s">
        <v>2646</v>
      </c>
      <c r="I419" t="s">
        <v>84</v>
      </c>
      <c r="J419">
        <v>48</v>
      </c>
      <c r="K419">
        <v>105.06</v>
      </c>
      <c r="L419">
        <v>71.930000000000007</v>
      </c>
      <c r="M419">
        <v>0.2</v>
      </c>
      <c r="N419" t="s">
        <v>45</v>
      </c>
    </row>
    <row r="420" spans="1:14" x14ac:dyDescent="0.25">
      <c r="A420" t="s">
        <v>836</v>
      </c>
      <c r="B420" s="2">
        <v>45400</v>
      </c>
      <c r="C420" t="s">
        <v>837</v>
      </c>
      <c r="D420" t="s">
        <v>109</v>
      </c>
      <c r="E420" t="s">
        <v>2617</v>
      </c>
      <c r="F420" t="s">
        <v>2641</v>
      </c>
      <c r="G420" t="s">
        <v>60</v>
      </c>
      <c r="H420" t="s">
        <v>2646</v>
      </c>
      <c r="I420" t="s">
        <v>75</v>
      </c>
      <c r="J420">
        <v>4</v>
      </c>
      <c r="K420">
        <v>133.54</v>
      </c>
      <c r="L420">
        <v>79.56</v>
      </c>
      <c r="M420">
        <v>0.05</v>
      </c>
      <c r="N420" t="s">
        <v>45</v>
      </c>
    </row>
    <row r="421" spans="1:14" x14ac:dyDescent="0.25">
      <c r="A421" t="s">
        <v>838</v>
      </c>
      <c r="B421" s="2">
        <v>45343</v>
      </c>
      <c r="C421" t="s">
        <v>658</v>
      </c>
      <c r="D421" t="s">
        <v>187</v>
      </c>
      <c r="E421" t="s">
        <v>2615</v>
      </c>
      <c r="F421" t="s">
        <v>2627</v>
      </c>
      <c r="G421" t="s">
        <v>170</v>
      </c>
      <c r="H421" t="s">
        <v>2647</v>
      </c>
      <c r="I421" t="s">
        <v>70</v>
      </c>
      <c r="J421">
        <v>17</v>
      </c>
      <c r="K421">
        <v>48.86</v>
      </c>
      <c r="L421">
        <v>30.73</v>
      </c>
      <c r="M421">
        <v>0</v>
      </c>
      <c r="N421" t="s">
        <v>45</v>
      </c>
    </row>
    <row r="422" spans="1:14" x14ac:dyDescent="0.25">
      <c r="A422" t="s">
        <v>839</v>
      </c>
      <c r="B422" s="2">
        <v>45543</v>
      </c>
      <c r="C422" t="s">
        <v>517</v>
      </c>
      <c r="D422" t="s">
        <v>93</v>
      </c>
      <c r="E422" t="s">
        <v>2614</v>
      </c>
      <c r="F422" t="s">
        <v>2629</v>
      </c>
      <c r="G422" t="s">
        <v>152</v>
      </c>
      <c r="H422" t="s">
        <v>2647</v>
      </c>
      <c r="I422" t="s">
        <v>84</v>
      </c>
      <c r="J422">
        <v>56</v>
      </c>
      <c r="K422">
        <v>52.74</v>
      </c>
      <c r="L422">
        <v>34.19</v>
      </c>
      <c r="M422">
        <v>0.2</v>
      </c>
      <c r="N422" t="s">
        <v>129</v>
      </c>
    </row>
    <row r="423" spans="1:14" x14ac:dyDescent="0.25">
      <c r="A423" t="s">
        <v>840</v>
      </c>
      <c r="B423" s="2">
        <v>45335</v>
      </c>
      <c r="C423" t="s">
        <v>800</v>
      </c>
      <c r="D423" t="s">
        <v>114</v>
      </c>
      <c r="E423" t="s">
        <v>2618</v>
      </c>
      <c r="F423" t="s">
        <v>2635</v>
      </c>
      <c r="G423" t="s">
        <v>42</v>
      </c>
      <c r="H423" t="s">
        <v>2645</v>
      </c>
      <c r="I423" t="s">
        <v>70</v>
      </c>
      <c r="J423">
        <v>73</v>
      </c>
      <c r="K423">
        <v>32.58</v>
      </c>
      <c r="L423">
        <v>21.7</v>
      </c>
      <c r="M423">
        <v>0.15</v>
      </c>
      <c r="N423" t="s">
        <v>45</v>
      </c>
    </row>
    <row r="424" spans="1:14" x14ac:dyDescent="0.25">
      <c r="A424" t="s">
        <v>841</v>
      </c>
      <c r="B424" s="2">
        <v>45605</v>
      </c>
      <c r="C424" t="s">
        <v>337</v>
      </c>
      <c r="D424" t="s">
        <v>216</v>
      </c>
      <c r="E424" t="s">
        <v>2614</v>
      </c>
      <c r="F424" t="s">
        <v>2629</v>
      </c>
      <c r="G424" t="s">
        <v>42</v>
      </c>
      <c r="H424" t="s">
        <v>2648</v>
      </c>
      <c r="I424" t="s">
        <v>84</v>
      </c>
      <c r="J424">
        <v>16</v>
      </c>
      <c r="K424">
        <v>114.47</v>
      </c>
      <c r="L424">
        <v>70.27</v>
      </c>
      <c r="M424">
        <v>0.1</v>
      </c>
      <c r="N424" t="s">
        <v>45</v>
      </c>
    </row>
    <row r="425" spans="1:14" x14ac:dyDescent="0.25">
      <c r="A425" t="s">
        <v>842</v>
      </c>
      <c r="B425" s="2">
        <v>45293</v>
      </c>
      <c r="C425" t="s">
        <v>843</v>
      </c>
      <c r="D425" t="s">
        <v>126</v>
      </c>
      <c r="E425" t="s">
        <v>2618</v>
      </c>
      <c r="F425" t="s">
        <v>2634</v>
      </c>
      <c r="G425" t="s">
        <v>184</v>
      </c>
      <c r="H425" t="s">
        <v>2646</v>
      </c>
      <c r="I425" t="s">
        <v>84</v>
      </c>
      <c r="J425">
        <v>20</v>
      </c>
      <c r="K425">
        <v>95.94</v>
      </c>
      <c r="L425">
        <v>50.55</v>
      </c>
      <c r="M425">
        <v>0.05</v>
      </c>
      <c r="N425" t="s">
        <v>45</v>
      </c>
    </row>
    <row r="426" spans="1:14" x14ac:dyDescent="0.25">
      <c r="A426" t="s">
        <v>844</v>
      </c>
      <c r="B426" s="2">
        <v>45564</v>
      </c>
      <c r="C426" t="s">
        <v>272</v>
      </c>
      <c r="D426" t="s">
        <v>222</v>
      </c>
      <c r="E426" t="s">
        <v>2617</v>
      </c>
      <c r="F426" t="s">
        <v>2642</v>
      </c>
      <c r="G426" t="s">
        <v>111</v>
      </c>
      <c r="H426" t="s">
        <v>2646</v>
      </c>
      <c r="I426" t="s">
        <v>84</v>
      </c>
      <c r="J426">
        <v>15</v>
      </c>
      <c r="K426">
        <v>124.72</v>
      </c>
      <c r="L426">
        <v>74.290000000000006</v>
      </c>
      <c r="M426">
        <v>0.2</v>
      </c>
      <c r="N426" t="s">
        <v>129</v>
      </c>
    </row>
    <row r="427" spans="1:14" x14ac:dyDescent="0.25">
      <c r="A427" t="s">
        <v>845</v>
      </c>
      <c r="B427" s="2">
        <v>45641</v>
      </c>
      <c r="C427" t="s">
        <v>794</v>
      </c>
      <c r="D427" t="s">
        <v>99</v>
      </c>
      <c r="E427" t="s">
        <v>2618</v>
      </c>
      <c r="F427" t="s">
        <v>2628</v>
      </c>
      <c r="G427" t="s">
        <v>69</v>
      </c>
      <c r="H427" t="s">
        <v>2645</v>
      </c>
      <c r="I427" t="s">
        <v>84</v>
      </c>
      <c r="J427">
        <v>71</v>
      </c>
      <c r="K427">
        <v>75.260000000000005</v>
      </c>
      <c r="L427">
        <v>43.24</v>
      </c>
      <c r="M427">
        <v>0</v>
      </c>
      <c r="N427" t="s">
        <v>129</v>
      </c>
    </row>
    <row r="428" spans="1:14" x14ac:dyDescent="0.25">
      <c r="A428" t="s">
        <v>846</v>
      </c>
      <c r="B428" s="2">
        <v>45603</v>
      </c>
      <c r="C428" t="s">
        <v>832</v>
      </c>
      <c r="D428" t="s">
        <v>132</v>
      </c>
      <c r="E428" t="s">
        <v>2617</v>
      </c>
      <c r="F428" t="s">
        <v>2626</v>
      </c>
      <c r="G428" t="s">
        <v>42</v>
      </c>
      <c r="H428" t="s">
        <v>2648</v>
      </c>
      <c r="I428" t="s">
        <v>75</v>
      </c>
      <c r="J428">
        <v>41</v>
      </c>
      <c r="K428">
        <v>61.76</v>
      </c>
      <c r="L428">
        <v>31.69</v>
      </c>
      <c r="M428">
        <v>0.05</v>
      </c>
      <c r="N428" t="s">
        <v>32</v>
      </c>
    </row>
    <row r="429" spans="1:14" x14ac:dyDescent="0.25">
      <c r="A429" t="s">
        <v>847</v>
      </c>
      <c r="B429" s="2">
        <v>45573</v>
      </c>
      <c r="C429" t="s">
        <v>623</v>
      </c>
      <c r="D429" t="s">
        <v>250</v>
      </c>
      <c r="E429" t="s">
        <v>2616</v>
      </c>
      <c r="F429" t="s">
        <v>2631</v>
      </c>
      <c r="G429" t="s">
        <v>184</v>
      </c>
      <c r="H429" t="s">
        <v>2647</v>
      </c>
      <c r="I429" t="s">
        <v>2578</v>
      </c>
      <c r="J429">
        <v>64</v>
      </c>
      <c r="K429">
        <v>69.819999999999993</v>
      </c>
      <c r="L429">
        <v>38.369999999999997</v>
      </c>
      <c r="M429">
        <v>0.15</v>
      </c>
      <c r="N429" t="s">
        <v>45</v>
      </c>
    </row>
    <row r="430" spans="1:14" x14ac:dyDescent="0.25">
      <c r="A430" t="s">
        <v>848</v>
      </c>
      <c r="B430" s="2">
        <v>45362</v>
      </c>
      <c r="C430" t="s">
        <v>314</v>
      </c>
      <c r="D430" t="s">
        <v>114</v>
      </c>
      <c r="E430" t="s">
        <v>2614</v>
      </c>
      <c r="F430" t="s">
        <v>2637</v>
      </c>
      <c r="G430" t="s">
        <v>170</v>
      </c>
      <c r="H430" t="s">
        <v>2647</v>
      </c>
      <c r="I430" t="s">
        <v>44</v>
      </c>
      <c r="J430">
        <v>30</v>
      </c>
      <c r="K430">
        <v>35.72</v>
      </c>
      <c r="L430">
        <v>21.66</v>
      </c>
      <c r="M430">
        <v>0</v>
      </c>
      <c r="N430" t="s">
        <v>45</v>
      </c>
    </row>
    <row r="431" spans="1:14" x14ac:dyDescent="0.25">
      <c r="A431" t="s">
        <v>849</v>
      </c>
      <c r="B431" s="2">
        <v>45384</v>
      </c>
      <c r="C431" t="s">
        <v>397</v>
      </c>
      <c r="D431" t="s">
        <v>141</v>
      </c>
      <c r="E431" t="s">
        <v>2616</v>
      </c>
      <c r="F431" t="s">
        <v>2638</v>
      </c>
      <c r="G431" t="s">
        <v>42</v>
      </c>
      <c r="H431" t="s">
        <v>2646</v>
      </c>
      <c r="I431" t="s">
        <v>70</v>
      </c>
      <c r="J431">
        <v>39</v>
      </c>
      <c r="K431">
        <v>97.05</v>
      </c>
      <c r="L431">
        <v>54.9</v>
      </c>
      <c r="M431">
        <v>0</v>
      </c>
      <c r="N431" t="s">
        <v>45</v>
      </c>
    </row>
    <row r="432" spans="1:14" x14ac:dyDescent="0.25">
      <c r="A432" t="s">
        <v>850</v>
      </c>
      <c r="B432" s="2">
        <v>45576</v>
      </c>
      <c r="C432" t="s">
        <v>513</v>
      </c>
      <c r="D432" t="s">
        <v>222</v>
      </c>
      <c r="E432" t="s">
        <v>2617</v>
      </c>
      <c r="F432" t="s">
        <v>2642</v>
      </c>
      <c r="G432" t="s">
        <v>248</v>
      </c>
      <c r="H432" t="s">
        <v>2647</v>
      </c>
      <c r="I432" t="s">
        <v>44</v>
      </c>
      <c r="J432">
        <v>15</v>
      </c>
      <c r="K432">
        <v>128.88999999999999</v>
      </c>
      <c r="L432">
        <v>78.62</v>
      </c>
      <c r="M432">
        <v>0.02</v>
      </c>
      <c r="N432" t="s">
        <v>45</v>
      </c>
    </row>
    <row r="433" spans="1:14" x14ac:dyDescent="0.25">
      <c r="A433" t="s">
        <v>851</v>
      </c>
      <c r="B433" s="2">
        <v>45618</v>
      </c>
      <c r="C433" t="s">
        <v>852</v>
      </c>
      <c r="D433" t="s">
        <v>216</v>
      </c>
      <c r="E433" t="s">
        <v>2616</v>
      </c>
      <c r="F433" t="s">
        <v>2624</v>
      </c>
      <c r="G433" t="s">
        <v>42</v>
      </c>
      <c r="H433" t="s">
        <v>2646</v>
      </c>
      <c r="I433" t="s">
        <v>44</v>
      </c>
      <c r="J433">
        <v>69</v>
      </c>
      <c r="K433">
        <v>113.04</v>
      </c>
      <c r="L433">
        <v>66.400000000000006</v>
      </c>
      <c r="M433">
        <v>0.15</v>
      </c>
      <c r="N433" t="s">
        <v>45</v>
      </c>
    </row>
    <row r="434" spans="1:14" x14ac:dyDescent="0.25">
      <c r="A434" t="s">
        <v>853</v>
      </c>
      <c r="B434" s="2">
        <v>45375</v>
      </c>
      <c r="C434" t="s">
        <v>454</v>
      </c>
      <c r="D434" t="s">
        <v>132</v>
      </c>
      <c r="E434" t="s">
        <v>2616</v>
      </c>
      <c r="F434" t="s">
        <v>2624</v>
      </c>
      <c r="G434" t="s">
        <v>170</v>
      </c>
      <c r="H434" t="s">
        <v>2646</v>
      </c>
      <c r="I434" t="s">
        <v>70</v>
      </c>
      <c r="J434">
        <v>76</v>
      </c>
      <c r="K434">
        <v>62.06</v>
      </c>
      <c r="L434">
        <v>33.79</v>
      </c>
      <c r="M434">
        <v>0.02</v>
      </c>
      <c r="N434" t="s">
        <v>45</v>
      </c>
    </row>
    <row r="435" spans="1:14" x14ac:dyDescent="0.25">
      <c r="A435" t="s">
        <v>854</v>
      </c>
      <c r="B435" s="2">
        <v>45647</v>
      </c>
      <c r="C435" t="s">
        <v>855</v>
      </c>
      <c r="D435" t="s">
        <v>66</v>
      </c>
      <c r="E435" t="s">
        <v>2618</v>
      </c>
      <c r="F435" t="s">
        <v>2632</v>
      </c>
      <c r="G435" t="s">
        <v>248</v>
      </c>
      <c r="H435" t="s">
        <v>2648</v>
      </c>
      <c r="I435" t="s">
        <v>2578</v>
      </c>
      <c r="J435">
        <v>41</v>
      </c>
      <c r="K435">
        <v>154.91</v>
      </c>
      <c r="L435">
        <v>105.64</v>
      </c>
      <c r="M435">
        <v>0.15</v>
      </c>
      <c r="N435" t="s">
        <v>45</v>
      </c>
    </row>
    <row r="436" spans="1:14" x14ac:dyDescent="0.25">
      <c r="A436" t="s">
        <v>856</v>
      </c>
      <c r="B436" s="2">
        <v>45312</v>
      </c>
      <c r="C436" t="s">
        <v>339</v>
      </c>
      <c r="D436" t="s">
        <v>109</v>
      </c>
      <c r="E436" t="s">
        <v>2617</v>
      </c>
      <c r="F436" t="s">
        <v>2641</v>
      </c>
      <c r="G436" t="s">
        <v>265</v>
      </c>
      <c r="H436" t="s">
        <v>2645</v>
      </c>
      <c r="I436" t="s">
        <v>84</v>
      </c>
      <c r="J436">
        <v>53</v>
      </c>
      <c r="K436">
        <v>116.77</v>
      </c>
      <c r="L436">
        <v>76.36</v>
      </c>
      <c r="M436">
        <v>0</v>
      </c>
      <c r="N436" t="s">
        <v>45</v>
      </c>
    </row>
    <row r="437" spans="1:14" x14ac:dyDescent="0.25">
      <c r="A437" t="s">
        <v>857</v>
      </c>
      <c r="B437" s="2">
        <v>45623</v>
      </c>
      <c r="C437" t="s">
        <v>263</v>
      </c>
      <c r="D437" t="s">
        <v>209</v>
      </c>
      <c r="E437" t="s">
        <v>2616</v>
      </c>
      <c r="F437" t="s">
        <v>2638</v>
      </c>
      <c r="G437" t="s">
        <v>195</v>
      </c>
      <c r="H437" t="s">
        <v>2648</v>
      </c>
      <c r="I437" t="s">
        <v>44</v>
      </c>
      <c r="J437">
        <v>23</v>
      </c>
      <c r="K437">
        <v>17.03</v>
      </c>
      <c r="L437">
        <v>10.5</v>
      </c>
      <c r="M437">
        <v>0.15</v>
      </c>
      <c r="N437" t="s">
        <v>45</v>
      </c>
    </row>
    <row r="438" spans="1:14" x14ac:dyDescent="0.25">
      <c r="A438" t="s">
        <v>858</v>
      </c>
      <c r="B438" s="2">
        <v>45400</v>
      </c>
      <c r="C438" t="s">
        <v>859</v>
      </c>
      <c r="D438" t="s">
        <v>36</v>
      </c>
      <c r="E438" t="s">
        <v>2618</v>
      </c>
      <c r="F438" t="s">
        <v>2632</v>
      </c>
      <c r="G438" t="s">
        <v>152</v>
      </c>
      <c r="H438" t="s">
        <v>2648</v>
      </c>
      <c r="I438" t="s">
        <v>84</v>
      </c>
      <c r="J438">
        <v>20</v>
      </c>
      <c r="K438">
        <v>172.56</v>
      </c>
      <c r="L438">
        <v>102.71</v>
      </c>
      <c r="M438">
        <v>0.15</v>
      </c>
      <c r="N438" t="s">
        <v>32</v>
      </c>
    </row>
    <row r="439" spans="1:14" x14ac:dyDescent="0.25">
      <c r="A439" t="s">
        <v>860</v>
      </c>
      <c r="B439" s="2">
        <v>45464</v>
      </c>
      <c r="C439" t="s">
        <v>461</v>
      </c>
      <c r="D439" t="s">
        <v>66</v>
      </c>
      <c r="E439" t="s">
        <v>2616</v>
      </c>
      <c r="F439" t="s">
        <v>2633</v>
      </c>
      <c r="G439" t="s">
        <v>170</v>
      </c>
      <c r="H439" t="s">
        <v>2647</v>
      </c>
      <c r="I439" t="s">
        <v>84</v>
      </c>
      <c r="J439">
        <v>39</v>
      </c>
      <c r="K439">
        <v>164.06</v>
      </c>
      <c r="L439">
        <v>108.43</v>
      </c>
      <c r="M439">
        <v>0.1</v>
      </c>
      <c r="N439" t="s">
        <v>129</v>
      </c>
    </row>
    <row r="440" spans="1:14" x14ac:dyDescent="0.25">
      <c r="A440" t="s">
        <v>861</v>
      </c>
      <c r="B440" s="2">
        <v>45563</v>
      </c>
      <c r="C440" t="s">
        <v>175</v>
      </c>
      <c r="D440" t="s">
        <v>126</v>
      </c>
      <c r="E440" t="s">
        <v>2616</v>
      </c>
      <c r="F440" t="s">
        <v>2624</v>
      </c>
      <c r="G440" t="s">
        <v>29</v>
      </c>
      <c r="H440" t="s">
        <v>2645</v>
      </c>
      <c r="I440" t="s">
        <v>84</v>
      </c>
      <c r="J440">
        <v>6</v>
      </c>
      <c r="K440">
        <v>96.97</v>
      </c>
      <c r="L440">
        <v>52.23</v>
      </c>
      <c r="M440">
        <v>0</v>
      </c>
      <c r="N440" t="s">
        <v>129</v>
      </c>
    </row>
    <row r="441" spans="1:14" x14ac:dyDescent="0.25">
      <c r="A441" t="s">
        <v>862</v>
      </c>
      <c r="B441" s="2">
        <v>45560</v>
      </c>
      <c r="C441" t="s">
        <v>148</v>
      </c>
      <c r="D441" t="s">
        <v>93</v>
      </c>
      <c r="E441" t="s">
        <v>2615</v>
      </c>
      <c r="F441" t="s">
        <v>2623</v>
      </c>
      <c r="G441" t="s">
        <v>2619</v>
      </c>
      <c r="H441" t="s">
        <v>2647</v>
      </c>
      <c r="I441" t="s">
        <v>84</v>
      </c>
      <c r="J441">
        <v>34</v>
      </c>
      <c r="K441">
        <v>57.18</v>
      </c>
      <c r="L441">
        <v>33.57</v>
      </c>
      <c r="M441">
        <v>0.05</v>
      </c>
      <c r="N441" t="s">
        <v>32</v>
      </c>
    </row>
    <row r="442" spans="1:14" x14ac:dyDescent="0.25">
      <c r="A442" t="s">
        <v>863</v>
      </c>
      <c r="B442" s="2">
        <v>45626</v>
      </c>
      <c r="C442" t="s">
        <v>864</v>
      </c>
      <c r="D442" t="s">
        <v>49</v>
      </c>
      <c r="E442" t="s">
        <v>2614</v>
      </c>
      <c r="F442" t="s">
        <v>2622</v>
      </c>
      <c r="G442" t="s">
        <v>178</v>
      </c>
      <c r="H442" t="s">
        <v>2646</v>
      </c>
      <c r="I442" t="s">
        <v>84</v>
      </c>
      <c r="J442">
        <v>78</v>
      </c>
      <c r="K442">
        <v>26.99</v>
      </c>
      <c r="L442">
        <v>12.69</v>
      </c>
      <c r="M442">
        <v>0</v>
      </c>
      <c r="N442" t="s">
        <v>32</v>
      </c>
    </row>
    <row r="443" spans="1:14" x14ac:dyDescent="0.25">
      <c r="A443" t="s">
        <v>865</v>
      </c>
      <c r="B443" s="2">
        <v>45375</v>
      </c>
      <c r="C443" t="s">
        <v>866</v>
      </c>
      <c r="D443" t="s">
        <v>150</v>
      </c>
      <c r="E443" t="s">
        <v>2616</v>
      </c>
      <c r="F443" t="s">
        <v>2638</v>
      </c>
      <c r="G443" t="s">
        <v>218</v>
      </c>
      <c r="H443" t="s">
        <v>2646</v>
      </c>
      <c r="I443" t="s">
        <v>70</v>
      </c>
      <c r="J443">
        <v>47</v>
      </c>
      <c r="K443">
        <v>79.34</v>
      </c>
      <c r="L443">
        <v>47.08</v>
      </c>
      <c r="M443">
        <v>0</v>
      </c>
      <c r="N443" t="s">
        <v>45</v>
      </c>
    </row>
    <row r="444" spans="1:14" x14ac:dyDescent="0.25">
      <c r="A444" t="s">
        <v>867</v>
      </c>
      <c r="B444" s="2">
        <v>45539</v>
      </c>
      <c r="C444" t="s">
        <v>785</v>
      </c>
      <c r="D444" t="s">
        <v>150</v>
      </c>
      <c r="E444" t="s">
        <v>2618</v>
      </c>
      <c r="F444" t="s">
        <v>2628</v>
      </c>
      <c r="G444" t="s">
        <v>74</v>
      </c>
      <c r="H444" t="s">
        <v>2648</v>
      </c>
      <c r="I444" t="s">
        <v>70</v>
      </c>
      <c r="J444">
        <v>36</v>
      </c>
      <c r="K444">
        <v>84.96</v>
      </c>
      <c r="L444">
        <v>49.38</v>
      </c>
      <c r="M444">
        <v>0.2</v>
      </c>
      <c r="N444" t="s">
        <v>45</v>
      </c>
    </row>
    <row r="445" spans="1:14" x14ac:dyDescent="0.25">
      <c r="A445" t="s">
        <v>868</v>
      </c>
      <c r="B445" s="2">
        <v>45298</v>
      </c>
      <c r="C445" t="s">
        <v>449</v>
      </c>
      <c r="D445" t="s">
        <v>78</v>
      </c>
      <c r="E445" t="s">
        <v>2614</v>
      </c>
      <c r="F445" t="s">
        <v>2637</v>
      </c>
      <c r="G445" t="s">
        <v>42</v>
      </c>
      <c r="H445" t="s">
        <v>2645</v>
      </c>
      <c r="I445" t="s">
        <v>2578</v>
      </c>
      <c r="J445">
        <v>21</v>
      </c>
      <c r="K445">
        <v>135.51</v>
      </c>
      <c r="L445">
        <v>80.150000000000006</v>
      </c>
      <c r="M445">
        <v>0.05</v>
      </c>
      <c r="N445" t="s">
        <v>45</v>
      </c>
    </row>
    <row r="446" spans="1:14" x14ac:dyDescent="0.25">
      <c r="A446" t="s">
        <v>869</v>
      </c>
      <c r="B446" s="2">
        <v>45456</v>
      </c>
      <c r="C446" t="s">
        <v>559</v>
      </c>
      <c r="D446" t="s">
        <v>132</v>
      </c>
      <c r="E446" t="s">
        <v>2618</v>
      </c>
      <c r="F446" t="s">
        <v>2635</v>
      </c>
      <c r="G446" t="s">
        <v>184</v>
      </c>
      <c r="H446" t="s">
        <v>2648</v>
      </c>
      <c r="I446" t="s">
        <v>75</v>
      </c>
      <c r="J446">
        <v>78</v>
      </c>
      <c r="K446">
        <v>64.680000000000007</v>
      </c>
      <c r="L446">
        <v>32.1</v>
      </c>
      <c r="M446">
        <v>0.2</v>
      </c>
      <c r="N446" t="s">
        <v>45</v>
      </c>
    </row>
    <row r="447" spans="1:14" x14ac:dyDescent="0.25">
      <c r="A447" t="s">
        <v>870</v>
      </c>
      <c r="B447" s="2">
        <v>45331</v>
      </c>
      <c r="C447" t="s">
        <v>320</v>
      </c>
      <c r="D447" t="s">
        <v>250</v>
      </c>
      <c r="E447" t="s">
        <v>2617</v>
      </c>
      <c r="F447" t="s">
        <v>2626</v>
      </c>
      <c r="G447" t="s">
        <v>83</v>
      </c>
      <c r="H447" t="s">
        <v>2648</v>
      </c>
      <c r="I447" t="s">
        <v>44</v>
      </c>
      <c r="J447">
        <v>37</v>
      </c>
      <c r="K447">
        <v>63.07</v>
      </c>
      <c r="L447">
        <v>38.049999999999997</v>
      </c>
      <c r="M447">
        <v>0.02</v>
      </c>
      <c r="N447" t="s">
        <v>45</v>
      </c>
    </row>
    <row r="448" spans="1:14" x14ac:dyDescent="0.25">
      <c r="A448" t="s">
        <v>871</v>
      </c>
      <c r="B448" s="2">
        <v>45367</v>
      </c>
      <c r="C448" t="s">
        <v>354</v>
      </c>
      <c r="D448" t="s">
        <v>176</v>
      </c>
      <c r="E448" t="s">
        <v>2618</v>
      </c>
      <c r="F448" t="s">
        <v>2632</v>
      </c>
      <c r="G448" t="s">
        <v>90</v>
      </c>
      <c r="H448" t="s">
        <v>2647</v>
      </c>
      <c r="I448" t="s">
        <v>70</v>
      </c>
      <c r="J448">
        <v>32</v>
      </c>
      <c r="K448">
        <v>111.02</v>
      </c>
      <c r="L448">
        <v>62.28</v>
      </c>
      <c r="M448">
        <v>1.1000000000000001</v>
      </c>
      <c r="N448" t="s">
        <v>45</v>
      </c>
    </row>
    <row r="449" spans="1:14" x14ac:dyDescent="0.25">
      <c r="A449" t="s">
        <v>872</v>
      </c>
      <c r="B449" s="2">
        <v>45509</v>
      </c>
      <c r="C449" t="s">
        <v>146</v>
      </c>
      <c r="D449" t="s">
        <v>78</v>
      </c>
      <c r="E449" t="s">
        <v>2618</v>
      </c>
      <c r="F449" t="s">
        <v>2632</v>
      </c>
      <c r="G449" t="s">
        <v>29</v>
      </c>
      <c r="H449" t="s">
        <v>2645</v>
      </c>
      <c r="I449" t="s">
        <v>84</v>
      </c>
      <c r="J449">
        <v>27</v>
      </c>
      <c r="K449">
        <v>140.41999999999999</v>
      </c>
      <c r="L449">
        <v>76.06</v>
      </c>
      <c r="M449" t="e">
        <f>ROUND(#REF!/#REF!,2)</f>
        <v>#REF!</v>
      </c>
      <c r="N449" t="s">
        <v>45</v>
      </c>
    </row>
    <row r="450" spans="1:14" x14ac:dyDescent="0.25">
      <c r="A450" t="s">
        <v>873</v>
      </c>
      <c r="B450" s="2">
        <v>45619</v>
      </c>
      <c r="C450" t="s">
        <v>874</v>
      </c>
      <c r="D450" t="s">
        <v>222</v>
      </c>
      <c r="E450" t="s">
        <v>2614</v>
      </c>
      <c r="F450" t="s">
        <v>2637</v>
      </c>
      <c r="G450" t="s">
        <v>253</v>
      </c>
      <c r="H450" t="s">
        <v>2645</v>
      </c>
      <c r="I450" t="s">
        <v>44</v>
      </c>
      <c r="J450">
        <v>35</v>
      </c>
      <c r="K450">
        <v>127.69</v>
      </c>
      <c r="L450">
        <v>77.02</v>
      </c>
      <c r="M450">
        <v>0.1</v>
      </c>
      <c r="N450" t="s">
        <v>45</v>
      </c>
    </row>
    <row r="451" spans="1:14" x14ac:dyDescent="0.25">
      <c r="A451" t="s">
        <v>875</v>
      </c>
      <c r="B451" s="2">
        <v>45600</v>
      </c>
      <c r="C451" t="s">
        <v>832</v>
      </c>
      <c r="D451" t="s">
        <v>222</v>
      </c>
      <c r="E451" t="s">
        <v>2614</v>
      </c>
      <c r="F451" t="s">
        <v>2622</v>
      </c>
      <c r="G451" t="s">
        <v>184</v>
      </c>
      <c r="H451" t="s">
        <v>2646</v>
      </c>
      <c r="I451" t="s">
        <v>84</v>
      </c>
      <c r="J451">
        <v>29</v>
      </c>
      <c r="K451">
        <v>112.35</v>
      </c>
      <c r="L451">
        <v>73.67</v>
      </c>
      <c r="M451">
        <v>0</v>
      </c>
      <c r="N451" t="s">
        <v>32</v>
      </c>
    </row>
    <row r="452" spans="1:14" x14ac:dyDescent="0.25">
      <c r="A452" t="s">
        <v>876</v>
      </c>
      <c r="B452" s="2">
        <v>45586</v>
      </c>
      <c r="C452" t="s">
        <v>468</v>
      </c>
      <c r="D452" t="s">
        <v>36</v>
      </c>
      <c r="E452" t="s">
        <v>2615</v>
      </c>
      <c r="F452" t="s">
        <v>2623</v>
      </c>
      <c r="G452" t="s">
        <v>29</v>
      </c>
      <c r="H452" t="s">
        <v>2648</v>
      </c>
      <c r="I452" t="s">
        <v>2578</v>
      </c>
      <c r="J452">
        <v>36</v>
      </c>
      <c r="K452">
        <v>161.63</v>
      </c>
      <c r="L452">
        <v>92.17</v>
      </c>
      <c r="M452">
        <v>0</v>
      </c>
      <c r="N452" t="s">
        <v>32</v>
      </c>
    </row>
    <row r="453" spans="1:14" x14ac:dyDescent="0.25">
      <c r="A453" t="s">
        <v>877</v>
      </c>
      <c r="B453" s="2">
        <v>45628</v>
      </c>
      <c r="C453" t="s">
        <v>878</v>
      </c>
      <c r="D453" t="s">
        <v>132</v>
      </c>
      <c r="E453" t="s">
        <v>2618</v>
      </c>
      <c r="F453" t="s">
        <v>2632</v>
      </c>
      <c r="G453" t="s">
        <v>144</v>
      </c>
      <c r="H453" t="s">
        <v>2648</v>
      </c>
      <c r="I453" t="s">
        <v>84</v>
      </c>
      <c r="J453">
        <v>73</v>
      </c>
      <c r="K453">
        <v>64.489999999999995</v>
      </c>
      <c r="L453">
        <v>32.29</v>
      </c>
      <c r="M453">
        <v>0.02</v>
      </c>
      <c r="N453" t="s">
        <v>45</v>
      </c>
    </row>
    <row r="454" spans="1:14" x14ac:dyDescent="0.25">
      <c r="A454" t="s">
        <v>879</v>
      </c>
      <c r="B454" s="2">
        <v>45613</v>
      </c>
      <c r="C454" t="s">
        <v>378</v>
      </c>
      <c r="D454" t="s">
        <v>150</v>
      </c>
      <c r="E454" t="s">
        <v>2614</v>
      </c>
      <c r="F454" t="s">
        <v>2636</v>
      </c>
      <c r="G454" t="s">
        <v>261</v>
      </c>
      <c r="H454" t="s">
        <v>2647</v>
      </c>
      <c r="I454" t="s">
        <v>75</v>
      </c>
      <c r="J454">
        <v>74</v>
      </c>
      <c r="K454">
        <v>83.23</v>
      </c>
      <c r="L454">
        <v>50.71</v>
      </c>
      <c r="M454">
        <v>0</v>
      </c>
      <c r="N454" t="s">
        <v>45</v>
      </c>
    </row>
    <row r="455" spans="1:14" x14ac:dyDescent="0.25">
      <c r="A455" t="s">
        <v>880</v>
      </c>
      <c r="B455" s="2">
        <v>45609</v>
      </c>
      <c r="C455" t="s">
        <v>649</v>
      </c>
      <c r="D455" t="s">
        <v>216</v>
      </c>
      <c r="E455" t="s">
        <v>2614</v>
      </c>
      <c r="F455" t="s">
        <v>2636</v>
      </c>
      <c r="G455" t="s">
        <v>69</v>
      </c>
      <c r="H455" t="s">
        <v>2646</v>
      </c>
      <c r="I455" t="s">
        <v>70</v>
      </c>
      <c r="J455">
        <v>12</v>
      </c>
      <c r="K455">
        <v>116.41</v>
      </c>
      <c r="L455">
        <v>66.709999999999994</v>
      </c>
      <c r="M455">
        <v>0</v>
      </c>
      <c r="N455" t="s">
        <v>45</v>
      </c>
    </row>
    <row r="456" spans="1:14" x14ac:dyDescent="0.25">
      <c r="A456" t="s">
        <v>881</v>
      </c>
      <c r="B456" s="2">
        <v>45386</v>
      </c>
      <c r="C456" t="s">
        <v>428</v>
      </c>
      <c r="D456" t="s">
        <v>126</v>
      </c>
      <c r="E456" t="s">
        <v>2615</v>
      </c>
      <c r="F456" t="s">
        <v>2640</v>
      </c>
      <c r="G456" t="s">
        <v>144</v>
      </c>
      <c r="H456" t="s">
        <v>2647</v>
      </c>
      <c r="I456" t="s">
        <v>75</v>
      </c>
      <c r="J456">
        <v>75</v>
      </c>
      <c r="K456">
        <v>93.33</v>
      </c>
      <c r="L456">
        <v>55.75</v>
      </c>
      <c r="M456">
        <v>0</v>
      </c>
      <c r="N456" t="s">
        <v>32</v>
      </c>
    </row>
    <row r="457" spans="1:14" x14ac:dyDescent="0.25">
      <c r="A457" t="s">
        <v>882</v>
      </c>
      <c r="B457" s="2">
        <v>45605</v>
      </c>
      <c r="C457" t="s">
        <v>449</v>
      </c>
      <c r="D457" t="s">
        <v>78</v>
      </c>
      <c r="E457" t="s">
        <v>2614</v>
      </c>
      <c r="F457" t="s">
        <v>2643</v>
      </c>
      <c r="G457" t="s">
        <v>218</v>
      </c>
      <c r="H457" t="s">
        <v>2646</v>
      </c>
      <c r="I457" t="s">
        <v>84</v>
      </c>
      <c r="J457">
        <v>66</v>
      </c>
      <c r="K457">
        <v>136.55000000000001</v>
      </c>
      <c r="L457">
        <v>83.59</v>
      </c>
      <c r="M457">
        <v>0.1</v>
      </c>
      <c r="N457" t="s">
        <v>32</v>
      </c>
    </row>
    <row r="458" spans="1:14" x14ac:dyDescent="0.25">
      <c r="A458" t="s">
        <v>884</v>
      </c>
      <c r="B458" s="2">
        <v>45595</v>
      </c>
      <c r="C458" t="s">
        <v>428</v>
      </c>
      <c r="D458" t="s">
        <v>66</v>
      </c>
      <c r="E458" t="s">
        <v>2615</v>
      </c>
      <c r="F458" t="s">
        <v>2640</v>
      </c>
      <c r="G458" t="s">
        <v>178</v>
      </c>
      <c r="H458" t="s">
        <v>2647</v>
      </c>
      <c r="I458" t="s">
        <v>70</v>
      </c>
      <c r="J458">
        <v>56</v>
      </c>
      <c r="K458">
        <v>162.31</v>
      </c>
      <c r="L458">
        <v>104.14</v>
      </c>
      <c r="M458">
        <v>0.02</v>
      </c>
      <c r="N458" t="s">
        <v>45</v>
      </c>
    </row>
    <row r="459" spans="1:14" x14ac:dyDescent="0.25">
      <c r="A459" t="s">
        <v>885</v>
      </c>
      <c r="B459" s="2">
        <v>45552</v>
      </c>
      <c r="C459" t="s">
        <v>258</v>
      </c>
      <c r="D459" t="s">
        <v>222</v>
      </c>
      <c r="E459" t="s">
        <v>2618</v>
      </c>
      <c r="F459" t="s">
        <v>2632</v>
      </c>
      <c r="G459" t="s">
        <v>178</v>
      </c>
      <c r="H459" t="s">
        <v>2648</v>
      </c>
      <c r="I459" t="s">
        <v>70</v>
      </c>
      <c r="J459">
        <v>50</v>
      </c>
      <c r="K459">
        <v>115.38</v>
      </c>
      <c r="L459">
        <v>77.12</v>
      </c>
      <c r="M459">
        <v>0.15</v>
      </c>
      <c r="N459" t="s">
        <v>45</v>
      </c>
    </row>
    <row r="460" spans="1:14" x14ac:dyDescent="0.25">
      <c r="A460" t="s">
        <v>886</v>
      </c>
      <c r="B460" s="2">
        <v>45377</v>
      </c>
      <c r="C460" t="s">
        <v>108</v>
      </c>
      <c r="D460" t="s">
        <v>126</v>
      </c>
      <c r="E460" t="s">
        <v>2617</v>
      </c>
      <c r="F460" t="s">
        <v>2625</v>
      </c>
      <c r="G460" t="s">
        <v>74</v>
      </c>
      <c r="H460" t="s">
        <v>2648</v>
      </c>
      <c r="I460" t="s">
        <v>84</v>
      </c>
      <c r="J460">
        <v>18</v>
      </c>
      <c r="K460">
        <v>86.81</v>
      </c>
      <c r="L460">
        <v>55.53</v>
      </c>
      <c r="M460">
        <v>0.1</v>
      </c>
      <c r="N460" t="s">
        <v>32</v>
      </c>
    </row>
    <row r="461" spans="1:14" x14ac:dyDescent="0.25">
      <c r="A461" t="s">
        <v>887</v>
      </c>
      <c r="B461" s="2">
        <v>45522</v>
      </c>
      <c r="C461" t="s">
        <v>888</v>
      </c>
      <c r="D461" t="s">
        <v>187</v>
      </c>
      <c r="E461" t="s">
        <v>2616</v>
      </c>
      <c r="F461" t="s">
        <v>2631</v>
      </c>
      <c r="G461" t="s">
        <v>170</v>
      </c>
      <c r="H461" t="s">
        <v>2645</v>
      </c>
      <c r="I461" t="s">
        <v>70</v>
      </c>
      <c r="J461">
        <v>52</v>
      </c>
      <c r="K461">
        <v>45.77</v>
      </c>
      <c r="L461">
        <v>30.85</v>
      </c>
      <c r="M461">
        <v>0.1</v>
      </c>
      <c r="N461" t="s">
        <v>32</v>
      </c>
    </row>
    <row r="462" spans="1:14" x14ac:dyDescent="0.25">
      <c r="A462" t="s">
        <v>889</v>
      </c>
      <c r="B462" s="2">
        <v>45514</v>
      </c>
      <c r="C462" t="s">
        <v>664</v>
      </c>
      <c r="D462" t="s">
        <v>141</v>
      </c>
      <c r="E462" t="s">
        <v>2618</v>
      </c>
      <c r="F462" t="s">
        <v>2632</v>
      </c>
      <c r="G462" t="s">
        <v>195</v>
      </c>
      <c r="H462" t="s">
        <v>2647</v>
      </c>
      <c r="I462" t="s">
        <v>70</v>
      </c>
      <c r="J462">
        <v>73</v>
      </c>
      <c r="K462">
        <v>97.02</v>
      </c>
      <c r="L462">
        <v>62.01</v>
      </c>
      <c r="M462">
        <v>0.05</v>
      </c>
      <c r="N462" t="s">
        <v>129</v>
      </c>
    </row>
    <row r="463" spans="1:14" x14ac:dyDescent="0.25">
      <c r="A463" t="s">
        <v>890</v>
      </c>
      <c r="B463" s="2">
        <v>45586</v>
      </c>
      <c r="C463" t="s">
        <v>891</v>
      </c>
      <c r="D463" t="s">
        <v>150</v>
      </c>
      <c r="E463" t="s">
        <v>2615</v>
      </c>
      <c r="F463" t="s">
        <v>2623</v>
      </c>
      <c r="G463" t="s">
        <v>195</v>
      </c>
      <c r="H463" t="s">
        <v>2645</v>
      </c>
      <c r="I463" t="s">
        <v>2578</v>
      </c>
      <c r="J463">
        <v>30</v>
      </c>
      <c r="K463">
        <v>80.459999999999994</v>
      </c>
      <c r="L463">
        <v>52.94</v>
      </c>
      <c r="M463">
        <v>0</v>
      </c>
      <c r="N463" t="s">
        <v>45</v>
      </c>
    </row>
    <row r="464" spans="1:14" x14ac:dyDescent="0.25">
      <c r="A464" t="s">
        <v>892</v>
      </c>
      <c r="B464" s="2">
        <v>45642</v>
      </c>
      <c r="C464" t="s">
        <v>893</v>
      </c>
      <c r="D464" t="s">
        <v>141</v>
      </c>
      <c r="E464" t="s">
        <v>2614</v>
      </c>
      <c r="F464" t="s">
        <v>2636</v>
      </c>
      <c r="G464" t="s">
        <v>253</v>
      </c>
      <c r="H464" t="s">
        <v>2646</v>
      </c>
      <c r="I464" t="s">
        <v>44</v>
      </c>
      <c r="J464">
        <v>9</v>
      </c>
      <c r="K464">
        <v>93.37</v>
      </c>
      <c r="L464">
        <v>60.36</v>
      </c>
      <c r="M464">
        <v>0.1</v>
      </c>
      <c r="N464" t="s">
        <v>129</v>
      </c>
    </row>
    <row r="465" spans="1:14" x14ac:dyDescent="0.25">
      <c r="A465" t="s">
        <v>894</v>
      </c>
      <c r="B465" s="2">
        <v>45393</v>
      </c>
      <c r="C465" t="s">
        <v>785</v>
      </c>
      <c r="D465" t="s">
        <v>126</v>
      </c>
      <c r="E465" t="s">
        <v>2614</v>
      </c>
      <c r="F465" t="s">
        <v>2637</v>
      </c>
      <c r="G465" t="s">
        <v>69</v>
      </c>
      <c r="H465" t="s">
        <v>2645</v>
      </c>
      <c r="I465" t="s">
        <v>84</v>
      </c>
      <c r="J465">
        <v>13</v>
      </c>
      <c r="K465">
        <v>87.35</v>
      </c>
      <c r="L465">
        <v>49.62</v>
      </c>
      <c r="M465">
        <v>0.15</v>
      </c>
      <c r="N465" t="s">
        <v>32</v>
      </c>
    </row>
    <row r="466" spans="1:14" x14ac:dyDescent="0.25">
      <c r="A466" t="s">
        <v>895</v>
      </c>
      <c r="B466" s="2">
        <v>45608</v>
      </c>
      <c r="C466" t="s">
        <v>750</v>
      </c>
      <c r="D466" t="s">
        <v>222</v>
      </c>
      <c r="E466" t="s">
        <v>2618</v>
      </c>
      <c r="F466" t="s">
        <v>2632</v>
      </c>
      <c r="G466" t="s">
        <v>74</v>
      </c>
      <c r="H466" t="s">
        <v>2648</v>
      </c>
      <c r="I466" t="s">
        <v>2578</v>
      </c>
      <c r="J466">
        <v>38</v>
      </c>
      <c r="K466">
        <v>126.18</v>
      </c>
      <c r="L466">
        <v>79.989999999999995</v>
      </c>
      <c r="M466">
        <v>0.2</v>
      </c>
      <c r="N466" t="s">
        <v>45</v>
      </c>
    </row>
    <row r="467" spans="1:14" x14ac:dyDescent="0.25">
      <c r="A467" t="s">
        <v>896</v>
      </c>
      <c r="B467" s="2">
        <v>45299</v>
      </c>
      <c r="C467" t="s">
        <v>897</v>
      </c>
      <c r="D467" t="s">
        <v>66</v>
      </c>
      <c r="E467" t="s">
        <v>2615</v>
      </c>
      <c r="F467" t="s">
        <v>2627</v>
      </c>
      <c r="G467" t="s">
        <v>60</v>
      </c>
      <c r="H467" t="s">
        <v>2646</v>
      </c>
      <c r="I467" t="s">
        <v>2578</v>
      </c>
      <c r="J467">
        <v>19</v>
      </c>
      <c r="K467">
        <v>149.58000000000001</v>
      </c>
      <c r="L467">
        <v>110.61</v>
      </c>
      <c r="M467">
        <v>0.1</v>
      </c>
      <c r="N467" t="s">
        <v>45</v>
      </c>
    </row>
    <row r="468" spans="1:14" x14ac:dyDescent="0.25">
      <c r="A468" t="s">
        <v>898</v>
      </c>
      <c r="B468" s="2">
        <v>45332</v>
      </c>
      <c r="C468" t="s">
        <v>180</v>
      </c>
      <c r="D468" t="s">
        <v>250</v>
      </c>
      <c r="E468" t="s">
        <v>2614</v>
      </c>
      <c r="F468" t="s">
        <v>2629</v>
      </c>
      <c r="G468" t="s">
        <v>152</v>
      </c>
      <c r="H468" t="s">
        <v>2645</v>
      </c>
      <c r="I468" t="s">
        <v>84</v>
      </c>
      <c r="J468">
        <v>62</v>
      </c>
      <c r="K468">
        <v>62.09</v>
      </c>
      <c r="L468">
        <v>36.090000000000003</v>
      </c>
      <c r="M468">
        <v>0.02</v>
      </c>
      <c r="N468" t="s">
        <v>45</v>
      </c>
    </row>
    <row r="469" spans="1:14" x14ac:dyDescent="0.25">
      <c r="A469" t="s">
        <v>899</v>
      </c>
      <c r="B469" s="2">
        <v>45474</v>
      </c>
      <c r="C469" t="s">
        <v>900</v>
      </c>
      <c r="D469" t="s">
        <v>176</v>
      </c>
      <c r="E469" t="s">
        <v>2614</v>
      </c>
      <c r="F469" t="s">
        <v>2637</v>
      </c>
      <c r="G469" t="s">
        <v>184</v>
      </c>
      <c r="H469" t="s">
        <v>2646</v>
      </c>
      <c r="I469" t="s">
        <v>75</v>
      </c>
      <c r="J469">
        <v>72</v>
      </c>
      <c r="K469">
        <v>102.99</v>
      </c>
      <c r="L469">
        <v>61.98</v>
      </c>
      <c r="M469">
        <v>0.1</v>
      </c>
      <c r="N469" t="s">
        <v>45</v>
      </c>
    </row>
    <row r="470" spans="1:14" x14ac:dyDescent="0.25">
      <c r="A470" t="s">
        <v>901</v>
      </c>
      <c r="B470" s="2">
        <v>45551</v>
      </c>
      <c r="C470" t="s">
        <v>902</v>
      </c>
      <c r="D470" t="s">
        <v>141</v>
      </c>
      <c r="E470" t="s">
        <v>2617</v>
      </c>
      <c r="F470" t="s">
        <v>2642</v>
      </c>
      <c r="G470" t="s">
        <v>178</v>
      </c>
      <c r="H470" t="s">
        <v>2645</v>
      </c>
      <c r="I470" t="s">
        <v>75</v>
      </c>
      <c r="J470">
        <v>29</v>
      </c>
      <c r="K470">
        <v>101.57</v>
      </c>
      <c r="L470">
        <v>58.6</v>
      </c>
      <c r="M470">
        <v>0.15</v>
      </c>
      <c r="N470" t="s">
        <v>45</v>
      </c>
    </row>
    <row r="471" spans="1:14" x14ac:dyDescent="0.25">
      <c r="A471" t="s">
        <v>903</v>
      </c>
      <c r="B471" s="2">
        <v>45375</v>
      </c>
      <c r="C471" t="s">
        <v>904</v>
      </c>
      <c r="D471" t="s">
        <v>23</v>
      </c>
      <c r="E471" t="s">
        <v>2614</v>
      </c>
      <c r="F471" t="s">
        <v>2639</v>
      </c>
      <c r="G471" t="s">
        <v>2619</v>
      </c>
      <c r="H471" t="s">
        <v>2646</v>
      </c>
      <c r="I471" t="s">
        <v>2619</v>
      </c>
      <c r="J471">
        <v>23</v>
      </c>
      <c r="K471">
        <v>78.02</v>
      </c>
      <c r="L471">
        <v>45.1</v>
      </c>
      <c r="M471">
        <v>0.1</v>
      </c>
      <c r="N471" t="s">
        <v>45</v>
      </c>
    </row>
    <row r="472" spans="1:14" x14ac:dyDescent="0.25">
      <c r="A472" t="s">
        <v>905</v>
      </c>
      <c r="B472" s="2">
        <v>45332</v>
      </c>
      <c r="C472" t="s">
        <v>643</v>
      </c>
      <c r="D472" t="s">
        <v>187</v>
      </c>
      <c r="E472" t="s">
        <v>2618</v>
      </c>
      <c r="F472" t="s">
        <v>2635</v>
      </c>
      <c r="G472" t="s">
        <v>178</v>
      </c>
      <c r="H472" t="s">
        <v>2648</v>
      </c>
      <c r="I472" t="s">
        <v>44</v>
      </c>
      <c r="J472">
        <v>78</v>
      </c>
      <c r="K472">
        <v>47.43</v>
      </c>
      <c r="L472">
        <v>26.78</v>
      </c>
      <c r="M472">
        <v>0</v>
      </c>
      <c r="N472" t="s">
        <v>45</v>
      </c>
    </row>
    <row r="473" spans="1:14" x14ac:dyDescent="0.25">
      <c r="A473" t="s">
        <v>906</v>
      </c>
      <c r="B473" s="2">
        <v>45360</v>
      </c>
      <c r="C473" t="s">
        <v>794</v>
      </c>
      <c r="D473" t="s">
        <v>49</v>
      </c>
      <c r="E473" t="s">
        <v>2617</v>
      </c>
      <c r="F473" t="s">
        <v>2625</v>
      </c>
      <c r="G473" t="s">
        <v>248</v>
      </c>
      <c r="H473" t="s">
        <v>2645</v>
      </c>
      <c r="I473" t="s">
        <v>84</v>
      </c>
      <c r="J473">
        <v>43</v>
      </c>
      <c r="K473">
        <v>25.58</v>
      </c>
      <c r="L473">
        <v>12.81</v>
      </c>
      <c r="M473">
        <v>0.1</v>
      </c>
      <c r="N473" t="s">
        <v>45</v>
      </c>
    </row>
    <row r="474" spans="1:14" x14ac:dyDescent="0.25">
      <c r="A474" t="s">
        <v>907</v>
      </c>
      <c r="B474" s="2">
        <v>45477</v>
      </c>
      <c r="C474" t="s">
        <v>2619</v>
      </c>
      <c r="D474" t="s">
        <v>114</v>
      </c>
      <c r="E474" t="s">
        <v>2615</v>
      </c>
      <c r="F474" t="s">
        <v>2623</v>
      </c>
      <c r="G474" t="s">
        <v>178</v>
      </c>
      <c r="H474" t="s">
        <v>2645</v>
      </c>
      <c r="I474" t="s">
        <v>44</v>
      </c>
      <c r="J474">
        <v>71</v>
      </c>
      <c r="K474">
        <v>36.32</v>
      </c>
      <c r="L474">
        <v>22.02</v>
      </c>
      <c r="M474">
        <v>0.05</v>
      </c>
      <c r="N474" t="s">
        <v>45</v>
      </c>
    </row>
    <row r="475" spans="1:14" x14ac:dyDescent="0.25">
      <c r="A475" t="s">
        <v>908</v>
      </c>
      <c r="B475" s="2">
        <v>45609</v>
      </c>
      <c r="C475" t="s">
        <v>267</v>
      </c>
      <c r="D475" t="s">
        <v>209</v>
      </c>
      <c r="E475" t="s">
        <v>2617</v>
      </c>
      <c r="F475" t="s">
        <v>2625</v>
      </c>
      <c r="G475" t="s">
        <v>261</v>
      </c>
      <c r="H475" t="s">
        <v>2648</v>
      </c>
      <c r="I475" t="s">
        <v>2578</v>
      </c>
      <c r="J475">
        <v>62</v>
      </c>
      <c r="K475">
        <v>17.41</v>
      </c>
      <c r="L475">
        <v>10.34</v>
      </c>
      <c r="M475">
        <v>0.15</v>
      </c>
      <c r="N475" t="s">
        <v>45</v>
      </c>
    </row>
    <row r="476" spans="1:14" x14ac:dyDescent="0.25">
      <c r="A476" t="s">
        <v>909</v>
      </c>
      <c r="B476" s="2">
        <v>45573</v>
      </c>
      <c r="C476" t="s">
        <v>715</v>
      </c>
      <c r="D476" t="s">
        <v>187</v>
      </c>
      <c r="E476" t="s">
        <v>2617</v>
      </c>
      <c r="F476" t="s">
        <v>2626</v>
      </c>
      <c r="G476" t="s">
        <v>83</v>
      </c>
      <c r="H476" t="s">
        <v>2648</v>
      </c>
      <c r="I476" t="s">
        <v>70</v>
      </c>
      <c r="J476">
        <v>59</v>
      </c>
      <c r="K476">
        <v>45.08</v>
      </c>
      <c r="L476">
        <v>27.91</v>
      </c>
      <c r="M476">
        <v>0.2</v>
      </c>
      <c r="N476" t="s">
        <v>45</v>
      </c>
    </row>
    <row r="477" spans="1:14" x14ac:dyDescent="0.25">
      <c r="A477" t="s">
        <v>910</v>
      </c>
      <c r="B477" s="2">
        <v>45401</v>
      </c>
      <c r="C477" t="s">
        <v>911</v>
      </c>
      <c r="D477" t="s">
        <v>222</v>
      </c>
      <c r="E477" t="s">
        <v>2614</v>
      </c>
      <c r="F477" t="s">
        <v>2636</v>
      </c>
      <c r="G477" t="s">
        <v>42</v>
      </c>
      <c r="H477" t="s">
        <v>2647</v>
      </c>
      <c r="I477" t="s">
        <v>44</v>
      </c>
      <c r="J477">
        <v>62</v>
      </c>
      <c r="K477">
        <v>122.56</v>
      </c>
      <c r="L477">
        <v>74.760000000000005</v>
      </c>
      <c r="M477">
        <v>0</v>
      </c>
      <c r="N477" t="s">
        <v>129</v>
      </c>
    </row>
    <row r="478" spans="1:14" x14ac:dyDescent="0.25">
      <c r="A478" t="s">
        <v>912</v>
      </c>
      <c r="B478" s="2">
        <v>45577</v>
      </c>
      <c r="C478" t="s">
        <v>395</v>
      </c>
      <c r="D478" t="s">
        <v>114</v>
      </c>
      <c r="E478" t="s">
        <v>2617</v>
      </c>
      <c r="F478" t="s">
        <v>2626</v>
      </c>
      <c r="G478" t="s">
        <v>248</v>
      </c>
      <c r="H478" t="s">
        <v>2646</v>
      </c>
      <c r="I478" t="s">
        <v>2578</v>
      </c>
      <c r="J478">
        <v>48</v>
      </c>
      <c r="K478">
        <v>32.67</v>
      </c>
      <c r="L478">
        <v>20.64</v>
      </c>
      <c r="M478">
        <v>0.1</v>
      </c>
      <c r="N478" t="s">
        <v>45</v>
      </c>
    </row>
    <row r="479" spans="1:14" x14ac:dyDescent="0.25">
      <c r="A479" t="s">
        <v>913</v>
      </c>
      <c r="B479" s="2">
        <v>45396</v>
      </c>
      <c r="C479" t="s">
        <v>757</v>
      </c>
      <c r="D479" t="s">
        <v>78</v>
      </c>
      <c r="E479" t="s">
        <v>2615</v>
      </c>
      <c r="F479" t="s">
        <v>2640</v>
      </c>
      <c r="G479" t="s">
        <v>144</v>
      </c>
      <c r="H479" t="s">
        <v>2646</v>
      </c>
      <c r="I479" t="s">
        <v>84</v>
      </c>
      <c r="J479">
        <v>60</v>
      </c>
      <c r="K479">
        <v>150.01</v>
      </c>
      <c r="L479">
        <v>76.83</v>
      </c>
      <c r="M479">
        <v>0.15</v>
      </c>
      <c r="N479" t="s">
        <v>129</v>
      </c>
    </row>
    <row r="480" spans="1:14" x14ac:dyDescent="0.25">
      <c r="A480" t="s">
        <v>914</v>
      </c>
      <c r="B480" s="2">
        <v>45446</v>
      </c>
      <c r="C480" t="s">
        <v>915</v>
      </c>
      <c r="D480" t="s">
        <v>250</v>
      </c>
      <c r="E480" t="s">
        <v>2616</v>
      </c>
      <c r="F480" t="s">
        <v>2631</v>
      </c>
      <c r="G480" t="s">
        <v>178</v>
      </c>
      <c r="H480" t="s">
        <v>2646</v>
      </c>
      <c r="I480" t="s">
        <v>2578</v>
      </c>
      <c r="J480">
        <v>77</v>
      </c>
      <c r="K480">
        <v>62.89</v>
      </c>
      <c r="L480">
        <v>38.4</v>
      </c>
      <c r="M480">
        <v>0.02</v>
      </c>
      <c r="N480" t="s">
        <v>129</v>
      </c>
    </row>
    <row r="481" spans="1:14" x14ac:dyDescent="0.25">
      <c r="A481" t="s">
        <v>916</v>
      </c>
      <c r="B481" s="2">
        <v>45357</v>
      </c>
      <c r="C481" t="s">
        <v>917</v>
      </c>
      <c r="D481" t="s">
        <v>109</v>
      </c>
      <c r="E481" t="s">
        <v>2614</v>
      </c>
      <c r="F481" t="s">
        <v>2636</v>
      </c>
      <c r="G481" t="s">
        <v>90</v>
      </c>
      <c r="H481" t="s">
        <v>2645</v>
      </c>
      <c r="I481" t="s">
        <v>75</v>
      </c>
      <c r="J481">
        <v>67</v>
      </c>
      <c r="K481">
        <v>134.01</v>
      </c>
      <c r="L481">
        <v>75.19</v>
      </c>
      <c r="M481">
        <v>0.05</v>
      </c>
      <c r="N481" t="s">
        <v>45</v>
      </c>
    </row>
    <row r="482" spans="1:14" x14ac:dyDescent="0.25">
      <c r="A482" t="s">
        <v>918</v>
      </c>
      <c r="B482" s="2">
        <v>45651</v>
      </c>
      <c r="C482" t="s">
        <v>537</v>
      </c>
      <c r="D482" t="s">
        <v>132</v>
      </c>
      <c r="E482" t="s">
        <v>2614</v>
      </c>
      <c r="F482" t="s">
        <v>2622</v>
      </c>
      <c r="G482" t="s">
        <v>118</v>
      </c>
      <c r="H482" t="s">
        <v>2648</v>
      </c>
      <c r="I482" t="s">
        <v>70</v>
      </c>
      <c r="J482">
        <v>17</v>
      </c>
      <c r="K482">
        <v>55.31</v>
      </c>
      <c r="L482">
        <v>31.67</v>
      </c>
      <c r="M482">
        <v>0</v>
      </c>
      <c r="N482" t="s">
        <v>45</v>
      </c>
    </row>
    <row r="483" spans="1:14" x14ac:dyDescent="0.25">
      <c r="A483" t="s">
        <v>919</v>
      </c>
      <c r="B483" s="2">
        <v>45518</v>
      </c>
      <c r="C483" t="s">
        <v>325</v>
      </c>
      <c r="D483" t="s">
        <v>126</v>
      </c>
      <c r="E483" t="s">
        <v>2614</v>
      </c>
      <c r="F483" t="s">
        <v>2637</v>
      </c>
      <c r="G483" t="s">
        <v>118</v>
      </c>
      <c r="H483" t="s">
        <v>2648</v>
      </c>
      <c r="I483" t="s">
        <v>44</v>
      </c>
      <c r="J483">
        <v>39</v>
      </c>
      <c r="K483">
        <v>88.21</v>
      </c>
      <c r="L483">
        <v>49.56</v>
      </c>
      <c r="M483">
        <v>0.05</v>
      </c>
      <c r="N483" t="s">
        <v>45</v>
      </c>
    </row>
    <row r="484" spans="1:14" x14ac:dyDescent="0.25">
      <c r="A484" t="s">
        <v>920</v>
      </c>
      <c r="B484" s="2">
        <v>45554</v>
      </c>
      <c r="C484" t="s">
        <v>602</v>
      </c>
      <c r="D484" t="s">
        <v>99</v>
      </c>
      <c r="E484" t="s">
        <v>2614</v>
      </c>
      <c r="F484" t="s">
        <v>2622</v>
      </c>
      <c r="G484" t="s">
        <v>74</v>
      </c>
      <c r="H484" t="s">
        <v>2647</v>
      </c>
      <c r="I484" t="s">
        <v>44</v>
      </c>
      <c r="J484">
        <v>22</v>
      </c>
      <c r="K484">
        <v>70.819999999999993</v>
      </c>
      <c r="L484">
        <v>43.99</v>
      </c>
      <c r="M484">
        <v>0.05</v>
      </c>
      <c r="N484" t="s">
        <v>45</v>
      </c>
    </row>
    <row r="485" spans="1:14" x14ac:dyDescent="0.25">
      <c r="A485" t="s">
        <v>921</v>
      </c>
      <c r="B485" s="2">
        <v>45295</v>
      </c>
      <c r="C485" t="s">
        <v>480</v>
      </c>
      <c r="D485" t="s">
        <v>250</v>
      </c>
      <c r="E485" t="s">
        <v>2616</v>
      </c>
      <c r="F485" t="s">
        <v>2624</v>
      </c>
      <c r="G485" t="s">
        <v>83</v>
      </c>
      <c r="H485" t="s">
        <v>2648</v>
      </c>
      <c r="I485" t="s">
        <v>75</v>
      </c>
      <c r="J485">
        <v>21</v>
      </c>
      <c r="K485">
        <v>61.42</v>
      </c>
      <c r="L485">
        <v>35.909999999999997</v>
      </c>
      <c r="M485">
        <v>0.2</v>
      </c>
      <c r="N485" t="s">
        <v>45</v>
      </c>
    </row>
    <row r="486" spans="1:14" x14ac:dyDescent="0.25">
      <c r="A486" t="s">
        <v>922</v>
      </c>
      <c r="B486" s="2">
        <v>45381</v>
      </c>
      <c r="C486" t="s">
        <v>208</v>
      </c>
      <c r="D486" t="s">
        <v>187</v>
      </c>
      <c r="E486" t="s">
        <v>2617</v>
      </c>
      <c r="F486" t="s">
        <v>2641</v>
      </c>
      <c r="G486" t="s">
        <v>83</v>
      </c>
      <c r="H486" t="s">
        <v>2645</v>
      </c>
      <c r="I486" t="s">
        <v>70</v>
      </c>
      <c r="J486" t="e">
        <f>ROUND(#REF!/Sales12[[#This Row],[Unit_Price]],0)</f>
        <v>#REF!</v>
      </c>
      <c r="K486">
        <v>50.15</v>
      </c>
      <c r="L486">
        <v>27.96</v>
      </c>
      <c r="M486">
        <v>0</v>
      </c>
      <c r="N486" t="s">
        <v>32</v>
      </c>
    </row>
    <row r="487" spans="1:14" x14ac:dyDescent="0.25">
      <c r="A487" t="s">
        <v>923</v>
      </c>
      <c r="B487" s="2">
        <v>45517</v>
      </c>
      <c r="C487" t="s">
        <v>924</v>
      </c>
      <c r="D487" t="s">
        <v>23</v>
      </c>
      <c r="E487" t="s">
        <v>2617</v>
      </c>
      <c r="F487" t="s">
        <v>2625</v>
      </c>
      <c r="G487" t="s">
        <v>144</v>
      </c>
      <c r="H487" t="s">
        <v>2648</v>
      </c>
      <c r="I487" t="s">
        <v>70</v>
      </c>
      <c r="J487">
        <v>16</v>
      </c>
      <c r="K487">
        <v>73.02</v>
      </c>
      <c r="L487">
        <v>45.71</v>
      </c>
      <c r="M487">
        <v>0.05</v>
      </c>
      <c r="N487" t="s">
        <v>45</v>
      </c>
    </row>
    <row r="488" spans="1:14" x14ac:dyDescent="0.25">
      <c r="A488" t="s">
        <v>925</v>
      </c>
      <c r="B488" s="2">
        <v>45314</v>
      </c>
      <c r="C488" t="s">
        <v>926</v>
      </c>
      <c r="D488" t="s">
        <v>99</v>
      </c>
      <c r="E488" t="s">
        <v>2618</v>
      </c>
      <c r="F488" t="s">
        <v>2628</v>
      </c>
      <c r="G488" t="s">
        <v>111</v>
      </c>
      <c r="H488" t="s">
        <v>2648</v>
      </c>
      <c r="I488" t="s">
        <v>70</v>
      </c>
      <c r="J488">
        <v>5</v>
      </c>
      <c r="K488">
        <v>74.86</v>
      </c>
      <c r="L488">
        <v>42.21</v>
      </c>
      <c r="M488">
        <v>0.1</v>
      </c>
      <c r="N488" t="s">
        <v>45</v>
      </c>
    </row>
    <row r="489" spans="1:14" x14ac:dyDescent="0.25">
      <c r="A489" t="s">
        <v>927</v>
      </c>
      <c r="B489" s="2">
        <v>45409</v>
      </c>
      <c r="C489" t="s">
        <v>408</v>
      </c>
      <c r="D489" t="s">
        <v>222</v>
      </c>
      <c r="E489" t="s">
        <v>2617</v>
      </c>
      <c r="F489" t="s">
        <v>2639</v>
      </c>
      <c r="G489" t="s">
        <v>144</v>
      </c>
      <c r="H489" t="s">
        <v>2645</v>
      </c>
      <c r="I489" t="s">
        <v>84</v>
      </c>
      <c r="J489">
        <v>27</v>
      </c>
      <c r="K489">
        <v>113.02</v>
      </c>
      <c r="L489">
        <v>79.89</v>
      </c>
      <c r="M489">
        <v>0.02</v>
      </c>
      <c r="N489" t="s">
        <v>45</v>
      </c>
    </row>
    <row r="490" spans="1:14" x14ac:dyDescent="0.25">
      <c r="A490" t="s">
        <v>928</v>
      </c>
      <c r="B490" s="2">
        <v>45471</v>
      </c>
      <c r="C490" t="s">
        <v>255</v>
      </c>
      <c r="D490" t="s">
        <v>216</v>
      </c>
      <c r="E490" t="s">
        <v>2618</v>
      </c>
      <c r="F490" t="s">
        <v>2634</v>
      </c>
      <c r="G490" t="s">
        <v>118</v>
      </c>
      <c r="H490" t="s">
        <v>2645</v>
      </c>
      <c r="I490" t="s">
        <v>2578</v>
      </c>
      <c r="J490">
        <v>33</v>
      </c>
      <c r="K490">
        <v>118.26</v>
      </c>
      <c r="L490">
        <v>70.92</v>
      </c>
      <c r="M490">
        <v>0</v>
      </c>
      <c r="N490" t="s">
        <v>129</v>
      </c>
    </row>
    <row r="491" spans="1:14" x14ac:dyDescent="0.25">
      <c r="A491" t="s">
        <v>929</v>
      </c>
      <c r="B491" s="2">
        <v>45504</v>
      </c>
      <c r="C491" t="s">
        <v>485</v>
      </c>
      <c r="D491" t="s">
        <v>141</v>
      </c>
      <c r="E491" t="s">
        <v>2616</v>
      </c>
      <c r="F491" t="s">
        <v>2638</v>
      </c>
      <c r="G491" t="s">
        <v>178</v>
      </c>
      <c r="H491" t="s">
        <v>2648</v>
      </c>
      <c r="I491" t="s">
        <v>70</v>
      </c>
      <c r="J491">
        <v>4</v>
      </c>
      <c r="K491">
        <v>90.06</v>
      </c>
      <c r="L491">
        <v>59.76</v>
      </c>
      <c r="M491">
        <v>0.15</v>
      </c>
      <c r="N491" t="s">
        <v>45</v>
      </c>
    </row>
    <row r="492" spans="1:14" x14ac:dyDescent="0.25">
      <c r="A492" t="s">
        <v>930</v>
      </c>
      <c r="B492" s="2">
        <v>45362</v>
      </c>
      <c r="C492" t="s">
        <v>931</v>
      </c>
      <c r="D492" t="s">
        <v>23</v>
      </c>
      <c r="E492" t="s">
        <v>2616</v>
      </c>
      <c r="F492" t="s">
        <v>2638</v>
      </c>
      <c r="G492" t="s">
        <v>218</v>
      </c>
      <c r="H492" t="s">
        <v>2648</v>
      </c>
      <c r="I492" t="s">
        <v>44</v>
      </c>
      <c r="J492">
        <v>53</v>
      </c>
      <c r="K492">
        <v>76.099999999999994</v>
      </c>
      <c r="L492">
        <v>43.29</v>
      </c>
      <c r="M492">
        <v>0.15</v>
      </c>
      <c r="N492" t="s">
        <v>129</v>
      </c>
    </row>
    <row r="493" spans="1:14" x14ac:dyDescent="0.25">
      <c r="A493" t="s">
        <v>932</v>
      </c>
      <c r="B493" s="2">
        <v>45611</v>
      </c>
      <c r="C493" t="s">
        <v>933</v>
      </c>
      <c r="D493" t="s">
        <v>141</v>
      </c>
      <c r="E493" t="s">
        <v>2614</v>
      </c>
      <c r="F493" t="s">
        <v>2636</v>
      </c>
      <c r="G493" t="s">
        <v>265</v>
      </c>
      <c r="H493" t="s">
        <v>2648</v>
      </c>
      <c r="I493" t="s">
        <v>44</v>
      </c>
      <c r="J493">
        <v>60</v>
      </c>
      <c r="K493">
        <v>95.82</v>
      </c>
      <c r="L493">
        <v>58.39</v>
      </c>
      <c r="M493">
        <v>0.15</v>
      </c>
      <c r="N493" t="s">
        <v>45</v>
      </c>
    </row>
    <row r="494" spans="1:14" x14ac:dyDescent="0.25">
      <c r="A494" t="s">
        <v>934</v>
      </c>
      <c r="B494" s="2">
        <v>45512</v>
      </c>
      <c r="C494" t="s">
        <v>34</v>
      </c>
      <c r="D494" t="s">
        <v>99</v>
      </c>
      <c r="E494" t="s">
        <v>2616</v>
      </c>
      <c r="F494" t="s">
        <v>2624</v>
      </c>
      <c r="G494" t="s">
        <v>261</v>
      </c>
      <c r="H494" t="s">
        <v>2647</v>
      </c>
      <c r="I494" t="s">
        <v>44</v>
      </c>
      <c r="J494">
        <v>14</v>
      </c>
      <c r="K494">
        <v>73.5</v>
      </c>
      <c r="L494">
        <v>44.28</v>
      </c>
      <c r="M494">
        <v>0</v>
      </c>
      <c r="N494" t="s">
        <v>129</v>
      </c>
    </row>
    <row r="495" spans="1:14" x14ac:dyDescent="0.25">
      <c r="A495" t="s">
        <v>935</v>
      </c>
      <c r="B495" s="2">
        <v>45452</v>
      </c>
      <c r="C495" t="s">
        <v>936</v>
      </c>
      <c r="D495" t="s">
        <v>176</v>
      </c>
      <c r="E495" t="s">
        <v>2617</v>
      </c>
      <c r="F495" t="s">
        <v>2641</v>
      </c>
      <c r="G495" t="s">
        <v>261</v>
      </c>
      <c r="H495" t="s">
        <v>2647</v>
      </c>
      <c r="I495" t="s">
        <v>75</v>
      </c>
      <c r="J495">
        <v>8</v>
      </c>
      <c r="K495">
        <v>107.15</v>
      </c>
      <c r="L495">
        <v>61.34</v>
      </c>
      <c r="M495">
        <v>0</v>
      </c>
      <c r="N495" t="s">
        <v>32</v>
      </c>
    </row>
    <row r="496" spans="1:14" x14ac:dyDescent="0.25">
      <c r="A496" t="s">
        <v>937</v>
      </c>
      <c r="B496" s="2">
        <v>45426</v>
      </c>
      <c r="C496" t="s">
        <v>938</v>
      </c>
      <c r="D496" t="s">
        <v>222</v>
      </c>
      <c r="E496" t="s">
        <v>2615</v>
      </c>
      <c r="F496" t="s">
        <v>2627</v>
      </c>
      <c r="G496" t="s">
        <v>253</v>
      </c>
      <c r="H496" t="s">
        <v>2648</v>
      </c>
      <c r="I496" t="s">
        <v>2578</v>
      </c>
      <c r="J496">
        <v>19</v>
      </c>
      <c r="K496">
        <v>119.42</v>
      </c>
      <c r="L496">
        <v>82.87</v>
      </c>
      <c r="M496">
        <v>0.2</v>
      </c>
      <c r="N496" t="s">
        <v>45</v>
      </c>
    </row>
    <row r="497" spans="1:14" x14ac:dyDescent="0.25">
      <c r="A497" t="s">
        <v>939</v>
      </c>
      <c r="B497" s="2">
        <v>45467</v>
      </c>
      <c r="C497" t="s">
        <v>172</v>
      </c>
      <c r="D497" t="s">
        <v>141</v>
      </c>
      <c r="E497" t="s">
        <v>2614</v>
      </c>
      <c r="F497" t="s">
        <v>2629</v>
      </c>
      <c r="G497" t="s">
        <v>184</v>
      </c>
      <c r="H497" t="s">
        <v>2646</v>
      </c>
      <c r="I497" t="s">
        <v>84</v>
      </c>
      <c r="J497">
        <v>78</v>
      </c>
      <c r="K497">
        <v>100.77</v>
      </c>
      <c r="L497">
        <v>61.44</v>
      </c>
      <c r="M497">
        <v>0.1</v>
      </c>
      <c r="N497" t="s">
        <v>45</v>
      </c>
    </row>
    <row r="498" spans="1:14" x14ac:dyDescent="0.25">
      <c r="A498" t="s">
        <v>940</v>
      </c>
      <c r="B498" s="2">
        <v>45626</v>
      </c>
      <c r="C498" t="s">
        <v>941</v>
      </c>
      <c r="D498" t="s">
        <v>187</v>
      </c>
      <c r="E498" t="s">
        <v>2615</v>
      </c>
      <c r="F498" t="s">
        <v>2627</v>
      </c>
      <c r="G498" t="s">
        <v>195</v>
      </c>
      <c r="H498" t="s">
        <v>2648</v>
      </c>
      <c r="I498" t="s">
        <v>75</v>
      </c>
      <c r="J498">
        <v>20</v>
      </c>
      <c r="K498">
        <v>44.37</v>
      </c>
      <c r="L498">
        <v>27.71</v>
      </c>
      <c r="M498">
        <v>0.05</v>
      </c>
      <c r="N498" t="s">
        <v>45</v>
      </c>
    </row>
    <row r="499" spans="1:14" x14ac:dyDescent="0.25">
      <c r="A499" t="s">
        <v>942</v>
      </c>
      <c r="B499" s="2">
        <v>45522</v>
      </c>
      <c r="C499" t="s">
        <v>258</v>
      </c>
      <c r="D499" t="s">
        <v>209</v>
      </c>
      <c r="E499" t="s">
        <v>2615</v>
      </c>
      <c r="F499" t="s">
        <v>2623</v>
      </c>
      <c r="G499" t="s">
        <v>170</v>
      </c>
      <c r="H499" t="s">
        <v>2647</v>
      </c>
      <c r="I499" t="s">
        <v>75</v>
      </c>
      <c r="J499">
        <v>76</v>
      </c>
      <c r="K499">
        <v>17.22</v>
      </c>
      <c r="L499">
        <v>10.27</v>
      </c>
      <c r="M499">
        <v>0.1</v>
      </c>
      <c r="N499" t="s">
        <v>45</v>
      </c>
    </row>
    <row r="500" spans="1:14" x14ac:dyDescent="0.25">
      <c r="A500" t="s">
        <v>943</v>
      </c>
      <c r="B500" s="2">
        <v>45546</v>
      </c>
      <c r="C500" t="s">
        <v>47</v>
      </c>
      <c r="D500" t="s">
        <v>49</v>
      </c>
      <c r="E500" t="s">
        <v>2615</v>
      </c>
      <c r="F500" t="s">
        <v>2630</v>
      </c>
      <c r="G500" t="s">
        <v>218</v>
      </c>
      <c r="H500" t="s">
        <v>2645</v>
      </c>
      <c r="I500" t="s">
        <v>75</v>
      </c>
      <c r="J500">
        <v>70</v>
      </c>
      <c r="K500">
        <v>23.78</v>
      </c>
      <c r="L500">
        <v>12.1</v>
      </c>
      <c r="M500">
        <v>0.05</v>
      </c>
      <c r="N500" t="s">
        <v>129</v>
      </c>
    </row>
    <row r="501" spans="1:14" x14ac:dyDescent="0.25">
      <c r="A501" t="s">
        <v>944</v>
      </c>
      <c r="B501" s="2">
        <v>45348</v>
      </c>
      <c r="C501" t="s">
        <v>945</v>
      </c>
      <c r="D501" t="s">
        <v>49</v>
      </c>
      <c r="E501" t="s">
        <v>2614</v>
      </c>
      <c r="F501" t="s">
        <v>2629</v>
      </c>
      <c r="G501" t="s">
        <v>29</v>
      </c>
      <c r="H501" t="s">
        <v>2645</v>
      </c>
      <c r="I501" t="s">
        <v>44</v>
      </c>
      <c r="J501">
        <v>35</v>
      </c>
      <c r="K501">
        <v>25.54</v>
      </c>
      <c r="L501">
        <v>13.59</v>
      </c>
      <c r="M501">
        <v>0.05</v>
      </c>
      <c r="N501" t="s">
        <v>45</v>
      </c>
    </row>
    <row r="502" spans="1:14" x14ac:dyDescent="0.25">
      <c r="A502" t="s">
        <v>947</v>
      </c>
      <c r="B502" s="2">
        <v>45581</v>
      </c>
      <c r="C502" t="s">
        <v>948</v>
      </c>
      <c r="D502" t="s">
        <v>78</v>
      </c>
      <c r="E502" t="s">
        <v>2616</v>
      </c>
      <c r="F502" t="s">
        <v>2631</v>
      </c>
      <c r="G502" t="s">
        <v>218</v>
      </c>
      <c r="H502" t="s">
        <v>2646</v>
      </c>
      <c r="I502" t="s">
        <v>70</v>
      </c>
      <c r="J502">
        <v>32</v>
      </c>
      <c r="K502">
        <v>150.09</v>
      </c>
      <c r="L502">
        <v>87.12</v>
      </c>
      <c r="M502">
        <v>0.2</v>
      </c>
      <c r="N502" t="s">
        <v>45</v>
      </c>
    </row>
    <row r="503" spans="1:14" x14ac:dyDescent="0.25">
      <c r="A503" t="s">
        <v>949</v>
      </c>
      <c r="B503" s="2">
        <v>45448</v>
      </c>
      <c r="C503" t="s">
        <v>580</v>
      </c>
      <c r="D503" t="s">
        <v>99</v>
      </c>
      <c r="E503" t="s">
        <v>2616</v>
      </c>
      <c r="F503" t="s">
        <v>2638</v>
      </c>
      <c r="G503" t="s">
        <v>152</v>
      </c>
      <c r="H503" t="s">
        <v>2645</v>
      </c>
      <c r="I503" t="s">
        <v>70</v>
      </c>
      <c r="J503">
        <v>66</v>
      </c>
      <c r="K503">
        <v>70.900000000000006</v>
      </c>
      <c r="L503">
        <v>41.4</v>
      </c>
      <c r="M503">
        <v>0</v>
      </c>
      <c r="N503" t="s">
        <v>45</v>
      </c>
    </row>
    <row r="504" spans="1:14" x14ac:dyDescent="0.25">
      <c r="A504" t="s">
        <v>950</v>
      </c>
      <c r="B504" s="2">
        <v>45323</v>
      </c>
      <c r="C504" t="s">
        <v>162</v>
      </c>
      <c r="D504" t="s">
        <v>23</v>
      </c>
      <c r="E504" t="s">
        <v>2615</v>
      </c>
      <c r="F504" t="s">
        <v>2640</v>
      </c>
      <c r="G504" t="s">
        <v>42</v>
      </c>
      <c r="H504" t="s">
        <v>2646</v>
      </c>
      <c r="I504" t="s">
        <v>84</v>
      </c>
      <c r="J504">
        <v>61</v>
      </c>
      <c r="K504">
        <v>77.319999999999993</v>
      </c>
      <c r="L504">
        <v>42.03</v>
      </c>
      <c r="M504">
        <v>0.15</v>
      </c>
      <c r="N504" t="s">
        <v>129</v>
      </c>
    </row>
    <row r="505" spans="1:14" x14ac:dyDescent="0.25">
      <c r="A505" t="s">
        <v>951</v>
      </c>
      <c r="B505" s="2">
        <v>45405</v>
      </c>
      <c r="C505" t="s">
        <v>395</v>
      </c>
      <c r="D505" t="s">
        <v>132</v>
      </c>
      <c r="E505" t="s">
        <v>2615</v>
      </c>
      <c r="F505" t="s">
        <v>2630</v>
      </c>
      <c r="G505" t="s">
        <v>60</v>
      </c>
      <c r="H505" t="s">
        <v>2647</v>
      </c>
      <c r="I505" t="s">
        <v>84</v>
      </c>
      <c r="J505">
        <v>56</v>
      </c>
      <c r="K505">
        <v>59.81</v>
      </c>
      <c r="L505">
        <v>34.69</v>
      </c>
      <c r="M505">
        <v>0.05</v>
      </c>
      <c r="N505" t="s">
        <v>45</v>
      </c>
    </row>
    <row r="506" spans="1:14" x14ac:dyDescent="0.25">
      <c r="A506" t="s">
        <v>952</v>
      </c>
      <c r="B506" s="2">
        <v>45468</v>
      </c>
      <c r="C506" t="s">
        <v>953</v>
      </c>
      <c r="D506" t="s">
        <v>36</v>
      </c>
      <c r="E506" t="s">
        <v>2616</v>
      </c>
      <c r="F506" t="s">
        <v>2624</v>
      </c>
      <c r="G506" t="s">
        <v>170</v>
      </c>
      <c r="H506" t="s">
        <v>2647</v>
      </c>
      <c r="I506" t="s">
        <v>2578</v>
      </c>
      <c r="J506">
        <v>63</v>
      </c>
      <c r="K506">
        <v>170.87</v>
      </c>
      <c r="L506">
        <v>104.63</v>
      </c>
      <c r="M506">
        <v>0.1</v>
      </c>
      <c r="N506" t="s">
        <v>45</v>
      </c>
    </row>
    <row r="507" spans="1:14" x14ac:dyDescent="0.25">
      <c r="A507" t="s">
        <v>954</v>
      </c>
      <c r="B507" s="2">
        <v>45468</v>
      </c>
      <c r="C507" t="s">
        <v>155</v>
      </c>
      <c r="D507" t="s">
        <v>165</v>
      </c>
      <c r="E507" t="s">
        <v>2614</v>
      </c>
      <c r="F507" t="s">
        <v>2637</v>
      </c>
      <c r="G507" t="s">
        <v>69</v>
      </c>
      <c r="H507" t="s">
        <v>2646</v>
      </c>
      <c r="I507" t="s">
        <v>84</v>
      </c>
      <c r="J507">
        <v>26</v>
      </c>
      <c r="K507">
        <v>39.81</v>
      </c>
      <c r="L507">
        <v>25.01</v>
      </c>
      <c r="M507">
        <v>0.02</v>
      </c>
      <c r="N507" t="s">
        <v>45</v>
      </c>
    </row>
    <row r="508" spans="1:14" x14ac:dyDescent="0.25">
      <c r="A508" t="s">
        <v>955</v>
      </c>
      <c r="B508" s="2">
        <v>45395</v>
      </c>
      <c r="C508" t="s">
        <v>297</v>
      </c>
      <c r="D508" t="s">
        <v>99</v>
      </c>
      <c r="E508" t="s">
        <v>2614</v>
      </c>
      <c r="F508" t="s">
        <v>2622</v>
      </c>
      <c r="G508" t="s">
        <v>178</v>
      </c>
      <c r="H508" t="s">
        <v>2646</v>
      </c>
      <c r="I508" t="s">
        <v>84</v>
      </c>
      <c r="J508">
        <v>47</v>
      </c>
      <c r="K508">
        <v>64.400000000000006</v>
      </c>
      <c r="L508">
        <v>41.07</v>
      </c>
      <c r="M508">
        <v>0.2</v>
      </c>
      <c r="N508" t="s">
        <v>32</v>
      </c>
    </row>
    <row r="509" spans="1:14" x14ac:dyDescent="0.25">
      <c r="A509" t="s">
        <v>956</v>
      </c>
      <c r="B509" s="2">
        <v>45410</v>
      </c>
      <c r="C509" t="s">
        <v>938</v>
      </c>
      <c r="D509" t="s">
        <v>99</v>
      </c>
      <c r="E509" t="s">
        <v>2617</v>
      </c>
      <c r="F509" t="s">
        <v>2642</v>
      </c>
      <c r="G509" t="s">
        <v>2619</v>
      </c>
      <c r="H509" t="s">
        <v>2645</v>
      </c>
      <c r="I509" t="s">
        <v>84</v>
      </c>
      <c r="J509">
        <v>39</v>
      </c>
      <c r="K509">
        <v>67.7</v>
      </c>
      <c r="L509">
        <v>40.909999999999997</v>
      </c>
      <c r="M509">
        <v>0.1</v>
      </c>
      <c r="N509" t="s">
        <v>45</v>
      </c>
    </row>
    <row r="510" spans="1:14" x14ac:dyDescent="0.25">
      <c r="A510" t="s">
        <v>957</v>
      </c>
      <c r="B510" s="2">
        <v>45488</v>
      </c>
      <c r="C510" t="s">
        <v>509</v>
      </c>
      <c r="D510" t="s">
        <v>250</v>
      </c>
      <c r="E510" t="s">
        <v>2614</v>
      </c>
      <c r="F510" t="s">
        <v>2622</v>
      </c>
      <c r="G510" t="s">
        <v>152</v>
      </c>
      <c r="H510" t="s">
        <v>2648</v>
      </c>
      <c r="I510" t="s">
        <v>70</v>
      </c>
      <c r="J510">
        <v>54</v>
      </c>
      <c r="K510">
        <v>69.08</v>
      </c>
      <c r="L510">
        <v>37.659999999999997</v>
      </c>
      <c r="M510">
        <v>0</v>
      </c>
      <c r="N510" t="s">
        <v>45</v>
      </c>
    </row>
    <row r="511" spans="1:14" x14ac:dyDescent="0.25">
      <c r="A511" t="s">
        <v>958</v>
      </c>
      <c r="B511" s="2">
        <v>45391</v>
      </c>
      <c r="C511" t="s">
        <v>2619</v>
      </c>
      <c r="D511" t="s">
        <v>78</v>
      </c>
      <c r="E511" t="s">
        <v>2615</v>
      </c>
      <c r="F511" t="s">
        <v>2623</v>
      </c>
      <c r="G511" t="s">
        <v>265</v>
      </c>
      <c r="H511" t="s">
        <v>2647</v>
      </c>
      <c r="I511" t="s">
        <v>75</v>
      </c>
      <c r="J511">
        <v>38</v>
      </c>
      <c r="K511">
        <v>133.83000000000001</v>
      </c>
      <c r="L511">
        <v>81.38</v>
      </c>
      <c r="M511">
        <v>0.1</v>
      </c>
      <c r="N511" t="s">
        <v>129</v>
      </c>
    </row>
    <row r="512" spans="1:14" x14ac:dyDescent="0.25">
      <c r="A512" t="s">
        <v>959</v>
      </c>
      <c r="B512" s="2">
        <v>45597</v>
      </c>
      <c r="C512" t="s">
        <v>941</v>
      </c>
      <c r="D512" t="s">
        <v>176</v>
      </c>
      <c r="E512" t="s">
        <v>2615</v>
      </c>
      <c r="F512" t="s">
        <v>2640</v>
      </c>
      <c r="G512" t="s">
        <v>42</v>
      </c>
      <c r="H512" t="s">
        <v>2646</v>
      </c>
      <c r="I512" t="s">
        <v>84</v>
      </c>
      <c r="J512">
        <v>50</v>
      </c>
      <c r="K512">
        <v>98.51</v>
      </c>
      <c r="L512">
        <v>64.73</v>
      </c>
      <c r="M512">
        <v>1.1000000000000001</v>
      </c>
      <c r="N512" t="s">
        <v>45</v>
      </c>
    </row>
    <row r="513" spans="1:14" x14ac:dyDescent="0.25">
      <c r="A513" t="s">
        <v>960</v>
      </c>
      <c r="B513" s="2">
        <v>45472</v>
      </c>
      <c r="C513" t="s">
        <v>961</v>
      </c>
      <c r="D513" t="s">
        <v>66</v>
      </c>
      <c r="E513" t="s">
        <v>2615</v>
      </c>
      <c r="F513" t="s">
        <v>2640</v>
      </c>
      <c r="G513" t="s">
        <v>118</v>
      </c>
      <c r="H513" t="s">
        <v>2647</v>
      </c>
      <c r="I513" t="s">
        <v>75</v>
      </c>
      <c r="J513">
        <v>25</v>
      </c>
      <c r="K513">
        <v>152.5</v>
      </c>
      <c r="L513">
        <v>104.28</v>
      </c>
      <c r="M513">
        <v>0.05</v>
      </c>
      <c r="N513" t="s">
        <v>45</v>
      </c>
    </row>
    <row r="514" spans="1:14" x14ac:dyDescent="0.25">
      <c r="A514" t="s">
        <v>962</v>
      </c>
      <c r="B514" s="2">
        <v>45307</v>
      </c>
      <c r="C514" t="s">
        <v>197</v>
      </c>
      <c r="D514" t="s">
        <v>132</v>
      </c>
      <c r="E514" t="s">
        <v>2616</v>
      </c>
      <c r="F514" t="s">
        <v>2624</v>
      </c>
      <c r="G514" t="s">
        <v>195</v>
      </c>
      <c r="H514" t="s">
        <v>2648</v>
      </c>
      <c r="I514" t="s">
        <v>44</v>
      </c>
      <c r="J514">
        <v>35</v>
      </c>
      <c r="K514">
        <v>61.9</v>
      </c>
      <c r="L514">
        <v>34.200000000000003</v>
      </c>
      <c r="M514">
        <v>0.1</v>
      </c>
      <c r="N514" t="s">
        <v>45</v>
      </c>
    </row>
    <row r="515" spans="1:14" x14ac:dyDescent="0.25">
      <c r="A515" t="s">
        <v>964</v>
      </c>
      <c r="B515" s="2">
        <v>45623</v>
      </c>
      <c r="C515" t="s">
        <v>674</v>
      </c>
      <c r="D515" t="s">
        <v>132</v>
      </c>
      <c r="E515" t="s">
        <v>2615</v>
      </c>
      <c r="F515" t="s">
        <v>2623</v>
      </c>
      <c r="G515" t="s">
        <v>74</v>
      </c>
      <c r="H515" t="s">
        <v>2648</v>
      </c>
      <c r="I515" t="s">
        <v>70</v>
      </c>
      <c r="J515">
        <v>72</v>
      </c>
      <c r="K515">
        <v>58.52</v>
      </c>
      <c r="L515">
        <v>33.17</v>
      </c>
      <c r="M515">
        <v>0.1</v>
      </c>
      <c r="N515" t="s">
        <v>45</v>
      </c>
    </row>
    <row r="516" spans="1:14" x14ac:dyDescent="0.25">
      <c r="A516" t="s">
        <v>965</v>
      </c>
      <c r="B516" s="2">
        <v>45625</v>
      </c>
      <c r="C516" t="s">
        <v>541</v>
      </c>
      <c r="D516" t="s">
        <v>23</v>
      </c>
      <c r="E516" t="s">
        <v>2618</v>
      </c>
      <c r="F516" t="s">
        <v>2634</v>
      </c>
      <c r="G516" t="s">
        <v>261</v>
      </c>
      <c r="H516" t="s">
        <v>2648</v>
      </c>
      <c r="I516" t="s">
        <v>70</v>
      </c>
      <c r="J516">
        <v>50</v>
      </c>
      <c r="K516">
        <v>70.34</v>
      </c>
      <c r="L516">
        <v>44.11</v>
      </c>
      <c r="M516">
        <v>0.1</v>
      </c>
      <c r="N516" t="s">
        <v>45</v>
      </c>
    </row>
    <row r="517" spans="1:14" x14ac:dyDescent="0.25">
      <c r="A517" t="s">
        <v>966</v>
      </c>
      <c r="B517" s="2">
        <v>45383</v>
      </c>
      <c r="C517" t="s">
        <v>967</v>
      </c>
      <c r="D517" t="s">
        <v>78</v>
      </c>
      <c r="E517" t="s">
        <v>2614</v>
      </c>
      <c r="F517" t="s">
        <v>2636</v>
      </c>
      <c r="G517" t="s">
        <v>178</v>
      </c>
      <c r="H517" t="s">
        <v>2646</v>
      </c>
      <c r="I517" t="s">
        <v>2578</v>
      </c>
      <c r="J517">
        <v>29</v>
      </c>
      <c r="K517">
        <v>132.93</v>
      </c>
      <c r="L517">
        <v>78.19</v>
      </c>
      <c r="M517">
        <v>0.15</v>
      </c>
      <c r="N517" t="s">
        <v>45</v>
      </c>
    </row>
    <row r="518" spans="1:14" x14ac:dyDescent="0.25">
      <c r="A518" t="s">
        <v>968</v>
      </c>
      <c r="B518" s="2">
        <v>45622</v>
      </c>
      <c r="C518" t="s">
        <v>631</v>
      </c>
      <c r="D518" t="s">
        <v>78</v>
      </c>
      <c r="E518" t="s">
        <v>2618</v>
      </c>
      <c r="F518" t="s">
        <v>2632</v>
      </c>
      <c r="G518" t="s">
        <v>144</v>
      </c>
      <c r="H518" t="s">
        <v>2647</v>
      </c>
      <c r="I518" t="s">
        <v>44</v>
      </c>
      <c r="J518">
        <v>66</v>
      </c>
      <c r="K518">
        <v>140.55000000000001</v>
      </c>
      <c r="L518">
        <v>81.22</v>
      </c>
      <c r="M518">
        <v>0.02</v>
      </c>
      <c r="N518" t="s">
        <v>45</v>
      </c>
    </row>
    <row r="519" spans="1:14" x14ac:dyDescent="0.25">
      <c r="A519" t="s">
        <v>969</v>
      </c>
      <c r="B519" s="2">
        <v>45346</v>
      </c>
      <c r="C519" t="s">
        <v>970</v>
      </c>
      <c r="D519" t="s">
        <v>209</v>
      </c>
      <c r="E519" t="s">
        <v>2616</v>
      </c>
      <c r="F519" t="s">
        <v>2633</v>
      </c>
      <c r="G519" t="s">
        <v>111</v>
      </c>
      <c r="H519" t="s">
        <v>2645</v>
      </c>
      <c r="I519" t="s">
        <v>75</v>
      </c>
      <c r="J519">
        <v>50</v>
      </c>
      <c r="K519">
        <v>16.579999999999998</v>
      </c>
      <c r="L519">
        <v>9.66</v>
      </c>
      <c r="M519">
        <v>0</v>
      </c>
      <c r="N519" t="s">
        <v>129</v>
      </c>
    </row>
    <row r="520" spans="1:14" x14ac:dyDescent="0.25">
      <c r="A520" t="s">
        <v>971</v>
      </c>
      <c r="B520" s="2">
        <v>45329</v>
      </c>
      <c r="C520" t="s">
        <v>309</v>
      </c>
      <c r="D520" t="s">
        <v>141</v>
      </c>
      <c r="E520" t="s">
        <v>2614</v>
      </c>
      <c r="F520" t="s">
        <v>2636</v>
      </c>
      <c r="G520" t="s">
        <v>253</v>
      </c>
      <c r="H520" t="s">
        <v>2646</v>
      </c>
      <c r="I520" t="s">
        <v>44</v>
      </c>
      <c r="J520">
        <v>7</v>
      </c>
      <c r="K520">
        <v>88.42</v>
      </c>
      <c r="L520">
        <v>60.32</v>
      </c>
      <c r="M520">
        <v>0.02</v>
      </c>
      <c r="N520" t="s">
        <v>45</v>
      </c>
    </row>
    <row r="521" spans="1:14" x14ac:dyDescent="0.25">
      <c r="A521" t="s">
        <v>972</v>
      </c>
      <c r="B521" s="2">
        <v>45405</v>
      </c>
      <c r="C521" t="s">
        <v>732</v>
      </c>
      <c r="D521" t="s">
        <v>165</v>
      </c>
      <c r="E521" t="s">
        <v>2615</v>
      </c>
      <c r="F521" t="s">
        <v>2627</v>
      </c>
      <c r="G521" t="s">
        <v>218</v>
      </c>
      <c r="H521" t="s">
        <v>2647</v>
      </c>
      <c r="I521" t="s">
        <v>84</v>
      </c>
      <c r="J521">
        <v>24</v>
      </c>
      <c r="K521">
        <v>43.44</v>
      </c>
      <c r="L521">
        <v>23.27</v>
      </c>
      <c r="M521">
        <v>0</v>
      </c>
      <c r="N521" t="s">
        <v>45</v>
      </c>
    </row>
    <row r="522" spans="1:14" x14ac:dyDescent="0.25">
      <c r="A522" t="s">
        <v>973</v>
      </c>
      <c r="B522" s="2">
        <v>45550</v>
      </c>
      <c r="C522" t="s">
        <v>524</v>
      </c>
      <c r="D522" t="s">
        <v>176</v>
      </c>
      <c r="E522" t="s">
        <v>2617</v>
      </c>
      <c r="F522" t="s">
        <v>2642</v>
      </c>
      <c r="G522" t="s">
        <v>83</v>
      </c>
      <c r="H522" t="s">
        <v>2648</v>
      </c>
      <c r="I522" t="s">
        <v>75</v>
      </c>
      <c r="J522">
        <v>74</v>
      </c>
      <c r="K522">
        <v>105.53</v>
      </c>
      <c r="L522">
        <v>58.29</v>
      </c>
      <c r="M522">
        <v>0.05</v>
      </c>
      <c r="N522" t="s">
        <v>129</v>
      </c>
    </row>
    <row r="523" spans="1:14" x14ac:dyDescent="0.25">
      <c r="A523" t="s">
        <v>974</v>
      </c>
      <c r="B523" s="2">
        <v>45541</v>
      </c>
      <c r="C523" t="s">
        <v>975</v>
      </c>
      <c r="D523" t="s">
        <v>250</v>
      </c>
      <c r="E523" t="s">
        <v>2614</v>
      </c>
      <c r="F523" t="s">
        <v>2622</v>
      </c>
      <c r="G523" t="s">
        <v>118</v>
      </c>
      <c r="H523" t="s">
        <v>2648</v>
      </c>
      <c r="I523" t="s">
        <v>75</v>
      </c>
      <c r="J523">
        <v>34</v>
      </c>
      <c r="K523">
        <v>68.36</v>
      </c>
      <c r="L523">
        <v>37.54</v>
      </c>
      <c r="M523">
        <v>0.05</v>
      </c>
      <c r="N523" t="s">
        <v>129</v>
      </c>
    </row>
    <row r="524" spans="1:14" x14ac:dyDescent="0.25">
      <c r="A524" t="s">
        <v>976</v>
      </c>
      <c r="B524" s="2">
        <v>45439</v>
      </c>
      <c r="C524" t="s">
        <v>339</v>
      </c>
      <c r="D524" t="s">
        <v>132</v>
      </c>
      <c r="E524" t="s">
        <v>2615</v>
      </c>
      <c r="F524" t="s">
        <v>2627</v>
      </c>
      <c r="G524" t="s">
        <v>60</v>
      </c>
      <c r="H524" t="s">
        <v>2647</v>
      </c>
      <c r="I524" t="s">
        <v>84</v>
      </c>
      <c r="J524">
        <v>63</v>
      </c>
      <c r="K524">
        <v>63.74</v>
      </c>
      <c r="L524">
        <v>34.43</v>
      </c>
      <c r="M524">
        <v>0.15</v>
      </c>
      <c r="N524" t="s">
        <v>32</v>
      </c>
    </row>
    <row r="525" spans="1:14" x14ac:dyDescent="0.25">
      <c r="A525" t="s">
        <v>977</v>
      </c>
      <c r="B525" s="2">
        <v>45392</v>
      </c>
      <c r="C525" t="s">
        <v>418</v>
      </c>
      <c r="D525" t="s">
        <v>99</v>
      </c>
      <c r="E525" t="s">
        <v>2615</v>
      </c>
      <c r="F525" t="s">
        <v>2623</v>
      </c>
      <c r="G525" t="s">
        <v>218</v>
      </c>
      <c r="H525" t="s">
        <v>2647</v>
      </c>
      <c r="I525" t="s">
        <v>75</v>
      </c>
      <c r="J525">
        <v>33</v>
      </c>
      <c r="K525">
        <v>71.03</v>
      </c>
      <c r="L525">
        <v>42.33</v>
      </c>
      <c r="M525">
        <v>0.1</v>
      </c>
      <c r="N525" t="s">
        <v>129</v>
      </c>
    </row>
    <row r="526" spans="1:14" x14ac:dyDescent="0.25">
      <c r="A526" t="s">
        <v>978</v>
      </c>
      <c r="B526" s="2">
        <v>45318</v>
      </c>
      <c r="C526" t="s">
        <v>449</v>
      </c>
      <c r="D526" t="s">
        <v>109</v>
      </c>
      <c r="E526" t="s">
        <v>2618</v>
      </c>
      <c r="F526" t="s">
        <v>2632</v>
      </c>
      <c r="G526" t="s">
        <v>178</v>
      </c>
      <c r="H526" t="s">
        <v>2647</v>
      </c>
      <c r="I526" t="s">
        <v>2578</v>
      </c>
      <c r="J526">
        <v>74</v>
      </c>
      <c r="K526">
        <v>117.81</v>
      </c>
      <c r="L526">
        <v>70.47</v>
      </c>
      <c r="M526">
        <v>0.1</v>
      </c>
      <c r="N526" t="s">
        <v>45</v>
      </c>
    </row>
    <row r="527" spans="1:14" x14ac:dyDescent="0.25">
      <c r="A527" t="s">
        <v>979</v>
      </c>
      <c r="B527" s="2">
        <v>45595</v>
      </c>
      <c r="C527" t="s">
        <v>245</v>
      </c>
      <c r="D527" t="s">
        <v>66</v>
      </c>
      <c r="E527" t="s">
        <v>2614</v>
      </c>
      <c r="F527" t="s">
        <v>2622</v>
      </c>
      <c r="G527" t="s">
        <v>265</v>
      </c>
      <c r="H527" t="s">
        <v>2647</v>
      </c>
      <c r="I527" t="s">
        <v>2578</v>
      </c>
      <c r="J527">
        <v>4</v>
      </c>
      <c r="K527">
        <v>166.42</v>
      </c>
      <c r="L527">
        <v>97.37</v>
      </c>
      <c r="M527">
        <v>0.15</v>
      </c>
      <c r="N527" t="s">
        <v>45</v>
      </c>
    </row>
    <row r="528" spans="1:14" x14ac:dyDescent="0.25">
      <c r="A528" t="s">
        <v>980</v>
      </c>
      <c r="B528" s="2">
        <v>45311</v>
      </c>
      <c r="C528" t="s">
        <v>506</v>
      </c>
      <c r="D528" t="s">
        <v>99</v>
      </c>
      <c r="E528" t="s">
        <v>2614</v>
      </c>
      <c r="F528" t="s">
        <v>2629</v>
      </c>
      <c r="G528" t="s">
        <v>118</v>
      </c>
      <c r="H528" t="s">
        <v>2648</v>
      </c>
      <c r="I528" t="s">
        <v>84</v>
      </c>
      <c r="J528">
        <v>74</v>
      </c>
      <c r="K528">
        <v>74.92</v>
      </c>
      <c r="L528">
        <v>42.96</v>
      </c>
      <c r="M528">
        <v>0.1</v>
      </c>
      <c r="N528" t="s">
        <v>45</v>
      </c>
    </row>
    <row r="529" spans="1:14" x14ac:dyDescent="0.25">
      <c r="A529" t="s">
        <v>981</v>
      </c>
      <c r="B529" s="2">
        <v>45349</v>
      </c>
      <c r="C529" t="s">
        <v>794</v>
      </c>
      <c r="D529" t="s">
        <v>209</v>
      </c>
      <c r="E529" t="s">
        <v>2614</v>
      </c>
      <c r="F529" t="s">
        <v>2637</v>
      </c>
      <c r="G529" t="s">
        <v>144</v>
      </c>
      <c r="H529" t="s">
        <v>2648</v>
      </c>
      <c r="I529" t="s">
        <v>84</v>
      </c>
      <c r="J529">
        <v>45</v>
      </c>
      <c r="K529">
        <v>18.809999999999999</v>
      </c>
      <c r="L529">
        <v>9.3699999999999992</v>
      </c>
      <c r="M529">
        <v>0.1</v>
      </c>
      <c r="N529" t="s">
        <v>32</v>
      </c>
    </row>
    <row r="530" spans="1:14" x14ac:dyDescent="0.25">
      <c r="A530" t="s">
        <v>982</v>
      </c>
      <c r="B530" s="2">
        <v>45454</v>
      </c>
      <c r="C530" t="s">
        <v>983</v>
      </c>
      <c r="D530" t="s">
        <v>109</v>
      </c>
      <c r="E530" t="s">
        <v>2618</v>
      </c>
      <c r="F530" t="s">
        <v>2632</v>
      </c>
      <c r="G530" t="s">
        <v>118</v>
      </c>
      <c r="H530" t="s">
        <v>2648</v>
      </c>
      <c r="I530" t="s">
        <v>2578</v>
      </c>
      <c r="J530">
        <v>78</v>
      </c>
      <c r="K530">
        <v>134.75</v>
      </c>
      <c r="L530">
        <v>68.55</v>
      </c>
      <c r="M530">
        <v>0.15</v>
      </c>
      <c r="N530" t="s">
        <v>45</v>
      </c>
    </row>
    <row r="531" spans="1:14" x14ac:dyDescent="0.25">
      <c r="A531" t="s">
        <v>984</v>
      </c>
      <c r="B531" s="2">
        <v>45549</v>
      </c>
      <c r="C531" t="s">
        <v>985</v>
      </c>
      <c r="D531" t="s">
        <v>93</v>
      </c>
      <c r="E531" t="s">
        <v>2617</v>
      </c>
      <c r="F531" t="s">
        <v>2642</v>
      </c>
      <c r="G531" t="s">
        <v>60</v>
      </c>
      <c r="H531" t="s">
        <v>2645</v>
      </c>
      <c r="I531" t="s">
        <v>44</v>
      </c>
      <c r="J531">
        <v>22</v>
      </c>
      <c r="K531">
        <v>58.88</v>
      </c>
      <c r="L531">
        <v>31.42</v>
      </c>
      <c r="M531">
        <v>0.15</v>
      </c>
      <c r="N531" t="s">
        <v>129</v>
      </c>
    </row>
    <row r="532" spans="1:14" x14ac:dyDescent="0.25">
      <c r="A532" t="s">
        <v>986</v>
      </c>
      <c r="B532" s="2">
        <v>45432</v>
      </c>
      <c r="C532" t="s">
        <v>104</v>
      </c>
      <c r="D532" t="s">
        <v>114</v>
      </c>
      <c r="E532" t="s">
        <v>2617</v>
      </c>
      <c r="F532" t="s">
        <v>2626</v>
      </c>
      <c r="G532" t="s">
        <v>178</v>
      </c>
      <c r="H532" t="s">
        <v>2648</v>
      </c>
      <c r="I532" t="s">
        <v>44</v>
      </c>
      <c r="J532">
        <v>8</v>
      </c>
      <c r="K532">
        <v>34.950000000000003</v>
      </c>
      <c r="L532">
        <v>20.91</v>
      </c>
      <c r="M532">
        <v>0</v>
      </c>
      <c r="N532" t="s">
        <v>129</v>
      </c>
    </row>
    <row r="533" spans="1:14" x14ac:dyDescent="0.25">
      <c r="A533" t="s">
        <v>987</v>
      </c>
      <c r="B533" s="2">
        <v>45477</v>
      </c>
      <c r="C533" t="s">
        <v>737</v>
      </c>
      <c r="D533" t="s">
        <v>141</v>
      </c>
      <c r="E533" t="s">
        <v>2618</v>
      </c>
      <c r="F533" t="s">
        <v>2628</v>
      </c>
      <c r="G533" t="s">
        <v>111</v>
      </c>
      <c r="H533" t="s">
        <v>2645</v>
      </c>
      <c r="I533" t="s">
        <v>84</v>
      </c>
      <c r="J533">
        <v>36</v>
      </c>
      <c r="K533">
        <v>99.82</v>
      </c>
      <c r="L533">
        <v>61.99</v>
      </c>
      <c r="M533">
        <v>0.2</v>
      </c>
      <c r="N533" t="s">
        <v>45</v>
      </c>
    </row>
    <row r="534" spans="1:14" x14ac:dyDescent="0.25">
      <c r="A534" t="s">
        <v>988</v>
      </c>
      <c r="B534" s="2">
        <v>45486</v>
      </c>
      <c r="C534" t="s">
        <v>989</v>
      </c>
      <c r="D534" t="s">
        <v>23</v>
      </c>
      <c r="E534" t="s">
        <v>2616</v>
      </c>
      <c r="F534" t="s">
        <v>2638</v>
      </c>
      <c r="G534" t="s">
        <v>60</v>
      </c>
      <c r="H534" t="s">
        <v>2645</v>
      </c>
      <c r="I534" t="s">
        <v>70</v>
      </c>
      <c r="J534">
        <v>50</v>
      </c>
      <c r="K534">
        <v>73.77</v>
      </c>
      <c r="L534">
        <v>42.41</v>
      </c>
      <c r="M534">
        <v>0.1</v>
      </c>
      <c r="N534" t="s">
        <v>45</v>
      </c>
    </row>
    <row r="535" spans="1:14" x14ac:dyDescent="0.25">
      <c r="A535" t="s">
        <v>990</v>
      </c>
      <c r="B535" s="2">
        <v>45521</v>
      </c>
      <c r="C535" t="s">
        <v>272</v>
      </c>
      <c r="D535" t="s">
        <v>49</v>
      </c>
      <c r="E535" t="s">
        <v>2614</v>
      </c>
      <c r="F535" t="s">
        <v>2637</v>
      </c>
      <c r="G535" t="s">
        <v>195</v>
      </c>
      <c r="H535" t="s">
        <v>2648</v>
      </c>
      <c r="I535" t="s">
        <v>84</v>
      </c>
      <c r="J535">
        <v>25</v>
      </c>
      <c r="K535">
        <v>25.45</v>
      </c>
      <c r="L535">
        <v>13.91</v>
      </c>
      <c r="M535">
        <v>0.15</v>
      </c>
      <c r="N535" t="s">
        <v>32</v>
      </c>
    </row>
    <row r="536" spans="1:14" x14ac:dyDescent="0.25">
      <c r="A536" t="s">
        <v>991</v>
      </c>
      <c r="B536" s="2">
        <v>45618</v>
      </c>
      <c r="C536" t="s">
        <v>992</v>
      </c>
      <c r="D536" t="s">
        <v>109</v>
      </c>
      <c r="E536" t="s">
        <v>2617</v>
      </c>
      <c r="F536" t="s">
        <v>2626</v>
      </c>
      <c r="G536" t="s">
        <v>152</v>
      </c>
      <c r="H536" t="s">
        <v>2646</v>
      </c>
      <c r="I536" t="s">
        <v>2578</v>
      </c>
      <c r="J536">
        <v>64</v>
      </c>
      <c r="K536">
        <v>115.67</v>
      </c>
      <c r="L536">
        <v>78.489999999999995</v>
      </c>
      <c r="M536">
        <v>0.05</v>
      </c>
      <c r="N536" t="s">
        <v>45</v>
      </c>
    </row>
    <row r="537" spans="1:14" x14ac:dyDescent="0.25">
      <c r="A537" t="s">
        <v>993</v>
      </c>
      <c r="B537" s="2">
        <v>45414</v>
      </c>
      <c r="C537" t="s">
        <v>541</v>
      </c>
      <c r="D537" t="s">
        <v>216</v>
      </c>
      <c r="E537" t="s">
        <v>2618</v>
      </c>
      <c r="F537" t="s">
        <v>2635</v>
      </c>
      <c r="G537" t="s">
        <v>111</v>
      </c>
      <c r="H537" t="s">
        <v>2646</v>
      </c>
      <c r="I537" t="s">
        <v>70</v>
      </c>
      <c r="J537">
        <v>26</v>
      </c>
      <c r="K537">
        <v>115.05</v>
      </c>
      <c r="L537">
        <v>65.02</v>
      </c>
      <c r="M537">
        <v>0</v>
      </c>
      <c r="N537" t="s">
        <v>45</v>
      </c>
    </row>
    <row r="538" spans="1:14" x14ac:dyDescent="0.25">
      <c r="A538" t="s">
        <v>994</v>
      </c>
      <c r="B538" s="2">
        <v>45532</v>
      </c>
      <c r="C538" t="s">
        <v>269</v>
      </c>
      <c r="D538" t="s">
        <v>150</v>
      </c>
      <c r="E538" t="s">
        <v>2617</v>
      </c>
      <c r="F538" t="s">
        <v>2641</v>
      </c>
      <c r="G538" t="s">
        <v>74</v>
      </c>
      <c r="H538" t="s">
        <v>2647</v>
      </c>
      <c r="I538" t="s">
        <v>44</v>
      </c>
      <c r="J538">
        <v>45</v>
      </c>
      <c r="K538">
        <v>81.3</v>
      </c>
      <c r="L538">
        <v>48.65</v>
      </c>
      <c r="M538">
        <v>0.1</v>
      </c>
      <c r="N538" t="s">
        <v>129</v>
      </c>
    </row>
    <row r="539" spans="1:14" x14ac:dyDescent="0.25">
      <c r="A539" t="s">
        <v>995</v>
      </c>
      <c r="B539" s="2">
        <v>45566</v>
      </c>
      <c r="C539" t="s">
        <v>356</v>
      </c>
      <c r="D539" t="s">
        <v>222</v>
      </c>
      <c r="E539" t="s">
        <v>2615</v>
      </c>
      <c r="F539" t="s">
        <v>2630</v>
      </c>
      <c r="G539" t="s">
        <v>69</v>
      </c>
      <c r="H539" t="s">
        <v>2645</v>
      </c>
      <c r="I539" t="s">
        <v>70</v>
      </c>
      <c r="J539">
        <v>24</v>
      </c>
      <c r="K539">
        <v>122.27</v>
      </c>
      <c r="L539">
        <v>76.23</v>
      </c>
      <c r="M539">
        <v>0.05</v>
      </c>
      <c r="N539" t="s">
        <v>45</v>
      </c>
    </row>
    <row r="540" spans="1:14" x14ac:dyDescent="0.25">
      <c r="A540" t="s">
        <v>996</v>
      </c>
      <c r="B540" s="2">
        <v>45544</v>
      </c>
      <c r="C540" t="s">
        <v>600</v>
      </c>
      <c r="D540" t="s">
        <v>209</v>
      </c>
      <c r="E540" t="s">
        <v>2618</v>
      </c>
      <c r="F540" t="s">
        <v>2632</v>
      </c>
      <c r="G540" t="s">
        <v>60</v>
      </c>
      <c r="H540" t="s">
        <v>2646</v>
      </c>
      <c r="I540" t="s">
        <v>70</v>
      </c>
      <c r="J540">
        <v>12</v>
      </c>
      <c r="K540">
        <v>18.47</v>
      </c>
      <c r="L540">
        <v>10.61</v>
      </c>
      <c r="M540">
        <v>0.2</v>
      </c>
      <c r="N540" t="s">
        <v>45</v>
      </c>
    </row>
    <row r="541" spans="1:14" x14ac:dyDescent="0.25">
      <c r="A541" t="s">
        <v>997</v>
      </c>
      <c r="B541" s="2">
        <v>45635</v>
      </c>
      <c r="C541" t="s">
        <v>529</v>
      </c>
      <c r="D541" t="s">
        <v>109</v>
      </c>
      <c r="E541" t="s">
        <v>2617</v>
      </c>
      <c r="F541" t="s">
        <v>2626</v>
      </c>
      <c r="G541" t="s">
        <v>74</v>
      </c>
      <c r="H541" t="s">
        <v>2647</v>
      </c>
      <c r="I541" t="s">
        <v>44</v>
      </c>
      <c r="J541">
        <v>71</v>
      </c>
      <c r="K541">
        <v>134.4</v>
      </c>
      <c r="L541">
        <v>69.19</v>
      </c>
      <c r="M541">
        <v>0.02</v>
      </c>
      <c r="N541" t="s">
        <v>45</v>
      </c>
    </row>
    <row r="542" spans="1:14" x14ac:dyDescent="0.25">
      <c r="A542" t="s">
        <v>998</v>
      </c>
      <c r="B542" s="2">
        <v>45592</v>
      </c>
      <c r="C542" t="s">
        <v>247</v>
      </c>
      <c r="D542" t="s">
        <v>36</v>
      </c>
      <c r="E542" t="s">
        <v>2618</v>
      </c>
      <c r="F542" t="s">
        <v>2634</v>
      </c>
      <c r="G542" t="s">
        <v>261</v>
      </c>
      <c r="H542" t="s">
        <v>2646</v>
      </c>
      <c r="I542" t="s">
        <v>44</v>
      </c>
      <c r="J542">
        <v>74</v>
      </c>
      <c r="K542" s="3" t="e">
        <f>#REF!/Sales12[[#This Row],[Quantity]]</f>
        <v>#REF!</v>
      </c>
      <c r="L542">
        <v>103.14</v>
      </c>
      <c r="M542">
        <v>0.15</v>
      </c>
      <c r="N542" t="s">
        <v>45</v>
      </c>
    </row>
    <row r="543" spans="1:14" x14ac:dyDescent="0.25">
      <c r="A543" t="s">
        <v>999</v>
      </c>
      <c r="B543" s="2">
        <v>45635</v>
      </c>
      <c r="C543" t="s">
        <v>843</v>
      </c>
      <c r="D543" t="s">
        <v>250</v>
      </c>
      <c r="E543" t="s">
        <v>2615</v>
      </c>
      <c r="F543" t="s">
        <v>2627</v>
      </c>
      <c r="G543" t="s">
        <v>144</v>
      </c>
      <c r="H543" t="s">
        <v>2647</v>
      </c>
      <c r="I543" t="s">
        <v>84</v>
      </c>
      <c r="J543">
        <v>46</v>
      </c>
      <c r="K543">
        <v>67.58</v>
      </c>
      <c r="L543">
        <v>38.020000000000003</v>
      </c>
      <c r="M543">
        <v>0.15</v>
      </c>
      <c r="N543" t="s">
        <v>45</v>
      </c>
    </row>
    <row r="544" spans="1:14" x14ac:dyDescent="0.25">
      <c r="A544" t="s">
        <v>1000</v>
      </c>
      <c r="B544" s="2">
        <v>45521</v>
      </c>
      <c r="C544" t="s">
        <v>497</v>
      </c>
      <c r="D544" t="s">
        <v>49</v>
      </c>
      <c r="E544" t="s">
        <v>2617</v>
      </c>
      <c r="F544" t="s">
        <v>2626</v>
      </c>
      <c r="G544" t="s">
        <v>253</v>
      </c>
      <c r="H544" t="s">
        <v>2647</v>
      </c>
      <c r="I544" t="s">
        <v>84</v>
      </c>
      <c r="J544">
        <v>49</v>
      </c>
      <c r="K544">
        <v>26.25</v>
      </c>
      <c r="L544">
        <v>13.93</v>
      </c>
      <c r="M544">
        <v>0.1</v>
      </c>
      <c r="N544" t="s">
        <v>45</v>
      </c>
    </row>
    <row r="545" spans="1:14" x14ac:dyDescent="0.25">
      <c r="A545" t="s">
        <v>1001</v>
      </c>
      <c r="B545" s="2">
        <v>45299</v>
      </c>
      <c r="C545" t="s">
        <v>1002</v>
      </c>
      <c r="D545" t="s">
        <v>114</v>
      </c>
      <c r="E545" t="s">
        <v>2618</v>
      </c>
      <c r="F545" t="s">
        <v>2628</v>
      </c>
      <c r="G545" t="s">
        <v>195</v>
      </c>
      <c r="H545" t="s">
        <v>2647</v>
      </c>
      <c r="I545" t="s">
        <v>2578</v>
      </c>
      <c r="J545">
        <v>19</v>
      </c>
      <c r="K545">
        <v>35.119999999999997</v>
      </c>
      <c r="L545">
        <v>22.6</v>
      </c>
      <c r="M545">
        <v>0.2</v>
      </c>
      <c r="N545" t="s">
        <v>45</v>
      </c>
    </row>
    <row r="546" spans="1:14" x14ac:dyDescent="0.25">
      <c r="A546" t="s">
        <v>1003</v>
      </c>
      <c r="B546" s="2">
        <v>45415</v>
      </c>
      <c r="C546" t="s">
        <v>328</v>
      </c>
      <c r="D546" t="s">
        <v>114</v>
      </c>
      <c r="E546" t="s">
        <v>2615</v>
      </c>
      <c r="F546" t="s">
        <v>2623</v>
      </c>
      <c r="G546" t="s">
        <v>69</v>
      </c>
      <c r="H546" t="s">
        <v>2645</v>
      </c>
      <c r="I546" t="s">
        <v>75</v>
      </c>
      <c r="J546">
        <v>76</v>
      </c>
      <c r="K546">
        <v>36.46</v>
      </c>
      <c r="L546">
        <v>19.95</v>
      </c>
      <c r="M546">
        <v>0</v>
      </c>
      <c r="N546" t="s">
        <v>45</v>
      </c>
    </row>
    <row r="547" spans="1:14" x14ac:dyDescent="0.25">
      <c r="A547" t="s">
        <v>1004</v>
      </c>
      <c r="B547" s="2">
        <v>45621</v>
      </c>
      <c r="C547" t="s">
        <v>124</v>
      </c>
      <c r="D547" t="s">
        <v>23</v>
      </c>
      <c r="E547" t="s">
        <v>2615</v>
      </c>
      <c r="F547" t="s">
        <v>2630</v>
      </c>
      <c r="G547" t="s">
        <v>152</v>
      </c>
      <c r="H547" t="s">
        <v>2646</v>
      </c>
      <c r="I547" t="s">
        <v>44</v>
      </c>
      <c r="J547">
        <v>72</v>
      </c>
      <c r="K547">
        <v>75.69</v>
      </c>
      <c r="L547">
        <v>45.62</v>
      </c>
      <c r="M547">
        <v>0</v>
      </c>
      <c r="N547" t="s">
        <v>32</v>
      </c>
    </row>
    <row r="548" spans="1:14" x14ac:dyDescent="0.25">
      <c r="A548" t="s">
        <v>1005</v>
      </c>
      <c r="B548" s="2">
        <v>45577</v>
      </c>
      <c r="C548" t="s">
        <v>608</v>
      </c>
      <c r="D548" t="s">
        <v>250</v>
      </c>
      <c r="E548" t="s">
        <v>2615</v>
      </c>
      <c r="F548" t="s">
        <v>2623</v>
      </c>
      <c r="G548" t="s">
        <v>42</v>
      </c>
      <c r="H548" t="s">
        <v>2648</v>
      </c>
      <c r="I548" t="s">
        <v>2578</v>
      </c>
      <c r="J548">
        <v>72</v>
      </c>
      <c r="K548">
        <v>63.33</v>
      </c>
      <c r="L548">
        <v>39.369999999999997</v>
      </c>
      <c r="M548">
        <v>0.1</v>
      </c>
      <c r="N548" t="s">
        <v>129</v>
      </c>
    </row>
    <row r="549" spans="1:14" x14ac:dyDescent="0.25">
      <c r="A549" t="s">
        <v>1006</v>
      </c>
      <c r="B549" s="2">
        <v>45652</v>
      </c>
      <c r="C549" t="s">
        <v>917</v>
      </c>
      <c r="D549" t="s">
        <v>78</v>
      </c>
      <c r="E549" t="s">
        <v>2614</v>
      </c>
      <c r="F549" t="s">
        <v>2629</v>
      </c>
      <c r="G549" t="s">
        <v>83</v>
      </c>
      <c r="H549" t="s">
        <v>2648</v>
      </c>
      <c r="I549" t="s">
        <v>84</v>
      </c>
      <c r="J549">
        <v>51</v>
      </c>
      <c r="K549">
        <v>132.97999999999999</v>
      </c>
      <c r="L549">
        <v>79.180000000000007</v>
      </c>
      <c r="M549">
        <v>0.15</v>
      </c>
      <c r="N549" t="s">
        <v>45</v>
      </c>
    </row>
    <row r="550" spans="1:14" x14ac:dyDescent="0.25">
      <c r="A550" t="s">
        <v>1007</v>
      </c>
      <c r="B550" s="2">
        <v>45392</v>
      </c>
      <c r="C550" t="s">
        <v>911</v>
      </c>
      <c r="D550" t="s">
        <v>250</v>
      </c>
      <c r="E550" t="s">
        <v>2614</v>
      </c>
      <c r="F550" t="s">
        <v>2622</v>
      </c>
      <c r="G550" t="s">
        <v>218</v>
      </c>
      <c r="H550" t="s">
        <v>2645</v>
      </c>
      <c r="I550" t="s">
        <v>70</v>
      </c>
      <c r="J550">
        <v>27</v>
      </c>
      <c r="K550">
        <v>67.319999999999993</v>
      </c>
      <c r="L550">
        <v>38.950000000000003</v>
      </c>
      <c r="M550">
        <v>0.02</v>
      </c>
      <c r="N550" t="s">
        <v>129</v>
      </c>
    </row>
    <row r="551" spans="1:14" x14ac:dyDescent="0.25">
      <c r="A551" t="s">
        <v>1008</v>
      </c>
      <c r="B551" s="2">
        <v>45599</v>
      </c>
      <c r="C551" t="s">
        <v>276</v>
      </c>
      <c r="D551" t="s">
        <v>93</v>
      </c>
      <c r="E551" t="s">
        <v>2616</v>
      </c>
      <c r="F551" t="s">
        <v>2631</v>
      </c>
      <c r="G551" t="s">
        <v>170</v>
      </c>
      <c r="H551" t="s">
        <v>2648</v>
      </c>
      <c r="I551" t="s">
        <v>84</v>
      </c>
      <c r="J551">
        <v>53</v>
      </c>
      <c r="K551">
        <v>54.39</v>
      </c>
      <c r="L551">
        <v>30.17</v>
      </c>
      <c r="M551">
        <v>0.2</v>
      </c>
      <c r="N551" t="s">
        <v>32</v>
      </c>
    </row>
    <row r="552" spans="1:14" x14ac:dyDescent="0.25">
      <c r="A552" t="s">
        <v>1009</v>
      </c>
      <c r="B552" s="2">
        <v>45528</v>
      </c>
      <c r="C552" t="s">
        <v>397</v>
      </c>
      <c r="D552" t="s">
        <v>150</v>
      </c>
      <c r="E552" t="s">
        <v>2615</v>
      </c>
      <c r="F552" t="s">
        <v>2630</v>
      </c>
      <c r="G552" t="s">
        <v>60</v>
      </c>
      <c r="H552" t="s">
        <v>2647</v>
      </c>
      <c r="I552" t="s">
        <v>75</v>
      </c>
      <c r="J552">
        <v>71</v>
      </c>
      <c r="K552">
        <v>79.05</v>
      </c>
      <c r="L552">
        <v>50.66</v>
      </c>
      <c r="M552">
        <v>0.05</v>
      </c>
      <c r="N552" t="s">
        <v>45</v>
      </c>
    </row>
    <row r="553" spans="1:14" x14ac:dyDescent="0.25">
      <c r="A553" t="s">
        <v>1010</v>
      </c>
      <c r="B553" s="2">
        <v>45320</v>
      </c>
      <c r="C553" t="s">
        <v>535</v>
      </c>
      <c r="D553" t="s">
        <v>209</v>
      </c>
      <c r="E553" t="s">
        <v>2614</v>
      </c>
      <c r="F553" t="s">
        <v>2629</v>
      </c>
      <c r="G553" t="s">
        <v>178</v>
      </c>
      <c r="H553" t="s">
        <v>2646</v>
      </c>
      <c r="I553" t="s">
        <v>2578</v>
      </c>
      <c r="J553">
        <v>44</v>
      </c>
      <c r="K553">
        <v>17.329999999999998</v>
      </c>
      <c r="L553">
        <v>10.48</v>
      </c>
      <c r="M553">
        <v>0.2</v>
      </c>
      <c r="N553" t="s">
        <v>129</v>
      </c>
    </row>
    <row r="554" spans="1:14" x14ac:dyDescent="0.25">
      <c r="A554" t="s">
        <v>1011</v>
      </c>
      <c r="B554" s="2">
        <v>45335</v>
      </c>
      <c r="C554" t="s">
        <v>175</v>
      </c>
      <c r="D554" t="s">
        <v>114</v>
      </c>
      <c r="E554" t="s">
        <v>2618</v>
      </c>
      <c r="F554" t="s">
        <v>2634</v>
      </c>
      <c r="G554" t="s">
        <v>60</v>
      </c>
      <c r="H554" t="s">
        <v>2647</v>
      </c>
      <c r="I554" t="s">
        <v>2578</v>
      </c>
      <c r="J554">
        <v>63</v>
      </c>
      <c r="K554">
        <v>35.6</v>
      </c>
      <c r="L554">
        <v>19.89</v>
      </c>
      <c r="M554">
        <v>0</v>
      </c>
      <c r="N554" t="s">
        <v>32</v>
      </c>
    </row>
    <row r="555" spans="1:14" x14ac:dyDescent="0.25">
      <c r="A555" t="s">
        <v>1012</v>
      </c>
      <c r="B555" s="2">
        <v>45331</v>
      </c>
      <c r="C555" t="s">
        <v>1013</v>
      </c>
      <c r="D555" t="s">
        <v>132</v>
      </c>
      <c r="E555" t="s">
        <v>2615</v>
      </c>
      <c r="F555" t="s">
        <v>2630</v>
      </c>
      <c r="G555" t="s">
        <v>69</v>
      </c>
      <c r="H555" t="s">
        <v>2648</v>
      </c>
      <c r="I555" t="s">
        <v>2578</v>
      </c>
      <c r="J555">
        <v>67</v>
      </c>
      <c r="K555">
        <v>57.79</v>
      </c>
      <c r="L555">
        <v>31.59</v>
      </c>
      <c r="M555">
        <v>0.1</v>
      </c>
      <c r="N555" t="s">
        <v>45</v>
      </c>
    </row>
    <row r="556" spans="1:14" x14ac:dyDescent="0.25">
      <c r="A556" t="s">
        <v>1014</v>
      </c>
      <c r="B556" s="2">
        <v>45388</v>
      </c>
      <c r="C556" t="s">
        <v>864</v>
      </c>
      <c r="D556" t="s">
        <v>66</v>
      </c>
      <c r="E556" t="s">
        <v>2615</v>
      </c>
      <c r="F556" t="s">
        <v>2623</v>
      </c>
      <c r="G556" t="s">
        <v>60</v>
      </c>
      <c r="H556" t="s">
        <v>2647</v>
      </c>
      <c r="I556" t="s">
        <v>70</v>
      </c>
      <c r="J556">
        <v>76</v>
      </c>
      <c r="K556">
        <v>162.51</v>
      </c>
      <c r="L556">
        <v>107.92</v>
      </c>
      <c r="M556">
        <v>0.2</v>
      </c>
      <c r="N556" t="s">
        <v>45</v>
      </c>
    </row>
    <row r="557" spans="1:14" x14ac:dyDescent="0.25">
      <c r="A557" t="s">
        <v>1015</v>
      </c>
      <c r="B557" s="2">
        <v>45399</v>
      </c>
      <c r="C557" t="s">
        <v>64</v>
      </c>
      <c r="D557" t="s">
        <v>49</v>
      </c>
      <c r="E557" t="s">
        <v>2615</v>
      </c>
      <c r="F557" t="s">
        <v>2640</v>
      </c>
      <c r="G557" t="s">
        <v>118</v>
      </c>
      <c r="H557" t="s">
        <v>2648</v>
      </c>
      <c r="I557" t="s">
        <v>2578</v>
      </c>
      <c r="J557">
        <v>1</v>
      </c>
      <c r="K557">
        <v>26.75</v>
      </c>
      <c r="L557">
        <v>12.09</v>
      </c>
      <c r="M557">
        <v>0</v>
      </c>
      <c r="N557" t="s">
        <v>45</v>
      </c>
    </row>
    <row r="558" spans="1:14" x14ac:dyDescent="0.25">
      <c r="A558" t="s">
        <v>1016</v>
      </c>
      <c r="B558" s="2">
        <v>45359</v>
      </c>
      <c r="C558" t="s">
        <v>456</v>
      </c>
      <c r="D558" t="s">
        <v>250</v>
      </c>
      <c r="E558" t="s">
        <v>2615</v>
      </c>
      <c r="F558" t="s">
        <v>2640</v>
      </c>
      <c r="G558" t="s">
        <v>42</v>
      </c>
      <c r="H558" t="s">
        <v>2648</v>
      </c>
      <c r="I558" t="s">
        <v>2578</v>
      </c>
      <c r="J558">
        <v>60</v>
      </c>
      <c r="K558">
        <v>65</v>
      </c>
      <c r="L558">
        <v>39.159999999999997</v>
      </c>
      <c r="M558">
        <v>0.1</v>
      </c>
      <c r="N558" t="s">
        <v>45</v>
      </c>
    </row>
    <row r="559" spans="1:14" x14ac:dyDescent="0.25">
      <c r="A559" t="s">
        <v>1017</v>
      </c>
      <c r="B559" s="2">
        <v>45332</v>
      </c>
      <c r="C559" t="s">
        <v>515</v>
      </c>
      <c r="D559" t="s">
        <v>126</v>
      </c>
      <c r="E559" t="s">
        <v>2618</v>
      </c>
      <c r="F559" t="s">
        <v>2635</v>
      </c>
      <c r="G559" t="s">
        <v>74</v>
      </c>
      <c r="H559" t="s">
        <v>2648</v>
      </c>
      <c r="I559" t="s">
        <v>2578</v>
      </c>
      <c r="J559">
        <v>7</v>
      </c>
      <c r="K559">
        <v>93.6</v>
      </c>
      <c r="L559">
        <v>50.05</v>
      </c>
      <c r="M559">
        <v>0.05</v>
      </c>
      <c r="N559" t="s">
        <v>45</v>
      </c>
    </row>
    <row r="560" spans="1:14" x14ac:dyDescent="0.25">
      <c r="A560" t="s">
        <v>1018</v>
      </c>
      <c r="B560" s="2">
        <v>45444</v>
      </c>
      <c r="C560" t="s">
        <v>34</v>
      </c>
      <c r="D560" t="s">
        <v>109</v>
      </c>
      <c r="E560" t="s">
        <v>2616</v>
      </c>
      <c r="F560" t="s">
        <v>2631</v>
      </c>
      <c r="G560" t="s">
        <v>83</v>
      </c>
      <c r="H560" t="s">
        <v>2646</v>
      </c>
      <c r="I560" t="s">
        <v>44</v>
      </c>
      <c r="J560">
        <v>74</v>
      </c>
      <c r="K560">
        <v>118.2</v>
      </c>
      <c r="L560">
        <v>73.540000000000006</v>
      </c>
      <c r="M560">
        <v>0.02</v>
      </c>
      <c r="N560" t="s">
        <v>45</v>
      </c>
    </row>
    <row r="561" spans="1:14" x14ac:dyDescent="0.25">
      <c r="A561" t="s">
        <v>1019</v>
      </c>
      <c r="B561" s="2">
        <v>45472</v>
      </c>
      <c r="C561" t="s">
        <v>466</v>
      </c>
      <c r="D561" t="s">
        <v>222</v>
      </c>
      <c r="E561" t="s">
        <v>2617</v>
      </c>
      <c r="F561" t="s">
        <v>2626</v>
      </c>
      <c r="G561" t="s">
        <v>69</v>
      </c>
      <c r="H561" t="s">
        <v>2646</v>
      </c>
      <c r="I561" t="s">
        <v>70</v>
      </c>
      <c r="J561">
        <v>51</v>
      </c>
      <c r="K561">
        <v>113.08</v>
      </c>
      <c r="L561">
        <v>82.18</v>
      </c>
      <c r="M561">
        <v>0.1</v>
      </c>
      <c r="N561" t="s">
        <v>45</v>
      </c>
    </row>
    <row r="562" spans="1:14" x14ac:dyDescent="0.25">
      <c r="A562" t="s">
        <v>1020</v>
      </c>
      <c r="B562" s="2">
        <v>45516</v>
      </c>
      <c r="C562" t="s">
        <v>146</v>
      </c>
      <c r="D562" t="s">
        <v>216</v>
      </c>
      <c r="E562" t="s">
        <v>2616</v>
      </c>
      <c r="F562" t="s">
        <v>2633</v>
      </c>
      <c r="G562" t="s">
        <v>118</v>
      </c>
      <c r="H562" t="s">
        <v>2646</v>
      </c>
      <c r="I562" t="s">
        <v>75</v>
      </c>
      <c r="J562">
        <v>69</v>
      </c>
      <c r="K562">
        <v>117.18</v>
      </c>
      <c r="L562">
        <v>69.77</v>
      </c>
      <c r="M562">
        <v>0.2</v>
      </c>
      <c r="N562" t="s">
        <v>45</v>
      </c>
    </row>
    <row r="563" spans="1:14" x14ac:dyDescent="0.25">
      <c r="A563" t="s">
        <v>1021</v>
      </c>
      <c r="B563" s="2">
        <v>45503</v>
      </c>
      <c r="C563" t="s">
        <v>92</v>
      </c>
      <c r="D563" t="s">
        <v>141</v>
      </c>
      <c r="E563" t="s">
        <v>2616</v>
      </c>
      <c r="F563" t="s">
        <v>2638</v>
      </c>
      <c r="G563" t="s">
        <v>152</v>
      </c>
      <c r="H563" t="s">
        <v>2645</v>
      </c>
      <c r="I563" t="s">
        <v>70</v>
      </c>
      <c r="J563">
        <v>27</v>
      </c>
      <c r="K563">
        <v>98.81</v>
      </c>
      <c r="L563">
        <v>60.36</v>
      </c>
      <c r="M563">
        <v>0.1</v>
      </c>
      <c r="N563" t="s">
        <v>129</v>
      </c>
    </row>
    <row r="564" spans="1:14" x14ac:dyDescent="0.25">
      <c r="A564" t="s">
        <v>1022</v>
      </c>
      <c r="B564" s="2">
        <v>45307</v>
      </c>
      <c r="C564" t="s">
        <v>794</v>
      </c>
      <c r="D564" t="s">
        <v>93</v>
      </c>
      <c r="E564" t="s">
        <v>2617</v>
      </c>
      <c r="F564" t="s">
        <v>2642</v>
      </c>
      <c r="G564" t="s">
        <v>248</v>
      </c>
      <c r="H564" t="s">
        <v>2647</v>
      </c>
      <c r="I564" t="s">
        <v>44</v>
      </c>
      <c r="J564">
        <v>27</v>
      </c>
      <c r="K564">
        <v>59.22</v>
      </c>
      <c r="L564">
        <v>32.53</v>
      </c>
      <c r="M564">
        <v>0.15</v>
      </c>
      <c r="N564" t="s">
        <v>45</v>
      </c>
    </row>
    <row r="565" spans="1:14" x14ac:dyDescent="0.25">
      <c r="A565" t="s">
        <v>1023</v>
      </c>
      <c r="B565" s="2">
        <v>45618</v>
      </c>
      <c r="C565" t="s">
        <v>371</v>
      </c>
      <c r="D565" t="s">
        <v>93</v>
      </c>
      <c r="E565" t="s">
        <v>2615</v>
      </c>
      <c r="F565" t="s">
        <v>2627</v>
      </c>
      <c r="G565" t="s">
        <v>74</v>
      </c>
      <c r="H565" t="s">
        <v>2647</v>
      </c>
      <c r="I565" t="s">
        <v>44</v>
      </c>
      <c r="J565">
        <v>58</v>
      </c>
      <c r="K565">
        <v>56.18</v>
      </c>
      <c r="L565">
        <v>30.09</v>
      </c>
      <c r="M565">
        <v>0.2</v>
      </c>
      <c r="N565" t="s">
        <v>45</v>
      </c>
    </row>
    <row r="566" spans="1:14" x14ac:dyDescent="0.25">
      <c r="A566" t="s">
        <v>1024</v>
      </c>
      <c r="B566" s="2">
        <v>45618</v>
      </c>
      <c r="C566" t="s">
        <v>1025</v>
      </c>
      <c r="D566" t="s">
        <v>114</v>
      </c>
      <c r="E566" t="s">
        <v>2617</v>
      </c>
      <c r="F566" t="s">
        <v>2626</v>
      </c>
      <c r="G566" t="s">
        <v>118</v>
      </c>
      <c r="H566" t="s">
        <v>2646</v>
      </c>
      <c r="I566" t="s">
        <v>84</v>
      </c>
      <c r="J566">
        <v>72</v>
      </c>
      <c r="K566">
        <v>35.6</v>
      </c>
      <c r="L566">
        <v>20.36</v>
      </c>
      <c r="M566">
        <v>0.02</v>
      </c>
      <c r="N566" t="s">
        <v>32</v>
      </c>
    </row>
    <row r="567" spans="1:14" x14ac:dyDescent="0.25">
      <c r="A567" t="s">
        <v>1026</v>
      </c>
      <c r="B567" s="2">
        <v>45648</v>
      </c>
      <c r="C567" t="s">
        <v>361</v>
      </c>
      <c r="D567" t="s">
        <v>66</v>
      </c>
      <c r="E567" t="s">
        <v>2616</v>
      </c>
      <c r="F567" t="s">
        <v>2638</v>
      </c>
      <c r="G567" t="s">
        <v>178</v>
      </c>
      <c r="H567" t="s">
        <v>2647</v>
      </c>
      <c r="I567" t="s">
        <v>44</v>
      </c>
      <c r="J567">
        <v>78</v>
      </c>
      <c r="K567">
        <v>152.91999999999999</v>
      </c>
      <c r="L567">
        <v>111.71</v>
      </c>
      <c r="M567">
        <v>0.2</v>
      </c>
      <c r="N567" t="s">
        <v>45</v>
      </c>
    </row>
    <row r="568" spans="1:14" x14ac:dyDescent="0.25">
      <c r="A568" t="s">
        <v>1027</v>
      </c>
      <c r="B568" s="2">
        <v>45606</v>
      </c>
      <c r="C568" t="s">
        <v>1028</v>
      </c>
      <c r="D568" t="s">
        <v>250</v>
      </c>
      <c r="E568" t="s">
        <v>2618</v>
      </c>
      <c r="F568" t="s">
        <v>2632</v>
      </c>
      <c r="G568" t="s">
        <v>144</v>
      </c>
      <c r="H568" t="s">
        <v>2647</v>
      </c>
      <c r="I568" t="s">
        <v>44</v>
      </c>
      <c r="J568">
        <v>66</v>
      </c>
      <c r="K568">
        <v>66.03</v>
      </c>
      <c r="L568">
        <v>38.75</v>
      </c>
      <c r="M568">
        <v>0.1</v>
      </c>
      <c r="N568" t="s">
        <v>32</v>
      </c>
    </row>
    <row r="569" spans="1:14" x14ac:dyDescent="0.25">
      <c r="A569" t="s">
        <v>1029</v>
      </c>
      <c r="B569" s="2">
        <v>45596</v>
      </c>
      <c r="C569" t="s">
        <v>800</v>
      </c>
      <c r="D569" t="s">
        <v>176</v>
      </c>
      <c r="E569" t="s">
        <v>2616</v>
      </c>
      <c r="F569" t="s">
        <v>2624</v>
      </c>
      <c r="G569" t="s">
        <v>152</v>
      </c>
      <c r="H569" t="s">
        <v>2645</v>
      </c>
      <c r="I569" t="s">
        <v>84</v>
      </c>
      <c r="J569">
        <v>1</v>
      </c>
      <c r="K569">
        <v>112.65</v>
      </c>
      <c r="L569">
        <v>58.14</v>
      </c>
      <c r="M569">
        <v>0.05</v>
      </c>
      <c r="N569" t="s">
        <v>129</v>
      </c>
    </row>
    <row r="570" spans="1:14" x14ac:dyDescent="0.25">
      <c r="A570" t="s">
        <v>1031</v>
      </c>
      <c r="B570" s="2">
        <v>45440</v>
      </c>
      <c r="C570" t="s">
        <v>524</v>
      </c>
      <c r="D570" t="s">
        <v>176</v>
      </c>
      <c r="E570" t="s">
        <v>2617</v>
      </c>
      <c r="F570" t="s">
        <v>2641</v>
      </c>
      <c r="G570" t="s">
        <v>144</v>
      </c>
      <c r="H570" t="s">
        <v>2647</v>
      </c>
      <c r="I570" t="s">
        <v>75</v>
      </c>
      <c r="J570">
        <v>39</v>
      </c>
      <c r="K570">
        <v>111.62</v>
      </c>
      <c r="L570">
        <v>67.5</v>
      </c>
      <c r="M570">
        <v>0</v>
      </c>
      <c r="N570" t="s">
        <v>45</v>
      </c>
    </row>
    <row r="571" spans="1:14" x14ac:dyDescent="0.25">
      <c r="A571" t="s">
        <v>1032</v>
      </c>
      <c r="B571" s="2">
        <v>45394</v>
      </c>
      <c r="C571" t="s">
        <v>1033</v>
      </c>
      <c r="D571" t="s">
        <v>66</v>
      </c>
      <c r="E571" t="s">
        <v>2614</v>
      </c>
      <c r="F571" t="s">
        <v>2622</v>
      </c>
      <c r="G571" t="s">
        <v>265</v>
      </c>
      <c r="H571" t="s">
        <v>2646</v>
      </c>
      <c r="I571" t="s">
        <v>2578</v>
      </c>
      <c r="J571">
        <v>11</v>
      </c>
      <c r="K571">
        <v>158.09</v>
      </c>
      <c r="L571">
        <v>96.31</v>
      </c>
      <c r="M571">
        <v>0.02</v>
      </c>
      <c r="N571" t="s">
        <v>129</v>
      </c>
    </row>
    <row r="572" spans="1:14" x14ac:dyDescent="0.25">
      <c r="A572" t="s">
        <v>1034</v>
      </c>
      <c r="B572" s="2">
        <v>45568</v>
      </c>
      <c r="C572" t="s">
        <v>859</v>
      </c>
      <c r="D572" t="s">
        <v>36</v>
      </c>
      <c r="E572" t="s">
        <v>2616</v>
      </c>
      <c r="F572" t="s">
        <v>2638</v>
      </c>
      <c r="G572" t="s">
        <v>152</v>
      </c>
      <c r="H572" t="s">
        <v>2646</v>
      </c>
      <c r="I572" t="s">
        <v>84</v>
      </c>
      <c r="J572">
        <v>76</v>
      </c>
      <c r="K572">
        <v>163.56</v>
      </c>
      <c r="L572">
        <v>94.39</v>
      </c>
      <c r="M572">
        <v>0.05</v>
      </c>
      <c r="N572" t="s">
        <v>32</v>
      </c>
    </row>
    <row r="573" spans="1:14" x14ac:dyDescent="0.25">
      <c r="A573" t="s">
        <v>1035</v>
      </c>
      <c r="B573" s="2">
        <v>45527</v>
      </c>
      <c r="C573" t="s">
        <v>1036</v>
      </c>
      <c r="D573" t="s">
        <v>114</v>
      </c>
      <c r="E573" t="s">
        <v>2614</v>
      </c>
      <c r="F573" t="s">
        <v>2637</v>
      </c>
      <c r="G573" t="s">
        <v>29</v>
      </c>
      <c r="H573" t="s">
        <v>2648</v>
      </c>
      <c r="I573" t="s">
        <v>2578</v>
      </c>
      <c r="J573">
        <v>47</v>
      </c>
      <c r="K573">
        <v>35.99</v>
      </c>
      <c r="L573">
        <v>22.1</v>
      </c>
      <c r="M573">
        <v>0</v>
      </c>
      <c r="N573" t="s">
        <v>45</v>
      </c>
    </row>
    <row r="574" spans="1:14" x14ac:dyDescent="0.25">
      <c r="A574" t="s">
        <v>1037</v>
      </c>
      <c r="B574" s="2">
        <v>45598</v>
      </c>
      <c r="C574" t="s">
        <v>602</v>
      </c>
      <c r="D574" t="s">
        <v>23</v>
      </c>
      <c r="E574" t="s">
        <v>2616</v>
      </c>
      <c r="F574" t="s">
        <v>2633</v>
      </c>
      <c r="G574" t="s">
        <v>178</v>
      </c>
      <c r="H574" t="s">
        <v>2648</v>
      </c>
      <c r="I574" t="s">
        <v>2578</v>
      </c>
      <c r="J574">
        <v>14</v>
      </c>
      <c r="K574">
        <v>77.25</v>
      </c>
      <c r="L574">
        <v>40.96</v>
      </c>
      <c r="M574">
        <v>0.2</v>
      </c>
      <c r="N574" t="s">
        <v>129</v>
      </c>
    </row>
    <row r="575" spans="1:14" x14ac:dyDescent="0.25">
      <c r="A575" t="s">
        <v>1038</v>
      </c>
      <c r="B575" s="2">
        <v>45648</v>
      </c>
      <c r="C575" t="s">
        <v>449</v>
      </c>
      <c r="D575" t="s">
        <v>49</v>
      </c>
      <c r="E575" t="s">
        <v>2617</v>
      </c>
      <c r="F575" t="s">
        <v>2626</v>
      </c>
      <c r="G575" t="s">
        <v>69</v>
      </c>
      <c r="H575" t="s">
        <v>2645</v>
      </c>
      <c r="I575" t="s">
        <v>2578</v>
      </c>
      <c r="J575">
        <v>38</v>
      </c>
      <c r="K575">
        <v>25.92</v>
      </c>
      <c r="L575">
        <v>13.29</v>
      </c>
      <c r="M575" t="e">
        <f>ROUND(#REF!/#REF!,2)</f>
        <v>#REF!</v>
      </c>
      <c r="N575" t="s">
        <v>129</v>
      </c>
    </row>
    <row r="576" spans="1:14" x14ac:dyDescent="0.25">
      <c r="A576" t="s">
        <v>1039</v>
      </c>
      <c r="B576" s="2">
        <v>45636</v>
      </c>
      <c r="C576" t="s">
        <v>325</v>
      </c>
      <c r="D576" t="s">
        <v>126</v>
      </c>
      <c r="E576" t="s">
        <v>2615</v>
      </c>
      <c r="F576" t="s">
        <v>2623</v>
      </c>
      <c r="G576" t="s">
        <v>265</v>
      </c>
      <c r="H576" t="s">
        <v>2647</v>
      </c>
      <c r="I576" t="s">
        <v>84</v>
      </c>
      <c r="J576">
        <v>39</v>
      </c>
      <c r="K576">
        <v>90.29</v>
      </c>
      <c r="L576">
        <v>55.31</v>
      </c>
      <c r="M576">
        <v>0.15</v>
      </c>
      <c r="N576" t="s">
        <v>45</v>
      </c>
    </row>
    <row r="577" spans="1:14" x14ac:dyDescent="0.25">
      <c r="A577" t="s">
        <v>1040</v>
      </c>
      <c r="B577" s="2">
        <v>45452</v>
      </c>
      <c r="C577" t="s">
        <v>367</v>
      </c>
      <c r="D577" t="s">
        <v>23</v>
      </c>
      <c r="E577" t="s">
        <v>2615</v>
      </c>
      <c r="F577" t="s">
        <v>2623</v>
      </c>
      <c r="G577" t="s">
        <v>69</v>
      </c>
      <c r="H577" t="s">
        <v>2648</v>
      </c>
      <c r="I577" t="s">
        <v>84</v>
      </c>
      <c r="J577">
        <v>42</v>
      </c>
      <c r="K577">
        <v>72.75</v>
      </c>
      <c r="L577">
        <v>42.39</v>
      </c>
      <c r="M577">
        <v>0.02</v>
      </c>
      <c r="N577" t="s">
        <v>45</v>
      </c>
    </row>
    <row r="578" spans="1:14" x14ac:dyDescent="0.25">
      <c r="A578" t="s">
        <v>1041</v>
      </c>
      <c r="B578" s="2">
        <v>45638</v>
      </c>
      <c r="C578" t="s">
        <v>489</v>
      </c>
      <c r="D578" t="s">
        <v>209</v>
      </c>
      <c r="E578" t="s">
        <v>2616</v>
      </c>
      <c r="F578" t="s">
        <v>2624</v>
      </c>
      <c r="G578" t="s">
        <v>248</v>
      </c>
      <c r="H578" t="s">
        <v>2648</v>
      </c>
      <c r="I578" t="s">
        <v>44</v>
      </c>
      <c r="J578">
        <v>70</v>
      </c>
      <c r="K578">
        <v>17.03</v>
      </c>
      <c r="L578">
        <v>10.64</v>
      </c>
      <c r="M578">
        <v>0.02</v>
      </c>
      <c r="N578" t="s">
        <v>129</v>
      </c>
    </row>
    <row r="579" spans="1:14" x14ac:dyDescent="0.25">
      <c r="A579" t="s">
        <v>1043</v>
      </c>
      <c r="B579" s="2">
        <v>45391</v>
      </c>
      <c r="C579" t="s">
        <v>1044</v>
      </c>
      <c r="D579" t="s">
        <v>66</v>
      </c>
      <c r="E579" t="s">
        <v>2616</v>
      </c>
      <c r="F579" t="s">
        <v>2638</v>
      </c>
      <c r="G579" t="s">
        <v>74</v>
      </c>
      <c r="H579" t="s">
        <v>2645</v>
      </c>
      <c r="I579" t="s">
        <v>84</v>
      </c>
      <c r="J579">
        <v>56</v>
      </c>
      <c r="K579">
        <v>149.30000000000001</v>
      </c>
      <c r="L579">
        <v>111.79</v>
      </c>
      <c r="M579">
        <v>0.05</v>
      </c>
      <c r="N579" t="s">
        <v>129</v>
      </c>
    </row>
    <row r="580" spans="1:14" x14ac:dyDescent="0.25">
      <c r="A580" t="s">
        <v>1045</v>
      </c>
      <c r="B580" s="2">
        <v>45642</v>
      </c>
      <c r="C580" t="s">
        <v>931</v>
      </c>
      <c r="D580" t="s">
        <v>222</v>
      </c>
      <c r="E580" t="s">
        <v>2618</v>
      </c>
      <c r="F580" t="s">
        <v>2635</v>
      </c>
      <c r="G580" t="s">
        <v>152</v>
      </c>
      <c r="H580" t="s">
        <v>2645</v>
      </c>
      <c r="I580" t="s">
        <v>2619</v>
      </c>
      <c r="J580">
        <v>79</v>
      </c>
      <c r="K580">
        <v>111.36</v>
      </c>
      <c r="L580">
        <v>72.2</v>
      </c>
      <c r="M580">
        <v>0.15</v>
      </c>
      <c r="N580" t="s">
        <v>45</v>
      </c>
    </row>
    <row r="581" spans="1:14" x14ac:dyDescent="0.25">
      <c r="A581" t="s">
        <v>1046</v>
      </c>
      <c r="B581" s="2">
        <v>45364</v>
      </c>
      <c r="C581" t="s">
        <v>1047</v>
      </c>
      <c r="D581" t="s">
        <v>165</v>
      </c>
      <c r="E581" t="s">
        <v>2616</v>
      </c>
      <c r="F581" t="s">
        <v>2624</v>
      </c>
      <c r="G581" t="s">
        <v>253</v>
      </c>
      <c r="H581" t="s">
        <v>2646</v>
      </c>
      <c r="I581" t="s">
        <v>2578</v>
      </c>
      <c r="J581">
        <v>41</v>
      </c>
      <c r="K581">
        <v>44.83</v>
      </c>
      <c r="L581">
        <v>25.78</v>
      </c>
      <c r="M581">
        <v>0.2</v>
      </c>
      <c r="N581" t="s">
        <v>129</v>
      </c>
    </row>
    <row r="582" spans="1:14" x14ac:dyDescent="0.25">
      <c r="A582" t="s">
        <v>1048</v>
      </c>
      <c r="B582" s="2">
        <v>45350</v>
      </c>
      <c r="C582" t="s">
        <v>295</v>
      </c>
      <c r="D582" t="s">
        <v>176</v>
      </c>
      <c r="E582" t="s">
        <v>2617</v>
      </c>
      <c r="F582" t="s">
        <v>2625</v>
      </c>
      <c r="G582" t="s">
        <v>195</v>
      </c>
      <c r="H582" t="s">
        <v>2645</v>
      </c>
      <c r="I582" t="s">
        <v>44</v>
      </c>
      <c r="J582">
        <v>60</v>
      </c>
      <c r="K582">
        <v>108.56</v>
      </c>
      <c r="L582">
        <v>60.35</v>
      </c>
      <c r="M582">
        <v>0</v>
      </c>
      <c r="N582" t="s">
        <v>45</v>
      </c>
    </row>
    <row r="583" spans="1:14" x14ac:dyDescent="0.25">
      <c r="A583" t="s">
        <v>1049</v>
      </c>
      <c r="B583" s="2">
        <v>45335</v>
      </c>
      <c r="C583" t="s">
        <v>565</v>
      </c>
      <c r="D583" t="s">
        <v>109</v>
      </c>
      <c r="E583" t="s">
        <v>2618</v>
      </c>
      <c r="F583" t="s">
        <v>2635</v>
      </c>
      <c r="G583" t="s">
        <v>111</v>
      </c>
      <c r="H583" t="s">
        <v>2646</v>
      </c>
      <c r="I583" t="s">
        <v>70</v>
      </c>
      <c r="J583">
        <v>10</v>
      </c>
      <c r="K583">
        <v>134.76</v>
      </c>
      <c r="L583">
        <v>73.459999999999994</v>
      </c>
      <c r="M583">
        <v>0</v>
      </c>
      <c r="N583" t="s">
        <v>129</v>
      </c>
    </row>
    <row r="584" spans="1:14" x14ac:dyDescent="0.25">
      <c r="A584" t="s">
        <v>1050</v>
      </c>
      <c r="B584" s="2">
        <v>45385</v>
      </c>
      <c r="C584" t="s">
        <v>878</v>
      </c>
      <c r="D584" t="s">
        <v>49</v>
      </c>
      <c r="E584" t="s">
        <v>2618</v>
      </c>
      <c r="F584" t="s">
        <v>2634</v>
      </c>
      <c r="G584" t="s">
        <v>248</v>
      </c>
      <c r="H584" t="s">
        <v>2645</v>
      </c>
      <c r="I584" t="s">
        <v>84</v>
      </c>
      <c r="J584">
        <v>18</v>
      </c>
      <c r="K584">
        <v>24.44</v>
      </c>
      <c r="L584">
        <v>12.15</v>
      </c>
      <c r="M584">
        <v>0.05</v>
      </c>
      <c r="N584" t="s">
        <v>129</v>
      </c>
    </row>
    <row r="585" spans="1:14" x14ac:dyDescent="0.25">
      <c r="A585" t="s">
        <v>1051</v>
      </c>
      <c r="B585" s="2">
        <v>45346</v>
      </c>
      <c r="C585" t="s">
        <v>86</v>
      </c>
      <c r="D585" t="s">
        <v>93</v>
      </c>
      <c r="E585" t="s">
        <v>2615</v>
      </c>
      <c r="F585" t="s">
        <v>2630</v>
      </c>
      <c r="G585" t="s">
        <v>74</v>
      </c>
      <c r="H585" t="s">
        <v>2648</v>
      </c>
      <c r="I585" t="s">
        <v>75</v>
      </c>
      <c r="J585">
        <v>78</v>
      </c>
      <c r="K585">
        <v>54.61</v>
      </c>
      <c r="L585">
        <v>31.33</v>
      </c>
      <c r="M585">
        <v>0.02</v>
      </c>
      <c r="N585" t="s">
        <v>45</v>
      </c>
    </row>
    <row r="586" spans="1:14" x14ac:dyDescent="0.25">
      <c r="A586" t="s">
        <v>1052</v>
      </c>
      <c r="B586" s="2">
        <v>45509</v>
      </c>
      <c r="C586" t="s">
        <v>567</v>
      </c>
      <c r="D586" t="s">
        <v>250</v>
      </c>
      <c r="E586" t="s">
        <v>2618</v>
      </c>
      <c r="F586" t="s">
        <v>2634</v>
      </c>
      <c r="G586" t="s">
        <v>261</v>
      </c>
      <c r="H586" t="s">
        <v>2645</v>
      </c>
      <c r="I586" t="s">
        <v>2578</v>
      </c>
      <c r="J586">
        <v>17</v>
      </c>
      <c r="K586">
        <v>61.49</v>
      </c>
      <c r="L586">
        <v>38.58</v>
      </c>
      <c r="M586">
        <v>0.02</v>
      </c>
      <c r="N586" t="s">
        <v>45</v>
      </c>
    </row>
    <row r="587" spans="1:14" x14ac:dyDescent="0.25">
      <c r="A587" t="s">
        <v>1053</v>
      </c>
      <c r="B587" s="2">
        <v>45417</v>
      </c>
      <c r="C587" t="s">
        <v>131</v>
      </c>
      <c r="D587" t="s">
        <v>126</v>
      </c>
      <c r="E587" t="s">
        <v>2616</v>
      </c>
      <c r="F587" t="s">
        <v>2633</v>
      </c>
      <c r="G587" t="s">
        <v>74</v>
      </c>
      <c r="H587" t="s">
        <v>2647</v>
      </c>
      <c r="I587" t="s">
        <v>70</v>
      </c>
      <c r="J587">
        <v>61</v>
      </c>
      <c r="K587">
        <v>93.41</v>
      </c>
      <c r="L587">
        <v>56.08</v>
      </c>
      <c r="M587">
        <v>0.05</v>
      </c>
      <c r="N587" t="s">
        <v>45</v>
      </c>
    </row>
    <row r="588" spans="1:14" x14ac:dyDescent="0.25">
      <c r="A588" t="s">
        <v>1054</v>
      </c>
      <c r="B588" s="2">
        <v>45493</v>
      </c>
      <c r="C588" t="s">
        <v>933</v>
      </c>
      <c r="D588" t="s">
        <v>150</v>
      </c>
      <c r="E588" t="s">
        <v>2615</v>
      </c>
      <c r="F588" t="s">
        <v>2630</v>
      </c>
      <c r="G588" t="s">
        <v>261</v>
      </c>
      <c r="H588" t="s">
        <v>2648</v>
      </c>
      <c r="I588" t="s">
        <v>70</v>
      </c>
      <c r="J588">
        <v>6</v>
      </c>
      <c r="K588">
        <v>79.69</v>
      </c>
      <c r="L588">
        <v>51.39</v>
      </c>
      <c r="M588">
        <v>0.02</v>
      </c>
      <c r="N588" t="s">
        <v>129</v>
      </c>
    </row>
    <row r="589" spans="1:14" x14ac:dyDescent="0.25">
      <c r="A589" t="s">
        <v>1055</v>
      </c>
      <c r="B589" s="2">
        <v>45601</v>
      </c>
      <c r="C589" t="s">
        <v>2619</v>
      </c>
      <c r="D589" t="s">
        <v>66</v>
      </c>
      <c r="E589" t="s">
        <v>2618</v>
      </c>
      <c r="F589" t="s">
        <v>2632</v>
      </c>
      <c r="G589" t="s">
        <v>144</v>
      </c>
      <c r="H589" t="s">
        <v>2647</v>
      </c>
      <c r="I589" t="s">
        <v>2578</v>
      </c>
      <c r="J589">
        <v>75</v>
      </c>
      <c r="K589">
        <v>155.24</v>
      </c>
      <c r="L589">
        <v>104.63</v>
      </c>
      <c r="M589">
        <v>0.1</v>
      </c>
      <c r="N589" t="s">
        <v>45</v>
      </c>
    </row>
    <row r="590" spans="1:14" x14ac:dyDescent="0.25">
      <c r="A590" t="s">
        <v>1056</v>
      </c>
      <c r="B590" s="2">
        <v>45562</v>
      </c>
      <c r="C590" t="s">
        <v>461</v>
      </c>
      <c r="D590" t="s">
        <v>99</v>
      </c>
      <c r="E590" t="s">
        <v>2617</v>
      </c>
      <c r="F590" t="s">
        <v>2626</v>
      </c>
      <c r="G590" t="s">
        <v>42</v>
      </c>
      <c r="H590" t="s">
        <v>2648</v>
      </c>
      <c r="I590" t="s">
        <v>70</v>
      </c>
      <c r="J590">
        <v>56</v>
      </c>
      <c r="K590">
        <v>66.77</v>
      </c>
      <c r="L590">
        <v>42.03</v>
      </c>
      <c r="M590">
        <v>0</v>
      </c>
      <c r="N590" t="s">
        <v>32</v>
      </c>
    </row>
    <row r="591" spans="1:14" x14ac:dyDescent="0.25">
      <c r="A591" t="s">
        <v>1057</v>
      </c>
      <c r="B591" s="2">
        <v>45364</v>
      </c>
      <c r="C591" t="s">
        <v>477</v>
      </c>
      <c r="D591" t="s">
        <v>126</v>
      </c>
      <c r="E591" t="s">
        <v>2616</v>
      </c>
      <c r="F591" t="s">
        <v>2638</v>
      </c>
      <c r="G591" t="s">
        <v>60</v>
      </c>
      <c r="H591" t="s">
        <v>2648</v>
      </c>
      <c r="I591" t="s">
        <v>2578</v>
      </c>
      <c r="J591">
        <v>50</v>
      </c>
      <c r="K591">
        <v>88.89</v>
      </c>
      <c r="L591">
        <v>51.33</v>
      </c>
      <c r="M591">
        <v>0.1</v>
      </c>
      <c r="N591" t="s">
        <v>129</v>
      </c>
    </row>
    <row r="592" spans="1:14" x14ac:dyDescent="0.25">
      <c r="A592" t="s">
        <v>1058</v>
      </c>
      <c r="B592" s="2">
        <v>45510</v>
      </c>
      <c r="C592" t="s">
        <v>631</v>
      </c>
      <c r="D592" t="s">
        <v>222</v>
      </c>
      <c r="E592" t="s">
        <v>2616</v>
      </c>
      <c r="F592" t="s">
        <v>2624</v>
      </c>
      <c r="G592" t="s">
        <v>265</v>
      </c>
      <c r="H592" t="s">
        <v>2648</v>
      </c>
      <c r="I592" t="s">
        <v>70</v>
      </c>
      <c r="J592">
        <v>42</v>
      </c>
      <c r="K592">
        <v>127.08</v>
      </c>
      <c r="L592">
        <v>81.45</v>
      </c>
      <c r="M592">
        <v>0.05</v>
      </c>
      <c r="N592" t="s">
        <v>45</v>
      </c>
    </row>
    <row r="593" spans="1:14" x14ac:dyDescent="0.25">
      <c r="A593" t="s">
        <v>1059</v>
      </c>
      <c r="B593" s="2">
        <v>45383</v>
      </c>
      <c r="C593" t="s">
        <v>623</v>
      </c>
      <c r="D593" t="s">
        <v>23</v>
      </c>
      <c r="E593" t="s">
        <v>2618</v>
      </c>
      <c r="F593" t="s">
        <v>2635</v>
      </c>
      <c r="G593" t="s">
        <v>60</v>
      </c>
      <c r="H593" t="s">
        <v>2648</v>
      </c>
      <c r="I593" t="s">
        <v>70</v>
      </c>
      <c r="J593">
        <v>39</v>
      </c>
      <c r="K593">
        <v>72.42</v>
      </c>
      <c r="L593">
        <v>40.74</v>
      </c>
      <c r="M593">
        <v>0</v>
      </c>
      <c r="N593" t="s">
        <v>45</v>
      </c>
    </row>
    <row r="594" spans="1:14" x14ac:dyDescent="0.25">
      <c r="A594" t="s">
        <v>1060</v>
      </c>
      <c r="B594" s="2">
        <v>45563</v>
      </c>
      <c r="C594" t="s">
        <v>679</v>
      </c>
      <c r="D594" t="s">
        <v>93</v>
      </c>
      <c r="E594" t="s">
        <v>2618</v>
      </c>
      <c r="F594" t="s">
        <v>2635</v>
      </c>
      <c r="G594" t="s">
        <v>261</v>
      </c>
      <c r="H594" t="s">
        <v>2647</v>
      </c>
      <c r="I594" t="s">
        <v>70</v>
      </c>
      <c r="J594">
        <v>14</v>
      </c>
      <c r="K594">
        <v>53.83</v>
      </c>
      <c r="L594">
        <v>29.89</v>
      </c>
      <c r="M594">
        <v>0.05</v>
      </c>
      <c r="N594" t="s">
        <v>45</v>
      </c>
    </row>
    <row r="595" spans="1:14" x14ac:dyDescent="0.25">
      <c r="A595" t="s">
        <v>1061</v>
      </c>
      <c r="B595" s="2">
        <v>45622</v>
      </c>
      <c r="C595" t="s">
        <v>422</v>
      </c>
      <c r="D595" t="s">
        <v>216</v>
      </c>
      <c r="E595" t="s">
        <v>2616</v>
      </c>
      <c r="F595" t="s">
        <v>2624</v>
      </c>
      <c r="G595" t="s">
        <v>74</v>
      </c>
      <c r="H595" t="s">
        <v>2648</v>
      </c>
      <c r="I595" t="s">
        <v>70</v>
      </c>
      <c r="J595">
        <v>37</v>
      </c>
      <c r="K595">
        <v>111.56</v>
      </c>
      <c r="L595">
        <v>65.66</v>
      </c>
      <c r="M595">
        <v>0.02</v>
      </c>
      <c r="N595" t="s">
        <v>32</v>
      </c>
    </row>
    <row r="596" spans="1:14" x14ac:dyDescent="0.25">
      <c r="A596" t="s">
        <v>1062</v>
      </c>
      <c r="B596" s="2">
        <v>45608</v>
      </c>
      <c r="C596" t="s">
        <v>363</v>
      </c>
      <c r="D596" t="s">
        <v>216</v>
      </c>
      <c r="E596" t="s">
        <v>2617</v>
      </c>
      <c r="F596" t="s">
        <v>2625</v>
      </c>
      <c r="G596" t="s">
        <v>144</v>
      </c>
      <c r="H596" t="s">
        <v>2647</v>
      </c>
      <c r="I596" t="s">
        <v>44</v>
      </c>
      <c r="J596">
        <v>54</v>
      </c>
      <c r="K596">
        <v>101.46</v>
      </c>
      <c r="L596">
        <v>65.7</v>
      </c>
      <c r="M596">
        <v>0.02</v>
      </c>
      <c r="N596" t="s">
        <v>45</v>
      </c>
    </row>
    <row r="597" spans="1:14" x14ac:dyDescent="0.25">
      <c r="A597" t="s">
        <v>1063</v>
      </c>
      <c r="B597" s="2">
        <v>45475</v>
      </c>
      <c r="C597" t="s">
        <v>92</v>
      </c>
      <c r="D597" t="s">
        <v>250</v>
      </c>
      <c r="E597" t="s">
        <v>2617</v>
      </c>
      <c r="F597" t="s">
        <v>2642</v>
      </c>
      <c r="G597" t="s">
        <v>74</v>
      </c>
      <c r="H597" t="s">
        <v>2646</v>
      </c>
      <c r="I597" t="s">
        <v>84</v>
      </c>
      <c r="J597">
        <v>11</v>
      </c>
      <c r="K597">
        <v>67</v>
      </c>
      <c r="L597">
        <v>35.340000000000003</v>
      </c>
      <c r="M597">
        <v>0.05</v>
      </c>
      <c r="N597" t="s">
        <v>45</v>
      </c>
    </row>
    <row r="598" spans="1:14" x14ac:dyDescent="0.25">
      <c r="A598" t="s">
        <v>1064</v>
      </c>
      <c r="B598" s="2">
        <v>45495</v>
      </c>
      <c r="C598" t="s">
        <v>64</v>
      </c>
      <c r="D598" t="s">
        <v>187</v>
      </c>
      <c r="E598" t="s">
        <v>2615</v>
      </c>
      <c r="F598" t="s">
        <v>2630</v>
      </c>
      <c r="G598" t="s">
        <v>118</v>
      </c>
      <c r="H598" t="s">
        <v>2647</v>
      </c>
      <c r="I598" t="s">
        <v>84</v>
      </c>
      <c r="J598">
        <v>13</v>
      </c>
      <c r="K598">
        <v>46.04</v>
      </c>
      <c r="L598">
        <v>28.49</v>
      </c>
      <c r="M598">
        <v>0.2</v>
      </c>
      <c r="N598" t="s">
        <v>45</v>
      </c>
    </row>
    <row r="599" spans="1:14" x14ac:dyDescent="0.25">
      <c r="A599" t="s">
        <v>1065</v>
      </c>
      <c r="B599" s="2">
        <v>45539</v>
      </c>
      <c r="C599" t="s">
        <v>456</v>
      </c>
      <c r="D599" t="s">
        <v>66</v>
      </c>
      <c r="E599" t="s">
        <v>2617</v>
      </c>
      <c r="F599" t="s">
        <v>2626</v>
      </c>
      <c r="G599" t="s">
        <v>261</v>
      </c>
      <c r="H599" t="s">
        <v>2646</v>
      </c>
      <c r="I599" t="s">
        <v>44</v>
      </c>
      <c r="J599">
        <v>24</v>
      </c>
      <c r="K599">
        <v>162.12</v>
      </c>
      <c r="L599">
        <v>112.24</v>
      </c>
      <c r="M599">
        <v>0.02</v>
      </c>
      <c r="N599" t="s">
        <v>45</v>
      </c>
    </row>
    <row r="600" spans="1:14" x14ac:dyDescent="0.25">
      <c r="A600" t="s">
        <v>1067</v>
      </c>
      <c r="B600" s="2">
        <v>45372</v>
      </c>
      <c r="C600" t="s">
        <v>1068</v>
      </c>
      <c r="D600" t="s">
        <v>78</v>
      </c>
      <c r="E600" t="s">
        <v>2614</v>
      </c>
      <c r="F600" t="s">
        <v>2622</v>
      </c>
      <c r="G600" t="s">
        <v>83</v>
      </c>
      <c r="H600" t="s">
        <v>2646</v>
      </c>
      <c r="I600" t="s">
        <v>70</v>
      </c>
      <c r="J600">
        <v>64</v>
      </c>
      <c r="K600">
        <v>149.94999999999999</v>
      </c>
      <c r="L600">
        <v>75.959999999999994</v>
      </c>
      <c r="M600">
        <v>0</v>
      </c>
      <c r="N600" t="s">
        <v>45</v>
      </c>
    </row>
    <row r="601" spans="1:14" x14ac:dyDescent="0.25">
      <c r="A601" t="s">
        <v>1069</v>
      </c>
      <c r="B601" s="2">
        <v>45347</v>
      </c>
      <c r="C601" t="s">
        <v>653</v>
      </c>
      <c r="D601" t="s">
        <v>187</v>
      </c>
      <c r="E601" t="s">
        <v>2618</v>
      </c>
      <c r="F601" t="s">
        <v>2632</v>
      </c>
      <c r="G601" t="s">
        <v>184</v>
      </c>
      <c r="H601" t="s">
        <v>2647</v>
      </c>
      <c r="I601" t="s">
        <v>75</v>
      </c>
      <c r="J601">
        <v>16</v>
      </c>
      <c r="K601">
        <v>48.66</v>
      </c>
      <c r="L601">
        <v>30.71</v>
      </c>
      <c r="M601">
        <v>0.05</v>
      </c>
      <c r="N601" t="s">
        <v>45</v>
      </c>
    </row>
    <row r="602" spans="1:14" x14ac:dyDescent="0.25">
      <c r="A602" t="s">
        <v>1070</v>
      </c>
      <c r="B602" s="2">
        <v>45360</v>
      </c>
      <c r="C602" t="s">
        <v>1071</v>
      </c>
      <c r="D602" t="s">
        <v>150</v>
      </c>
      <c r="E602" t="s">
        <v>2615</v>
      </c>
      <c r="F602" t="s">
        <v>2630</v>
      </c>
      <c r="G602" t="s">
        <v>69</v>
      </c>
      <c r="H602" t="s">
        <v>2647</v>
      </c>
      <c r="I602" t="s">
        <v>70</v>
      </c>
      <c r="J602">
        <v>25</v>
      </c>
      <c r="K602">
        <v>0</v>
      </c>
      <c r="L602">
        <v>50.87</v>
      </c>
      <c r="M602">
        <v>0</v>
      </c>
      <c r="N602" t="s">
        <v>129</v>
      </c>
    </row>
    <row r="603" spans="1:14" x14ac:dyDescent="0.25">
      <c r="A603" t="s">
        <v>1072</v>
      </c>
      <c r="B603" s="2">
        <v>45655</v>
      </c>
      <c r="C603" t="s">
        <v>363</v>
      </c>
      <c r="D603" t="s">
        <v>222</v>
      </c>
      <c r="E603" t="s">
        <v>2616</v>
      </c>
      <c r="F603" t="s">
        <v>2638</v>
      </c>
      <c r="G603" t="s">
        <v>261</v>
      </c>
      <c r="H603" t="s">
        <v>2645</v>
      </c>
      <c r="I603" t="s">
        <v>44</v>
      </c>
      <c r="J603">
        <v>23</v>
      </c>
      <c r="K603">
        <v>116.52</v>
      </c>
      <c r="L603">
        <v>79.03</v>
      </c>
      <c r="M603">
        <v>0</v>
      </c>
      <c r="N603" t="s">
        <v>45</v>
      </c>
    </row>
    <row r="604" spans="1:14" x14ac:dyDescent="0.25">
      <c r="A604" t="s">
        <v>1073</v>
      </c>
      <c r="B604" s="2">
        <v>45363</v>
      </c>
      <c r="C604" t="s">
        <v>631</v>
      </c>
      <c r="D604" t="s">
        <v>222</v>
      </c>
      <c r="E604" t="s">
        <v>2614</v>
      </c>
      <c r="F604" t="s">
        <v>2637</v>
      </c>
      <c r="G604" t="s">
        <v>195</v>
      </c>
      <c r="H604" t="s">
        <v>2645</v>
      </c>
      <c r="I604" t="s">
        <v>75</v>
      </c>
      <c r="J604">
        <v>19</v>
      </c>
      <c r="K604">
        <v>127.65</v>
      </c>
      <c r="L604">
        <v>81.53</v>
      </c>
      <c r="M604">
        <v>0.1</v>
      </c>
      <c r="N604" t="s">
        <v>129</v>
      </c>
    </row>
    <row r="605" spans="1:14" x14ac:dyDescent="0.25">
      <c r="A605" t="s">
        <v>1074</v>
      </c>
      <c r="B605" s="2">
        <v>45476</v>
      </c>
      <c r="C605" t="s">
        <v>1075</v>
      </c>
      <c r="D605" t="s">
        <v>176</v>
      </c>
      <c r="E605" t="s">
        <v>2615</v>
      </c>
      <c r="F605" t="s">
        <v>2627</v>
      </c>
      <c r="G605" t="s">
        <v>261</v>
      </c>
      <c r="H605" t="s">
        <v>2647</v>
      </c>
      <c r="I605" t="s">
        <v>84</v>
      </c>
      <c r="J605">
        <v>56</v>
      </c>
      <c r="K605">
        <v>111.82</v>
      </c>
      <c r="L605">
        <v>58.08</v>
      </c>
      <c r="M605">
        <v>0</v>
      </c>
      <c r="N605" t="s">
        <v>45</v>
      </c>
    </row>
    <row r="606" spans="1:14" x14ac:dyDescent="0.25">
      <c r="A606" t="s">
        <v>1076</v>
      </c>
      <c r="B606" s="2">
        <v>45575</v>
      </c>
      <c r="C606" t="s">
        <v>495</v>
      </c>
      <c r="D606" t="s">
        <v>23</v>
      </c>
      <c r="E606" t="s">
        <v>2617</v>
      </c>
      <c r="F606" t="s">
        <v>2642</v>
      </c>
      <c r="G606" t="s">
        <v>69</v>
      </c>
      <c r="H606" t="s">
        <v>2648</v>
      </c>
      <c r="I606" t="s">
        <v>44</v>
      </c>
      <c r="J606">
        <v>59</v>
      </c>
      <c r="K606">
        <v>73.45</v>
      </c>
      <c r="L606">
        <v>43.89</v>
      </c>
      <c r="M606">
        <v>0</v>
      </c>
      <c r="N606" t="s">
        <v>45</v>
      </c>
    </row>
    <row r="607" spans="1:14" x14ac:dyDescent="0.25">
      <c r="A607" t="s">
        <v>1077</v>
      </c>
      <c r="B607" s="2">
        <v>45330</v>
      </c>
      <c r="C607" t="s">
        <v>1078</v>
      </c>
      <c r="D607" t="s">
        <v>216</v>
      </c>
      <c r="E607" t="s">
        <v>2618</v>
      </c>
      <c r="F607" t="s">
        <v>2632</v>
      </c>
      <c r="G607" t="s">
        <v>261</v>
      </c>
      <c r="H607" t="s">
        <v>2646</v>
      </c>
      <c r="I607" t="s">
        <v>75</v>
      </c>
      <c r="J607">
        <v>70</v>
      </c>
      <c r="K607">
        <v>113.47</v>
      </c>
      <c r="L607">
        <v>68.59</v>
      </c>
      <c r="M607">
        <v>0.05</v>
      </c>
      <c r="N607" t="s">
        <v>32</v>
      </c>
    </row>
    <row r="608" spans="1:14" x14ac:dyDescent="0.25">
      <c r="A608" t="s">
        <v>1079</v>
      </c>
      <c r="B608" s="2">
        <v>45526</v>
      </c>
      <c r="C608" t="s">
        <v>552</v>
      </c>
      <c r="D608" t="s">
        <v>99</v>
      </c>
      <c r="E608" t="s">
        <v>2614</v>
      </c>
      <c r="F608" t="s">
        <v>2637</v>
      </c>
      <c r="G608" t="s">
        <v>184</v>
      </c>
      <c r="H608" t="s">
        <v>2646</v>
      </c>
      <c r="I608" t="s">
        <v>44</v>
      </c>
      <c r="J608">
        <v>76</v>
      </c>
      <c r="K608">
        <v>75.430000000000007</v>
      </c>
      <c r="L608">
        <v>43.22</v>
      </c>
      <c r="M608">
        <v>0.15</v>
      </c>
      <c r="N608" t="s">
        <v>129</v>
      </c>
    </row>
    <row r="609" spans="1:14" x14ac:dyDescent="0.25">
      <c r="A609" t="s">
        <v>1080</v>
      </c>
      <c r="B609" s="2">
        <v>45412</v>
      </c>
      <c r="C609" t="s">
        <v>92</v>
      </c>
      <c r="D609" t="s">
        <v>222</v>
      </c>
      <c r="E609" t="s">
        <v>2616</v>
      </c>
      <c r="F609" t="s">
        <v>2638</v>
      </c>
      <c r="G609" t="s">
        <v>90</v>
      </c>
      <c r="H609" t="s">
        <v>2648</v>
      </c>
      <c r="I609" t="s">
        <v>2578</v>
      </c>
      <c r="J609">
        <v>15</v>
      </c>
      <c r="K609">
        <v>110.98</v>
      </c>
      <c r="L609">
        <v>83.38</v>
      </c>
      <c r="M609">
        <v>0.15</v>
      </c>
      <c r="N609" t="s">
        <v>45</v>
      </c>
    </row>
    <row r="610" spans="1:14" x14ac:dyDescent="0.25">
      <c r="A610" t="s">
        <v>1081</v>
      </c>
      <c r="B610" s="2">
        <v>45521</v>
      </c>
      <c r="C610" t="s">
        <v>316</v>
      </c>
      <c r="D610" t="s">
        <v>176</v>
      </c>
      <c r="E610" t="s">
        <v>2615</v>
      </c>
      <c r="F610" t="s">
        <v>2623</v>
      </c>
      <c r="G610" t="s">
        <v>60</v>
      </c>
      <c r="H610" t="s">
        <v>2647</v>
      </c>
      <c r="I610" t="s">
        <v>2578</v>
      </c>
      <c r="J610">
        <v>54</v>
      </c>
      <c r="K610">
        <v>108</v>
      </c>
      <c r="L610">
        <v>61.61</v>
      </c>
      <c r="M610">
        <v>0.02</v>
      </c>
      <c r="N610" t="s">
        <v>129</v>
      </c>
    </row>
    <row r="611" spans="1:14" x14ac:dyDescent="0.25">
      <c r="A611" t="s">
        <v>1082</v>
      </c>
      <c r="B611" s="2">
        <v>45406</v>
      </c>
      <c r="C611" t="s">
        <v>312</v>
      </c>
      <c r="D611" t="s">
        <v>114</v>
      </c>
      <c r="E611" t="s">
        <v>2615</v>
      </c>
      <c r="F611" t="s">
        <v>2627</v>
      </c>
      <c r="G611" t="s">
        <v>83</v>
      </c>
      <c r="H611" t="s">
        <v>2648</v>
      </c>
      <c r="I611" t="s">
        <v>70</v>
      </c>
      <c r="J611">
        <v>42</v>
      </c>
      <c r="K611">
        <v>36.71</v>
      </c>
      <c r="L611">
        <v>21.83</v>
      </c>
      <c r="M611">
        <v>0.02</v>
      </c>
      <c r="N611" t="s">
        <v>32</v>
      </c>
    </row>
    <row r="612" spans="1:14" x14ac:dyDescent="0.25">
      <c r="A612" t="s">
        <v>1083</v>
      </c>
      <c r="B612" s="2">
        <v>45417</v>
      </c>
      <c r="C612" t="s">
        <v>418</v>
      </c>
      <c r="D612" t="s">
        <v>126</v>
      </c>
      <c r="E612" t="s">
        <v>2615</v>
      </c>
      <c r="F612" t="s">
        <v>2630</v>
      </c>
      <c r="G612" t="s">
        <v>195</v>
      </c>
      <c r="H612" t="s">
        <v>2647</v>
      </c>
      <c r="I612" t="s">
        <v>70</v>
      </c>
      <c r="J612">
        <v>6</v>
      </c>
      <c r="K612">
        <v>88.91</v>
      </c>
      <c r="L612">
        <v>56.45</v>
      </c>
      <c r="M612">
        <v>0.1</v>
      </c>
      <c r="N612" t="s">
        <v>45</v>
      </c>
    </row>
    <row r="613" spans="1:14" x14ac:dyDescent="0.25">
      <c r="A613" t="s">
        <v>1084</v>
      </c>
      <c r="B613" s="2">
        <v>45571</v>
      </c>
      <c r="C613" t="s">
        <v>1071</v>
      </c>
      <c r="D613" t="s">
        <v>132</v>
      </c>
      <c r="E613" t="s">
        <v>2615</v>
      </c>
      <c r="F613" t="s">
        <v>2640</v>
      </c>
      <c r="G613" t="s">
        <v>118</v>
      </c>
      <c r="H613" t="s">
        <v>2648</v>
      </c>
      <c r="I613" t="s">
        <v>70</v>
      </c>
      <c r="J613">
        <v>3</v>
      </c>
      <c r="K613">
        <v>57.86</v>
      </c>
      <c r="L613">
        <v>36.29</v>
      </c>
      <c r="M613">
        <v>0.02</v>
      </c>
      <c r="N613" t="s">
        <v>32</v>
      </c>
    </row>
    <row r="614" spans="1:14" x14ac:dyDescent="0.25">
      <c r="A614" t="s">
        <v>1085</v>
      </c>
      <c r="B614" s="2">
        <v>45488</v>
      </c>
      <c r="C614" t="s">
        <v>2619</v>
      </c>
      <c r="D614" t="s">
        <v>49</v>
      </c>
      <c r="E614" t="s">
        <v>2614</v>
      </c>
      <c r="F614" t="s">
        <v>2629</v>
      </c>
      <c r="G614" t="s">
        <v>218</v>
      </c>
      <c r="H614" t="s">
        <v>2648</v>
      </c>
      <c r="I614" t="s">
        <v>2578</v>
      </c>
      <c r="J614">
        <v>24</v>
      </c>
      <c r="K614">
        <v>25.75</v>
      </c>
      <c r="L614">
        <v>13.46</v>
      </c>
      <c r="M614">
        <v>0.1</v>
      </c>
      <c r="N614" t="s">
        <v>129</v>
      </c>
    </row>
    <row r="615" spans="1:14" x14ac:dyDescent="0.25">
      <c r="A615" t="s">
        <v>1086</v>
      </c>
      <c r="B615" s="2">
        <v>45444</v>
      </c>
      <c r="C615" t="s">
        <v>660</v>
      </c>
      <c r="D615" t="s">
        <v>216</v>
      </c>
      <c r="E615" t="s">
        <v>2614</v>
      </c>
      <c r="F615" t="s">
        <v>2629</v>
      </c>
      <c r="G615" t="s">
        <v>178</v>
      </c>
      <c r="H615" t="s">
        <v>2645</v>
      </c>
      <c r="I615" t="s">
        <v>84</v>
      </c>
      <c r="J615">
        <v>15</v>
      </c>
      <c r="K615">
        <v>104.72</v>
      </c>
      <c r="L615">
        <v>68.25</v>
      </c>
      <c r="M615">
        <v>0.15</v>
      </c>
      <c r="N615" t="s">
        <v>45</v>
      </c>
    </row>
    <row r="616" spans="1:14" x14ac:dyDescent="0.25">
      <c r="A616" t="s">
        <v>1087</v>
      </c>
      <c r="B616" s="2">
        <v>45480</v>
      </c>
      <c r="C616" t="s">
        <v>320</v>
      </c>
      <c r="D616" t="s">
        <v>126</v>
      </c>
      <c r="E616" t="s">
        <v>2616</v>
      </c>
      <c r="F616" t="s">
        <v>2631</v>
      </c>
      <c r="G616" t="s">
        <v>178</v>
      </c>
      <c r="H616" t="s">
        <v>2646</v>
      </c>
      <c r="I616" t="s">
        <v>75</v>
      </c>
      <c r="J616">
        <v>64</v>
      </c>
      <c r="K616">
        <v>87.17</v>
      </c>
      <c r="L616">
        <v>49.62</v>
      </c>
      <c r="M616">
        <v>0.05</v>
      </c>
      <c r="N616" t="s">
        <v>45</v>
      </c>
    </row>
    <row r="617" spans="1:14" x14ac:dyDescent="0.25">
      <c r="A617" t="s">
        <v>1088</v>
      </c>
      <c r="B617" s="2">
        <v>45621</v>
      </c>
      <c r="C617" t="s">
        <v>104</v>
      </c>
      <c r="D617" t="s">
        <v>222</v>
      </c>
      <c r="E617" t="s">
        <v>2617</v>
      </c>
      <c r="F617" t="s">
        <v>2626</v>
      </c>
      <c r="G617" t="s">
        <v>74</v>
      </c>
      <c r="H617" t="s">
        <v>2646</v>
      </c>
      <c r="I617" t="s">
        <v>2578</v>
      </c>
      <c r="J617">
        <v>43</v>
      </c>
      <c r="K617">
        <v>125.18</v>
      </c>
      <c r="L617">
        <v>74.45</v>
      </c>
      <c r="M617">
        <v>0.02</v>
      </c>
      <c r="N617" t="s">
        <v>32</v>
      </c>
    </row>
    <row r="618" spans="1:14" x14ac:dyDescent="0.25">
      <c r="A618" t="s">
        <v>1089</v>
      </c>
      <c r="B618" s="2">
        <v>45328</v>
      </c>
      <c r="C618" t="s">
        <v>137</v>
      </c>
      <c r="D618" t="s">
        <v>126</v>
      </c>
      <c r="E618" t="s">
        <v>2618</v>
      </c>
      <c r="F618" t="s">
        <v>2628</v>
      </c>
      <c r="G618" t="s">
        <v>184</v>
      </c>
      <c r="H618" t="s">
        <v>2646</v>
      </c>
      <c r="I618" t="s">
        <v>2619</v>
      </c>
      <c r="J618">
        <v>15</v>
      </c>
      <c r="K618">
        <v>87.43</v>
      </c>
      <c r="L618">
        <v>55.95</v>
      </c>
      <c r="M618">
        <v>0</v>
      </c>
      <c r="N618" t="s">
        <v>32</v>
      </c>
    </row>
    <row r="619" spans="1:14" x14ac:dyDescent="0.25">
      <c r="A619" t="s">
        <v>1090</v>
      </c>
      <c r="B619" s="2">
        <v>45384</v>
      </c>
      <c r="C619" t="s">
        <v>759</v>
      </c>
      <c r="D619" t="s">
        <v>23</v>
      </c>
      <c r="E619" t="s">
        <v>2618</v>
      </c>
      <c r="F619" t="s">
        <v>2632</v>
      </c>
      <c r="G619" t="s">
        <v>218</v>
      </c>
      <c r="H619" t="s">
        <v>2648</v>
      </c>
      <c r="I619" t="s">
        <v>75</v>
      </c>
      <c r="J619">
        <v>53</v>
      </c>
      <c r="K619">
        <v>73.75</v>
      </c>
      <c r="L619">
        <v>45.38</v>
      </c>
      <c r="M619">
        <v>0.02</v>
      </c>
      <c r="N619" t="s">
        <v>32</v>
      </c>
    </row>
    <row r="620" spans="1:14" x14ac:dyDescent="0.25">
      <c r="A620" t="s">
        <v>1091</v>
      </c>
      <c r="B620" s="2">
        <v>45399</v>
      </c>
      <c r="C620" t="s">
        <v>404</v>
      </c>
      <c r="D620" t="s">
        <v>165</v>
      </c>
      <c r="E620" t="s">
        <v>2616</v>
      </c>
      <c r="F620" t="s">
        <v>2638</v>
      </c>
      <c r="G620" t="s">
        <v>90</v>
      </c>
      <c r="H620" t="s">
        <v>2647</v>
      </c>
      <c r="I620" t="s">
        <v>2578</v>
      </c>
      <c r="J620">
        <v>29</v>
      </c>
      <c r="K620">
        <v>43.55</v>
      </c>
      <c r="L620">
        <v>26.93</v>
      </c>
      <c r="M620">
        <v>0</v>
      </c>
      <c r="N620" t="s">
        <v>129</v>
      </c>
    </row>
    <row r="621" spans="1:14" x14ac:dyDescent="0.25">
      <c r="A621" t="s">
        <v>1092</v>
      </c>
      <c r="B621" s="2">
        <v>45635</v>
      </c>
      <c r="C621" t="s">
        <v>679</v>
      </c>
      <c r="D621" t="s">
        <v>187</v>
      </c>
      <c r="E621" t="s">
        <v>2614</v>
      </c>
      <c r="F621" t="s">
        <v>2637</v>
      </c>
      <c r="G621" t="s">
        <v>74</v>
      </c>
      <c r="H621" t="s">
        <v>2645</v>
      </c>
      <c r="I621" t="s">
        <v>70</v>
      </c>
      <c r="J621">
        <v>11</v>
      </c>
      <c r="K621">
        <v>50.08</v>
      </c>
      <c r="L621">
        <v>29.72</v>
      </c>
      <c r="M621">
        <v>0.2</v>
      </c>
      <c r="N621" t="s">
        <v>45</v>
      </c>
    </row>
    <row r="622" spans="1:14" x14ac:dyDescent="0.25">
      <c r="A622" t="s">
        <v>1093</v>
      </c>
      <c r="B622" s="2">
        <v>45510</v>
      </c>
      <c r="C622" t="s">
        <v>800</v>
      </c>
      <c r="D622" t="s">
        <v>222</v>
      </c>
      <c r="E622" t="s">
        <v>2617</v>
      </c>
      <c r="F622" t="s">
        <v>2641</v>
      </c>
      <c r="G622" t="s">
        <v>29</v>
      </c>
      <c r="H622" t="s">
        <v>2647</v>
      </c>
      <c r="I622" t="s">
        <v>2578</v>
      </c>
      <c r="J622">
        <v>11</v>
      </c>
      <c r="K622">
        <v>128.31</v>
      </c>
      <c r="L622">
        <v>73.239999999999995</v>
      </c>
      <c r="M622">
        <v>0.2</v>
      </c>
      <c r="N622" t="s">
        <v>45</v>
      </c>
    </row>
    <row r="623" spans="1:14" x14ac:dyDescent="0.25">
      <c r="A623" t="s">
        <v>1094</v>
      </c>
      <c r="B623" s="2">
        <v>45449</v>
      </c>
      <c r="C623" t="s">
        <v>297</v>
      </c>
      <c r="D623" t="s">
        <v>109</v>
      </c>
      <c r="E623" t="s">
        <v>2618</v>
      </c>
      <c r="F623" t="s">
        <v>2634</v>
      </c>
      <c r="G623" t="s">
        <v>261</v>
      </c>
      <c r="H623" t="s">
        <v>2645</v>
      </c>
      <c r="I623" t="s">
        <v>70</v>
      </c>
      <c r="J623">
        <v>41</v>
      </c>
      <c r="K623">
        <v>129.16999999999999</v>
      </c>
      <c r="L623">
        <v>77.989999999999995</v>
      </c>
      <c r="M623">
        <v>0.2</v>
      </c>
      <c r="N623" t="s">
        <v>45</v>
      </c>
    </row>
    <row r="624" spans="1:14" x14ac:dyDescent="0.25">
      <c r="A624" t="s">
        <v>1095</v>
      </c>
      <c r="B624" s="2">
        <v>45560</v>
      </c>
      <c r="C624" t="s">
        <v>983</v>
      </c>
      <c r="D624" t="s">
        <v>126</v>
      </c>
      <c r="E624" t="s">
        <v>2617</v>
      </c>
      <c r="F624" t="s">
        <v>2642</v>
      </c>
      <c r="G624" t="s">
        <v>152</v>
      </c>
      <c r="H624" t="s">
        <v>2647</v>
      </c>
      <c r="I624" t="s">
        <v>2578</v>
      </c>
      <c r="J624">
        <v>50</v>
      </c>
      <c r="K624">
        <v>91.34</v>
      </c>
      <c r="L624">
        <v>53.68</v>
      </c>
      <c r="M624">
        <v>0.2</v>
      </c>
      <c r="N624" t="s">
        <v>32</v>
      </c>
    </row>
    <row r="625" spans="1:14" x14ac:dyDescent="0.25">
      <c r="A625" t="s">
        <v>1096</v>
      </c>
      <c r="B625" s="2">
        <v>45401</v>
      </c>
      <c r="C625" t="s">
        <v>491</v>
      </c>
      <c r="D625" t="s">
        <v>49</v>
      </c>
      <c r="E625" t="s">
        <v>2617</v>
      </c>
      <c r="F625" t="s">
        <v>2625</v>
      </c>
      <c r="G625" t="s">
        <v>90</v>
      </c>
      <c r="H625" t="s">
        <v>2645</v>
      </c>
      <c r="I625" t="s">
        <v>84</v>
      </c>
      <c r="J625">
        <v>51</v>
      </c>
      <c r="K625">
        <v>23.14</v>
      </c>
      <c r="L625">
        <v>12.32</v>
      </c>
      <c r="M625">
        <v>0.02</v>
      </c>
      <c r="N625" t="s">
        <v>32</v>
      </c>
    </row>
    <row r="626" spans="1:14" x14ac:dyDescent="0.25">
      <c r="A626" t="s">
        <v>1097</v>
      </c>
      <c r="B626" s="2">
        <v>45306</v>
      </c>
      <c r="C626" t="s">
        <v>1098</v>
      </c>
      <c r="D626" t="s">
        <v>165</v>
      </c>
      <c r="E626" t="s">
        <v>2615</v>
      </c>
      <c r="F626" t="s">
        <v>2623</v>
      </c>
      <c r="G626" t="s">
        <v>253</v>
      </c>
      <c r="H626" t="s">
        <v>2647</v>
      </c>
      <c r="I626" t="s">
        <v>70</v>
      </c>
      <c r="J626">
        <v>77</v>
      </c>
      <c r="K626">
        <v>43.02</v>
      </c>
      <c r="L626">
        <v>26.38</v>
      </c>
      <c r="M626">
        <v>0</v>
      </c>
      <c r="N626" t="s">
        <v>45</v>
      </c>
    </row>
    <row r="627" spans="1:14" x14ac:dyDescent="0.25">
      <c r="A627" t="s">
        <v>1099</v>
      </c>
      <c r="B627" s="2">
        <v>45606</v>
      </c>
      <c r="C627" t="s">
        <v>2619</v>
      </c>
      <c r="D627" t="s">
        <v>109</v>
      </c>
      <c r="E627" t="s">
        <v>2614</v>
      </c>
      <c r="F627" t="s">
        <v>2629</v>
      </c>
      <c r="G627" t="s">
        <v>195</v>
      </c>
      <c r="H627" t="s">
        <v>2645</v>
      </c>
      <c r="I627" t="s">
        <v>70</v>
      </c>
      <c r="J627">
        <v>73</v>
      </c>
      <c r="K627">
        <v>129.15</v>
      </c>
      <c r="L627">
        <v>68.819999999999993</v>
      </c>
      <c r="M627">
        <v>0</v>
      </c>
      <c r="N627" t="s">
        <v>45</v>
      </c>
    </row>
    <row r="628" spans="1:14" x14ac:dyDescent="0.25">
      <c r="A628" t="s">
        <v>1100</v>
      </c>
      <c r="B628" s="2">
        <v>45357</v>
      </c>
      <c r="C628" t="s">
        <v>158</v>
      </c>
      <c r="D628" t="s">
        <v>250</v>
      </c>
      <c r="E628" t="s">
        <v>2618</v>
      </c>
      <c r="F628" t="s">
        <v>2634</v>
      </c>
      <c r="G628" t="s">
        <v>184</v>
      </c>
      <c r="H628" t="s">
        <v>2646</v>
      </c>
      <c r="I628" t="s">
        <v>70</v>
      </c>
      <c r="J628">
        <v>67</v>
      </c>
      <c r="K628">
        <v>62.58</v>
      </c>
      <c r="L628">
        <v>40.04</v>
      </c>
      <c r="M628">
        <v>0.02</v>
      </c>
      <c r="N628" t="s">
        <v>32</v>
      </c>
    </row>
    <row r="629" spans="1:14" x14ac:dyDescent="0.25">
      <c r="A629" t="s">
        <v>1101</v>
      </c>
      <c r="B629" s="2">
        <v>45532</v>
      </c>
      <c r="C629" t="s">
        <v>594</v>
      </c>
      <c r="D629" t="s">
        <v>49</v>
      </c>
      <c r="E629" t="s">
        <v>2614</v>
      </c>
      <c r="F629" t="s">
        <v>2636</v>
      </c>
      <c r="G629" t="s">
        <v>74</v>
      </c>
      <c r="H629" t="s">
        <v>2645</v>
      </c>
      <c r="I629" t="s">
        <v>2578</v>
      </c>
      <c r="J629">
        <v>65</v>
      </c>
      <c r="K629">
        <v>23.21</v>
      </c>
      <c r="L629">
        <v>13.09</v>
      </c>
      <c r="M629">
        <v>0</v>
      </c>
      <c r="N629" t="s">
        <v>129</v>
      </c>
    </row>
    <row r="630" spans="1:14" x14ac:dyDescent="0.25">
      <c r="A630" t="s">
        <v>1102</v>
      </c>
      <c r="B630" s="2">
        <v>45348</v>
      </c>
      <c r="C630" t="s">
        <v>800</v>
      </c>
      <c r="D630" t="s">
        <v>109</v>
      </c>
      <c r="E630" t="s">
        <v>2616</v>
      </c>
      <c r="F630" t="s">
        <v>2633</v>
      </c>
      <c r="G630" t="s">
        <v>60</v>
      </c>
      <c r="H630" t="s">
        <v>2647</v>
      </c>
      <c r="I630" t="s">
        <v>70</v>
      </c>
      <c r="J630">
        <v>2</v>
      </c>
      <c r="K630">
        <v>116.14</v>
      </c>
      <c r="L630">
        <v>71.42</v>
      </c>
      <c r="M630">
        <v>0.2</v>
      </c>
      <c r="N630" t="s">
        <v>45</v>
      </c>
    </row>
    <row r="631" spans="1:14" x14ac:dyDescent="0.25">
      <c r="A631" t="s">
        <v>1103</v>
      </c>
      <c r="B631" s="2">
        <v>45613</v>
      </c>
      <c r="C631" t="s">
        <v>936</v>
      </c>
      <c r="D631" t="s">
        <v>93</v>
      </c>
      <c r="E631" t="s">
        <v>2615</v>
      </c>
      <c r="F631" t="s">
        <v>2640</v>
      </c>
      <c r="G631" t="s">
        <v>265</v>
      </c>
      <c r="H631" t="s">
        <v>2645</v>
      </c>
      <c r="I631" t="s">
        <v>2578</v>
      </c>
      <c r="J631">
        <v>54</v>
      </c>
      <c r="K631">
        <v>54.09</v>
      </c>
      <c r="L631">
        <v>32.630000000000003</v>
      </c>
      <c r="M631">
        <v>0.1</v>
      </c>
      <c r="N631" t="s">
        <v>32</v>
      </c>
    </row>
    <row r="632" spans="1:14" x14ac:dyDescent="0.25">
      <c r="A632" t="s">
        <v>1104</v>
      </c>
      <c r="B632" s="2">
        <v>45459</v>
      </c>
      <c r="C632" t="s">
        <v>322</v>
      </c>
      <c r="D632" t="s">
        <v>209</v>
      </c>
      <c r="E632" t="s">
        <v>2618</v>
      </c>
      <c r="F632" t="s">
        <v>2634</v>
      </c>
      <c r="G632" t="s">
        <v>83</v>
      </c>
      <c r="H632" t="s">
        <v>2646</v>
      </c>
      <c r="I632" t="s">
        <v>2578</v>
      </c>
      <c r="J632">
        <v>71</v>
      </c>
      <c r="K632">
        <v>19.16</v>
      </c>
      <c r="L632">
        <v>9.5299999999999994</v>
      </c>
      <c r="M632">
        <v>0.1</v>
      </c>
      <c r="N632" t="s">
        <v>45</v>
      </c>
    </row>
    <row r="633" spans="1:14" x14ac:dyDescent="0.25">
      <c r="A633" t="s">
        <v>1105</v>
      </c>
      <c r="B633" s="2">
        <v>45424</v>
      </c>
      <c r="C633" t="s">
        <v>239</v>
      </c>
      <c r="D633" t="s">
        <v>216</v>
      </c>
      <c r="E633" t="s">
        <v>2618</v>
      </c>
      <c r="F633" t="s">
        <v>2635</v>
      </c>
      <c r="G633" t="s">
        <v>184</v>
      </c>
      <c r="H633" t="s">
        <v>2648</v>
      </c>
      <c r="I633" t="s">
        <v>44</v>
      </c>
      <c r="J633">
        <v>57</v>
      </c>
      <c r="K633">
        <v>109.34</v>
      </c>
      <c r="L633">
        <v>72.16</v>
      </c>
      <c r="M633">
        <v>0.05</v>
      </c>
      <c r="N633" t="s">
        <v>45</v>
      </c>
    </row>
    <row r="634" spans="1:14" x14ac:dyDescent="0.25">
      <c r="A634" t="s">
        <v>1106</v>
      </c>
      <c r="B634" s="2">
        <v>45541</v>
      </c>
      <c r="C634" t="s">
        <v>418</v>
      </c>
      <c r="D634" t="s">
        <v>109</v>
      </c>
      <c r="E634" t="s">
        <v>2614</v>
      </c>
      <c r="F634" t="s">
        <v>2629</v>
      </c>
      <c r="G634" t="s">
        <v>69</v>
      </c>
      <c r="H634" t="s">
        <v>2647</v>
      </c>
      <c r="I634" t="s">
        <v>70</v>
      </c>
      <c r="J634">
        <v>11</v>
      </c>
      <c r="K634">
        <v>119.01</v>
      </c>
      <c r="L634">
        <v>73.900000000000006</v>
      </c>
      <c r="M634">
        <v>0.2</v>
      </c>
      <c r="N634" t="s">
        <v>45</v>
      </c>
    </row>
    <row r="635" spans="1:14" x14ac:dyDescent="0.25">
      <c r="A635" t="s">
        <v>1107</v>
      </c>
      <c r="B635" s="2">
        <v>45514</v>
      </c>
      <c r="C635" t="s">
        <v>169</v>
      </c>
      <c r="D635" t="s">
        <v>109</v>
      </c>
      <c r="E635" t="s">
        <v>2616</v>
      </c>
      <c r="F635" t="s">
        <v>2631</v>
      </c>
      <c r="G635" t="s">
        <v>144</v>
      </c>
      <c r="H635" t="s">
        <v>2645</v>
      </c>
      <c r="I635" t="s">
        <v>75</v>
      </c>
      <c r="J635">
        <v>70</v>
      </c>
      <c r="K635">
        <v>134.47</v>
      </c>
      <c r="L635">
        <v>79.55</v>
      </c>
      <c r="M635">
        <v>0.02</v>
      </c>
      <c r="N635" t="s">
        <v>45</v>
      </c>
    </row>
    <row r="636" spans="1:14" x14ac:dyDescent="0.25">
      <c r="A636" t="s">
        <v>1108</v>
      </c>
      <c r="B636" s="2">
        <v>45515</v>
      </c>
      <c r="C636" t="s">
        <v>533</v>
      </c>
      <c r="D636" t="s">
        <v>99</v>
      </c>
      <c r="E636" t="s">
        <v>2616</v>
      </c>
      <c r="F636" t="s">
        <v>2638</v>
      </c>
      <c r="G636" t="s">
        <v>261</v>
      </c>
      <c r="H636" t="s">
        <v>2646</v>
      </c>
      <c r="I636" t="s">
        <v>44</v>
      </c>
      <c r="J636">
        <v>36</v>
      </c>
      <c r="K636">
        <v>65.39</v>
      </c>
      <c r="L636">
        <v>40.92</v>
      </c>
      <c r="M636">
        <v>0.2</v>
      </c>
      <c r="N636" t="s">
        <v>45</v>
      </c>
    </row>
    <row r="637" spans="1:14" x14ac:dyDescent="0.25">
      <c r="A637" t="s">
        <v>1109</v>
      </c>
      <c r="B637" s="2">
        <v>45640</v>
      </c>
      <c r="C637" t="s">
        <v>651</v>
      </c>
      <c r="D637" t="s">
        <v>49</v>
      </c>
      <c r="E637" t="s">
        <v>2617</v>
      </c>
      <c r="F637" t="s">
        <v>2642</v>
      </c>
      <c r="G637" t="s">
        <v>29</v>
      </c>
      <c r="H637" t="s">
        <v>2646</v>
      </c>
      <c r="I637" t="s">
        <v>75</v>
      </c>
      <c r="J637">
        <v>67</v>
      </c>
      <c r="K637">
        <v>26.97</v>
      </c>
      <c r="L637">
        <v>13.73</v>
      </c>
      <c r="M637">
        <v>0.1</v>
      </c>
      <c r="N637" t="s">
        <v>45</v>
      </c>
    </row>
    <row r="638" spans="1:14" x14ac:dyDescent="0.25">
      <c r="A638" t="s">
        <v>1110</v>
      </c>
      <c r="B638" s="2">
        <v>45425</v>
      </c>
      <c r="C638" t="s">
        <v>737</v>
      </c>
      <c r="D638" t="s">
        <v>36</v>
      </c>
      <c r="E638" t="s">
        <v>2614</v>
      </c>
      <c r="F638" t="s">
        <v>2636</v>
      </c>
      <c r="G638" t="s">
        <v>253</v>
      </c>
      <c r="H638" t="s">
        <v>2645</v>
      </c>
      <c r="I638" t="s">
        <v>2578</v>
      </c>
      <c r="J638">
        <v>34</v>
      </c>
      <c r="K638">
        <v>156.76</v>
      </c>
      <c r="L638">
        <v>92.3</v>
      </c>
      <c r="M638">
        <v>0.2</v>
      </c>
      <c r="N638" t="s">
        <v>45</v>
      </c>
    </row>
    <row r="639" spans="1:14" x14ac:dyDescent="0.25">
      <c r="A639" t="s">
        <v>1111</v>
      </c>
      <c r="B639" s="2">
        <v>45339</v>
      </c>
      <c r="C639" t="s">
        <v>1112</v>
      </c>
      <c r="D639" t="s">
        <v>114</v>
      </c>
      <c r="E639" t="s">
        <v>2617</v>
      </c>
      <c r="F639" t="s">
        <v>2626</v>
      </c>
      <c r="G639" t="s">
        <v>60</v>
      </c>
      <c r="H639" t="s">
        <v>2646</v>
      </c>
      <c r="I639" t="s">
        <v>70</v>
      </c>
      <c r="J639">
        <v>43</v>
      </c>
      <c r="K639">
        <v>35.590000000000003</v>
      </c>
      <c r="L639">
        <v>19.71</v>
      </c>
      <c r="M639">
        <v>0.05</v>
      </c>
      <c r="N639" t="s">
        <v>32</v>
      </c>
    </row>
    <row r="640" spans="1:14" x14ac:dyDescent="0.25">
      <c r="A640" t="s">
        <v>1113</v>
      </c>
      <c r="B640" s="2">
        <v>45390</v>
      </c>
      <c r="C640" t="s">
        <v>410</v>
      </c>
      <c r="D640" t="s">
        <v>176</v>
      </c>
      <c r="E640" t="s">
        <v>2616</v>
      </c>
      <c r="F640" t="s">
        <v>2631</v>
      </c>
      <c r="G640" t="s">
        <v>261</v>
      </c>
      <c r="H640" t="s">
        <v>2645</v>
      </c>
      <c r="I640" t="s">
        <v>70</v>
      </c>
      <c r="J640">
        <v>33</v>
      </c>
      <c r="K640">
        <v>108.69</v>
      </c>
      <c r="L640">
        <v>66.930000000000007</v>
      </c>
      <c r="M640">
        <v>0.02</v>
      </c>
      <c r="N640" t="s">
        <v>32</v>
      </c>
    </row>
    <row r="641" spans="1:14" x14ac:dyDescent="0.25">
      <c r="A641" t="s">
        <v>1114</v>
      </c>
      <c r="B641" s="2">
        <v>45587</v>
      </c>
      <c r="C641" t="s">
        <v>305</v>
      </c>
      <c r="D641" t="s">
        <v>78</v>
      </c>
      <c r="E641" t="s">
        <v>2616</v>
      </c>
      <c r="F641" t="s">
        <v>2624</v>
      </c>
      <c r="G641" t="s">
        <v>83</v>
      </c>
      <c r="H641" t="s">
        <v>2647</v>
      </c>
      <c r="I641" t="s">
        <v>44</v>
      </c>
      <c r="J641">
        <v>72</v>
      </c>
      <c r="K641">
        <v>138.74</v>
      </c>
      <c r="L641">
        <v>75.73</v>
      </c>
      <c r="M641">
        <v>0.15</v>
      </c>
      <c r="N641" t="s">
        <v>32</v>
      </c>
    </row>
    <row r="642" spans="1:14" x14ac:dyDescent="0.25">
      <c r="A642" t="s">
        <v>1115</v>
      </c>
      <c r="B642" s="2">
        <v>45454</v>
      </c>
      <c r="C642" t="s">
        <v>237</v>
      </c>
      <c r="D642" t="s">
        <v>49</v>
      </c>
      <c r="E642" t="s">
        <v>2614</v>
      </c>
      <c r="F642" t="s">
        <v>2629</v>
      </c>
      <c r="G642" t="s">
        <v>248</v>
      </c>
      <c r="H642" t="s">
        <v>2645</v>
      </c>
      <c r="I642" t="s">
        <v>75</v>
      </c>
      <c r="J642">
        <v>40</v>
      </c>
      <c r="K642">
        <v>23.2</v>
      </c>
      <c r="L642">
        <v>12.85</v>
      </c>
      <c r="M642">
        <v>0.02</v>
      </c>
      <c r="N642" t="s">
        <v>129</v>
      </c>
    </row>
    <row r="643" spans="1:14" x14ac:dyDescent="0.25">
      <c r="A643" t="s">
        <v>1116</v>
      </c>
      <c r="B643" s="2">
        <v>45576</v>
      </c>
      <c r="C643" t="s">
        <v>653</v>
      </c>
      <c r="D643" t="s">
        <v>109</v>
      </c>
      <c r="E643" t="s">
        <v>2614</v>
      </c>
      <c r="F643" t="s">
        <v>2637</v>
      </c>
      <c r="G643" t="s">
        <v>265</v>
      </c>
      <c r="H643" t="s">
        <v>2646</v>
      </c>
      <c r="I643" t="s">
        <v>75</v>
      </c>
      <c r="J643">
        <v>69</v>
      </c>
      <c r="K643">
        <v>115.19</v>
      </c>
      <c r="L643">
        <v>71</v>
      </c>
      <c r="M643">
        <v>0.15</v>
      </c>
      <c r="N643" t="s">
        <v>129</v>
      </c>
    </row>
    <row r="644" spans="1:14" x14ac:dyDescent="0.25">
      <c r="A644" t="s">
        <v>1117</v>
      </c>
      <c r="B644" s="2">
        <v>45422</v>
      </c>
      <c r="C644" t="s">
        <v>471</v>
      </c>
      <c r="D644" t="s">
        <v>132</v>
      </c>
      <c r="E644" t="s">
        <v>2616</v>
      </c>
      <c r="F644" t="s">
        <v>2638</v>
      </c>
      <c r="G644" t="s">
        <v>144</v>
      </c>
      <c r="H644" t="s">
        <v>2646</v>
      </c>
      <c r="I644" t="s">
        <v>70</v>
      </c>
      <c r="J644">
        <v>32</v>
      </c>
      <c r="K644">
        <v>61.2</v>
      </c>
      <c r="L644">
        <v>33.36</v>
      </c>
      <c r="M644">
        <v>0.15</v>
      </c>
      <c r="N644" t="s">
        <v>45</v>
      </c>
    </row>
    <row r="645" spans="1:14" x14ac:dyDescent="0.25">
      <c r="A645" t="s">
        <v>1118</v>
      </c>
      <c r="B645" s="2">
        <v>45519</v>
      </c>
      <c r="C645" t="s">
        <v>715</v>
      </c>
      <c r="D645" t="s">
        <v>49</v>
      </c>
      <c r="E645" t="s">
        <v>2614</v>
      </c>
      <c r="F645" t="s">
        <v>2636</v>
      </c>
      <c r="G645" t="s">
        <v>253</v>
      </c>
      <c r="H645" t="s">
        <v>2648</v>
      </c>
      <c r="I645" t="s">
        <v>75</v>
      </c>
      <c r="J645">
        <v>8</v>
      </c>
      <c r="K645">
        <v>24.9</v>
      </c>
      <c r="L645">
        <v>13.09</v>
      </c>
      <c r="M645">
        <v>0.05</v>
      </c>
      <c r="N645" t="s">
        <v>129</v>
      </c>
    </row>
    <row r="646" spans="1:14" x14ac:dyDescent="0.25">
      <c r="A646" t="s">
        <v>1119</v>
      </c>
      <c r="B646" s="2">
        <v>45608</v>
      </c>
      <c r="C646" t="s">
        <v>596</v>
      </c>
      <c r="D646" t="s">
        <v>209</v>
      </c>
      <c r="E646" t="s">
        <v>2614</v>
      </c>
      <c r="F646" t="s">
        <v>2629</v>
      </c>
      <c r="G646" t="s">
        <v>248</v>
      </c>
      <c r="H646" t="s">
        <v>2648</v>
      </c>
      <c r="I646" t="s">
        <v>70</v>
      </c>
      <c r="J646">
        <v>10</v>
      </c>
      <c r="K646">
        <v>18.11</v>
      </c>
      <c r="L646">
        <v>9.65</v>
      </c>
      <c r="M646">
        <v>0.02</v>
      </c>
      <c r="N646" t="s">
        <v>32</v>
      </c>
    </row>
    <row r="647" spans="1:14" x14ac:dyDescent="0.25">
      <c r="A647" t="s">
        <v>1120</v>
      </c>
      <c r="B647" s="2">
        <v>45423</v>
      </c>
      <c r="C647" t="s">
        <v>335</v>
      </c>
      <c r="D647" t="s">
        <v>132</v>
      </c>
      <c r="E647" t="s">
        <v>2617</v>
      </c>
      <c r="F647" t="s">
        <v>2625</v>
      </c>
      <c r="G647" t="s">
        <v>152</v>
      </c>
      <c r="H647" t="s">
        <v>2647</v>
      </c>
      <c r="I647" t="s">
        <v>44</v>
      </c>
      <c r="J647">
        <v>2</v>
      </c>
      <c r="K647">
        <v>61.48</v>
      </c>
      <c r="L647">
        <v>32.770000000000003</v>
      </c>
      <c r="M647">
        <v>0.2</v>
      </c>
      <c r="N647" t="s">
        <v>129</v>
      </c>
    </row>
    <row r="648" spans="1:14" x14ac:dyDescent="0.25">
      <c r="A648" t="s">
        <v>1121</v>
      </c>
      <c r="B648" s="2">
        <v>45492</v>
      </c>
      <c r="C648" t="s">
        <v>1122</v>
      </c>
      <c r="D648" t="s">
        <v>165</v>
      </c>
      <c r="E648" t="s">
        <v>2616</v>
      </c>
      <c r="F648" t="s">
        <v>2633</v>
      </c>
      <c r="G648" t="s">
        <v>144</v>
      </c>
      <c r="H648" t="s">
        <v>2646</v>
      </c>
      <c r="I648" t="s">
        <v>44</v>
      </c>
      <c r="J648">
        <v>21</v>
      </c>
      <c r="K648">
        <v>41.32</v>
      </c>
      <c r="L648">
        <v>24.31</v>
      </c>
      <c r="M648">
        <v>0.15</v>
      </c>
      <c r="N648" t="s">
        <v>32</v>
      </c>
    </row>
    <row r="649" spans="1:14" x14ac:dyDescent="0.25">
      <c r="A649" t="s">
        <v>1123</v>
      </c>
      <c r="B649" s="2">
        <v>45448</v>
      </c>
      <c r="C649" t="s">
        <v>322</v>
      </c>
      <c r="D649" t="s">
        <v>165</v>
      </c>
      <c r="E649" t="s">
        <v>2618</v>
      </c>
      <c r="F649" t="s">
        <v>2635</v>
      </c>
      <c r="G649" t="s">
        <v>248</v>
      </c>
      <c r="H649" t="s">
        <v>2647</v>
      </c>
      <c r="I649" t="s">
        <v>2578</v>
      </c>
      <c r="J649">
        <v>11</v>
      </c>
      <c r="K649">
        <v>38.72</v>
      </c>
      <c r="L649">
        <v>24.88</v>
      </c>
      <c r="M649">
        <v>0.05</v>
      </c>
      <c r="N649" t="s">
        <v>45</v>
      </c>
    </row>
    <row r="650" spans="1:14" x14ac:dyDescent="0.25">
      <c r="A650" t="s">
        <v>1124</v>
      </c>
      <c r="B650" s="2">
        <v>45523</v>
      </c>
      <c r="C650" t="s">
        <v>1075</v>
      </c>
      <c r="D650" t="s">
        <v>109</v>
      </c>
      <c r="E650" t="s">
        <v>2614</v>
      </c>
      <c r="F650" t="s">
        <v>2629</v>
      </c>
      <c r="G650" t="s">
        <v>74</v>
      </c>
      <c r="H650" t="s">
        <v>2645</v>
      </c>
      <c r="I650" t="s">
        <v>75</v>
      </c>
      <c r="J650">
        <v>4</v>
      </c>
      <c r="K650">
        <v>131.78</v>
      </c>
      <c r="L650">
        <v>68.22</v>
      </c>
      <c r="M650">
        <v>0.1</v>
      </c>
      <c r="N650" t="s">
        <v>45</v>
      </c>
    </row>
    <row r="651" spans="1:14" x14ac:dyDescent="0.25">
      <c r="A651" t="s">
        <v>1125</v>
      </c>
      <c r="B651" s="2">
        <v>45319</v>
      </c>
      <c r="C651" t="s">
        <v>422</v>
      </c>
      <c r="D651" t="s">
        <v>216</v>
      </c>
      <c r="E651" t="s">
        <v>2617</v>
      </c>
      <c r="F651" t="s">
        <v>2641</v>
      </c>
      <c r="G651" t="s">
        <v>218</v>
      </c>
      <c r="H651" t="s">
        <v>2647</v>
      </c>
      <c r="I651" t="s">
        <v>75</v>
      </c>
      <c r="J651">
        <v>12</v>
      </c>
      <c r="K651">
        <v>109.37</v>
      </c>
      <c r="L651">
        <v>71.39</v>
      </c>
      <c r="M651">
        <v>0.1</v>
      </c>
      <c r="N651" t="s">
        <v>45</v>
      </c>
    </row>
    <row r="652" spans="1:14" x14ac:dyDescent="0.25">
      <c r="A652" t="s">
        <v>1126</v>
      </c>
      <c r="B652" s="2">
        <v>45447</v>
      </c>
      <c r="C652" t="s">
        <v>569</v>
      </c>
      <c r="D652" t="s">
        <v>49</v>
      </c>
      <c r="E652" t="s">
        <v>2617</v>
      </c>
      <c r="F652" t="s">
        <v>2641</v>
      </c>
      <c r="G652" t="s">
        <v>60</v>
      </c>
      <c r="H652" t="s">
        <v>2648</v>
      </c>
      <c r="I652" t="s">
        <v>84</v>
      </c>
      <c r="J652">
        <v>2</v>
      </c>
      <c r="K652">
        <v>25.75</v>
      </c>
      <c r="L652">
        <v>12.86</v>
      </c>
      <c r="M652">
        <v>0</v>
      </c>
      <c r="N652" t="s">
        <v>45</v>
      </c>
    </row>
    <row r="653" spans="1:14" x14ac:dyDescent="0.25">
      <c r="A653" t="s">
        <v>1127</v>
      </c>
      <c r="B653" s="2">
        <v>45571</v>
      </c>
      <c r="C653" t="s">
        <v>945</v>
      </c>
      <c r="D653" t="s">
        <v>126</v>
      </c>
      <c r="E653" t="s">
        <v>2615</v>
      </c>
      <c r="F653" t="s">
        <v>2640</v>
      </c>
      <c r="G653" t="s">
        <v>74</v>
      </c>
      <c r="H653" t="s">
        <v>2648</v>
      </c>
      <c r="I653" t="s">
        <v>84</v>
      </c>
      <c r="J653">
        <v>57</v>
      </c>
      <c r="K653">
        <v>93.89</v>
      </c>
      <c r="L653">
        <v>55.6</v>
      </c>
      <c r="M653">
        <v>0</v>
      </c>
      <c r="N653" t="s">
        <v>45</v>
      </c>
    </row>
    <row r="654" spans="1:14" x14ac:dyDescent="0.25">
      <c r="A654" t="s">
        <v>1128</v>
      </c>
      <c r="B654" s="2">
        <v>45387</v>
      </c>
      <c r="C654" t="s">
        <v>1129</v>
      </c>
      <c r="D654" t="s">
        <v>176</v>
      </c>
      <c r="E654" t="s">
        <v>2617</v>
      </c>
      <c r="F654" t="s">
        <v>2641</v>
      </c>
      <c r="G654" t="s">
        <v>118</v>
      </c>
      <c r="H654" t="s">
        <v>2648</v>
      </c>
      <c r="I654" t="s">
        <v>70</v>
      </c>
      <c r="J654">
        <v>41</v>
      </c>
      <c r="K654">
        <v>111.33</v>
      </c>
      <c r="L654">
        <v>62.03</v>
      </c>
      <c r="M654">
        <v>0.1</v>
      </c>
      <c r="N654" t="s">
        <v>45</v>
      </c>
    </row>
    <row r="655" spans="1:14" x14ac:dyDescent="0.25">
      <c r="A655" t="s">
        <v>1130</v>
      </c>
      <c r="B655" s="2">
        <v>45476</v>
      </c>
      <c r="C655" t="s">
        <v>1131</v>
      </c>
      <c r="D655" t="s">
        <v>66</v>
      </c>
      <c r="E655" t="s">
        <v>2614</v>
      </c>
      <c r="F655" t="s">
        <v>2637</v>
      </c>
      <c r="G655" t="s">
        <v>2619</v>
      </c>
      <c r="H655" t="s">
        <v>2647</v>
      </c>
      <c r="I655" t="s">
        <v>70</v>
      </c>
      <c r="J655">
        <v>74</v>
      </c>
      <c r="K655">
        <v>162.65</v>
      </c>
      <c r="L655">
        <v>106.65</v>
      </c>
      <c r="M655">
        <v>0.15</v>
      </c>
      <c r="N655" t="s">
        <v>45</v>
      </c>
    </row>
    <row r="656" spans="1:14" x14ac:dyDescent="0.25">
      <c r="A656" t="s">
        <v>1132</v>
      </c>
      <c r="B656" s="2">
        <v>45360</v>
      </c>
      <c r="C656" t="s">
        <v>681</v>
      </c>
      <c r="D656" t="s">
        <v>176</v>
      </c>
      <c r="E656" t="s">
        <v>2614</v>
      </c>
      <c r="F656" t="s">
        <v>2622</v>
      </c>
      <c r="G656" t="s">
        <v>83</v>
      </c>
      <c r="H656" t="s">
        <v>2648</v>
      </c>
      <c r="I656" t="s">
        <v>2578</v>
      </c>
      <c r="J656">
        <v>39</v>
      </c>
      <c r="K656">
        <v>110.55</v>
      </c>
      <c r="L656">
        <v>67.69</v>
      </c>
      <c r="M656">
        <v>0.2</v>
      </c>
      <c r="N656" t="s">
        <v>32</v>
      </c>
    </row>
    <row r="657" spans="1:14" x14ac:dyDescent="0.25">
      <c r="A657" t="s">
        <v>1133</v>
      </c>
      <c r="B657" s="2">
        <v>45424</v>
      </c>
      <c r="C657" t="s">
        <v>1134</v>
      </c>
      <c r="D657" t="s">
        <v>93</v>
      </c>
      <c r="E657" t="s">
        <v>2615</v>
      </c>
      <c r="F657" t="s">
        <v>2630</v>
      </c>
      <c r="G657" t="s">
        <v>74</v>
      </c>
      <c r="H657" t="s">
        <v>2645</v>
      </c>
      <c r="I657" t="s">
        <v>2578</v>
      </c>
      <c r="J657">
        <v>47</v>
      </c>
      <c r="K657">
        <v>52.99</v>
      </c>
      <c r="L657">
        <v>31.98</v>
      </c>
      <c r="M657">
        <v>0.2</v>
      </c>
      <c r="N657" t="s">
        <v>32</v>
      </c>
    </row>
    <row r="658" spans="1:14" x14ac:dyDescent="0.25">
      <c r="A658" t="s">
        <v>1135</v>
      </c>
      <c r="B658" s="2">
        <v>45481</v>
      </c>
      <c r="C658" t="s">
        <v>967</v>
      </c>
      <c r="D658" t="s">
        <v>176</v>
      </c>
      <c r="E658" t="s">
        <v>2617</v>
      </c>
      <c r="F658" t="s">
        <v>2641</v>
      </c>
      <c r="G658" t="s">
        <v>42</v>
      </c>
      <c r="H658" t="s">
        <v>2647</v>
      </c>
      <c r="I658" t="s">
        <v>75</v>
      </c>
      <c r="J658">
        <v>41</v>
      </c>
      <c r="K658">
        <v>97.33</v>
      </c>
      <c r="L658">
        <v>66.94</v>
      </c>
      <c r="M658">
        <v>0.1</v>
      </c>
      <c r="N658" t="s">
        <v>45</v>
      </c>
    </row>
    <row r="659" spans="1:14" x14ac:dyDescent="0.25">
      <c r="A659" t="s">
        <v>1136</v>
      </c>
      <c r="B659" s="2">
        <v>45313</v>
      </c>
      <c r="C659" t="s">
        <v>1137</v>
      </c>
      <c r="D659" t="s">
        <v>250</v>
      </c>
      <c r="E659" t="s">
        <v>2616</v>
      </c>
      <c r="F659" t="s">
        <v>2631</v>
      </c>
      <c r="G659" t="s">
        <v>83</v>
      </c>
      <c r="H659" t="s">
        <v>2645</v>
      </c>
      <c r="I659" t="s">
        <v>44</v>
      </c>
      <c r="J659">
        <v>78</v>
      </c>
      <c r="K659">
        <v>68.989999999999995</v>
      </c>
      <c r="L659">
        <v>40.6</v>
      </c>
      <c r="M659">
        <v>0.2</v>
      </c>
      <c r="N659" t="s">
        <v>129</v>
      </c>
    </row>
    <row r="660" spans="1:14" x14ac:dyDescent="0.25">
      <c r="A660" t="s">
        <v>1138</v>
      </c>
      <c r="B660" s="2">
        <v>45491</v>
      </c>
      <c r="C660" t="s">
        <v>859</v>
      </c>
      <c r="D660" t="s">
        <v>93</v>
      </c>
      <c r="E660" t="s">
        <v>2616</v>
      </c>
      <c r="F660" t="s">
        <v>2633</v>
      </c>
      <c r="G660" t="s">
        <v>184</v>
      </c>
      <c r="H660" t="s">
        <v>2646</v>
      </c>
      <c r="I660" t="s">
        <v>70</v>
      </c>
      <c r="J660">
        <v>70</v>
      </c>
      <c r="K660">
        <v>57.85</v>
      </c>
      <c r="L660">
        <v>31.41</v>
      </c>
      <c r="M660">
        <v>0.05</v>
      </c>
      <c r="N660" t="s">
        <v>45</v>
      </c>
    </row>
    <row r="661" spans="1:14" x14ac:dyDescent="0.25">
      <c r="A661" t="s">
        <v>1139</v>
      </c>
      <c r="B661" s="2">
        <v>45366</v>
      </c>
      <c r="C661" t="s">
        <v>1131</v>
      </c>
      <c r="D661" t="s">
        <v>126</v>
      </c>
      <c r="E661" t="s">
        <v>2616</v>
      </c>
      <c r="F661" t="s">
        <v>2624</v>
      </c>
      <c r="G661" t="s">
        <v>170</v>
      </c>
      <c r="H661" t="s">
        <v>2648</v>
      </c>
      <c r="I661" t="s">
        <v>44</v>
      </c>
      <c r="J661">
        <v>27</v>
      </c>
      <c r="K661">
        <v>90.08</v>
      </c>
      <c r="L661">
        <v>55.89</v>
      </c>
      <c r="M661">
        <v>0.02</v>
      </c>
      <c r="N661" t="s">
        <v>45</v>
      </c>
    </row>
    <row r="662" spans="1:14" x14ac:dyDescent="0.25">
      <c r="A662" t="s">
        <v>1140</v>
      </c>
      <c r="B662" s="2">
        <v>45565</v>
      </c>
      <c r="C662" t="s">
        <v>312</v>
      </c>
      <c r="D662" t="s">
        <v>114</v>
      </c>
      <c r="E662" t="s">
        <v>2614</v>
      </c>
      <c r="F662" t="s">
        <v>2622</v>
      </c>
      <c r="G662" t="s">
        <v>144</v>
      </c>
      <c r="H662" t="s">
        <v>2646</v>
      </c>
      <c r="I662" t="s">
        <v>2578</v>
      </c>
      <c r="J662">
        <v>5</v>
      </c>
      <c r="K662">
        <v>33.840000000000003</v>
      </c>
      <c r="L662">
        <v>20.420000000000002</v>
      </c>
      <c r="M662">
        <v>0.02</v>
      </c>
      <c r="N662" t="s">
        <v>45</v>
      </c>
    </row>
    <row r="663" spans="1:14" x14ac:dyDescent="0.25">
      <c r="A663" t="s">
        <v>1141</v>
      </c>
      <c r="B663" s="2">
        <v>45311</v>
      </c>
      <c r="C663" t="s">
        <v>1142</v>
      </c>
      <c r="D663" t="s">
        <v>150</v>
      </c>
      <c r="E663" t="s">
        <v>2617</v>
      </c>
      <c r="F663" t="s">
        <v>2625</v>
      </c>
      <c r="G663" t="s">
        <v>170</v>
      </c>
      <c r="H663" t="s">
        <v>2645</v>
      </c>
      <c r="I663" t="s">
        <v>70</v>
      </c>
      <c r="J663">
        <v>19</v>
      </c>
      <c r="K663">
        <v>90.69</v>
      </c>
      <c r="L663">
        <v>54.68</v>
      </c>
      <c r="M663">
        <v>0</v>
      </c>
      <c r="N663" t="s">
        <v>32</v>
      </c>
    </row>
    <row r="664" spans="1:14" x14ac:dyDescent="0.25">
      <c r="A664" t="s">
        <v>1143</v>
      </c>
      <c r="B664" s="2">
        <v>45360</v>
      </c>
      <c r="C664" t="s">
        <v>480</v>
      </c>
      <c r="D664" t="s">
        <v>109</v>
      </c>
      <c r="E664" t="s">
        <v>2617</v>
      </c>
      <c r="F664" t="s">
        <v>2626</v>
      </c>
      <c r="G664" t="s">
        <v>83</v>
      </c>
      <c r="H664" t="s">
        <v>2647</v>
      </c>
      <c r="I664" t="s">
        <v>70</v>
      </c>
      <c r="J664">
        <v>42</v>
      </c>
      <c r="K664">
        <v>117.05</v>
      </c>
      <c r="L664">
        <v>72.73</v>
      </c>
      <c r="M664">
        <v>0.2</v>
      </c>
      <c r="N664" t="s">
        <v>45</v>
      </c>
    </row>
    <row r="665" spans="1:14" x14ac:dyDescent="0.25">
      <c r="A665" t="s">
        <v>1144</v>
      </c>
      <c r="B665" s="2">
        <v>45333</v>
      </c>
      <c r="C665" t="s">
        <v>1098</v>
      </c>
      <c r="D665" t="s">
        <v>187</v>
      </c>
      <c r="E665" t="s">
        <v>2616</v>
      </c>
      <c r="F665" t="s">
        <v>2624</v>
      </c>
      <c r="G665" t="s">
        <v>118</v>
      </c>
      <c r="H665" t="s">
        <v>2648</v>
      </c>
      <c r="I665" t="s">
        <v>75</v>
      </c>
      <c r="J665">
        <v>61</v>
      </c>
      <c r="K665">
        <v>50.33</v>
      </c>
      <c r="L665">
        <v>27.55</v>
      </c>
      <c r="M665">
        <v>0</v>
      </c>
      <c r="N665" t="s">
        <v>129</v>
      </c>
    </row>
    <row r="666" spans="1:14" x14ac:dyDescent="0.25">
      <c r="A666" t="s">
        <v>1145</v>
      </c>
      <c r="B666" s="2">
        <v>45588</v>
      </c>
      <c r="C666" t="s">
        <v>382</v>
      </c>
      <c r="D666" t="s">
        <v>36</v>
      </c>
      <c r="E666" t="s">
        <v>2616</v>
      </c>
      <c r="F666" t="s">
        <v>2638</v>
      </c>
      <c r="G666" t="s">
        <v>60</v>
      </c>
      <c r="H666" t="s">
        <v>2645</v>
      </c>
      <c r="I666" t="s">
        <v>70</v>
      </c>
      <c r="J666">
        <v>30</v>
      </c>
      <c r="K666">
        <v>159.99</v>
      </c>
      <c r="L666">
        <v>98.29</v>
      </c>
      <c r="M666">
        <v>0</v>
      </c>
      <c r="N666" t="s">
        <v>45</v>
      </c>
    </row>
    <row r="667" spans="1:14" x14ac:dyDescent="0.25">
      <c r="A667" t="s">
        <v>1146</v>
      </c>
      <c r="B667" s="2">
        <v>45459</v>
      </c>
      <c r="C667" t="s">
        <v>239</v>
      </c>
      <c r="D667" t="s">
        <v>209</v>
      </c>
      <c r="E667" t="s">
        <v>2614</v>
      </c>
      <c r="F667" t="s">
        <v>2629</v>
      </c>
      <c r="G667" t="s">
        <v>60</v>
      </c>
      <c r="H667" t="s">
        <v>2646</v>
      </c>
      <c r="I667" t="s">
        <v>84</v>
      </c>
      <c r="J667">
        <v>24</v>
      </c>
      <c r="K667">
        <v>18</v>
      </c>
      <c r="L667">
        <v>9.86</v>
      </c>
      <c r="M667">
        <v>0.2</v>
      </c>
      <c r="N667" t="s">
        <v>45</v>
      </c>
    </row>
    <row r="668" spans="1:14" x14ac:dyDescent="0.25">
      <c r="A668" t="s">
        <v>1147</v>
      </c>
      <c r="B668" s="2">
        <v>45443</v>
      </c>
      <c r="C668" t="s">
        <v>701</v>
      </c>
      <c r="D668" t="s">
        <v>222</v>
      </c>
      <c r="E668" t="s">
        <v>2618</v>
      </c>
      <c r="F668" t="s">
        <v>2632</v>
      </c>
      <c r="G668" t="s">
        <v>265</v>
      </c>
      <c r="H668" t="s">
        <v>2646</v>
      </c>
      <c r="I668" t="s">
        <v>44</v>
      </c>
      <c r="J668">
        <v>50</v>
      </c>
      <c r="K668">
        <v>117.3</v>
      </c>
      <c r="L668">
        <v>82.04</v>
      </c>
      <c r="M668">
        <v>0.15</v>
      </c>
      <c r="N668" t="s">
        <v>129</v>
      </c>
    </row>
    <row r="669" spans="1:14" x14ac:dyDescent="0.25">
      <c r="A669" t="s">
        <v>1148</v>
      </c>
      <c r="B669" s="2">
        <v>45389</v>
      </c>
      <c r="C669" t="s">
        <v>278</v>
      </c>
      <c r="D669" t="s">
        <v>109</v>
      </c>
      <c r="E669" t="s">
        <v>2618</v>
      </c>
      <c r="F669" t="s">
        <v>2628</v>
      </c>
      <c r="G669" t="s">
        <v>42</v>
      </c>
      <c r="H669" t="s">
        <v>2646</v>
      </c>
      <c r="I669" t="s">
        <v>75</v>
      </c>
      <c r="J669">
        <v>80</v>
      </c>
      <c r="K669">
        <v>119.91</v>
      </c>
      <c r="L669">
        <v>68.760000000000005</v>
      </c>
      <c r="M669">
        <v>0.2</v>
      </c>
      <c r="N669" t="s">
        <v>32</v>
      </c>
    </row>
    <row r="670" spans="1:14" x14ac:dyDescent="0.25">
      <c r="A670" t="s">
        <v>1149</v>
      </c>
      <c r="B670" s="2">
        <v>45468</v>
      </c>
      <c r="C670" t="s">
        <v>1033</v>
      </c>
      <c r="D670" t="s">
        <v>99</v>
      </c>
      <c r="E670" t="s">
        <v>2615</v>
      </c>
      <c r="F670" t="s">
        <v>2640</v>
      </c>
      <c r="G670" t="s">
        <v>218</v>
      </c>
      <c r="H670" t="s">
        <v>2646</v>
      </c>
      <c r="I670" t="s">
        <v>2578</v>
      </c>
      <c r="J670">
        <v>21</v>
      </c>
      <c r="K670">
        <v>65.97</v>
      </c>
      <c r="L670">
        <v>42.94</v>
      </c>
      <c r="M670">
        <v>0.05</v>
      </c>
      <c r="N670" t="s">
        <v>45</v>
      </c>
    </row>
    <row r="671" spans="1:14" x14ac:dyDescent="0.25">
      <c r="A671" t="s">
        <v>1150</v>
      </c>
      <c r="B671" s="2">
        <v>45494</v>
      </c>
      <c r="C671" t="s">
        <v>535</v>
      </c>
      <c r="D671" t="s">
        <v>187</v>
      </c>
      <c r="E671" t="s">
        <v>2615</v>
      </c>
      <c r="F671" t="s">
        <v>2630</v>
      </c>
      <c r="G671" t="s">
        <v>42</v>
      </c>
      <c r="H671" t="s">
        <v>2645</v>
      </c>
      <c r="I671" t="s">
        <v>44</v>
      </c>
      <c r="J671">
        <v>32</v>
      </c>
      <c r="K671">
        <v>45.86</v>
      </c>
      <c r="L671">
        <v>31.26</v>
      </c>
      <c r="M671">
        <v>0</v>
      </c>
      <c r="N671" t="s">
        <v>45</v>
      </c>
    </row>
    <row r="672" spans="1:14" x14ac:dyDescent="0.25">
      <c r="A672" t="s">
        <v>1151</v>
      </c>
      <c r="B672" s="2">
        <v>45526</v>
      </c>
      <c r="C672" t="s">
        <v>757</v>
      </c>
      <c r="D672" t="s">
        <v>150</v>
      </c>
      <c r="E672" t="s">
        <v>2614</v>
      </c>
      <c r="F672" t="s">
        <v>2622</v>
      </c>
      <c r="G672" t="s">
        <v>144</v>
      </c>
      <c r="H672" t="s">
        <v>2646</v>
      </c>
      <c r="I672" t="s">
        <v>84</v>
      </c>
      <c r="J672">
        <v>48</v>
      </c>
      <c r="K672">
        <v>85.19</v>
      </c>
      <c r="L672">
        <v>49.44</v>
      </c>
      <c r="M672">
        <v>0.05</v>
      </c>
      <c r="N672" t="s">
        <v>45</v>
      </c>
    </row>
    <row r="673" spans="1:14" x14ac:dyDescent="0.25">
      <c r="A673" t="s">
        <v>1152</v>
      </c>
      <c r="B673" s="2">
        <v>45319</v>
      </c>
      <c r="C673" t="s">
        <v>688</v>
      </c>
      <c r="D673" t="s">
        <v>141</v>
      </c>
      <c r="E673" t="s">
        <v>2615</v>
      </c>
      <c r="F673" t="s">
        <v>2630</v>
      </c>
      <c r="G673" t="s">
        <v>184</v>
      </c>
      <c r="H673" t="s">
        <v>2648</v>
      </c>
      <c r="I673" t="s">
        <v>70</v>
      </c>
      <c r="J673">
        <v>45</v>
      </c>
      <c r="K673">
        <v>95.19</v>
      </c>
      <c r="L673">
        <v>56.08</v>
      </c>
      <c r="M673">
        <v>0.1</v>
      </c>
      <c r="N673" t="s">
        <v>45</v>
      </c>
    </row>
    <row r="674" spans="1:14" x14ac:dyDescent="0.25">
      <c r="A674" t="s">
        <v>1153</v>
      </c>
      <c r="B674" s="2">
        <v>45337</v>
      </c>
      <c r="C674" t="s">
        <v>137</v>
      </c>
      <c r="D674" t="s">
        <v>165</v>
      </c>
      <c r="E674" t="s">
        <v>2618</v>
      </c>
      <c r="F674" t="s">
        <v>2634</v>
      </c>
      <c r="G674" t="s">
        <v>170</v>
      </c>
      <c r="H674" t="s">
        <v>2648</v>
      </c>
      <c r="I674" t="s">
        <v>70</v>
      </c>
      <c r="J674">
        <v>53</v>
      </c>
      <c r="K674">
        <v>42.07</v>
      </c>
      <c r="L674">
        <v>25.01</v>
      </c>
      <c r="M674">
        <v>0</v>
      </c>
      <c r="N674" t="s">
        <v>32</v>
      </c>
    </row>
    <row r="675" spans="1:14" x14ac:dyDescent="0.25">
      <c r="A675" t="s">
        <v>1154</v>
      </c>
      <c r="B675" s="2">
        <v>45434</v>
      </c>
      <c r="C675" t="s">
        <v>1155</v>
      </c>
      <c r="D675" t="s">
        <v>132</v>
      </c>
      <c r="E675" t="s">
        <v>2616</v>
      </c>
      <c r="F675" t="s">
        <v>2638</v>
      </c>
      <c r="G675" t="s">
        <v>178</v>
      </c>
      <c r="H675" t="s">
        <v>2645</v>
      </c>
      <c r="I675" t="s">
        <v>2578</v>
      </c>
      <c r="J675">
        <v>7</v>
      </c>
      <c r="K675">
        <v>61.41</v>
      </c>
      <c r="L675">
        <v>36.58</v>
      </c>
      <c r="M675">
        <v>0.1</v>
      </c>
      <c r="N675" t="s">
        <v>45</v>
      </c>
    </row>
    <row r="676" spans="1:14" x14ac:dyDescent="0.25">
      <c r="A676" t="s">
        <v>1156</v>
      </c>
      <c r="B676" s="2">
        <v>45404</v>
      </c>
      <c r="C676" t="s">
        <v>237</v>
      </c>
      <c r="D676" t="s">
        <v>36</v>
      </c>
      <c r="E676" t="s">
        <v>2617</v>
      </c>
      <c r="F676" t="s">
        <v>2642</v>
      </c>
      <c r="G676" t="s">
        <v>170</v>
      </c>
      <c r="H676" t="s">
        <v>2647</v>
      </c>
      <c r="I676" t="s">
        <v>84</v>
      </c>
      <c r="J676">
        <v>51</v>
      </c>
      <c r="K676">
        <v>174.96</v>
      </c>
      <c r="L676">
        <v>102.81</v>
      </c>
      <c r="M676">
        <v>0.15</v>
      </c>
      <c r="N676" t="s">
        <v>45</v>
      </c>
    </row>
    <row r="677" spans="1:14" x14ac:dyDescent="0.25">
      <c r="A677" t="s">
        <v>1157</v>
      </c>
      <c r="B677" s="2">
        <v>45473</v>
      </c>
      <c r="C677" t="s">
        <v>314</v>
      </c>
      <c r="D677" t="s">
        <v>66</v>
      </c>
      <c r="E677" t="s">
        <v>2615</v>
      </c>
      <c r="F677" t="s">
        <v>2630</v>
      </c>
      <c r="G677" t="s">
        <v>178</v>
      </c>
      <c r="H677" t="s">
        <v>2645</v>
      </c>
      <c r="I677" t="s">
        <v>44</v>
      </c>
      <c r="J677">
        <v>56</v>
      </c>
      <c r="K677">
        <v>155.02000000000001</v>
      </c>
      <c r="L677">
        <v>99.22</v>
      </c>
      <c r="M677">
        <v>0.02</v>
      </c>
      <c r="N677" t="s">
        <v>45</v>
      </c>
    </row>
    <row r="678" spans="1:14" x14ac:dyDescent="0.25">
      <c r="A678" t="s">
        <v>1158</v>
      </c>
      <c r="B678" s="2">
        <v>45458</v>
      </c>
      <c r="C678" t="s">
        <v>1159</v>
      </c>
      <c r="D678" t="s">
        <v>93</v>
      </c>
      <c r="E678" t="s">
        <v>2618</v>
      </c>
      <c r="F678" t="s">
        <v>2628</v>
      </c>
      <c r="G678" t="s">
        <v>42</v>
      </c>
      <c r="H678" t="s">
        <v>2647</v>
      </c>
      <c r="I678" t="s">
        <v>84</v>
      </c>
      <c r="J678">
        <v>47</v>
      </c>
      <c r="K678">
        <v>54.63</v>
      </c>
      <c r="L678">
        <v>33.15</v>
      </c>
      <c r="M678">
        <v>0.2</v>
      </c>
      <c r="N678" t="s">
        <v>32</v>
      </c>
    </row>
    <row r="679" spans="1:14" x14ac:dyDescent="0.25">
      <c r="A679" t="s">
        <v>1160</v>
      </c>
      <c r="B679" s="2">
        <v>45324</v>
      </c>
      <c r="C679" t="s">
        <v>511</v>
      </c>
      <c r="D679" t="s">
        <v>49</v>
      </c>
      <c r="E679" t="s">
        <v>2615</v>
      </c>
      <c r="F679" t="s">
        <v>2630</v>
      </c>
      <c r="G679" t="s">
        <v>74</v>
      </c>
      <c r="H679" t="s">
        <v>2646</v>
      </c>
      <c r="I679" t="s">
        <v>2578</v>
      </c>
      <c r="J679">
        <v>61</v>
      </c>
      <c r="K679">
        <v>24.12</v>
      </c>
      <c r="L679">
        <v>12.01</v>
      </c>
      <c r="M679">
        <v>0.1</v>
      </c>
      <c r="N679" t="s">
        <v>32</v>
      </c>
    </row>
    <row r="680" spans="1:14" x14ac:dyDescent="0.25">
      <c r="A680" t="s">
        <v>1161</v>
      </c>
      <c r="B680" s="2">
        <v>45384</v>
      </c>
      <c r="C680" t="s">
        <v>263</v>
      </c>
      <c r="D680" t="s">
        <v>176</v>
      </c>
      <c r="E680" t="s">
        <v>2617</v>
      </c>
      <c r="F680" t="s">
        <v>2641</v>
      </c>
      <c r="G680" t="s">
        <v>29</v>
      </c>
      <c r="H680" t="s">
        <v>2648</v>
      </c>
      <c r="I680" t="s">
        <v>44</v>
      </c>
      <c r="J680">
        <v>54</v>
      </c>
      <c r="K680">
        <v>99.86</v>
      </c>
      <c r="L680">
        <v>66.62</v>
      </c>
      <c r="M680">
        <v>0</v>
      </c>
      <c r="N680" t="s">
        <v>45</v>
      </c>
    </row>
    <row r="681" spans="1:14" x14ac:dyDescent="0.25">
      <c r="A681" t="s">
        <v>1162</v>
      </c>
      <c r="B681" s="2">
        <v>45391</v>
      </c>
      <c r="C681" t="s">
        <v>466</v>
      </c>
      <c r="D681" t="s">
        <v>216</v>
      </c>
      <c r="E681" t="s">
        <v>2618</v>
      </c>
      <c r="F681" t="s">
        <v>2635</v>
      </c>
      <c r="G681" t="s">
        <v>83</v>
      </c>
      <c r="H681" t="s">
        <v>2646</v>
      </c>
      <c r="I681" t="s">
        <v>2578</v>
      </c>
      <c r="J681">
        <v>68</v>
      </c>
      <c r="K681">
        <v>105.86</v>
      </c>
      <c r="L681">
        <v>68.739999999999995</v>
      </c>
      <c r="M681">
        <v>0.05</v>
      </c>
      <c r="N681" t="s">
        <v>129</v>
      </c>
    </row>
    <row r="682" spans="1:14" x14ac:dyDescent="0.25">
      <c r="A682" t="s">
        <v>1163</v>
      </c>
      <c r="B682" s="2">
        <v>45597</v>
      </c>
      <c r="C682" t="s">
        <v>711</v>
      </c>
      <c r="D682" t="s">
        <v>209</v>
      </c>
      <c r="E682" t="s">
        <v>2614</v>
      </c>
      <c r="F682" t="s">
        <v>2629</v>
      </c>
      <c r="G682" t="s">
        <v>218</v>
      </c>
      <c r="H682" t="s">
        <v>2646</v>
      </c>
      <c r="I682" t="s">
        <v>84</v>
      </c>
      <c r="J682">
        <v>3</v>
      </c>
      <c r="K682">
        <v>19.11</v>
      </c>
      <c r="L682">
        <v>10.19</v>
      </c>
      <c r="M682">
        <v>0.15</v>
      </c>
      <c r="N682" t="s">
        <v>45</v>
      </c>
    </row>
    <row r="683" spans="1:14" x14ac:dyDescent="0.25">
      <c r="A683" t="s">
        <v>1164</v>
      </c>
      <c r="B683" s="2">
        <v>45559</v>
      </c>
      <c r="C683" t="s">
        <v>430</v>
      </c>
      <c r="D683" t="s">
        <v>141</v>
      </c>
      <c r="E683" t="s">
        <v>2614</v>
      </c>
      <c r="F683" t="s">
        <v>2636</v>
      </c>
      <c r="G683" t="s">
        <v>144</v>
      </c>
      <c r="H683" t="s">
        <v>2646</v>
      </c>
      <c r="I683" t="s">
        <v>75</v>
      </c>
      <c r="J683">
        <v>9</v>
      </c>
      <c r="K683">
        <v>100.5</v>
      </c>
      <c r="L683">
        <v>61.2</v>
      </c>
      <c r="M683">
        <v>0</v>
      </c>
      <c r="N683" t="s">
        <v>45</v>
      </c>
    </row>
    <row r="684" spans="1:14" x14ac:dyDescent="0.25">
      <c r="A684" t="s">
        <v>1165</v>
      </c>
      <c r="B684" s="2">
        <v>45355</v>
      </c>
      <c r="C684" t="s">
        <v>408</v>
      </c>
      <c r="D684" t="s">
        <v>99</v>
      </c>
      <c r="E684" t="s">
        <v>2617</v>
      </c>
      <c r="F684" t="s">
        <v>2626</v>
      </c>
      <c r="G684" t="s">
        <v>178</v>
      </c>
      <c r="H684" t="s">
        <v>2648</v>
      </c>
      <c r="I684" t="s">
        <v>44</v>
      </c>
      <c r="J684">
        <v>60</v>
      </c>
      <c r="K684">
        <v>71.5</v>
      </c>
      <c r="L684">
        <v>41.23</v>
      </c>
      <c r="M684">
        <v>0.2</v>
      </c>
      <c r="N684" t="s">
        <v>32</v>
      </c>
    </row>
    <row r="685" spans="1:14" x14ac:dyDescent="0.25">
      <c r="A685" t="s">
        <v>1166</v>
      </c>
      <c r="B685" s="2">
        <v>45604</v>
      </c>
      <c r="C685" t="s">
        <v>487</v>
      </c>
      <c r="D685" t="s">
        <v>109</v>
      </c>
      <c r="E685" t="s">
        <v>2618</v>
      </c>
      <c r="F685" t="s">
        <v>2628</v>
      </c>
      <c r="G685" t="s">
        <v>184</v>
      </c>
      <c r="H685" t="s">
        <v>2645</v>
      </c>
      <c r="I685" t="s">
        <v>84</v>
      </c>
      <c r="J685">
        <v>21</v>
      </c>
      <c r="K685">
        <v>124.88</v>
      </c>
      <c r="L685">
        <v>72.67</v>
      </c>
      <c r="M685">
        <v>0.05</v>
      </c>
      <c r="N685" t="s">
        <v>45</v>
      </c>
    </row>
    <row r="686" spans="1:14" x14ac:dyDescent="0.25">
      <c r="A686" t="s">
        <v>1167</v>
      </c>
      <c r="B686" s="2">
        <v>45442</v>
      </c>
      <c r="C686" t="s">
        <v>454</v>
      </c>
      <c r="D686" t="s">
        <v>23</v>
      </c>
      <c r="E686" t="s">
        <v>2614</v>
      </c>
      <c r="F686" t="s">
        <v>2637</v>
      </c>
      <c r="G686" t="s">
        <v>152</v>
      </c>
      <c r="H686" t="s">
        <v>2648</v>
      </c>
      <c r="I686" t="s">
        <v>44</v>
      </c>
      <c r="J686">
        <v>35</v>
      </c>
      <c r="K686">
        <v>80.81</v>
      </c>
      <c r="L686">
        <v>42.51</v>
      </c>
      <c r="M686">
        <v>0.15</v>
      </c>
      <c r="N686" t="s">
        <v>129</v>
      </c>
    </row>
    <row r="687" spans="1:14" x14ac:dyDescent="0.25">
      <c r="A687" t="s">
        <v>1168</v>
      </c>
      <c r="B687" s="2">
        <v>45315</v>
      </c>
      <c r="C687" t="s">
        <v>227</v>
      </c>
      <c r="D687" t="s">
        <v>23</v>
      </c>
      <c r="E687" t="s">
        <v>2618</v>
      </c>
      <c r="F687" t="s">
        <v>2634</v>
      </c>
      <c r="G687" t="s">
        <v>74</v>
      </c>
      <c r="H687" t="s">
        <v>2648</v>
      </c>
      <c r="I687" t="s">
        <v>2578</v>
      </c>
      <c r="J687">
        <v>39</v>
      </c>
      <c r="K687">
        <v>70.819999999999993</v>
      </c>
      <c r="L687">
        <v>42.67</v>
      </c>
      <c r="M687">
        <v>0.05</v>
      </c>
      <c r="N687" t="s">
        <v>129</v>
      </c>
    </row>
    <row r="688" spans="1:14" x14ac:dyDescent="0.25">
      <c r="A688" t="s">
        <v>1169</v>
      </c>
      <c r="B688" s="2">
        <v>45329</v>
      </c>
      <c r="C688" t="s">
        <v>199</v>
      </c>
      <c r="D688" t="s">
        <v>222</v>
      </c>
      <c r="E688" t="s">
        <v>2618</v>
      </c>
      <c r="F688" t="s">
        <v>2628</v>
      </c>
      <c r="G688" t="s">
        <v>111</v>
      </c>
      <c r="H688" t="s">
        <v>2647</v>
      </c>
      <c r="I688" t="s">
        <v>75</v>
      </c>
      <c r="J688">
        <v>20</v>
      </c>
      <c r="K688">
        <v>119.69</v>
      </c>
      <c r="L688">
        <v>71.83</v>
      </c>
      <c r="M688">
        <v>0.1</v>
      </c>
      <c r="N688" t="s">
        <v>45</v>
      </c>
    </row>
    <row r="689" spans="1:14" x14ac:dyDescent="0.25">
      <c r="A689" t="s">
        <v>1170</v>
      </c>
      <c r="B689" s="2">
        <v>45396</v>
      </c>
      <c r="C689" t="s">
        <v>1171</v>
      </c>
      <c r="D689" t="s">
        <v>114</v>
      </c>
      <c r="E689" t="s">
        <v>2618</v>
      </c>
      <c r="F689" t="s">
        <v>2632</v>
      </c>
      <c r="G689" t="s">
        <v>184</v>
      </c>
      <c r="H689" t="s">
        <v>2646</v>
      </c>
      <c r="I689" t="s">
        <v>75</v>
      </c>
      <c r="J689">
        <v>33</v>
      </c>
      <c r="K689">
        <v>35.76</v>
      </c>
      <c r="L689">
        <v>21.33</v>
      </c>
      <c r="M689">
        <v>0</v>
      </c>
      <c r="N689" t="s">
        <v>45</v>
      </c>
    </row>
    <row r="690" spans="1:14" x14ac:dyDescent="0.25">
      <c r="A690" t="s">
        <v>1172</v>
      </c>
      <c r="B690" s="2">
        <v>45591</v>
      </c>
      <c r="C690" t="s">
        <v>197</v>
      </c>
      <c r="D690" t="s">
        <v>126</v>
      </c>
      <c r="E690" t="s">
        <v>2617</v>
      </c>
      <c r="F690" t="s">
        <v>2641</v>
      </c>
      <c r="G690" t="s">
        <v>265</v>
      </c>
      <c r="H690" t="s">
        <v>2649</v>
      </c>
      <c r="I690" t="s">
        <v>84</v>
      </c>
      <c r="J690">
        <v>56</v>
      </c>
      <c r="K690">
        <v>83.39</v>
      </c>
      <c r="L690">
        <v>53.77</v>
      </c>
      <c r="M690">
        <v>0.2</v>
      </c>
      <c r="N690" t="s">
        <v>45</v>
      </c>
    </row>
    <row r="691" spans="1:14" x14ac:dyDescent="0.25">
      <c r="A691" t="s">
        <v>1173</v>
      </c>
      <c r="B691" s="2">
        <v>45333</v>
      </c>
      <c r="C691" t="s">
        <v>373</v>
      </c>
      <c r="D691" t="s">
        <v>36</v>
      </c>
      <c r="E691" t="s">
        <v>2614</v>
      </c>
      <c r="F691" t="s">
        <v>2629</v>
      </c>
      <c r="G691" t="s">
        <v>265</v>
      </c>
      <c r="H691" t="s">
        <v>2648</v>
      </c>
      <c r="I691" t="s">
        <v>70</v>
      </c>
      <c r="J691">
        <v>38</v>
      </c>
      <c r="K691">
        <v>160.83000000000001</v>
      </c>
      <c r="L691">
        <v>99.44</v>
      </c>
      <c r="M691">
        <v>0.2</v>
      </c>
      <c r="N691" t="s">
        <v>45</v>
      </c>
    </row>
    <row r="692" spans="1:14" x14ac:dyDescent="0.25">
      <c r="A692" t="s">
        <v>1174</v>
      </c>
      <c r="B692" s="2">
        <v>45455</v>
      </c>
      <c r="C692" t="s">
        <v>1175</v>
      </c>
      <c r="D692" t="s">
        <v>150</v>
      </c>
      <c r="E692" t="s">
        <v>2616</v>
      </c>
      <c r="F692" t="s">
        <v>2624</v>
      </c>
      <c r="G692" t="s">
        <v>111</v>
      </c>
      <c r="H692" t="s">
        <v>2650</v>
      </c>
      <c r="I692" t="s">
        <v>75</v>
      </c>
      <c r="J692">
        <v>64</v>
      </c>
      <c r="K692">
        <v>78.5</v>
      </c>
      <c r="L692">
        <v>52.34</v>
      </c>
      <c r="M692">
        <v>0.1</v>
      </c>
      <c r="N692" t="s">
        <v>129</v>
      </c>
    </row>
    <row r="693" spans="1:14" x14ac:dyDescent="0.25">
      <c r="A693" t="s">
        <v>1176</v>
      </c>
      <c r="B693" s="2">
        <v>45591</v>
      </c>
      <c r="C693" t="s">
        <v>917</v>
      </c>
      <c r="D693" t="s">
        <v>176</v>
      </c>
      <c r="E693" t="s">
        <v>2615</v>
      </c>
      <c r="F693" t="s">
        <v>2640</v>
      </c>
      <c r="G693" t="s">
        <v>195</v>
      </c>
      <c r="H693" t="s">
        <v>2647</v>
      </c>
      <c r="I693" t="s">
        <v>84</v>
      </c>
      <c r="J693">
        <v>30</v>
      </c>
      <c r="K693">
        <v>107.45</v>
      </c>
      <c r="L693">
        <v>63.71</v>
      </c>
      <c r="M693">
        <v>0.02</v>
      </c>
      <c r="N693" t="s">
        <v>32</v>
      </c>
    </row>
    <row r="694" spans="1:14" x14ac:dyDescent="0.25">
      <c r="A694" t="s">
        <v>1177</v>
      </c>
      <c r="B694" s="2">
        <v>45473</v>
      </c>
      <c r="C694" t="s">
        <v>584</v>
      </c>
      <c r="D694" t="s">
        <v>78</v>
      </c>
      <c r="E694" t="s">
        <v>2618</v>
      </c>
      <c r="F694" t="s">
        <v>2635</v>
      </c>
      <c r="G694" t="s">
        <v>265</v>
      </c>
      <c r="H694" t="s">
        <v>2647</v>
      </c>
      <c r="I694" t="s">
        <v>44</v>
      </c>
      <c r="J694">
        <v>27</v>
      </c>
      <c r="K694">
        <v>147.44999999999999</v>
      </c>
      <c r="L694">
        <v>78.23</v>
      </c>
      <c r="M694">
        <v>0.2</v>
      </c>
      <c r="N694" t="s">
        <v>129</v>
      </c>
    </row>
    <row r="695" spans="1:14" x14ac:dyDescent="0.25">
      <c r="A695" t="s">
        <v>1178</v>
      </c>
      <c r="B695" s="2">
        <v>45641</v>
      </c>
      <c r="C695" t="s">
        <v>408</v>
      </c>
      <c r="D695" t="s">
        <v>216</v>
      </c>
      <c r="E695" t="s">
        <v>2616</v>
      </c>
      <c r="F695" t="s">
        <v>2638</v>
      </c>
      <c r="G695" t="s">
        <v>218</v>
      </c>
      <c r="H695" t="s">
        <v>2646</v>
      </c>
      <c r="I695" t="s">
        <v>2578</v>
      </c>
      <c r="J695">
        <v>13</v>
      </c>
      <c r="K695">
        <v>104.9</v>
      </c>
      <c r="L695">
        <v>70.31</v>
      </c>
      <c r="M695">
        <v>0.05</v>
      </c>
      <c r="N695" t="s">
        <v>32</v>
      </c>
    </row>
    <row r="696" spans="1:14" x14ac:dyDescent="0.25">
      <c r="A696" t="s">
        <v>1179</v>
      </c>
      <c r="B696" s="2">
        <v>45556</v>
      </c>
      <c r="C696" t="s">
        <v>681</v>
      </c>
      <c r="D696" t="s">
        <v>49</v>
      </c>
      <c r="E696" t="s">
        <v>2616</v>
      </c>
      <c r="F696" t="s">
        <v>2631</v>
      </c>
      <c r="G696" t="s">
        <v>60</v>
      </c>
      <c r="H696" t="s">
        <v>2646</v>
      </c>
      <c r="I696" t="s">
        <v>2578</v>
      </c>
      <c r="J696">
        <v>47</v>
      </c>
      <c r="K696">
        <v>23.09</v>
      </c>
      <c r="L696">
        <v>13.3</v>
      </c>
      <c r="M696">
        <v>0</v>
      </c>
      <c r="N696" t="s">
        <v>45</v>
      </c>
    </row>
    <row r="697" spans="1:14" x14ac:dyDescent="0.25">
      <c r="A697" t="s">
        <v>1180</v>
      </c>
      <c r="B697" s="2">
        <v>45381</v>
      </c>
      <c r="C697" t="s">
        <v>524</v>
      </c>
      <c r="D697" t="s">
        <v>49</v>
      </c>
      <c r="E697" t="s">
        <v>2614</v>
      </c>
      <c r="F697" t="s">
        <v>2637</v>
      </c>
      <c r="G697" t="s">
        <v>195</v>
      </c>
      <c r="H697" t="s">
        <v>2647</v>
      </c>
      <c r="I697" t="s">
        <v>84</v>
      </c>
      <c r="J697">
        <v>28</v>
      </c>
      <c r="K697">
        <v>26.05</v>
      </c>
      <c r="L697">
        <v>12.04</v>
      </c>
      <c r="M697">
        <v>0.05</v>
      </c>
      <c r="N697" t="s">
        <v>129</v>
      </c>
    </row>
    <row r="698" spans="1:14" x14ac:dyDescent="0.25">
      <c r="A698" t="s">
        <v>1181</v>
      </c>
      <c r="B698" s="2">
        <v>45372</v>
      </c>
      <c r="C698" t="s">
        <v>1044</v>
      </c>
      <c r="D698" t="s">
        <v>165</v>
      </c>
      <c r="E698" t="s">
        <v>2616</v>
      </c>
      <c r="F698" t="s">
        <v>2638</v>
      </c>
      <c r="G698" t="s">
        <v>195</v>
      </c>
      <c r="H698" t="s">
        <v>2646</v>
      </c>
      <c r="I698" t="s">
        <v>2578</v>
      </c>
      <c r="J698">
        <v>13</v>
      </c>
      <c r="K698">
        <v>41.95</v>
      </c>
      <c r="L698">
        <v>24.62</v>
      </c>
      <c r="M698">
        <v>0</v>
      </c>
      <c r="N698" t="s">
        <v>45</v>
      </c>
    </row>
    <row r="699" spans="1:14" x14ac:dyDescent="0.25">
      <c r="A699" t="s">
        <v>1182</v>
      </c>
      <c r="B699" s="2">
        <v>45377</v>
      </c>
      <c r="C699" t="s">
        <v>602</v>
      </c>
      <c r="D699" t="s">
        <v>132</v>
      </c>
      <c r="E699" t="s">
        <v>2615</v>
      </c>
      <c r="F699" t="s">
        <v>2640</v>
      </c>
      <c r="G699" t="s">
        <v>42</v>
      </c>
      <c r="H699" t="s">
        <v>2646</v>
      </c>
      <c r="I699" t="s">
        <v>75</v>
      </c>
      <c r="J699">
        <v>44</v>
      </c>
      <c r="K699">
        <v>56.94</v>
      </c>
      <c r="L699">
        <v>34.450000000000003</v>
      </c>
      <c r="M699">
        <v>0.1</v>
      </c>
      <c r="N699" t="s">
        <v>45</v>
      </c>
    </row>
    <row r="700" spans="1:14" x14ac:dyDescent="0.25">
      <c r="A700" t="s">
        <v>1183</v>
      </c>
      <c r="B700" s="2">
        <v>45306</v>
      </c>
      <c r="C700" t="s">
        <v>1184</v>
      </c>
      <c r="D700" t="s">
        <v>93</v>
      </c>
      <c r="E700" t="s">
        <v>2618</v>
      </c>
      <c r="F700" t="s">
        <v>2628</v>
      </c>
      <c r="G700" t="s">
        <v>83</v>
      </c>
      <c r="H700" t="s">
        <v>2645</v>
      </c>
      <c r="I700" t="s">
        <v>2578</v>
      </c>
      <c r="J700">
        <v>5</v>
      </c>
      <c r="K700">
        <v>53.54</v>
      </c>
      <c r="L700">
        <v>33.39</v>
      </c>
      <c r="M700">
        <v>0.2</v>
      </c>
      <c r="N700" t="s">
        <v>32</v>
      </c>
    </row>
    <row r="701" spans="1:14" x14ac:dyDescent="0.25">
      <c r="A701" t="s">
        <v>1185</v>
      </c>
      <c r="B701" s="2">
        <v>45490</v>
      </c>
      <c r="C701" t="s">
        <v>800</v>
      </c>
      <c r="D701" t="s">
        <v>176</v>
      </c>
      <c r="E701" t="s">
        <v>2618</v>
      </c>
      <c r="F701" t="s">
        <v>2634</v>
      </c>
      <c r="G701" t="s">
        <v>218</v>
      </c>
      <c r="H701" t="s">
        <v>2647</v>
      </c>
      <c r="I701" t="s">
        <v>75</v>
      </c>
      <c r="J701">
        <v>23</v>
      </c>
      <c r="K701">
        <v>97.73</v>
      </c>
      <c r="L701">
        <v>63.19</v>
      </c>
      <c r="M701">
        <v>0.1</v>
      </c>
      <c r="N701" t="s">
        <v>45</v>
      </c>
    </row>
    <row r="702" spans="1:14" x14ac:dyDescent="0.25">
      <c r="A702" t="s">
        <v>1186</v>
      </c>
      <c r="B702" s="2">
        <v>45541</v>
      </c>
      <c r="C702" t="s">
        <v>341</v>
      </c>
      <c r="D702" t="s">
        <v>187</v>
      </c>
      <c r="E702" t="s">
        <v>2617</v>
      </c>
      <c r="F702" t="s">
        <v>2626</v>
      </c>
      <c r="G702" t="s">
        <v>265</v>
      </c>
      <c r="H702" t="s">
        <v>2645</v>
      </c>
      <c r="I702" t="s">
        <v>84</v>
      </c>
      <c r="J702" t="e">
        <f>ROUND(#REF!/Sales12[[#This Row],[Unit_Price]],0)</f>
        <v>#REF!</v>
      </c>
      <c r="K702">
        <v>50.78</v>
      </c>
      <c r="L702">
        <v>31.09</v>
      </c>
      <c r="M702">
        <v>0.15</v>
      </c>
      <c r="N702" t="s">
        <v>45</v>
      </c>
    </row>
    <row r="703" spans="1:14" x14ac:dyDescent="0.25">
      <c r="A703" t="s">
        <v>1187</v>
      </c>
      <c r="B703" s="2">
        <v>45573</v>
      </c>
      <c r="C703" t="s">
        <v>817</v>
      </c>
      <c r="D703" t="s">
        <v>132</v>
      </c>
      <c r="E703" t="s">
        <v>2616</v>
      </c>
      <c r="F703" t="s">
        <v>2633</v>
      </c>
      <c r="G703" t="s">
        <v>144</v>
      </c>
      <c r="H703" t="s">
        <v>2645</v>
      </c>
      <c r="I703" t="s">
        <v>2578</v>
      </c>
      <c r="J703">
        <v>33</v>
      </c>
      <c r="K703">
        <v>58.61</v>
      </c>
      <c r="L703">
        <v>35.54</v>
      </c>
      <c r="M703">
        <v>0.05</v>
      </c>
      <c r="N703" t="s">
        <v>45</v>
      </c>
    </row>
    <row r="704" spans="1:14" x14ac:dyDescent="0.25">
      <c r="A704" t="s">
        <v>1188</v>
      </c>
      <c r="B704" s="2">
        <v>45371</v>
      </c>
      <c r="C704" t="s">
        <v>693</v>
      </c>
      <c r="D704" t="s">
        <v>93</v>
      </c>
      <c r="E704" t="s">
        <v>2616</v>
      </c>
      <c r="F704" t="s">
        <v>2638</v>
      </c>
      <c r="G704" t="s">
        <v>74</v>
      </c>
      <c r="H704" t="s">
        <v>2648</v>
      </c>
      <c r="I704" t="s">
        <v>2578</v>
      </c>
      <c r="J704">
        <v>25</v>
      </c>
      <c r="K704">
        <v>56.41</v>
      </c>
      <c r="L704">
        <v>33.35</v>
      </c>
      <c r="M704">
        <v>0</v>
      </c>
      <c r="N704" t="s">
        <v>45</v>
      </c>
    </row>
    <row r="705" spans="1:14" x14ac:dyDescent="0.25">
      <c r="A705" t="s">
        <v>1189</v>
      </c>
      <c r="B705" s="2">
        <v>45571</v>
      </c>
      <c r="C705" t="s">
        <v>727</v>
      </c>
      <c r="D705" t="s">
        <v>99</v>
      </c>
      <c r="E705" t="s">
        <v>2615</v>
      </c>
      <c r="F705" t="s">
        <v>2627</v>
      </c>
      <c r="G705" t="s">
        <v>60</v>
      </c>
      <c r="H705" t="s">
        <v>2645</v>
      </c>
      <c r="I705" t="s">
        <v>75</v>
      </c>
      <c r="J705">
        <v>26</v>
      </c>
      <c r="K705">
        <v>70.239999999999995</v>
      </c>
      <c r="L705">
        <v>44.13</v>
      </c>
      <c r="M705">
        <v>0.05</v>
      </c>
      <c r="N705" t="s">
        <v>45</v>
      </c>
    </row>
    <row r="706" spans="1:14" x14ac:dyDescent="0.25">
      <c r="A706" t="s">
        <v>1190</v>
      </c>
      <c r="B706" s="2">
        <v>45642</v>
      </c>
      <c r="C706" t="s">
        <v>852</v>
      </c>
      <c r="D706" t="s">
        <v>126</v>
      </c>
      <c r="E706" t="s">
        <v>2616</v>
      </c>
      <c r="F706" t="s">
        <v>2624</v>
      </c>
      <c r="G706" t="s">
        <v>29</v>
      </c>
      <c r="H706" t="s">
        <v>2647</v>
      </c>
      <c r="I706" t="s">
        <v>70</v>
      </c>
      <c r="J706">
        <v>16</v>
      </c>
      <c r="K706">
        <v>89.19</v>
      </c>
      <c r="L706">
        <v>54.07</v>
      </c>
      <c r="M706">
        <v>0.15</v>
      </c>
      <c r="N706" t="s">
        <v>45</v>
      </c>
    </row>
    <row r="707" spans="1:14" x14ac:dyDescent="0.25">
      <c r="A707" t="s">
        <v>1191</v>
      </c>
      <c r="B707" s="2">
        <v>45412</v>
      </c>
      <c r="C707" t="s">
        <v>1075</v>
      </c>
      <c r="D707" t="s">
        <v>176</v>
      </c>
      <c r="E707" t="s">
        <v>2616</v>
      </c>
      <c r="F707" t="s">
        <v>2638</v>
      </c>
      <c r="G707" t="s">
        <v>265</v>
      </c>
      <c r="H707" t="s">
        <v>2646</v>
      </c>
      <c r="I707" t="s">
        <v>70</v>
      </c>
      <c r="J707">
        <v>3</v>
      </c>
      <c r="K707">
        <v>101.15</v>
      </c>
      <c r="L707">
        <v>60.46</v>
      </c>
      <c r="M707">
        <v>0.02</v>
      </c>
      <c r="N707" t="s">
        <v>45</v>
      </c>
    </row>
    <row r="708" spans="1:14" x14ac:dyDescent="0.25">
      <c r="A708" t="s">
        <v>1192</v>
      </c>
      <c r="B708" s="2">
        <v>45419</v>
      </c>
      <c r="C708" t="s">
        <v>318</v>
      </c>
      <c r="D708" t="s">
        <v>250</v>
      </c>
      <c r="E708" t="s">
        <v>2616</v>
      </c>
      <c r="F708" t="s">
        <v>2633</v>
      </c>
      <c r="G708" t="s">
        <v>218</v>
      </c>
      <c r="H708" t="s">
        <v>2646</v>
      </c>
      <c r="I708" t="s">
        <v>70</v>
      </c>
      <c r="J708">
        <v>26</v>
      </c>
      <c r="K708">
        <v>61.01</v>
      </c>
      <c r="L708">
        <v>39.93</v>
      </c>
      <c r="M708">
        <v>0.02</v>
      </c>
      <c r="N708" t="s">
        <v>45</v>
      </c>
    </row>
    <row r="709" spans="1:14" x14ac:dyDescent="0.25">
      <c r="A709" t="s">
        <v>1193</v>
      </c>
      <c r="B709" s="2">
        <v>45383</v>
      </c>
      <c r="C709" t="s">
        <v>461</v>
      </c>
      <c r="D709" t="s">
        <v>126</v>
      </c>
      <c r="E709" t="s">
        <v>2614</v>
      </c>
      <c r="F709" t="s">
        <v>2629</v>
      </c>
      <c r="G709" t="s">
        <v>248</v>
      </c>
      <c r="H709" t="s">
        <v>2645</v>
      </c>
      <c r="I709" t="s">
        <v>2578</v>
      </c>
      <c r="J709">
        <v>31</v>
      </c>
      <c r="K709">
        <v>83.26</v>
      </c>
      <c r="L709">
        <v>52.35</v>
      </c>
      <c r="M709">
        <v>0.15</v>
      </c>
      <c r="N709" t="s">
        <v>45</v>
      </c>
    </row>
    <row r="710" spans="1:14" x14ac:dyDescent="0.25">
      <c r="A710" t="s">
        <v>1194</v>
      </c>
      <c r="B710" s="2">
        <v>45440</v>
      </c>
      <c r="C710" t="s">
        <v>475</v>
      </c>
      <c r="D710" t="s">
        <v>250</v>
      </c>
      <c r="E710" t="s">
        <v>2615</v>
      </c>
      <c r="F710" t="s">
        <v>2630</v>
      </c>
      <c r="G710" t="s">
        <v>261</v>
      </c>
      <c r="H710" t="s">
        <v>2647</v>
      </c>
      <c r="I710" t="s">
        <v>70</v>
      </c>
      <c r="J710">
        <v>39</v>
      </c>
      <c r="K710">
        <v>66.48</v>
      </c>
      <c r="L710">
        <v>35.35</v>
      </c>
      <c r="M710">
        <v>0.1</v>
      </c>
      <c r="N710" t="s">
        <v>129</v>
      </c>
    </row>
    <row r="711" spans="1:14" x14ac:dyDescent="0.25">
      <c r="A711" t="s">
        <v>1195</v>
      </c>
      <c r="B711" s="2">
        <v>45460</v>
      </c>
      <c r="C711" t="s">
        <v>608</v>
      </c>
      <c r="D711" t="s">
        <v>209</v>
      </c>
      <c r="E711" t="s">
        <v>2615</v>
      </c>
      <c r="F711" t="s">
        <v>2627</v>
      </c>
      <c r="G711" t="s">
        <v>2619</v>
      </c>
      <c r="H711" t="s">
        <v>2648</v>
      </c>
      <c r="I711" t="s">
        <v>75</v>
      </c>
      <c r="J711">
        <v>39</v>
      </c>
      <c r="K711">
        <v>18.170000000000002</v>
      </c>
      <c r="L711">
        <v>10.17</v>
      </c>
      <c r="M711">
        <v>0.05</v>
      </c>
      <c r="N711" t="s">
        <v>45</v>
      </c>
    </row>
    <row r="712" spans="1:14" x14ac:dyDescent="0.25">
      <c r="A712" t="s">
        <v>1196</v>
      </c>
      <c r="B712" s="2">
        <v>45432</v>
      </c>
      <c r="C712" t="s">
        <v>438</v>
      </c>
      <c r="D712" t="s">
        <v>250</v>
      </c>
      <c r="E712" t="s">
        <v>2616</v>
      </c>
      <c r="F712" t="s">
        <v>2631</v>
      </c>
      <c r="G712" t="s">
        <v>170</v>
      </c>
      <c r="H712" t="s">
        <v>2645</v>
      </c>
      <c r="I712" t="s">
        <v>2578</v>
      </c>
      <c r="J712">
        <v>56</v>
      </c>
      <c r="K712">
        <v>68.5</v>
      </c>
      <c r="L712">
        <v>39.950000000000003</v>
      </c>
      <c r="M712">
        <v>0</v>
      </c>
      <c r="N712" t="s">
        <v>45</v>
      </c>
    </row>
    <row r="713" spans="1:14" x14ac:dyDescent="0.25">
      <c r="A713" t="s">
        <v>1197</v>
      </c>
      <c r="B713" s="2">
        <v>45557</v>
      </c>
      <c r="C713" t="s">
        <v>213</v>
      </c>
      <c r="D713" t="s">
        <v>109</v>
      </c>
      <c r="E713" t="s">
        <v>2614</v>
      </c>
      <c r="F713" t="s">
        <v>2637</v>
      </c>
      <c r="G713" t="s">
        <v>118</v>
      </c>
      <c r="H713" t="s">
        <v>2648</v>
      </c>
      <c r="I713" t="s">
        <v>70</v>
      </c>
      <c r="J713">
        <v>59</v>
      </c>
      <c r="K713">
        <v>133.06</v>
      </c>
      <c r="L713">
        <v>78.17</v>
      </c>
      <c r="M713">
        <v>1.25</v>
      </c>
      <c r="N713" t="s">
        <v>45</v>
      </c>
    </row>
    <row r="714" spans="1:14" x14ac:dyDescent="0.25">
      <c r="A714" t="s">
        <v>1198</v>
      </c>
      <c r="B714" s="2">
        <v>45504</v>
      </c>
      <c r="C714" t="s">
        <v>449</v>
      </c>
      <c r="D714" t="s">
        <v>99</v>
      </c>
      <c r="E714" t="s">
        <v>2614</v>
      </c>
      <c r="F714" t="s">
        <v>2629</v>
      </c>
      <c r="G714" t="s">
        <v>152</v>
      </c>
      <c r="H714" t="s">
        <v>2646</v>
      </c>
      <c r="I714" t="s">
        <v>75</v>
      </c>
      <c r="J714">
        <v>15</v>
      </c>
      <c r="K714">
        <v>64.75</v>
      </c>
      <c r="L714">
        <v>39.42</v>
      </c>
      <c r="M714">
        <v>0.15</v>
      </c>
      <c r="N714" t="s">
        <v>129</v>
      </c>
    </row>
    <row r="715" spans="1:14" x14ac:dyDescent="0.25">
      <c r="A715" t="s">
        <v>1199</v>
      </c>
      <c r="B715" s="2">
        <v>45487</v>
      </c>
      <c r="C715" t="s">
        <v>664</v>
      </c>
      <c r="D715" t="s">
        <v>36</v>
      </c>
      <c r="E715" t="s">
        <v>2618</v>
      </c>
      <c r="F715" t="s">
        <v>2634</v>
      </c>
      <c r="G715" t="s">
        <v>184</v>
      </c>
      <c r="H715" t="s">
        <v>2648</v>
      </c>
      <c r="I715" t="s">
        <v>44</v>
      </c>
      <c r="J715">
        <v>46</v>
      </c>
      <c r="K715">
        <v>163.19999999999999</v>
      </c>
      <c r="L715">
        <v>93.1</v>
      </c>
      <c r="M715">
        <v>0.1</v>
      </c>
      <c r="N715" t="s">
        <v>32</v>
      </c>
    </row>
    <row r="716" spans="1:14" x14ac:dyDescent="0.25">
      <c r="A716" t="s">
        <v>1200</v>
      </c>
      <c r="B716" s="2">
        <v>45427</v>
      </c>
      <c r="C716" t="s">
        <v>535</v>
      </c>
      <c r="D716" t="s">
        <v>176</v>
      </c>
      <c r="E716" t="s">
        <v>2618</v>
      </c>
      <c r="F716" t="s">
        <v>2634</v>
      </c>
      <c r="G716" t="s">
        <v>69</v>
      </c>
      <c r="H716" t="s">
        <v>2648</v>
      </c>
      <c r="I716" t="s">
        <v>2578</v>
      </c>
      <c r="J716">
        <v>48</v>
      </c>
      <c r="K716">
        <v>110.04</v>
      </c>
      <c r="L716">
        <v>59.76</v>
      </c>
      <c r="M716">
        <v>0.02</v>
      </c>
      <c r="N716" t="s">
        <v>45</v>
      </c>
    </row>
    <row r="717" spans="1:14" x14ac:dyDescent="0.25">
      <c r="A717" t="s">
        <v>1201</v>
      </c>
      <c r="B717" s="2">
        <v>45485</v>
      </c>
      <c r="C717" t="s">
        <v>373</v>
      </c>
      <c r="D717" t="s">
        <v>99</v>
      </c>
      <c r="E717" t="s">
        <v>2616</v>
      </c>
      <c r="F717" t="s">
        <v>2624</v>
      </c>
      <c r="G717" t="s">
        <v>60</v>
      </c>
      <c r="H717" t="s">
        <v>2647</v>
      </c>
      <c r="I717" t="s">
        <v>44</v>
      </c>
      <c r="J717">
        <v>61</v>
      </c>
      <c r="K717">
        <v>70.37</v>
      </c>
      <c r="L717">
        <v>39.85</v>
      </c>
      <c r="M717">
        <v>0.2</v>
      </c>
      <c r="N717" t="s">
        <v>129</v>
      </c>
    </row>
    <row r="718" spans="1:14" x14ac:dyDescent="0.25">
      <c r="A718" t="s">
        <v>1202</v>
      </c>
      <c r="B718" s="2">
        <v>45299</v>
      </c>
      <c r="C718" t="s">
        <v>375</v>
      </c>
      <c r="D718" t="s">
        <v>23</v>
      </c>
      <c r="E718" t="s">
        <v>2614</v>
      </c>
      <c r="F718" t="s">
        <v>2629</v>
      </c>
      <c r="G718" t="s">
        <v>218</v>
      </c>
      <c r="H718" t="s">
        <v>2646</v>
      </c>
      <c r="I718" t="s">
        <v>70</v>
      </c>
      <c r="J718">
        <v>59</v>
      </c>
      <c r="K718">
        <v>77.72</v>
      </c>
      <c r="L718">
        <v>42.63</v>
      </c>
      <c r="M718">
        <v>0</v>
      </c>
      <c r="N718" t="s">
        <v>129</v>
      </c>
    </row>
    <row r="719" spans="1:14" x14ac:dyDescent="0.25">
      <c r="A719" t="s">
        <v>1203</v>
      </c>
      <c r="B719" s="2">
        <v>45318</v>
      </c>
      <c r="C719" t="s">
        <v>1137</v>
      </c>
      <c r="D719" t="s">
        <v>78</v>
      </c>
      <c r="E719" t="s">
        <v>2618</v>
      </c>
      <c r="F719" t="s">
        <v>2635</v>
      </c>
      <c r="G719" t="s">
        <v>144</v>
      </c>
      <c r="H719" t="s">
        <v>2648</v>
      </c>
      <c r="I719" t="s">
        <v>70</v>
      </c>
      <c r="J719">
        <v>55</v>
      </c>
      <c r="K719">
        <v>141.97999999999999</v>
      </c>
      <c r="L719">
        <v>81.75</v>
      </c>
      <c r="M719">
        <v>0.1</v>
      </c>
      <c r="N719" t="s">
        <v>45</v>
      </c>
    </row>
    <row r="720" spans="1:14" x14ac:dyDescent="0.25">
      <c r="A720" t="s">
        <v>1204</v>
      </c>
      <c r="B720" s="2">
        <v>45591</v>
      </c>
      <c r="C720" t="s">
        <v>626</v>
      </c>
      <c r="D720" t="s">
        <v>222</v>
      </c>
      <c r="E720" t="s">
        <v>2617</v>
      </c>
      <c r="F720" t="s">
        <v>2642</v>
      </c>
      <c r="G720" t="s">
        <v>90</v>
      </c>
      <c r="H720" t="s">
        <v>2646</v>
      </c>
      <c r="I720" t="s">
        <v>70</v>
      </c>
      <c r="J720">
        <v>31</v>
      </c>
      <c r="K720">
        <v>121.58</v>
      </c>
      <c r="L720">
        <v>81.099999999999994</v>
      </c>
      <c r="M720">
        <v>0.1</v>
      </c>
      <c r="N720" t="s">
        <v>45</v>
      </c>
    </row>
    <row r="721" spans="1:14" x14ac:dyDescent="0.25">
      <c r="A721" t="s">
        <v>1205</v>
      </c>
      <c r="B721" s="2">
        <v>45413</v>
      </c>
      <c r="C721" t="s">
        <v>515</v>
      </c>
      <c r="D721" t="s">
        <v>66</v>
      </c>
      <c r="E721" t="s">
        <v>2618</v>
      </c>
      <c r="F721" t="s">
        <v>2628</v>
      </c>
      <c r="G721" t="s">
        <v>253</v>
      </c>
      <c r="H721" t="s">
        <v>2648</v>
      </c>
      <c r="I721" t="s">
        <v>2578</v>
      </c>
      <c r="J721">
        <v>64</v>
      </c>
      <c r="K721">
        <v>149.01</v>
      </c>
      <c r="L721">
        <v>106.37</v>
      </c>
      <c r="M721">
        <v>0</v>
      </c>
      <c r="N721" t="s">
        <v>32</v>
      </c>
    </row>
    <row r="722" spans="1:14" x14ac:dyDescent="0.25">
      <c r="A722" t="s">
        <v>1206</v>
      </c>
      <c r="B722" s="2">
        <v>45400</v>
      </c>
      <c r="C722" t="s">
        <v>953</v>
      </c>
      <c r="D722" t="s">
        <v>187</v>
      </c>
      <c r="E722" t="s">
        <v>2617</v>
      </c>
      <c r="F722" t="s">
        <v>2641</v>
      </c>
      <c r="G722" t="s">
        <v>261</v>
      </c>
      <c r="H722" t="s">
        <v>2646</v>
      </c>
      <c r="I722" t="s">
        <v>2578</v>
      </c>
      <c r="J722">
        <v>24</v>
      </c>
      <c r="K722">
        <v>47.34</v>
      </c>
      <c r="L722">
        <v>27.25</v>
      </c>
      <c r="M722">
        <v>0</v>
      </c>
      <c r="N722" t="s">
        <v>32</v>
      </c>
    </row>
    <row r="723" spans="1:14" x14ac:dyDescent="0.25">
      <c r="A723" t="s">
        <v>1207</v>
      </c>
      <c r="B723" s="2">
        <v>45412</v>
      </c>
      <c r="C723" t="s">
        <v>631</v>
      </c>
      <c r="D723" t="s">
        <v>187</v>
      </c>
      <c r="E723" t="s">
        <v>2617</v>
      </c>
      <c r="F723" t="s">
        <v>2642</v>
      </c>
      <c r="G723" t="s">
        <v>248</v>
      </c>
      <c r="H723" t="s">
        <v>2648</v>
      </c>
      <c r="I723" t="s">
        <v>2578</v>
      </c>
      <c r="J723">
        <v>39</v>
      </c>
      <c r="K723">
        <v>51.66</v>
      </c>
      <c r="L723">
        <v>28.57</v>
      </c>
      <c r="M723">
        <v>0.02</v>
      </c>
      <c r="N723" t="s">
        <v>45</v>
      </c>
    </row>
    <row r="724" spans="1:14" x14ac:dyDescent="0.25">
      <c r="A724" t="s">
        <v>1208</v>
      </c>
      <c r="B724" s="2">
        <v>45421</v>
      </c>
      <c r="C724" t="s">
        <v>526</v>
      </c>
      <c r="D724" t="s">
        <v>126</v>
      </c>
      <c r="E724" t="s">
        <v>2614</v>
      </c>
      <c r="F724" t="s">
        <v>2629</v>
      </c>
      <c r="G724" t="s">
        <v>74</v>
      </c>
      <c r="H724" t="s">
        <v>2646</v>
      </c>
      <c r="I724" t="s">
        <v>44</v>
      </c>
      <c r="J724">
        <v>42</v>
      </c>
      <c r="K724">
        <v>90.17</v>
      </c>
      <c r="L724">
        <v>50.68</v>
      </c>
      <c r="M724">
        <v>0</v>
      </c>
      <c r="N724" t="s">
        <v>45</v>
      </c>
    </row>
    <row r="725" spans="1:14" x14ac:dyDescent="0.25">
      <c r="A725" t="s">
        <v>1209</v>
      </c>
      <c r="B725" s="2">
        <v>45490</v>
      </c>
      <c r="C725" t="s">
        <v>1210</v>
      </c>
      <c r="D725" t="s">
        <v>216</v>
      </c>
      <c r="E725" t="s">
        <v>2616</v>
      </c>
      <c r="F725" t="s">
        <v>2631</v>
      </c>
      <c r="G725" t="s">
        <v>261</v>
      </c>
      <c r="H725" t="s">
        <v>2645</v>
      </c>
      <c r="I725" t="s">
        <v>84</v>
      </c>
      <c r="J725">
        <v>5</v>
      </c>
      <c r="K725">
        <v>115.47</v>
      </c>
      <c r="L725">
        <v>70.599999999999994</v>
      </c>
      <c r="M725">
        <v>0.2</v>
      </c>
      <c r="N725" t="s">
        <v>45</v>
      </c>
    </row>
    <row r="726" spans="1:14" x14ac:dyDescent="0.25">
      <c r="A726" t="s">
        <v>1211</v>
      </c>
      <c r="B726" s="2">
        <v>45294</v>
      </c>
      <c r="C726" t="s">
        <v>660</v>
      </c>
      <c r="D726" t="s">
        <v>114</v>
      </c>
      <c r="E726" t="s">
        <v>2617</v>
      </c>
      <c r="F726" t="s">
        <v>2641</v>
      </c>
      <c r="G726" t="s">
        <v>74</v>
      </c>
      <c r="H726" t="s">
        <v>2648</v>
      </c>
      <c r="I726" t="s">
        <v>75</v>
      </c>
      <c r="J726">
        <v>70</v>
      </c>
      <c r="K726">
        <v>35.229999999999997</v>
      </c>
      <c r="L726">
        <v>22.16</v>
      </c>
      <c r="M726">
        <v>0.15</v>
      </c>
      <c r="N726" t="s">
        <v>45</v>
      </c>
    </row>
    <row r="727" spans="1:14" x14ac:dyDescent="0.25">
      <c r="A727" t="s">
        <v>1212</v>
      </c>
      <c r="B727" s="2">
        <v>45349</v>
      </c>
      <c r="C727" t="s">
        <v>519</v>
      </c>
      <c r="D727" t="s">
        <v>93</v>
      </c>
      <c r="E727" t="s">
        <v>2618</v>
      </c>
      <c r="F727" t="s">
        <v>2634</v>
      </c>
      <c r="G727" t="s">
        <v>248</v>
      </c>
      <c r="H727" t="s">
        <v>2648</v>
      </c>
      <c r="I727" t="s">
        <v>44</v>
      </c>
      <c r="J727">
        <v>18</v>
      </c>
      <c r="K727">
        <v>53.36</v>
      </c>
      <c r="L727">
        <v>32.979999999999997</v>
      </c>
      <c r="M727">
        <v>0.02</v>
      </c>
      <c r="N727" t="s">
        <v>32</v>
      </c>
    </row>
    <row r="728" spans="1:14" x14ac:dyDescent="0.25">
      <c r="A728" t="s">
        <v>1214</v>
      </c>
      <c r="B728" s="2">
        <v>45444</v>
      </c>
      <c r="C728" t="s">
        <v>1215</v>
      </c>
      <c r="D728" t="s">
        <v>176</v>
      </c>
      <c r="E728" t="s">
        <v>2614</v>
      </c>
      <c r="F728" t="s">
        <v>2629</v>
      </c>
      <c r="G728" t="s">
        <v>253</v>
      </c>
      <c r="H728" t="s">
        <v>2647</v>
      </c>
      <c r="I728" t="s">
        <v>2578</v>
      </c>
      <c r="J728">
        <v>50</v>
      </c>
      <c r="K728">
        <v>100.44</v>
      </c>
      <c r="L728">
        <v>58.74</v>
      </c>
      <c r="M728">
        <v>0.1</v>
      </c>
      <c r="N728" t="s">
        <v>45</v>
      </c>
    </row>
    <row r="729" spans="1:14" x14ac:dyDescent="0.25">
      <c r="A729" t="s">
        <v>1216</v>
      </c>
      <c r="B729" s="2">
        <v>45366</v>
      </c>
      <c r="C729" t="s">
        <v>926</v>
      </c>
      <c r="D729" t="s">
        <v>126</v>
      </c>
      <c r="E729" t="s">
        <v>2615</v>
      </c>
      <c r="F729" t="s">
        <v>2640</v>
      </c>
      <c r="G729" t="s">
        <v>261</v>
      </c>
      <c r="H729" t="s">
        <v>2646</v>
      </c>
      <c r="I729" t="s">
        <v>2578</v>
      </c>
      <c r="J729">
        <v>33</v>
      </c>
      <c r="K729">
        <v>93.41</v>
      </c>
      <c r="L729">
        <v>56.25</v>
      </c>
      <c r="M729">
        <v>0.15</v>
      </c>
      <c r="N729" t="s">
        <v>32</v>
      </c>
    </row>
    <row r="730" spans="1:14" x14ac:dyDescent="0.25">
      <c r="A730" t="s">
        <v>1217</v>
      </c>
      <c r="B730" s="2">
        <v>45372</v>
      </c>
      <c r="C730" t="s">
        <v>113</v>
      </c>
      <c r="D730" t="s">
        <v>114</v>
      </c>
      <c r="E730" t="s">
        <v>2615</v>
      </c>
      <c r="F730" t="s">
        <v>2623</v>
      </c>
      <c r="G730" t="s">
        <v>90</v>
      </c>
      <c r="H730" t="s">
        <v>2646</v>
      </c>
      <c r="I730" t="s">
        <v>75</v>
      </c>
      <c r="J730">
        <v>4</v>
      </c>
      <c r="K730">
        <v>32.69</v>
      </c>
      <c r="L730">
        <v>20.5</v>
      </c>
      <c r="M730">
        <v>0.1</v>
      </c>
      <c r="N730" t="s">
        <v>129</v>
      </c>
    </row>
    <row r="731" spans="1:14" x14ac:dyDescent="0.25">
      <c r="A731" t="s">
        <v>1218</v>
      </c>
      <c r="B731" s="2">
        <v>45398</v>
      </c>
      <c r="C731" t="s">
        <v>1219</v>
      </c>
      <c r="D731" t="s">
        <v>132</v>
      </c>
      <c r="E731" t="s">
        <v>2614</v>
      </c>
      <c r="F731" t="s">
        <v>2622</v>
      </c>
      <c r="G731" t="s">
        <v>83</v>
      </c>
      <c r="H731" t="s">
        <v>2646</v>
      </c>
      <c r="I731" t="s">
        <v>44</v>
      </c>
      <c r="J731">
        <v>39</v>
      </c>
      <c r="K731">
        <v>59.87</v>
      </c>
      <c r="L731">
        <v>36.03</v>
      </c>
      <c r="M731">
        <v>0.1</v>
      </c>
      <c r="N731" t="s">
        <v>45</v>
      </c>
    </row>
    <row r="732" spans="1:14" x14ac:dyDescent="0.25">
      <c r="A732" t="s">
        <v>1220</v>
      </c>
      <c r="B732" s="2">
        <v>45327</v>
      </c>
      <c r="C732" t="s">
        <v>131</v>
      </c>
      <c r="D732" t="s">
        <v>78</v>
      </c>
      <c r="E732" t="s">
        <v>2614</v>
      </c>
      <c r="F732" t="s">
        <v>2636</v>
      </c>
      <c r="G732" t="s">
        <v>111</v>
      </c>
      <c r="H732" t="s">
        <v>2647</v>
      </c>
      <c r="I732" t="s">
        <v>75</v>
      </c>
      <c r="J732">
        <v>61</v>
      </c>
      <c r="K732">
        <v>137.18</v>
      </c>
      <c r="L732">
        <v>80.3</v>
      </c>
      <c r="M732">
        <v>0</v>
      </c>
      <c r="N732" t="s">
        <v>129</v>
      </c>
    </row>
    <row r="733" spans="1:14" x14ac:dyDescent="0.25">
      <c r="A733" t="s">
        <v>1221</v>
      </c>
      <c r="B733" s="2">
        <v>45342</v>
      </c>
      <c r="C733" t="s">
        <v>1028</v>
      </c>
      <c r="D733" t="s">
        <v>126</v>
      </c>
      <c r="E733" t="s">
        <v>2618</v>
      </c>
      <c r="F733" t="s">
        <v>2635</v>
      </c>
      <c r="G733" t="s">
        <v>29</v>
      </c>
      <c r="H733" t="s">
        <v>2646</v>
      </c>
      <c r="I733" t="s">
        <v>2578</v>
      </c>
      <c r="J733">
        <v>48</v>
      </c>
      <c r="K733">
        <v>96.81</v>
      </c>
      <c r="L733">
        <v>52.09</v>
      </c>
      <c r="M733">
        <v>0.15</v>
      </c>
      <c r="N733" t="s">
        <v>45</v>
      </c>
    </row>
    <row r="734" spans="1:14" x14ac:dyDescent="0.25">
      <c r="A734" t="s">
        <v>1222</v>
      </c>
      <c r="B734" s="2">
        <v>45606</v>
      </c>
      <c r="C734" t="s">
        <v>449</v>
      </c>
      <c r="D734" t="s">
        <v>114</v>
      </c>
      <c r="E734" t="s">
        <v>2618</v>
      </c>
      <c r="F734" t="s">
        <v>2628</v>
      </c>
      <c r="G734" t="s">
        <v>195</v>
      </c>
      <c r="H734" t="s">
        <v>2647</v>
      </c>
      <c r="I734" t="s">
        <v>75</v>
      </c>
      <c r="J734">
        <v>38</v>
      </c>
      <c r="K734">
        <v>36.590000000000003</v>
      </c>
      <c r="L734">
        <v>20.21</v>
      </c>
      <c r="M734">
        <v>25</v>
      </c>
      <c r="N734" t="s">
        <v>45</v>
      </c>
    </row>
    <row r="735" spans="1:14" x14ac:dyDescent="0.25">
      <c r="A735" t="s">
        <v>1223</v>
      </c>
      <c r="B735" s="2">
        <v>45331</v>
      </c>
      <c r="C735" t="s">
        <v>563</v>
      </c>
      <c r="D735" t="s">
        <v>209</v>
      </c>
      <c r="E735" t="s">
        <v>2615</v>
      </c>
      <c r="F735" t="s">
        <v>2627</v>
      </c>
      <c r="G735" t="s">
        <v>69</v>
      </c>
      <c r="H735" t="s">
        <v>2646</v>
      </c>
      <c r="I735" t="s">
        <v>75</v>
      </c>
      <c r="J735">
        <v>30</v>
      </c>
      <c r="K735">
        <v>16.62</v>
      </c>
      <c r="L735">
        <v>-10</v>
      </c>
      <c r="M735">
        <v>0.02</v>
      </c>
      <c r="N735" t="s">
        <v>45</v>
      </c>
    </row>
    <row r="736" spans="1:14" x14ac:dyDescent="0.25">
      <c r="A736" t="s">
        <v>1224</v>
      </c>
      <c r="B736" s="2">
        <v>45417</v>
      </c>
      <c r="C736" t="s">
        <v>636</v>
      </c>
      <c r="D736" t="s">
        <v>114</v>
      </c>
      <c r="E736" t="s">
        <v>2615</v>
      </c>
      <c r="F736" t="s">
        <v>2630</v>
      </c>
      <c r="G736" t="s">
        <v>90</v>
      </c>
      <c r="H736" t="s">
        <v>2648</v>
      </c>
      <c r="I736" t="s">
        <v>2578</v>
      </c>
      <c r="J736">
        <v>72</v>
      </c>
      <c r="K736">
        <v>33.119999999999997</v>
      </c>
      <c r="L736">
        <v>20.43</v>
      </c>
      <c r="M736">
        <v>0</v>
      </c>
      <c r="N736" t="s">
        <v>32</v>
      </c>
    </row>
    <row r="737" spans="1:14" x14ac:dyDescent="0.25">
      <c r="A737" t="s">
        <v>1225</v>
      </c>
      <c r="B737" s="2">
        <v>45579</v>
      </c>
      <c r="C737" t="s">
        <v>140</v>
      </c>
      <c r="D737" t="s">
        <v>150</v>
      </c>
      <c r="E737" t="s">
        <v>2616</v>
      </c>
      <c r="F737" t="s">
        <v>2631</v>
      </c>
      <c r="G737" t="s">
        <v>248</v>
      </c>
      <c r="H737" t="s">
        <v>2647</v>
      </c>
      <c r="I737" t="s">
        <v>44</v>
      </c>
      <c r="J737">
        <v>16</v>
      </c>
      <c r="K737">
        <v>83.29</v>
      </c>
      <c r="L737">
        <v>52.03</v>
      </c>
      <c r="M737">
        <v>0.05</v>
      </c>
      <c r="N737" t="s">
        <v>45</v>
      </c>
    </row>
    <row r="738" spans="1:14" x14ac:dyDescent="0.25">
      <c r="A738" t="s">
        <v>1226</v>
      </c>
      <c r="B738" s="2">
        <v>45529</v>
      </c>
      <c r="C738" t="s">
        <v>389</v>
      </c>
      <c r="D738" t="s">
        <v>176</v>
      </c>
      <c r="E738" t="s">
        <v>2614</v>
      </c>
      <c r="F738" t="s">
        <v>2629</v>
      </c>
      <c r="G738" t="s">
        <v>170</v>
      </c>
      <c r="H738" t="s">
        <v>2648</v>
      </c>
      <c r="I738" t="s">
        <v>75</v>
      </c>
      <c r="J738">
        <v>53</v>
      </c>
      <c r="K738">
        <v>109.93</v>
      </c>
      <c r="L738">
        <v>61.15</v>
      </c>
      <c r="M738">
        <v>0.2</v>
      </c>
      <c r="N738" t="s">
        <v>32</v>
      </c>
    </row>
    <row r="739" spans="1:14" x14ac:dyDescent="0.25">
      <c r="A739" t="s">
        <v>1227</v>
      </c>
      <c r="B739" s="2">
        <v>45499</v>
      </c>
      <c r="C739" t="s">
        <v>458</v>
      </c>
      <c r="D739" t="s">
        <v>99</v>
      </c>
      <c r="E739" t="s">
        <v>2618</v>
      </c>
      <c r="F739" t="s">
        <v>2634</v>
      </c>
      <c r="G739" t="s">
        <v>265</v>
      </c>
      <c r="H739" t="s">
        <v>2648</v>
      </c>
      <c r="I739" t="s">
        <v>44</v>
      </c>
      <c r="J739">
        <v>14</v>
      </c>
      <c r="K739">
        <v>72.92</v>
      </c>
      <c r="L739">
        <v>41.27</v>
      </c>
      <c r="M739">
        <v>0.05</v>
      </c>
      <c r="N739" t="s">
        <v>45</v>
      </c>
    </row>
    <row r="740" spans="1:14" x14ac:dyDescent="0.25">
      <c r="A740" t="s">
        <v>1228</v>
      </c>
      <c r="B740" s="2">
        <v>45540</v>
      </c>
      <c r="C740" t="s">
        <v>477</v>
      </c>
      <c r="D740" t="s">
        <v>132</v>
      </c>
      <c r="E740" t="s">
        <v>2614</v>
      </c>
      <c r="F740" t="s">
        <v>2637</v>
      </c>
      <c r="G740" t="s">
        <v>152</v>
      </c>
      <c r="H740" t="s">
        <v>2648</v>
      </c>
      <c r="I740" t="s">
        <v>75</v>
      </c>
      <c r="J740">
        <v>1</v>
      </c>
      <c r="K740">
        <v>58.5</v>
      </c>
      <c r="L740">
        <v>35.82</v>
      </c>
      <c r="M740">
        <v>0</v>
      </c>
      <c r="N740" t="s">
        <v>45</v>
      </c>
    </row>
    <row r="741" spans="1:14" x14ac:dyDescent="0.25">
      <c r="A741" t="s">
        <v>1229</v>
      </c>
      <c r="B741" s="2">
        <v>45409</v>
      </c>
      <c r="C741" t="s">
        <v>305</v>
      </c>
      <c r="D741" t="s">
        <v>209</v>
      </c>
      <c r="E741" t="s">
        <v>2614</v>
      </c>
      <c r="F741" t="s">
        <v>2636</v>
      </c>
      <c r="G741" t="s">
        <v>265</v>
      </c>
      <c r="H741" t="s">
        <v>2650</v>
      </c>
      <c r="I741" t="s">
        <v>84</v>
      </c>
      <c r="J741">
        <v>9</v>
      </c>
      <c r="K741">
        <v>17.440000000000001</v>
      </c>
      <c r="L741">
        <v>9.36</v>
      </c>
      <c r="M741">
        <v>0</v>
      </c>
      <c r="N741" t="s">
        <v>129</v>
      </c>
    </row>
    <row r="742" spans="1:14" x14ac:dyDescent="0.25">
      <c r="A742" t="s">
        <v>1230</v>
      </c>
      <c r="B742" s="2">
        <v>45377</v>
      </c>
      <c r="C742" t="s">
        <v>859</v>
      </c>
      <c r="D742" t="s">
        <v>36</v>
      </c>
      <c r="E742" t="s">
        <v>2614</v>
      </c>
      <c r="F742" t="s">
        <v>2643</v>
      </c>
      <c r="G742" t="s">
        <v>265</v>
      </c>
      <c r="H742" t="s">
        <v>2647</v>
      </c>
      <c r="I742" t="s">
        <v>75</v>
      </c>
      <c r="J742">
        <v>69</v>
      </c>
      <c r="K742">
        <v>154.05000000000001</v>
      </c>
      <c r="L742">
        <v>-10</v>
      </c>
      <c r="M742">
        <v>0.15</v>
      </c>
      <c r="N742" t="s">
        <v>129</v>
      </c>
    </row>
    <row r="743" spans="1:14" x14ac:dyDescent="0.25">
      <c r="A743" t="s">
        <v>1231</v>
      </c>
      <c r="B743" s="2">
        <v>45610</v>
      </c>
      <c r="C743" t="s">
        <v>533</v>
      </c>
      <c r="D743" t="s">
        <v>222</v>
      </c>
      <c r="E743" t="s">
        <v>2616</v>
      </c>
      <c r="F743" t="s">
        <v>2624</v>
      </c>
      <c r="G743" t="s">
        <v>178</v>
      </c>
      <c r="H743" t="s">
        <v>2647</v>
      </c>
      <c r="I743" t="s">
        <v>84</v>
      </c>
      <c r="J743">
        <v>64</v>
      </c>
      <c r="K743">
        <v>117.85</v>
      </c>
      <c r="L743">
        <v>80.17</v>
      </c>
      <c r="M743">
        <v>0.2</v>
      </c>
      <c r="N743" t="s">
        <v>129</v>
      </c>
    </row>
    <row r="744" spans="1:14" x14ac:dyDescent="0.25">
      <c r="A744" t="s">
        <v>1232</v>
      </c>
      <c r="B744" s="2">
        <v>45651</v>
      </c>
      <c r="C744" t="s">
        <v>267</v>
      </c>
      <c r="D744" t="s">
        <v>114</v>
      </c>
      <c r="E744" t="s">
        <v>2617</v>
      </c>
      <c r="F744" t="s">
        <v>2641</v>
      </c>
      <c r="G744" t="s">
        <v>83</v>
      </c>
      <c r="H744" t="s">
        <v>2647</v>
      </c>
      <c r="I744" t="s">
        <v>2578</v>
      </c>
      <c r="J744">
        <v>17</v>
      </c>
      <c r="K744">
        <v>35.08</v>
      </c>
      <c r="L744">
        <v>21.95</v>
      </c>
      <c r="M744">
        <v>0.02</v>
      </c>
      <c r="N744" t="s">
        <v>45</v>
      </c>
    </row>
    <row r="745" spans="1:14" x14ac:dyDescent="0.25">
      <c r="A745" t="s">
        <v>1233</v>
      </c>
      <c r="B745" s="2">
        <v>45330</v>
      </c>
      <c r="C745" t="s">
        <v>837</v>
      </c>
      <c r="D745" t="s">
        <v>187</v>
      </c>
      <c r="E745" t="s">
        <v>2617</v>
      </c>
      <c r="F745" t="s">
        <v>2626</v>
      </c>
      <c r="G745" t="s">
        <v>184</v>
      </c>
      <c r="H745" t="s">
        <v>2648</v>
      </c>
      <c r="I745" t="s">
        <v>84</v>
      </c>
      <c r="J745">
        <v>68</v>
      </c>
      <c r="K745">
        <v>49.55</v>
      </c>
      <c r="L745">
        <v>27.48</v>
      </c>
      <c r="M745">
        <v>0.05</v>
      </c>
      <c r="N745" t="s">
        <v>45</v>
      </c>
    </row>
    <row r="746" spans="1:14" x14ac:dyDescent="0.25">
      <c r="A746" t="s">
        <v>1234</v>
      </c>
      <c r="B746" s="2">
        <v>45436</v>
      </c>
      <c r="C746" t="s">
        <v>389</v>
      </c>
      <c r="D746" t="s">
        <v>23</v>
      </c>
      <c r="E746" t="s">
        <v>2615</v>
      </c>
      <c r="F746" t="s">
        <v>2630</v>
      </c>
      <c r="G746" t="s">
        <v>170</v>
      </c>
      <c r="H746" t="s">
        <v>2645</v>
      </c>
      <c r="I746" t="s">
        <v>75</v>
      </c>
      <c r="J746">
        <v>57</v>
      </c>
      <c r="K746">
        <v>69.44</v>
      </c>
      <c r="L746">
        <v>43.8</v>
      </c>
      <c r="M746">
        <v>0.1</v>
      </c>
      <c r="N746" t="s">
        <v>32</v>
      </c>
    </row>
    <row r="747" spans="1:14" x14ac:dyDescent="0.25">
      <c r="A747" t="s">
        <v>1235</v>
      </c>
      <c r="B747" s="2">
        <v>45415</v>
      </c>
      <c r="C747" t="s">
        <v>1236</v>
      </c>
      <c r="D747" t="s">
        <v>250</v>
      </c>
      <c r="E747" t="s">
        <v>2616</v>
      </c>
      <c r="F747" t="s">
        <v>2638</v>
      </c>
      <c r="G747" t="s">
        <v>144</v>
      </c>
      <c r="H747" t="s">
        <v>2647</v>
      </c>
      <c r="I747" t="s">
        <v>84</v>
      </c>
      <c r="J747">
        <v>59</v>
      </c>
      <c r="K747">
        <v>69.959999999999994</v>
      </c>
      <c r="L747">
        <v>35.58</v>
      </c>
      <c r="M747">
        <v>0.15</v>
      </c>
      <c r="N747" t="s">
        <v>45</v>
      </c>
    </row>
    <row r="748" spans="1:14" x14ac:dyDescent="0.25">
      <c r="A748" t="s">
        <v>1237</v>
      </c>
      <c r="B748" s="2">
        <v>45504</v>
      </c>
      <c r="C748" t="s">
        <v>276</v>
      </c>
      <c r="D748" t="s">
        <v>132</v>
      </c>
      <c r="E748" t="s">
        <v>2616</v>
      </c>
      <c r="F748" t="s">
        <v>2633</v>
      </c>
      <c r="G748" t="s">
        <v>69</v>
      </c>
      <c r="H748" t="s">
        <v>2649</v>
      </c>
      <c r="I748" t="s">
        <v>70</v>
      </c>
      <c r="J748">
        <v>64</v>
      </c>
      <c r="K748">
        <v>58.59</v>
      </c>
      <c r="L748">
        <v>32.57</v>
      </c>
      <c r="M748">
        <v>0.05</v>
      </c>
      <c r="N748" t="s">
        <v>45</v>
      </c>
    </row>
    <row r="749" spans="1:14" x14ac:dyDescent="0.25">
      <c r="A749" t="s">
        <v>1238</v>
      </c>
      <c r="B749" s="2">
        <v>45565</v>
      </c>
      <c r="C749" t="s">
        <v>477</v>
      </c>
      <c r="D749" t="s">
        <v>78</v>
      </c>
      <c r="E749" t="s">
        <v>2616</v>
      </c>
      <c r="F749" t="s">
        <v>2638</v>
      </c>
      <c r="G749" t="s">
        <v>178</v>
      </c>
      <c r="H749" t="s">
        <v>2645</v>
      </c>
      <c r="I749" t="s">
        <v>75</v>
      </c>
      <c r="J749">
        <v>39</v>
      </c>
      <c r="K749">
        <v>130.41999999999999</v>
      </c>
      <c r="L749">
        <v>75.84</v>
      </c>
      <c r="M749">
        <v>0</v>
      </c>
      <c r="N749" t="s">
        <v>45</v>
      </c>
    </row>
    <row r="750" spans="1:14" x14ac:dyDescent="0.25">
      <c r="A750" t="s">
        <v>1239</v>
      </c>
      <c r="B750" s="2">
        <v>45351</v>
      </c>
      <c r="C750" t="s">
        <v>447</v>
      </c>
      <c r="D750" t="s">
        <v>66</v>
      </c>
      <c r="E750" t="s">
        <v>2618</v>
      </c>
      <c r="F750" t="s">
        <v>2635</v>
      </c>
      <c r="G750" t="s">
        <v>60</v>
      </c>
      <c r="H750" t="s">
        <v>2648</v>
      </c>
      <c r="I750" t="s">
        <v>84</v>
      </c>
      <c r="J750">
        <v>14</v>
      </c>
      <c r="K750">
        <v>168.42</v>
      </c>
      <c r="L750">
        <v>101.62</v>
      </c>
      <c r="M750">
        <v>0.2</v>
      </c>
      <c r="N750" t="s">
        <v>32</v>
      </c>
    </row>
    <row r="751" spans="1:14" x14ac:dyDescent="0.25">
      <c r="A751" t="s">
        <v>1240</v>
      </c>
      <c r="B751" s="2">
        <v>45469</v>
      </c>
      <c r="C751" t="s">
        <v>617</v>
      </c>
      <c r="D751" t="s">
        <v>141</v>
      </c>
      <c r="E751" t="s">
        <v>2618</v>
      </c>
      <c r="F751" t="s">
        <v>2628</v>
      </c>
      <c r="G751" t="s">
        <v>152</v>
      </c>
      <c r="H751" t="s">
        <v>2648</v>
      </c>
      <c r="I751" t="s">
        <v>70</v>
      </c>
      <c r="J751">
        <v>76</v>
      </c>
      <c r="K751">
        <v>93.41</v>
      </c>
      <c r="L751">
        <v>55.05</v>
      </c>
      <c r="M751">
        <v>0.05</v>
      </c>
      <c r="N751" t="s">
        <v>45</v>
      </c>
    </row>
    <row r="752" spans="1:14" x14ac:dyDescent="0.25">
      <c r="A752" t="s">
        <v>1241</v>
      </c>
      <c r="B752" s="2">
        <v>45415</v>
      </c>
      <c r="C752" t="s">
        <v>843</v>
      </c>
      <c r="D752" t="s">
        <v>78</v>
      </c>
      <c r="E752" t="s">
        <v>2616</v>
      </c>
      <c r="F752" t="s">
        <v>2638</v>
      </c>
      <c r="G752" t="s">
        <v>111</v>
      </c>
      <c r="H752" t="s">
        <v>2645</v>
      </c>
      <c r="I752" t="s">
        <v>84</v>
      </c>
      <c r="J752">
        <v>20</v>
      </c>
      <c r="K752">
        <v>148.25</v>
      </c>
      <c r="L752">
        <v>77.760000000000005</v>
      </c>
      <c r="M752">
        <v>0.2</v>
      </c>
      <c r="N752" t="s">
        <v>45</v>
      </c>
    </row>
    <row r="753" spans="1:14" x14ac:dyDescent="0.25">
      <c r="A753" t="s">
        <v>1242</v>
      </c>
      <c r="B753" s="2">
        <v>45602</v>
      </c>
      <c r="C753" t="s">
        <v>1219</v>
      </c>
      <c r="D753" t="s">
        <v>66</v>
      </c>
      <c r="E753" t="s">
        <v>2615</v>
      </c>
      <c r="F753" t="s">
        <v>2630</v>
      </c>
      <c r="G753" t="s">
        <v>74</v>
      </c>
      <c r="H753" t="s">
        <v>2645</v>
      </c>
      <c r="I753" t="s">
        <v>84</v>
      </c>
      <c r="J753">
        <v>61</v>
      </c>
      <c r="K753">
        <v>166.43</v>
      </c>
      <c r="L753">
        <v>96.86</v>
      </c>
      <c r="M753">
        <v>0.2</v>
      </c>
      <c r="N753" t="s">
        <v>45</v>
      </c>
    </row>
    <row r="754" spans="1:14" x14ac:dyDescent="0.25">
      <c r="A754" t="s">
        <v>1243</v>
      </c>
      <c r="B754" s="2">
        <v>45626</v>
      </c>
      <c r="C754" t="s">
        <v>276</v>
      </c>
      <c r="D754" t="s">
        <v>99</v>
      </c>
      <c r="E754" t="s">
        <v>2614</v>
      </c>
      <c r="F754" t="s">
        <v>2629</v>
      </c>
      <c r="G754" t="s">
        <v>118</v>
      </c>
      <c r="H754" t="s">
        <v>2646</v>
      </c>
      <c r="I754" t="s">
        <v>2578</v>
      </c>
      <c r="J754">
        <v>47</v>
      </c>
      <c r="K754">
        <v>68.33</v>
      </c>
      <c r="L754">
        <v>38.49</v>
      </c>
      <c r="M754">
        <v>0.2</v>
      </c>
      <c r="N754" t="s">
        <v>45</v>
      </c>
    </row>
    <row r="755" spans="1:14" x14ac:dyDescent="0.25">
      <c r="A755" t="s">
        <v>1244</v>
      </c>
      <c r="B755" s="2">
        <v>45583</v>
      </c>
      <c r="C755" t="s">
        <v>98</v>
      </c>
      <c r="D755" t="s">
        <v>250</v>
      </c>
      <c r="E755" t="s">
        <v>2618</v>
      </c>
      <c r="F755" t="s">
        <v>2628</v>
      </c>
      <c r="G755" t="s">
        <v>152</v>
      </c>
      <c r="H755" t="s">
        <v>2648</v>
      </c>
      <c r="I755" t="s">
        <v>2578</v>
      </c>
      <c r="J755">
        <v>25</v>
      </c>
      <c r="K755">
        <v>62.1</v>
      </c>
      <c r="L755">
        <v>35.200000000000003</v>
      </c>
      <c r="M755">
        <v>0.2</v>
      </c>
      <c r="N755" t="s">
        <v>32</v>
      </c>
    </row>
    <row r="756" spans="1:14" x14ac:dyDescent="0.25">
      <c r="A756" t="s">
        <v>1245</v>
      </c>
      <c r="B756" s="2">
        <v>45305</v>
      </c>
      <c r="C756" t="s">
        <v>491</v>
      </c>
      <c r="D756" t="s">
        <v>132</v>
      </c>
      <c r="E756" t="s">
        <v>2617</v>
      </c>
      <c r="F756" t="s">
        <v>2642</v>
      </c>
      <c r="G756" t="s">
        <v>118</v>
      </c>
      <c r="H756" t="s">
        <v>2647</v>
      </c>
      <c r="I756" t="s">
        <v>2578</v>
      </c>
      <c r="J756">
        <v>43</v>
      </c>
      <c r="K756">
        <v>56.39</v>
      </c>
      <c r="L756">
        <v>33.53</v>
      </c>
      <c r="M756">
        <v>0</v>
      </c>
      <c r="N756" t="s">
        <v>45</v>
      </c>
    </row>
    <row r="757" spans="1:14" x14ac:dyDescent="0.25">
      <c r="A757" t="s">
        <v>1246</v>
      </c>
      <c r="B757" s="2">
        <v>45323</v>
      </c>
      <c r="C757" t="s">
        <v>643</v>
      </c>
      <c r="D757" t="s">
        <v>49</v>
      </c>
      <c r="E757" t="s">
        <v>2615</v>
      </c>
      <c r="F757" t="s">
        <v>2627</v>
      </c>
      <c r="G757" t="s">
        <v>60</v>
      </c>
      <c r="H757" t="s">
        <v>2645</v>
      </c>
      <c r="I757" t="s">
        <v>75</v>
      </c>
      <c r="J757">
        <v>12</v>
      </c>
      <c r="K757">
        <v>25.35</v>
      </c>
      <c r="L757">
        <v>13.51</v>
      </c>
      <c r="M757">
        <v>0.05</v>
      </c>
      <c r="N757" t="s">
        <v>129</v>
      </c>
    </row>
    <row r="758" spans="1:14" x14ac:dyDescent="0.25">
      <c r="A758" t="s">
        <v>1247</v>
      </c>
      <c r="B758" s="2">
        <v>45298</v>
      </c>
      <c r="C758" t="s">
        <v>563</v>
      </c>
      <c r="D758" t="s">
        <v>209</v>
      </c>
      <c r="E758" t="s">
        <v>2615</v>
      </c>
      <c r="F758" t="s">
        <v>2640</v>
      </c>
      <c r="G758" t="s">
        <v>253</v>
      </c>
      <c r="H758" t="s">
        <v>2646</v>
      </c>
      <c r="I758" t="s">
        <v>44</v>
      </c>
      <c r="J758">
        <v>59</v>
      </c>
      <c r="K758">
        <v>19.12</v>
      </c>
      <c r="L758">
        <v>10.73</v>
      </c>
      <c r="M758">
        <v>0.1</v>
      </c>
      <c r="N758" t="s">
        <v>45</v>
      </c>
    </row>
    <row r="759" spans="1:14" x14ac:dyDescent="0.25">
      <c r="A759" t="s">
        <v>1248</v>
      </c>
      <c r="B759" s="2">
        <v>45502</v>
      </c>
      <c r="C759" t="s">
        <v>924</v>
      </c>
      <c r="D759" t="s">
        <v>165</v>
      </c>
      <c r="E759" t="s">
        <v>2617</v>
      </c>
      <c r="F759" t="s">
        <v>2642</v>
      </c>
      <c r="G759" t="s">
        <v>69</v>
      </c>
      <c r="H759" t="s">
        <v>2645</v>
      </c>
      <c r="I759" t="s">
        <v>84</v>
      </c>
      <c r="J759">
        <v>49</v>
      </c>
      <c r="K759">
        <v>44.2</v>
      </c>
      <c r="L759">
        <v>23.68</v>
      </c>
      <c r="M759">
        <v>0</v>
      </c>
      <c r="N759" t="s">
        <v>45</v>
      </c>
    </row>
    <row r="760" spans="1:14" x14ac:dyDescent="0.25">
      <c r="A760" t="s">
        <v>1249</v>
      </c>
      <c r="B760" s="2">
        <v>45637</v>
      </c>
      <c r="C760" t="s">
        <v>299</v>
      </c>
      <c r="D760" t="s">
        <v>78</v>
      </c>
      <c r="E760" t="s">
        <v>2618</v>
      </c>
      <c r="F760" t="s">
        <v>2634</v>
      </c>
      <c r="G760" t="s">
        <v>178</v>
      </c>
      <c r="H760" t="s">
        <v>2645</v>
      </c>
      <c r="I760" t="s">
        <v>44</v>
      </c>
      <c r="J760">
        <v>63</v>
      </c>
      <c r="K760">
        <v>132.54</v>
      </c>
      <c r="L760">
        <v>77.64</v>
      </c>
      <c r="M760">
        <v>0.2</v>
      </c>
      <c r="N760" t="s">
        <v>129</v>
      </c>
    </row>
    <row r="761" spans="1:14" x14ac:dyDescent="0.25">
      <c r="A761" t="s">
        <v>1250</v>
      </c>
      <c r="B761" s="2">
        <v>45489</v>
      </c>
      <c r="C761" t="s">
        <v>272</v>
      </c>
      <c r="D761" t="s">
        <v>132</v>
      </c>
      <c r="E761" t="s">
        <v>2615</v>
      </c>
      <c r="F761" t="s">
        <v>2627</v>
      </c>
      <c r="G761" t="s">
        <v>265</v>
      </c>
      <c r="H761" t="s">
        <v>2648</v>
      </c>
      <c r="I761" t="s">
        <v>75</v>
      </c>
      <c r="J761">
        <v>16</v>
      </c>
      <c r="K761">
        <v>60.74</v>
      </c>
      <c r="L761">
        <v>33.799999999999997</v>
      </c>
      <c r="M761">
        <v>0</v>
      </c>
      <c r="N761" t="s">
        <v>45</v>
      </c>
    </row>
    <row r="762" spans="1:14" x14ac:dyDescent="0.25">
      <c r="A762" t="s">
        <v>1251</v>
      </c>
      <c r="B762" s="2">
        <v>45327</v>
      </c>
      <c r="C762" t="s">
        <v>802</v>
      </c>
      <c r="D762" t="s">
        <v>126</v>
      </c>
      <c r="E762" t="s">
        <v>2614</v>
      </c>
      <c r="F762" t="s">
        <v>2637</v>
      </c>
      <c r="G762" t="s">
        <v>218</v>
      </c>
      <c r="H762" t="s">
        <v>2647</v>
      </c>
      <c r="I762" t="s">
        <v>75</v>
      </c>
      <c r="J762">
        <v>32</v>
      </c>
      <c r="K762">
        <v>93.76</v>
      </c>
      <c r="L762">
        <v>51.91</v>
      </c>
      <c r="M762">
        <v>0.15</v>
      </c>
      <c r="N762" t="s">
        <v>32</v>
      </c>
    </row>
    <row r="763" spans="1:14" x14ac:dyDescent="0.25">
      <c r="A763" t="s">
        <v>1252</v>
      </c>
      <c r="B763" s="2">
        <v>45329</v>
      </c>
      <c r="C763" t="s">
        <v>1253</v>
      </c>
      <c r="D763" t="s">
        <v>250</v>
      </c>
      <c r="E763" t="s">
        <v>2618</v>
      </c>
      <c r="F763" t="s">
        <v>2632</v>
      </c>
      <c r="G763" t="s">
        <v>83</v>
      </c>
      <c r="H763" t="s">
        <v>2648</v>
      </c>
      <c r="I763" t="s">
        <v>70</v>
      </c>
      <c r="J763">
        <v>5</v>
      </c>
      <c r="K763">
        <v>61.58</v>
      </c>
      <c r="L763">
        <v>39.03</v>
      </c>
      <c r="M763">
        <v>0.05</v>
      </c>
      <c r="N763" t="s">
        <v>45</v>
      </c>
    </row>
    <row r="764" spans="1:14" x14ac:dyDescent="0.25">
      <c r="A764" t="s">
        <v>1254</v>
      </c>
      <c r="B764" s="2">
        <v>45542</v>
      </c>
      <c r="C764" t="s">
        <v>1098</v>
      </c>
      <c r="D764" t="s">
        <v>209</v>
      </c>
      <c r="E764" t="s">
        <v>2615</v>
      </c>
      <c r="F764" t="s">
        <v>2623</v>
      </c>
      <c r="G764" t="s">
        <v>218</v>
      </c>
      <c r="H764" t="s">
        <v>2645</v>
      </c>
      <c r="I764" t="s">
        <v>70</v>
      </c>
      <c r="J764">
        <v>50</v>
      </c>
      <c r="K764">
        <v>16.739999999999998</v>
      </c>
      <c r="L764">
        <v>10.130000000000001</v>
      </c>
      <c r="M764">
        <v>0</v>
      </c>
      <c r="N764" t="s">
        <v>45</v>
      </c>
    </row>
    <row r="765" spans="1:14" x14ac:dyDescent="0.25">
      <c r="A765" t="s">
        <v>1255</v>
      </c>
      <c r="B765" s="2">
        <v>45471</v>
      </c>
      <c r="C765" t="s">
        <v>169</v>
      </c>
      <c r="D765" t="s">
        <v>141</v>
      </c>
      <c r="E765" t="s">
        <v>2614</v>
      </c>
      <c r="F765" t="s">
        <v>2622</v>
      </c>
      <c r="G765" t="s">
        <v>178</v>
      </c>
      <c r="H765" t="s">
        <v>2647</v>
      </c>
      <c r="I765" t="s">
        <v>44</v>
      </c>
      <c r="J765">
        <v>40</v>
      </c>
      <c r="K765">
        <v>89.33</v>
      </c>
      <c r="L765">
        <v>58.21</v>
      </c>
      <c r="M765">
        <v>0.2</v>
      </c>
      <c r="N765" t="s">
        <v>129</v>
      </c>
    </row>
    <row r="766" spans="1:14" x14ac:dyDescent="0.25">
      <c r="A766" t="s">
        <v>1256</v>
      </c>
      <c r="B766" s="2">
        <v>45596</v>
      </c>
      <c r="C766" t="s">
        <v>199</v>
      </c>
      <c r="D766" t="s">
        <v>109</v>
      </c>
      <c r="E766" t="s">
        <v>2615</v>
      </c>
      <c r="F766" t="s">
        <v>2623</v>
      </c>
      <c r="G766" t="s">
        <v>261</v>
      </c>
      <c r="H766" t="s">
        <v>2645</v>
      </c>
      <c r="I766" t="s">
        <v>84</v>
      </c>
      <c r="J766">
        <v>57</v>
      </c>
      <c r="K766">
        <v>131.55000000000001</v>
      </c>
      <c r="L766">
        <v>76.33</v>
      </c>
      <c r="M766">
        <v>0.05</v>
      </c>
      <c r="N766" t="s">
        <v>45</v>
      </c>
    </row>
    <row r="767" spans="1:14" x14ac:dyDescent="0.25">
      <c r="A767" t="s">
        <v>1257</v>
      </c>
      <c r="B767" s="2">
        <v>45655</v>
      </c>
      <c r="C767" t="s">
        <v>711</v>
      </c>
      <c r="D767" t="s">
        <v>150</v>
      </c>
      <c r="E767" t="s">
        <v>2614</v>
      </c>
      <c r="F767" t="s">
        <v>2629</v>
      </c>
      <c r="G767" t="s">
        <v>74</v>
      </c>
      <c r="H767" t="s">
        <v>2646</v>
      </c>
      <c r="I767" t="s">
        <v>75</v>
      </c>
      <c r="J767">
        <v>65</v>
      </c>
      <c r="K767">
        <v>90.96</v>
      </c>
      <c r="L767">
        <v>48.4</v>
      </c>
      <c r="M767">
        <v>0.1</v>
      </c>
      <c r="N767" t="s">
        <v>45</v>
      </c>
    </row>
    <row r="768" spans="1:14" x14ac:dyDescent="0.25">
      <c r="A768" t="s">
        <v>1258</v>
      </c>
      <c r="B768" s="2">
        <v>45636</v>
      </c>
      <c r="C768" t="s">
        <v>148</v>
      </c>
      <c r="D768" t="s">
        <v>250</v>
      </c>
      <c r="E768" t="s">
        <v>2615</v>
      </c>
      <c r="F768" t="s">
        <v>2630</v>
      </c>
      <c r="G768" t="s">
        <v>144</v>
      </c>
      <c r="H768" t="s">
        <v>2645</v>
      </c>
      <c r="I768" t="s">
        <v>44</v>
      </c>
      <c r="J768">
        <v>35</v>
      </c>
      <c r="K768">
        <v>63.14</v>
      </c>
      <c r="L768">
        <v>36.090000000000003</v>
      </c>
      <c r="M768">
        <v>0.15</v>
      </c>
      <c r="N768" t="s">
        <v>129</v>
      </c>
    </row>
    <row r="769" spans="1:14" x14ac:dyDescent="0.25">
      <c r="A769" t="s">
        <v>1259</v>
      </c>
      <c r="B769" s="2">
        <v>45627</v>
      </c>
      <c r="C769" t="s">
        <v>594</v>
      </c>
      <c r="D769" t="s">
        <v>109</v>
      </c>
      <c r="E769" t="s">
        <v>2618</v>
      </c>
      <c r="F769" t="s">
        <v>2628</v>
      </c>
      <c r="G769" t="s">
        <v>195</v>
      </c>
      <c r="H769" t="s">
        <v>2647</v>
      </c>
      <c r="I769" t="s">
        <v>44</v>
      </c>
      <c r="J769">
        <v>1</v>
      </c>
      <c r="K769">
        <v>125.45</v>
      </c>
      <c r="L769">
        <v>73.14</v>
      </c>
      <c r="M769">
        <v>0</v>
      </c>
      <c r="N769" t="s">
        <v>45</v>
      </c>
    </row>
    <row r="770" spans="1:14" x14ac:dyDescent="0.25">
      <c r="A770" t="s">
        <v>1260</v>
      </c>
      <c r="B770" s="2">
        <v>45647</v>
      </c>
      <c r="C770" t="s">
        <v>1261</v>
      </c>
      <c r="D770" t="s">
        <v>36</v>
      </c>
      <c r="E770" t="s">
        <v>2617</v>
      </c>
      <c r="F770" t="s">
        <v>2625</v>
      </c>
      <c r="G770" t="s">
        <v>184</v>
      </c>
      <c r="H770" t="s">
        <v>2647</v>
      </c>
      <c r="I770" t="s">
        <v>2619</v>
      </c>
      <c r="J770">
        <v>57</v>
      </c>
      <c r="K770">
        <v>152.29</v>
      </c>
      <c r="L770">
        <v>105.56</v>
      </c>
      <c r="M770">
        <v>0.1</v>
      </c>
      <c r="N770" t="s">
        <v>45</v>
      </c>
    </row>
    <row r="771" spans="1:14" x14ac:dyDescent="0.25">
      <c r="A771" t="s">
        <v>1262</v>
      </c>
      <c r="B771" s="2">
        <v>45554</v>
      </c>
      <c r="C771" t="s">
        <v>1033</v>
      </c>
      <c r="D771" t="s">
        <v>150</v>
      </c>
      <c r="E771" t="s">
        <v>2617</v>
      </c>
      <c r="F771" t="s">
        <v>2626</v>
      </c>
      <c r="G771" t="s">
        <v>195</v>
      </c>
      <c r="H771" t="s">
        <v>2645</v>
      </c>
      <c r="I771" t="s">
        <v>84</v>
      </c>
      <c r="J771">
        <v>19</v>
      </c>
      <c r="K771">
        <v>84.17</v>
      </c>
      <c r="L771">
        <v>47.56</v>
      </c>
      <c r="M771">
        <v>0.1</v>
      </c>
      <c r="N771" t="s">
        <v>45</v>
      </c>
    </row>
    <row r="772" spans="1:14" x14ac:dyDescent="0.25">
      <c r="A772" t="s">
        <v>1263</v>
      </c>
      <c r="B772" s="2">
        <v>45600</v>
      </c>
      <c r="C772" t="s">
        <v>931</v>
      </c>
      <c r="D772" t="s">
        <v>150</v>
      </c>
      <c r="E772" t="s">
        <v>2618</v>
      </c>
      <c r="F772" t="s">
        <v>2628</v>
      </c>
      <c r="G772" t="s">
        <v>42</v>
      </c>
      <c r="H772" t="s">
        <v>2646</v>
      </c>
      <c r="I772" t="s">
        <v>2578</v>
      </c>
      <c r="J772">
        <v>62</v>
      </c>
      <c r="K772">
        <v>82.97</v>
      </c>
      <c r="L772">
        <v>49.88</v>
      </c>
      <c r="M772">
        <v>0.05</v>
      </c>
      <c r="N772" t="s">
        <v>45</v>
      </c>
    </row>
    <row r="773" spans="1:14" x14ac:dyDescent="0.25">
      <c r="A773" t="s">
        <v>1264</v>
      </c>
      <c r="B773" s="2">
        <v>45608</v>
      </c>
      <c r="C773" t="s">
        <v>1265</v>
      </c>
      <c r="D773" t="s">
        <v>99</v>
      </c>
      <c r="E773" t="s">
        <v>2618</v>
      </c>
      <c r="F773" t="s">
        <v>2634</v>
      </c>
      <c r="G773" t="s">
        <v>178</v>
      </c>
      <c r="H773" t="s">
        <v>2646</v>
      </c>
      <c r="I773" t="s">
        <v>75</v>
      </c>
      <c r="J773">
        <v>70</v>
      </c>
      <c r="K773">
        <v>69.33</v>
      </c>
      <c r="L773">
        <v>41.76</v>
      </c>
      <c r="M773">
        <v>0</v>
      </c>
      <c r="N773" t="s">
        <v>45</v>
      </c>
    </row>
    <row r="774" spans="1:14" x14ac:dyDescent="0.25">
      <c r="A774" t="s">
        <v>1266</v>
      </c>
      <c r="B774" s="2">
        <v>45476</v>
      </c>
      <c r="C774" t="s">
        <v>1267</v>
      </c>
      <c r="D774" t="s">
        <v>209</v>
      </c>
      <c r="E774" t="s">
        <v>2618</v>
      </c>
      <c r="F774" t="s">
        <v>2632</v>
      </c>
      <c r="G774" t="s">
        <v>42</v>
      </c>
      <c r="H774" t="s">
        <v>2645</v>
      </c>
      <c r="I774" t="s">
        <v>84</v>
      </c>
      <c r="J774">
        <v>68</v>
      </c>
      <c r="K774">
        <v>19.420000000000002</v>
      </c>
      <c r="L774">
        <v>10.61</v>
      </c>
      <c r="M774">
        <v>0.02</v>
      </c>
      <c r="N774" t="s">
        <v>45</v>
      </c>
    </row>
    <row r="775" spans="1:14" x14ac:dyDescent="0.25">
      <c r="A775" t="s">
        <v>1268</v>
      </c>
      <c r="B775" s="2">
        <v>45656</v>
      </c>
      <c r="C775" t="s">
        <v>1075</v>
      </c>
      <c r="D775" t="s">
        <v>216</v>
      </c>
      <c r="E775" t="s">
        <v>2617</v>
      </c>
      <c r="F775" t="s">
        <v>2625</v>
      </c>
      <c r="G775" t="s">
        <v>184</v>
      </c>
      <c r="H775" t="s">
        <v>2646</v>
      </c>
      <c r="I775" t="s">
        <v>44</v>
      </c>
      <c r="J775">
        <v>11</v>
      </c>
      <c r="K775">
        <v>107.04</v>
      </c>
      <c r="L775">
        <v>70.81</v>
      </c>
      <c r="M775">
        <v>0.05</v>
      </c>
      <c r="N775" t="s">
        <v>32</v>
      </c>
    </row>
    <row r="776" spans="1:14" x14ac:dyDescent="0.25">
      <c r="A776" t="s">
        <v>1269</v>
      </c>
      <c r="B776" s="2">
        <v>45584</v>
      </c>
      <c r="C776" t="s">
        <v>1270</v>
      </c>
      <c r="D776" t="s">
        <v>187</v>
      </c>
      <c r="E776" t="s">
        <v>2617</v>
      </c>
      <c r="F776" t="s">
        <v>2642</v>
      </c>
      <c r="G776" t="s">
        <v>152</v>
      </c>
      <c r="H776" t="s">
        <v>2645</v>
      </c>
      <c r="I776" t="s">
        <v>2578</v>
      </c>
      <c r="J776">
        <v>4</v>
      </c>
      <c r="K776">
        <v>48.93</v>
      </c>
      <c r="L776">
        <v>27.61</v>
      </c>
      <c r="M776">
        <v>0.2</v>
      </c>
      <c r="N776" t="s">
        <v>45</v>
      </c>
    </row>
    <row r="777" spans="1:14" x14ac:dyDescent="0.25">
      <c r="A777" t="s">
        <v>1271</v>
      </c>
      <c r="B777" s="2">
        <v>45547</v>
      </c>
      <c r="C777" t="s">
        <v>297</v>
      </c>
      <c r="D777" t="s">
        <v>141</v>
      </c>
      <c r="E777" t="s">
        <v>2616</v>
      </c>
      <c r="F777" t="s">
        <v>2624</v>
      </c>
      <c r="G777" t="s">
        <v>83</v>
      </c>
      <c r="H777" t="s">
        <v>2646</v>
      </c>
      <c r="I777" t="s">
        <v>75</v>
      </c>
      <c r="J777">
        <v>48</v>
      </c>
      <c r="K777">
        <v>90.21</v>
      </c>
      <c r="L777">
        <v>58.39</v>
      </c>
      <c r="M777">
        <v>0.1</v>
      </c>
      <c r="N777" t="s">
        <v>45</v>
      </c>
    </row>
    <row r="778" spans="1:14" x14ac:dyDescent="0.25">
      <c r="A778" t="s">
        <v>566</v>
      </c>
      <c r="B778" s="2">
        <v>45449</v>
      </c>
      <c r="C778" t="s">
        <v>567</v>
      </c>
      <c r="D778" t="s">
        <v>126</v>
      </c>
      <c r="E778" t="s">
        <v>2617</v>
      </c>
      <c r="F778" t="s">
        <v>2626</v>
      </c>
      <c r="G778" t="s">
        <v>248</v>
      </c>
      <c r="H778" t="s">
        <v>2648</v>
      </c>
      <c r="I778" t="s">
        <v>75</v>
      </c>
      <c r="J778">
        <v>80</v>
      </c>
      <c r="K778">
        <v>94.26</v>
      </c>
      <c r="L778">
        <v>50.25</v>
      </c>
      <c r="M778">
        <v>0</v>
      </c>
      <c r="N778" t="s">
        <v>32</v>
      </c>
    </row>
    <row r="779" spans="1:14" x14ac:dyDescent="0.25">
      <c r="A779" t="s">
        <v>1272</v>
      </c>
      <c r="B779" s="2">
        <v>45620</v>
      </c>
      <c r="C779" t="s">
        <v>1013</v>
      </c>
      <c r="D779" t="s">
        <v>222</v>
      </c>
      <c r="E779" t="s">
        <v>2618</v>
      </c>
      <c r="F779" t="s">
        <v>2635</v>
      </c>
      <c r="G779" t="s">
        <v>74</v>
      </c>
      <c r="H779" t="s">
        <v>2648</v>
      </c>
      <c r="I779" t="s">
        <v>75</v>
      </c>
      <c r="J779">
        <v>10</v>
      </c>
      <c r="K779">
        <v>128.44999999999999</v>
      </c>
      <c r="L779">
        <v>78.94</v>
      </c>
      <c r="M779">
        <v>0.1</v>
      </c>
      <c r="N779" t="s">
        <v>32</v>
      </c>
    </row>
    <row r="780" spans="1:14" x14ac:dyDescent="0.25">
      <c r="A780" t="s">
        <v>1273</v>
      </c>
      <c r="B780" s="2">
        <v>45336</v>
      </c>
      <c r="C780" t="s">
        <v>638</v>
      </c>
      <c r="D780" t="s">
        <v>150</v>
      </c>
      <c r="E780" t="s">
        <v>2616</v>
      </c>
      <c r="F780" t="s">
        <v>2638</v>
      </c>
      <c r="G780" t="s">
        <v>90</v>
      </c>
      <c r="H780" t="s">
        <v>2647</v>
      </c>
      <c r="I780" t="s">
        <v>70</v>
      </c>
      <c r="J780">
        <v>75</v>
      </c>
      <c r="K780">
        <v>81.430000000000007</v>
      </c>
      <c r="L780">
        <v>51.1</v>
      </c>
      <c r="M780">
        <v>0</v>
      </c>
      <c r="N780" t="s">
        <v>45</v>
      </c>
    </row>
    <row r="781" spans="1:14" x14ac:dyDescent="0.25">
      <c r="A781" t="s">
        <v>1274</v>
      </c>
      <c r="B781" s="2">
        <v>45577</v>
      </c>
      <c r="C781" t="s">
        <v>1219</v>
      </c>
      <c r="D781" t="s">
        <v>222</v>
      </c>
      <c r="E781" t="s">
        <v>2617</v>
      </c>
      <c r="F781" t="s">
        <v>2642</v>
      </c>
      <c r="G781" t="s">
        <v>60</v>
      </c>
      <c r="H781" t="s">
        <v>2648</v>
      </c>
      <c r="I781" t="s">
        <v>70</v>
      </c>
      <c r="J781">
        <v>51</v>
      </c>
      <c r="K781">
        <v>113.11</v>
      </c>
      <c r="L781">
        <v>78.88</v>
      </c>
      <c r="M781">
        <v>0.2</v>
      </c>
      <c r="N781" t="s">
        <v>32</v>
      </c>
    </row>
    <row r="782" spans="1:14" x14ac:dyDescent="0.25">
      <c r="A782" t="s">
        <v>1275</v>
      </c>
      <c r="B782" s="2">
        <v>45347</v>
      </c>
      <c r="C782" t="s">
        <v>948</v>
      </c>
      <c r="D782" t="s">
        <v>222</v>
      </c>
      <c r="E782" t="s">
        <v>2614</v>
      </c>
      <c r="F782" t="s">
        <v>2629</v>
      </c>
      <c r="G782" t="s">
        <v>195</v>
      </c>
      <c r="H782" t="s">
        <v>2645</v>
      </c>
      <c r="I782" t="s">
        <v>44</v>
      </c>
      <c r="J782">
        <v>70</v>
      </c>
      <c r="K782">
        <v>111.15</v>
      </c>
      <c r="L782">
        <v>80.08</v>
      </c>
      <c r="M782">
        <v>0.05</v>
      </c>
      <c r="N782" t="s">
        <v>45</v>
      </c>
    </row>
    <row r="783" spans="1:14" x14ac:dyDescent="0.25">
      <c r="A783" t="s">
        <v>1276</v>
      </c>
      <c r="B783" s="2">
        <v>45617</v>
      </c>
      <c r="C783" t="s">
        <v>475</v>
      </c>
      <c r="D783" t="s">
        <v>49</v>
      </c>
      <c r="E783" t="s">
        <v>2616</v>
      </c>
      <c r="F783" t="s">
        <v>2633</v>
      </c>
      <c r="G783" t="s">
        <v>265</v>
      </c>
      <c r="H783" t="s">
        <v>2645</v>
      </c>
      <c r="I783" t="s">
        <v>70</v>
      </c>
      <c r="J783">
        <v>22</v>
      </c>
      <c r="K783">
        <v>26.92</v>
      </c>
      <c r="L783">
        <v>13.21</v>
      </c>
      <c r="M783">
        <v>0</v>
      </c>
      <c r="N783" t="s">
        <v>45</v>
      </c>
    </row>
    <row r="784" spans="1:14" x14ac:dyDescent="0.25">
      <c r="A784" t="s">
        <v>1277</v>
      </c>
      <c r="B784" s="2">
        <v>45575</v>
      </c>
      <c r="C784" t="s">
        <v>1278</v>
      </c>
      <c r="D784" t="s">
        <v>23</v>
      </c>
      <c r="E784" t="s">
        <v>2616</v>
      </c>
      <c r="F784" t="s">
        <v>2631</v>
      </c>
      <c r="G784" t="s">
        <v>178</v>
      </c>
      <c r="H784" t="s">
        <v>2647</v>
      </c>
      <c r="I784" t="s">
        <v>75</v>
      </c>
      <c r="J784">
        <v>11</v>
      </c>
      <c r="K784">
        <v>78.28</v>
      </c>
      <c r="L784">
        <v>44.13</v>
      </c>
      <c r="M784">
        <v>0.15</v>
      </c>
      <c r="N784" t="s">
        <v>129</v>
      </c>
    </row>
    <row r="785" spans="1:14" x14ac:dyDescent="0.25">
      <c r="A785" t="s">
        <v>1279</v>
      </c>
      <c r="B785" s="2">
        <v>45523</v>
      </c>
      <c r="C785" t="s">
        <v>175</v>
      </c>
      <c r="D785" t="s">
        <v>36</v>
      </c>
      <c r="E785" t="s">
        <v>2615</v>
      </c>
      <c r="F785" t="s">
        <v>2640</v>
      </c>
      <c r="G785" t="s">
        <v>42</v>
      </c>
      <c r="H785" t="s">
        <v>2647</v>
      </c>
      <c r="I785" t="s">
        <v>2578</v>
      </c>
      <c r="J785">
        <v>21</v>
      </c>
      <c r="K785">
        <v>173.04</v>
      </c>
      <c r="L785">
        <v>103.32</v>
      </c>
      <c r="M785">
        <v>0.15</v>
      </c>
      <c r="N785" t="s">
        <v>45</v>
      </c>
    </row>
    <row r="786" spans="1:14" x14ac:dyDescent="0.25">
      <c r="A786" t="s">
        <v>1280</v>
      </c>
      <c r="B786" s="2">
        <v>45459</v>
      </c>
      <c r="C786" t="s">
        <v>1281</v>
      </c>
      <c r="D786" t="s">
        <v>114</v>
      </c>
      <c r="E786" t="s">
        <v>2617</v>
      </c>
      <c r="F786" t="s">
        <v>2641</v>
      </c>
      <c r="G786" t="s">
        <v>60</v>
      </c>
      <c r="H786" t="s">
        <v>2646</v>
      </c>
      <c r="I786" t="s">
        <v>2578</v>
      </c>
      <c r="J786">
        <v>65</v>
      </c>
      <c r="K786">
        <v>36.5</v>
      </c>
      <c r="L786">
        <v>20.67</v>
      </c>
      <c r="M786">
        <v>0.2</v>
      </c>
      <c r="N786" t="s">
        <v>129</v>
      </c>
    </row>
    <row r="787" spans="1:14" x14ac:dyDescent="0.25">
      <c r="A787" t="s">
        <v>1282</v>
      </c>
      <c r="B787" s="2">
        <v>45397</v>
      </c>
      <c r="C787" t="s">
        <v>691</v>
      </c>
      <c r="D787" t="s">
        <v>216</v>
      </c>
      <c r="E787" t="s">
        <v>2614</v>
      </c>
      <c r="F787" t="s">
        <v>2636</v>
      </c>
      <c r="G787" t="s">
        <v>265</v>
      </c>
      <c r="H787" t="s">
        <v>2645</v>
      </c>
      <c r="I787" t="s">
        <v>70</v>
      </c>
      <c r="J787">
        <v>22</v>
      </c>
      <c r="K787">
        <v>110.13</v>
      </c>
      <c r="L787">
        <v>64.239999999999995</v>
      </c>
      <c r="M787">
        <v>0.2</v>
      </c>
      <c r="N787" t="s">
        <v>45</v>
      </c>
    </row>
    <row r="788" spans="1:14" x14ac:dyDescent="0.25">
      <c r="A788" t="s">
        <v>1283</v>
      </c>
      <c r="B788" s="2">
        <v>45406</v>
      </c>
      <c r="C788" t="s">
        <v>456</v>
      </c>
      <c r="D788" t="s">
        <v>114</v>
      </c>
      <c r="E788" t="s">
        <v>2616</v>
      </c>
      <c r="F788" t="s">
        <v>2633</v>
      </c>
      <c r="G788" t="s">
        <v>265</v>
      </c>
      <c r="H788" t="s">
        <v>2646</v>
      </c>
      <c r="I788" t="s">
        <v>2578</v>
      </c>
      <c r="J788">
        <v>5</v>
      </c>
      <c r="K788">
        <v>35.43</v>
      </c>
      <c r="L788">
        <v>20.52</v>
      </c>
      <c r="M788">
        <v>0.15</v>
      </c>
      <c r="N788" t="s">
        <v>32</v>
      </c>
    </row>
    <row r="789" spans="1:14" x14ac:dyDescent="0.25">
      <c r="A789" t="s">
        <v>1284</v>
      </c>
      <c r="B789" s="2">
        <v>45483</v>
      </c>
      <c r="C789" t="s">
        <v>660</v>
      </c>
      <c r="D789" t="s">
        <v>36</v>
      </c>
      <c r="E789" t="s">
        <v>2615</v>
      </c>
      <c r="F789" t="s">
        <v>2640</v>
      </c>
      <c r="G789" t="s">
        <v>74</v>
      </c>
      <c r="H789" t="s">
        <v>2645</v>
      </c>
      <c r="I789" t="s">
        <v>84</v>
      </c>
      <c r="J789">
        <v>11</v>
      </c>
      <c r="K789">
        <v>157.12</v>
      </c>
      <c r="L789">
        <v>95.18</v>
      </c>
      <c r="M789">
        <v>0.2</v>
      </c>
      <c r="N789" t="s">
        <v>129</v>
      </c>
    </row>
    <row r="790" spans="1:14" x14ac:dyDescent="0.25">
      <c r="A790" t="s">
        <v>1285</v>
      </c>
      <c r="B790" s="2">
        <v>45325</v>
      </c>
      <c r="C790" t="s">
        <v>2619</v>
      </c>
      <c r="D790" t="s">
        <v>126</v>
      </c>
      <c r="E790" t="s">
        <v>2616</v>
      </c>
      <c r="F790" t="s">
        <v>2631</v>
      </c>
      <c r="G790" t="s">
        <v>248</v>
      </c>
      <c r="H790" t="s">
        <v>2646</v>
      </c>
      <c r="I790" t="s">
        <v>84</v>
      </c>
      <c r="J790">
        <v>22</v>
      </c>
      <c r="K790">
        <v>94.42</v>
      </c>
      <c r="L790">
        <v>52.66</v>
      </c>
      <c r="M790">
        <v>0</v>
      </c>
      <c r="N790" t="s">
        <v>45</v>
      </c>
    </row>
    <row r="791" spans="1:14" x14ac:dyDescent="0.25">
      <c r="A791" t="s">
        <v>1286</v>
      </c>
      <c r="B791" s="2">
        <v>45524</v>
      </c>
      <c r="C791" t="s">
        <v>723</v>
      </c>
      <c r="D791" t="s">
        <v>132</v>
      </c>
      <c r="E791" t="s">
        <v>2616</v>
      </c>
      <c r="F791" t="s">
        <v>2638</v>
      </c>
      <c r="G791" t="s">
        <v>248</v>
      </c>
      <c r="H791" t="s">
        <v>2645</v>
      </c>
      <c r="I791" t="s">
        <v>84</v>
      </c>
      <c r="J791">
        <v>66</v>
      </c>
      <c r="K791">
        <v>55.41</v>
      </c>
      <c r="L791">
        <v>33.04</v>
      </c>
      <c r="M791">
        <v>0.1</v>
      </c>
      <c r="N791" t="s">
        <v>45</v>
      </c>
    </row>
    <row r="792" spans="1:14" x14ac:dyDescent="0.25">
      <c r="A792" t="s">
        <v>1287</v>
      </c>
      <c r="B792" s="2">
        <v>45520</v>
      </c>
      <c r="C792" t="s">
        <v>422</v>
      </c>
      <c r="D792" t="s">
        <v>66</v>
      </c>
      <c r="E792" t="s">
        <v>2615</v>
      </c>
      <c r="F792" t="s">
        <v>2630</v>
      </c>
      <c r="G792" t="s">
        <v>74</v>
      </c>
      <c r="H792" t="s">
        <v>2645</v>
      </c>
      <c r="I792" t="s">
        <v>75</v>
      </c>
      <c r="J792">
        <v>18</v>
      </c>
      <c r="K792">
        <v>159.72999999999999</v>
      </c>
      <c r="L792">
        <v>106.41</v>
      </c>
      <c r="M792">
        <v>0.2</v>
      </c>
      <c r="N792" t="s">
        <v>45</v>
      </c>
    </row>
    <row r="793" spans="1:14" x14ac:dyDescent="0.25">
      <c r="A793" t="s">
        <v>1288</v>
      </c>
      <c r="B793" s="2">
        <v>45390</v>
      </c>
      <c r="C793" t="s">
        <v>438</v>
      </c>
      <c r="D793" t="s">
        <v>36</v>
      </c>
      <c r="E793" t="s">
        <v>2618</v>
      </c>
      <c r="F793" t="s">
        <v>2628</v>
      </c>
      <c r="G793" t="s">
        <v>29</v>
      </c>
      <c r="H793" t="s">
        <v>2648</v>
      </c>
      <c r="I793" t="s">
        <v>2578</v>
      </c>
      <c r="J793">
        <v>80</v>
      </c>
      <c r="K793">
        <v>153</v>
      </c>
      <c r="L793">
        <v>95.53</v>
      </c>
      <c r="M793">
        <v>0.15</v>
      </c>
      <c r="N793" t="s">
        <v>45</v>
      </c>
    </row>
    <row r="794" spans="1:14" x14ac:dyDescent="0.25">
      <c r="A794" t="s">
        <v>1289</v>
      </c>
      <c r="B794" s="2">
        <v>45635</v>
      </c>
      <c r="C794" t="s">
        <v>608</v>
      </c>
      <c r="D794" t="s">
        <v>165</v>
      </c>
      <c r="E794" t="s">
        <v>2614</v>
      </c>
      <c r="F794" t="s">
        <v>2636</v>
      </c>
      <c r="G794" t="s">
        <v>60</v>
      </c>
      <c r="H794" t="s">
        <v>2646</v>
      </c>
      <c r="I794" t="s">
        <v>70</v>
      </c>
      <c r="J794">
        <v>47</v>
      </c>
      <c r="K794">
        <v>38.64</v>
      </c>
      <c r="L794">
        <v>26.48</v>
      </c>
      <c r="M794">
        <v>0.1</v>
      </c>
      <c r="N794" t="s">
        <v>45</v>
      </c>
    </row>
    <row r="795" spans="1:14" x14ac:dyDescent="0.25">
      <c r="A795" t="s">
        <v>1290</v>
      </c>
      <c r="B795" s="2">
        <v>45578</v>
      </c>
      <c r="C795" t="s">
        <v>1075</v>
      </c>
      <c r="D795" t="s">
        <v>176</v>
      </c>
      <c r="E795" t="s">
        <v>2614</v>
      </c>
      <c r="F795" t="s">
        <v>2622</v>
      </c>
      <c r="G795" t="s">
        <v>111</v>
      </c>
      <c r="H795" t="s">
        <v>2646</v>
      </c>
      <c r="I795" t="s">
        <v>70</v>
      </c>
      <c r="J795">
        <v>48</v>
      </c>
      <c r="K795">
        <v>97.77</v>
      </c>
      <c r="L795">
        <v>63.19</v>
      </c>
      <c r="M795">
        <v>0</v>
      </c>
      <c r="N795" t="s">
        <v>45</v>
      </c>
    </row>
    <row r="796" spans="1:14" x14ac:dyDescent="0.25">
      <c r="A796" t="s">
        <v>1291</v>
      </c>
      <c r="B796" s="2">
        <v>45319</v>
      </c>
      <c r="C796" t="s">
        <v>531</v>
      </c>
      <c r="D796" t="s">
        <v>49</v>
      </c>
      <c r="E796" t="s">
        <v>2616</v>
      </c>
      <c r="F796" t="s">
        <v>2624</v>
      </c>
      <c r="G796" t="s">
        <v>83</v>
      </c>
      <c r="H796" t="s">
        <v>2646</v>
      </c>
      <c r="I796" t="s">
        <v>84</v>
      </c>
      <c r="J796">
        <v>35</v>
      </c>
      <c r="K796">
        <v>23.62</v>
      </c>
      <c r="L796">
        <v>12.01</v>
      </c>
      <c r="M796">
        <v>0.1</v>
      </c>
      <c r="N796" t="s">
        <v>45</v>
      </c>
    </row>
    <row r="797" spans="1:14" x14ac:dyDescent="0.25">
      <c r="A797" t="s">
        <v>1292</v>
      </c>
      <c r="B797" s="2">
        <v>45512</v>
      </c>
      <c r="C797" t="s">
        <v>1293</v>
      </c>
      <c r="D797" t="s">
        <v>209</v>
      </c>
      <c r="E797" t="s">
        <v>2617</v>
      </c>
      <c r="F797" t="s">
        <v>2641</v>
      </c>
      <c r="G797" t="s">
        <v>218</v>
      </c>
      <c r="H797" t="s">
        <v>2647</v>
      </c>
      <c r="I797" t="s">
        <v>2578</v>
      </c>
      <c r="J797">
        <v>54</v>
      </c>
      <c r="K797">
        <v>18.920000000000002</v>
      </c>
      <c r="L797">
        <v>10.77</v>
      </c>
      <c r="M797">
        <v>0.15</v>
      </c>
      <c r="N797" t="s">
        <v>32</v>
      </c>
    </row>
    <row r="798" spans="1:14" x14ac:dyDescent="0.25">
      <c r="A798" t="s">
        <v>1294</v>
      </c>
      <c r="B798" s="2">
        <v>45480</v>
      </c>
      <c r="C798" t="s">
        <v>1131</v>
      </c>
      <c r="D798" t="s">
        <v>132</v>
      </c>
      <c r="E798" t="s">
        <v>2618</v>
      </c>
      <c r="F798" t="s">
        <v>2632</v>
      </c>
      <c r="G798" t="s">
        <v>253</v>
      </c>
      <c r="H798" t="s">
        <v>2647</v>
      </c>
      <c r="I798" t="s">
        <v>75</v>
      </c>
      <c r="J798">
        <v>76</v>
      </c>
      <c r="K798">
        <v>61.14</v>
      </c>
      <c r="L798">
        <v>33.29</v>
      </c>
      <c r="M798">
        <v>0.1</v>
      </c>
      <c r="N798" t="s">
        <v>45</v>
      </c>
    </row>
    <row r="799" spans="1:14" x14ac:dyDescent="0.25">
      <c r="A799" t="s">
        <v>1295</v>
      </c>
      <c r="B799" s="2">
        <v>45453</v>
      </c>
      <c r="C799" t="s">
        <v>1267</v>
      </c>
      <c r="D799" t="s">
        <v>99</v>
      </c>
      <c r="E799" t="s">
        <v>2615</v>
      </c>
      <c r="F799" t="s">
        <v>2640</v>
      </c>
      <c r="G799" t="s">
        <v>83</v>
      </c>
      <c r="H799" t="s">
        <v>2647</v>
      </c>
      <c r="I799" t="s">
        <v>75</v>
      </c>
      <c r="J799">
        <v>55</v>
      </c>
      <c r="K799">
        <v>68.58</v>
      </c>
      <c r="L799">
        <v>39.5</v>
      </c>
      <c r="M799">
        <v>0.02</v>
      </c>
      <c r="N799" t="s">
        <v>129</v>
      </c>
    </row>
    <row r="800" spans="1:14" x14ac:dyDescent="0.25">
      <c r="A800" t="s">
        <v>1296</v>
      </c>
      <c r="B800" s="2">
        <v>45327</v>
      </c>
      <c r="C800" t="s">
        <v>297</v>
      </c>
      <c r="D800" t="s">
        <v>23</v>
      </c>
      <c r="E800" t="s">
        <v>2617</v>
      </c>
      <c r="F800" t="s">
        <v>2642</v>
      </c>
      <c r="G800" t="s">
        <v>42</v>
      </c>
      <c r="H800" t="s">
        <v>2646</v>
      </c>
      <c r="I800" t="s">
        <v>2578</v>
      </c>
      <c r="J800">
        <v>2</v>
      </c>
      <c r="K800">
        <v>70.760000000000005</v>
      </c>
      <c r="L800">
        <v>46.34</v>
      </c>
      <c r="M800">
        <v>0.2</v>
      </c>
      <c r="N800" t="s">
        <v>129</v>
      </c>
    </row>
    <row r="801" spans="1:14" x14ac:dyDescent="0.25">
      <c r="A801" t="s">
        <v>1297</v>
      </c>
      <c r="B801" s="2">
        <v>45548</v>
      </c>
      <c r="C801" t="s">
        <v>674</v>
      </c>
      <c r="D801" t="s">
        <v>93</v>
      </c>
      <c r="E801" t="s">
        <v>2618</v>
      </c>
      <c r="F801" t="s">
        <v>2635</v>
      </c>
      <c r="G801" t="s">
        <v>118</v>
      </c>
      <c r="H801" t="s">
        <v>2648</v>
      </c>
      <c r="I801" t="s">
        <v>2578</v>
      </c>
      <c r="J801">
        <v>2</v>
      </c>
      <c r="K801">
        <v>54.47</v>
      </c>
      <c r="L801">
        <v>30.19</v>
      </c>
      <c r="M801">
        <v>1.1000000000000001</v>
      </c>
      <c r="N801" t="s">
        <v>32</v>
      </c>
    </row>
    <row r="802" spans="1:14" x14ac:dyDescent="0.25">
      <c r="A802" t="s">
        <v>1298</v>
      </c>
      <c r="B802" s="2">
        <v>45298</v>
      </c>
      <c r="C802" t="s">
        <v>1270</v>
      </c>
      <c r="D802" t="s">
        <v>36</v>
      </c>
      <c r="E802" t="s">
        <v>2614</v>
      </c>
      <c r="F802" t="s">
        <v>2636</v>
      </c>
      <c r="G802" t="s">
        <v>29</v>
      </c>
      <c r="H802" t="s">
        <v>2645</v>
      </c>
      <c r="I802" t="s">
        <v>75</v>
      </c>
      <c r="J802">
        <v>32</v>
      </c>
      <c r="K802">
        <v>153.41</v>
      </c>
      <c r="L802">
        <v>95.47</v>
      </c>
      <c r="M802">
        <v>0</v>
      </c>
      <c r="N802" t="s">
        <v>45</v>
      </c>
    </row>
    <row r="803" spans="1:14" x14ac:dyDescent="0.25">
      <c r="A803" t="s">
        <v>1299</v>
      </c>
      <c r="B803" s="2">
        <v>45313</v>
      </c>
      <c r="C803" t="s">
        <v>602</v>
      </c>
      <c r="D803" t="s">
        <v>165</v>
      </c>
      <c r="E803" t="s">
        <v>2618</v>
      </c>
      <c r="F803" t="s">
        <v>2634</v>
      </c>
      <c r="G803" t="s">
        <v>178</v>
      </c>
      <c r="H803" t="s">
        <v>2646</v>
      </c>
      <c r="I803" t="s">
        <v>84</v>
      </c>
      <c r="J803">
        <v>1</v>
      </c>
      <c r="K803">
        <v>43.85</v>
      </c>
      <c r="L803">
        <v>24.81</v>
      </c>
      <c r="M803">
        <v>0.15</v>
      </c>
      <c r="N803" t="s">
        <v>45</v>
      </c>
    </row>
    <row r="804" spans="1:14" x14ac:dyDescent="0.25">
      <c r="A804" t="s">
        <v>1300</v>
      </c>
      <c r="B804" s="2">
        <v>45655</v>
      </c>
      <c r="C804" t="s">
        <v>175</v>
      </c>
      <c r="D804" t="s">
        <v>36</v>
      </c>
      <c r="E804" t="s">
        <v>2614</v>
      </c>
      <c r="F804" t="s">
        <v>2637</v>
      </c>
      <c r="G804" t="s">
        <v>218</v>
      </c>
      <c r="H804" t="s">
        <v>2645</v>
      </c>
      <c r="I804" t="s">
        <v>44</v>
      </c>
      <c r="J804">
        <v>69</v>
      </c>
      <c r="K804">
        <v>158.32</v>
      </c>
      <c r="L804">
        <v>93.61</v>
      </c>
      <c r="M804">
        <v>0.2</v>
      </c>
      <c r="N804" t="s">
        <v>45</v>
      </c>
    </row>
    <row r="805" spans="1:14" x14ac:dyDescent="0.25">
      <c r="A805" t="s">
        <v>1301</v>
      </c>
      <c r="B805" s="2">
        <v>45648</v>
      </c>
      <c r="C805" t="s">
        <v>1302</v>
      </c>
      <c r="D805" t="s">
        <v>36</v>
      </c>
      <c r="E805" t="s">
        <v>2616</v>
      </c>
      <c r="F805" t="s">
        <v>2638</v>
      </c>
      <c r="G805" t="s">
        <v>90</v>
      </c>
      <c r="H805" t="s">
        <v>2646</v>
      </c>
      <c r="I805" t="s">
        <v>2578</v>
      </c>
      <c r="J805">
        <v>27</v>
      </c>
      <c r="K805">
        <v>153.94</v>
      </c>
      <c r="L805">
        <v>94.57</v>
      </c>
      <c r="M805">
        <v>0.15</v>
      </c>
      <c r="N805" t="s">
        <v>129</v>
      </c>
    </row>
    <row r="806" spans="1:14" x14ac:dyDescent="0.25">
      <c r="A806" t="s">
        <v>1303</v>
      </c>
      <c r="B806" s="2">
        <v>45325</v>
      </c>
      <c r="C806" t="s">
        <v>182</v>
      </c>
      <c r="D806" t="s">
        <v>23</v>
      </c>
      <c r="E806" t="s">
        <v>2618</v>
      </c>
      <c r="F806" t="s">
        <v>2634</v>
      </c>
      <c r="G806" t="s">
        <v>218</v>
      </c>
      <c r="H806" t="s">
        <v>2647</v>
      </c>
      <c r="I806" t="s">
        <v>44</v>
      </c>
      <c r="J806">
        <v>28</v>
      </c>
      <c r="K806">
        <v>79.319999999999993</v>
      </c>
      <c r="L806">
        <v>45.57</v>
      </c>
      <c r="M806">
        <v>0.15</v>
      </c>
      <c r="N806" t="s">
        <v>45</v>
      </c>
    </row>
    <row r="807" spans="1:14" x14ac:dyDescent="0.25">
      <c r="A807" t="s">
        <v>1304</v>
      </c>
      <c r="B807" s="2">
        <v>45469</v>
      </c>
      <c r="C807" t="s">
        <v>506</v>
      </c>
      <c r="D807" t="s">
        <v>150</v>
      </c>
      <c r="E807" t="s">
        <v>2617</v>
      </c>
      <c r="F807" t="s">
        <v>2641</v>
      </c>
      <c r="G807" t="s">
        <v>261</v>
      </c>
      <c r="H807" t="s">
        <v>2647</v>
      </c>
      <c r="I807" t="s">
        <v>44</v>
      </c>
      <c r="J807">
        <v>67</v>
      </c>
      <c r="K807">
        <v>84.43</v>
      </c>
      <c r="L807">
        <v>51.37</v>
      </c>
      <c r="M807">
        <v>0.05</v>
      </c>
      <c r="N807" t="s">
        <v>45</v>
      </c>
    </row>
    <row r="808" spans="1:14" x14ac:dyDescent="0.25">
      <c r="A808" t="s">
        <v>1188</v>
      </c>
      <c r="B808" s="2">
        <v>45371</v>
      </c>
      <c r="C808" t="s">
        <v>693</v>
      </c>
      <c r="D808" t="s">
        <v>93</v>
      </c>
      <c r="E808" t="s">
        <v>2616</v>
      </c>
      <c r="F808" t="s">
        <v>2638</v>
      </c>
      <c r="G808" t="s">
        <v>74</v>
      </c>
      <c r="H808" t="s">
        <v>2648</v>
      </c>
      <c r="I808" t="s">
        <v>2578</v>
      </c>
      <c r="J808">
        <v>25</v>
      </c>
      <c r="K808" s="3" t="e">
        <f>#REF!/Sales12[[#This Row],[Quantity]]</f>
        <v>#REF!</v>
      </c>
      <c r="L808">
        <v>33.35</v>
      </c>
      <c r="M808">
        <v>0</v>
      </c>
      <c r="N808" t="s">
        <v>45</v>
      </c>
    </row>
    <row r="809" spans="1:14" x14ac:dyDescent="0.25">
      <c r="A809" t="s">
        <v>1305</v>
      </c>
      <c r="B809" s="2">
        <v>45424</v>
      </c>
      <c r="C809" t="s">
        <v>617</v>
      </c>
      <c r="D809" t="s">
        <v>109</v>
      </c>
      <c r="E809" t="s">
        <v>2617</v>
      </c>
      <c r="F809" t="s">
        <v>2642</v>
      </c>
      <c r="G809" t="s">
        <v>265</v>
      </c>
      <c r="H809" t="s">
        <v>2645</v>
      </c>
      <c r="I809" t="s">
        <v>75</v>
      </c>
      <c r="J809">
        <v>34</v>
      </c>
      <c r="K809">
        <v>130.41999999999999</v>
      </c>
      <c r="L809">
        <v>78.08</v>
      </c>
      <c r="M809">
        <v>0.02</v>
      </c>
      <c r="N809" t="s">
        <v>32</v>
      </c>
    </row>
    <row r="810" spans="1:14" x14ac:dyDescent="0.25">
      <c r="A810" t="s">
        <v>1306</v>
      </c>
      <c r="B810" s="2">
        <v>45338</v>
      </c>
      <c r="C810" t="s">
        <v>21</v>
      </c>
      <c r="D810" t="s">
        <v>78</v>
      </c>
      <c r="E810" t="s">
        <v>2614</v>
      </c>
      <c r="F810" t="s">
        <v>2622</v>
      </c>
      <c r="G810" t="s">
        <v>253</v>
      </c>
      <c r="H810" t="s">
        <v>2646</v>
      </c>
      <c r="I810" t="s">
        <v>84</v>
      </c>
      <c r="J810">
        <v>21</v>
      </c>
      <c r="K810">
        <v>133.26</v>
      </c>
      <c r="L810">
        <v>86.95</v>
      </c>
      <c r="M810">
        <v>0</v>
      </c>
      <c r="N810" t="s">
        <v>45</v>
      </c>
    </row>
    <row r="811" spans="1:14" x14ac:dyDescent="0.25">
      <c r="A811" t="s">
        <v>1307</v>
      </c>
      <c r="B811" s="2">
        <v>45331</v>
      </c>
      <c r="C811" t="s">
        <v>2619</v>
      </c>
      <c r="D811" t="s">
        <v>187</v>
      </c>
      <c r="E811" t="s">
        <v>2615</v>
      </c>
      <c r="F811" t="s">
        <v>2623</v>
      </c>
      <c r="G811" t="s">
        <v>69</v>
      </c>
      <c r="H811" t="s">
        <v>2648</v>
      </c>
      <c r="I811" t="s">
        <v>75</v>
      </c>
      <c r="J811">
        <v>76</v>
      </c>
      <c r="K811">
        <v>47.54</v>
      </c>
      <c r="L811">
        <v>28.08</v>
      </c>
      <c r="M811">
        <v>0.02</v>
      </c>
      <c r="N811" t="s">
        <v>45</v>
      </c>
    </row>
    <row r="812" spans="1:14" x14ac:dyDescent="0.25">
      <c r="A812" t="s">
        <v>1308</v>
      </c>
      <c r="B812" s="2">
        <v>45644</v>
      </c>
      <c r="C812" t="s">
        <v>402</v>
      </c>
      <c r="D812" t="s">
        <v>165</v>
      </c>
      <c r="E812" t="s">
        <v>2615</v>
      </c>
      <c r="F812" t="s">
        <v>2630</v>
      </c>
      <c r="G812" t="s">
        <v>152</v>
      </c>
      <c r="H812" t="s">
        <v>2647</v>
      </c>
      <c r="I812" t="s">
        <v>2578</v>
      </c>
      <c r="J812">
        <v>49</v>
      </c>
      <c r="K812">
        <v>41.58</v>
      </c>
      <c r="L812">
        <v>25.92</v>
      </c>
      <c r="M812">
        <v>0.2</v>
      </c>
      <c r="N812" t="s">
        <v>45</v>
      </c>
    </row>
    <row r="813" spans="1:14" x14ac:dyDescent="0.25">
      <c r="A813" t="s">
        <v>1309</v>
      </c>
      <c r="B813" s="2">
        <v>45438</v>
      </c>
      <c r="C813" t="s">
        <v>1310</v>
      </c>
      <c r="D813" t="s">
        <v>66</v>
      </c>
      <c r="E813" t="s">
        <v>2615</v>
      </c>
      <c r="F813" t="s">
        <v>2623</v>
      </c>
      <c r="G813" t="s">
        <v>265</v>
      </c>
      <c r="H813" t="s">
        <v>2647</v>
      </c>
      <c r="I813" t="s">
        <v>84</v>
      </c>
      <c r="J813">
        <v>19</v>
      </c>
      <c r="K813">
        <v>152.34</v>
      </c>
      <c r="L813">
        <v>104.6</v>
      </c>
      <c r="M813">
        <v>0.02</v>
      </c>
      <c r="N813" t="s">
        <v>45</v>
      </c>
    </row>
    <row r="814" spans="1:14" x14ac:dyDescent="0.25">
      <c r="A814" t="s">
        <v>1311</v>
      </c>
      <c r="B814" s="2">
        <v>45537</v>
      </c>
      <c r="C814" t="s">
        <v>843</v>
      </c>
      <c r="D814" t="s">
        <v>141</v>
      </c>
      <c r="E814" t="s">
        <v>2616</v>
      </c>
      <c r="F814" t="s">
        <v>2624</v>
      </c>
      <c r="G814" t="s">
        <v>184</v>
      </c>
      <c r="H814" t="s">
        <v>2646</v>
      </c>
      <c r="I814" t="s">
        <v>44</v>
      </c>
      <c r="J814">
        <v>48</v>
      </c>
      <c r="K814">
        <v>90.81</v>
      </c>
      <c r="L814">
        <v>59.51</v>
      </c>
      <c r="M814">
        <v>0.1</v>
      </c>
      <c r="N814" t="s">
        <v>129</v>
      </c>
    </row>
    <row r="815" spans="1:14" x14ac:dyDescent="0.25">
      <c r="A815" t="s">
        <v>1312</v>
      </c>
      <c r="B815" s="2">
        <v>45655</v>
      </c>
      <c r="C815" t="s">
        <v>287</v>
      </c>
      <c r="D815" t="s">
        <v>222</v>
      </c>
      <c r="E815" t="s">
        <v>2615</v>
      </c>
      <c r="F815" t="s">
        <v>2627</v>
      </c>
      <c r="G815" t="s">
        <v>60</v>
      </c>
      <c r="H815" t="s">
        <v>2647</v>
      </c>
      <c r="I815" t="s">
        <v>44</v>
      </c>
      <c r="J815">
        <v>33</v>
      </c>
      <c r="K815">
        <v>126.16</v>
      </c>
      <c r="L815">
        <v>78.83</v>
      </c>
      <c r="M815">
        <v>0.02</v>
      </c>
      <c r="N815" t="s">
        <v>129</v>
      </c>
    </row>
    <row r="816" spans="1:14" x14ac:dyDescent="0.25">
      <c r="A816" t="s">
        <v>1313</v>
      </c>
      <c r="B816" s="2">
        <v>45408</v>
      </c>
      <c r="C816" t="s">
        <v>205</v>
      </c>
      <c r="D816" t="s">
        <v>209</v>
      </c>
      <c r="E816" t="s">
        <v>2615</v>
      </c>
      <c r="F816" t="s">
        <v>2640</v>
      </c>
      <c r="G816" t="s">
        <v>69</v>
      </c>
      <c r="H816" t="s">
        <v>2645</v>
      </c>
      <c r="I816" t="s">
        <v>44</v>
      </c>
      <c r="J816">
        <v>74</v>
      </c>
      <c r="K816">
        <v>17.52</v>
      </c>
      <c r="L816">
        <v>9.83</v>
      </c>
      <c r="M816">
        <v>0.2</v>
      </c>
      <c r="N816" t="s">
        <v>129</v>
      </c>
    </row>
    <row r="817" spans="1:14" x14ac:dyDescent="0.25">
      <c r="A817" t="s">
        <v>1314</v>
      </c>
      <c r="B817" s="2">
        <v>45331</v>
      </c>
      <c r="C817" t="s">
        <v>983</v>
      </c>
      <c r="D817" t="s">
        <v>176</v>
      </c>
      <c r="E817" t="s">
        <v>2614</v>
      </c>
      <c r="F817" t="s">
        <v>2629</v>
      </c>
      <c r="G817" t="s">
        <v>248</v>
      </c>
      <c r="H817" t="s">
        <v>2645</v>
      </c>
      <c r="I817" t="s">
        <v>2578</v>
      </c>
      <c r="J817">
        <v>7</v>
      </c>
      <c r="K817">
        <v>101.14</v>
      </c>
      <c r="L817">
        <v>67.7</v>
      </c>
      <c r="M817">
        <v>0.02</v>
      </c>
      <c r="N817" t="s">
        <v>45</v>
      </c>
    </row>
    <row r="818" spans="1:14" x14ac:dyDescent="0.25">
      <c r="A818" t="s">
        <v>1315</v>
      </c>
      <c r="B818" s="2">
        <v>45343</v>
      </c>
      <c r="C818" t="s">
        <v>785</v>
      </c>
      <c r="D818" t="s">
        <v>126</v>
      </c>
      <c r="E818" t="s">
        <v>2618</v>
      </c>
      <c r="F818" t="s">
        <v>2634</v>
      </c>
      <c r="G818" t="s">
        <v>178</v>
      </c>
      <c r="H818" t="s">
        <v>2648</v>
      </c>
      <c r="I818" t="s">
        <v>2578</v>
      </c>
      <c r="J818">
        <v>18</v>
      </c>
      <c r="K818">
        <v>85.42</v>
      </c>
      <c r="L818">
        <v>51.69</v>
      </c>
      <c r="M818">
        <v>0</v>
      </c>
      <c r="N818" t="s">
        <v>45</v>
      </c>
    </row>
    <row r="819" spans="1:14" x14ac:dyDescent="0.25">
      <c r="A819" t="s">
        <v>1316</v>
      </c>
      <c r="B819" s="2">
        <v>45480</v>
      </c>
      <c r="C819" t="s">
        <v>1317</v>
      </c>
      <c r="D819" t="s">
        <v>109</v>
      </c>
      <c r="E819" t="s">
        <v>2617</v>
      </c>
      <c r="F819" t="s">
        <v>2626</v>
      </c>
      <c r="G819" t="s">
        <v>265</v>
      </c>
      <c r="H819" t="s">
        <v>2646</v>
      </c>
      <c r="I819" t="s">
        <v>2578</v>
      </c>
      <c r="J819">
        <v>2</v>
      </c>
      <c r="K819">
        <v>128.78</v>
      </c>
      <c r="L819">
        <v>78.42</v>
      </c>
      <c r="M819">
        <v>0</v>
      </c>
      <c r="N819" t="s">
        <v>129</v>
      </c>
    </row>
    <row r="820" spans="1:14" x14ac:dyDescent="0.25">
      <c r="A820" t="s">
        <v>1318</v>
      </c>
      <c r="B820" s="2">
        <v>45491</v>
      </c>
      <c r="C820" t="s">
        <v>267</v>
      </c>
      <c r="D820" t="s">
        <v>132</v>
      </c>
      <c r="E820" t="s">
        <v>2614</v>
      </c>
      <c r="F820" t="s">
        <v>2622</v>
      </c>
      <c r="G820" t="s">
        <v>184</v>
      </c>
      <c r="H820" t="s">
        <v>2645</v>
      </c>
      <c r="I820" t="s">
        <v>70</v>
      </c>
      <c r="J820">
        <v>1</v>
      </c>
      <c r="K820">
        <v>0</v>
      </c>
      <c r="L820">
        <v>35.630000000000003</v>
      </c>
      <c r="M820">
        <v>0</v>
      </c>
      <c r="N820" t="s">
        <v>45</v>
      </c>
    </row>
    <row r="821" spans="1:14" x14ac:dyDescent="0.25">
      <c r="A821" t="s">
        <v>1319</v>
      </c>
      <c r="B821" s="2">
        <v>45362</v>
      </c>
      <c r="C821" t="s">
        <v>1047</v>
      </c>
      <c r="D821" t="s">
        <v>216</v>
      </c>
      <c r="E821" t="s">
        <v>2617</v>
      </c>
      <c r="F821" t="s">
        <v>2642</v>
      </c>
      <c r="G821" t="s">
        <v>170</v>
      </c>
      <c r="H821" t="s">
        <v>2645</v>
      </c>
      <c r="I821" t="s">
        <v>75</v>
      </c>
      <c r="J821">
        <v>57</v>
      </c>
      <c r="K821">
        <v>114.2</v>
      </c>
      <c r="L821">
        <v>65.02</v>
      </c>
      <c r="M821">
        <v>0</v>
      </c>
      <c r="N821" t="s">
        <v>45</v>
      </c>
    </row>
    <row r="822" spans="1:14" x14ac:dyDescent="0.25">
      <c r="A822" t="s">
        <v>1320</v>
      </c>
      <c r="B822" s="2">
        <v>45432</v>
      </c>
      <c r="C822" t="s">
        <v>917</v>
      </c>
      <c r="D822" t="s">
        <v>36</v>
      </c>
      <c r="E822" t="s">
        <v>2614</v>
      </c>
      <c r="F822" t="s">
        <v>2629</v>
      </c>
      <c r="G822" t="s">
        <v>261</v>
      </c>
      <c r="H822" t="s">
        <v>2645</v>
      </c>
      <c r="I822" t="s">
        <v>2578</v>
      </c>
      <c r="J822">
        <v>59</v>
      </c>
      <c r="K822">
        <v>164.62</v>
      </c>
      <c r="L822">
        <v>91.52</v>
      </c>
      <c r="M822">
        <v>0.02</v>
      </c>
      <c r="N822" t="s">
        <v>45</v>
      </c>
    </row>
    <row r="823" spans="1:14" x14ac:dyDescent="0.25">
      <c r="A823" t="s">
        <v>1321</v>
      </c>
      <c r="B823" s="2">
        <v>45358</v>
      </c>
      <c r="C823" t="s">
        <v>864</v>
      </c>
      <c r="D823" t="s">
        <v>150</v>
      </c>
      <c r="E823" t="s">
        <v>2616</v>
      </c>
      <c r="F823" t="s">
        <v>2633</v>
      </c>
      <c r="G823" t="s">
        <v>111</v>
      </c>
      <c r="H823" t="s">
        <v>2645</v>
      </c>
      <c r="I823" t="s">
        <v>2578</v>
      </c>
      <c r="J823">
        <v>79</v>
      </c>
      <c r="K823">
        <v>80.09</v>
      </c>
      <c r="L823">
        <v>53.4</v>
      </c>
      <c r="M823">
        <v>0.1</v>
      </c>
      <c r="N823" t="s">
        <v>45</v>
      </c>
    </row>
    <row r="824" spans="1:14" x14ac:dyDescent="0.25">
      <c r="A824" t="s">
        <v>1322</v>
      </c>
      <c r="B824" s="2">
        <v>45342</v>
      </c>
      <c r="C824" t="s">
        <v>594</v>
      </c>
      <c r="D824" t="s">
        <v>216</v>
      </c>
      <c r="E824" t="s">
        <v>2617</v>
      </c>
      <c r="F824" t="s">
        <v>2626</v>
      </c>
      <c r="G824" t="s">
        <v>111</v>
      </c>
      <c r="H824" t="s">
        <v>2646</v>
      </c>
      <c r="I824" t="s">
        <v>70</v>
      </c>
      <c r="J824">
        <v>19</v>
      </c>
      <c r="K824">
        <v>106.03</v>
      </c>
      <c r="L824">
        <v>62.49</v>
      </c>
      <c r="M824">
        <v>0.2</v>
      </c>
      <c r="N824" t="s">
        <v>45</v>
      </c>
    </row>
    <row r="825" spans="1:14" x14ac:dyDescent="0.25">
      <c r="A825" t="s">
        <v>1323</v>
      </c>
      <c r="B825" s="2">
        <v>45602</v>
      </c>
      <c r="C825" t="s">
        <v>727</v>
      </c>
      <c r="D825" t="s">
        <v>222</v>
      </c>
      <c r="E825" t="s">
        <v>2616</v>
      </c>
      <c r="F825" t="s">
        <v>2624</v>
      </c>
      <c r="G825" t="s">
        <v>90</v>
      </c>
      <c r="H825" t="s">
        <v>2645</v>
      </c>
      <c r="I825" t="s">
        <v>2578</v>
      </c>
      <c r="J825">
        <v>4</v>
      </c>
      <c r="K825">
        <v>122.06</v>
      </c>
      <c r="L825">
        <v>79.64</v>
      </c>
      <c r="M825">
        <v>0.02</v>
      </c>
      <c r="N825" t="s">
        <v>45</v>
      </c>
    </row>
    <row r="826" spans="1:14" x14ac:dyDescent="0.25">
      <c r="A826" t="s">
        <v>1324</v>
      </c>
      <c r="B826" s="2">
        <v>45450</v>
      </c>
      <c r="C826" t="s">
        <v>471</v>
      </c>
      <c r="D826" t="s">
        <v>93</v>
      </c>
      <c r="E826" t="s">
        <v>2614</v>
      </c>
      <c r="F826" t="s">
        <v>2636</v>
      </c>
      <c r="G826" t="s">
        <v>29</v>
      </c>
      <c r="H826" t="s">
        <v>2647</v>
      </c>
      <c r="I826" t="s">
        <v>70</v>
      </c>
      <c r="J826">
        <v>57</v>
      </c>
      <c r="K826">
        <v>55.43</v>
      </c>
      <c r="L826">
        <v>32.979999999999997</v>
      </c>
      <c r="M826">
        <v>0</v>
      </c>
      <c r="N826" t="s">
        <v>45</v>
      </c>
    </row>
    <row r="827" spans="1:14" x14ac:dyDescent="0.25">
      <c r="A827" t="s">
        <v>1325</v>
      </c>
      <c r="B827" s="2">
        <v>45471</v>
      </c>
      <c r="C827" t="s">
        <v>739</v>
      </c>
      <c r="D827" t="s">
        <v>176</v>
      </c>
      <c r="E827" t="s">
        <v>2618</v>
      </c>
      <c r="F827" t="s">
        <v>2634</v>
      </c>
      <c r="G827" t="s">
        <v>261</v>
      </c>
      <c r="H827" t="s">
        <v>2647</v>
      </c>
      <c r="I827" t="s">
        <v>2578</v>
      </c>
      <c r="J827">
        <v>72</v>
      </c>
      <c r="K827">
        <v>110.9</v>
      </c>
      <c r="L827">
        <v>61.15</v>
      </c>
      <c r="M827" t="e">
        <f>ROUND(#REF!/#REF!,2)</f>
        <v>#REF!</v>
      </c>
      <c r="N827" t="s">
        <v>32</v>
      </c>
    </row>
    <row r="828" spans="1:14" x14ac:dyDescent="0.25">
      <c r="A828" t="s">
        <v>1326</v>
      </c>
      <c r="B828" s="2">
        <v>45309</v>
      </c>
      <c r="C828" t="s">
        <v>410</v>
      </c>
      <c r="D828" t="s">
        <v>222</v>
      </c>
      <c r="E828" t="s">
        <v>2616</v>
      </c>
      <c r="F828" t="s">
        <v>2638</v>
      </c>
      <c r="G828" t="s">
        <v>178</v>
      </c>
      <c r="H828" t="s">
        <v>2648</v>
      </c>
      <c r="I828" t="s">
        <v>84</v>
      </c>
      <c r="J828">
        <v>26</v>
      </c>
      <c r="K828">
        <v>120.57</v>
      </c>
      <c r="L828">
        <v>73.77</v>
      </c>
      <c r="M828">
        <v>25</v>
      </c>
      <c r="N828" t="s">
        <v>129</v>
      </c>
    </row>
    <row r="829" spans="1:14" x14ac:dyDescent="0.25">
      <c r="A829" t="s">
        <v>1327</v>
      </c>
      <c r="B829" s="2">
        <v>45427</v>
      </c>
      <c r="C829" t="s">
        <v>794</v>
      </c>
      <c r="D829" t="s">
        <v>66</v>
      </c>
      <c r="E829" t="s">
        <v>2617</v>
      </c>
      <c r="F829" t="s">
        <v>2625</v>
      </c>
      <c r="G829" t="s">
        <v>170</v>
      </c>
      <c r="H829" t="s">
        <v>2645</v>
      </c>
      <c r="I829" t="s">
        <v>70</v>
      </c>
      <c r="J829">
        <v>23</v>
      </c>
      <c r="K829">
        <v>170.43</v>
      </c>
      <c r="L829">
        <v>107.56</v>
      </c>
      <c r="M829">
        <v>0.1</v>
      </c>
      <c r="N829" t="s">
        <v>45</v>
      </c>
    </row>
    <row r="830" spans="1:14" x14ac:dyDescent="0.25">
      <c r="A830" t="s">
        <v>1328</v>
      </c>
      <c r="B830" s="2">
        <v>45326</v>
      </c>
      <c r="C830" t="s">
        <v>420</v>
      </c>
      <c r="D830" t="s">
        <v>23</v>
      </c>
      <c r="E830" t="s">
        <v>2614</v>
      </c>
      <c r="F830" t="s">
        <v>2622</v>
      </c>
      <c r="G830" t="s">
        <v>69</v>
      </c>
      <c r="H830" t="s">
        <v>2647</v>
      </c>
      <c r="I830" t="s">
        <v>84</v>
      </c>
      <c r="J830">
        <v>41</v>
      </c>
      <c r="K830">
        <v>80.48</v>
      </c>
      <c r="L830">
        <v>44</v>
      </c>
      <c r="M830">
        <v>0.05</v>
      </c>
      <c r="N830" t="s">
        <v>45</v>
      </c>
    </row>
    <row r="831" spans="1:14" x14ac:dyDescent="0.25">
      <c r="A831" t="s">
        <v>1329</v>
      </c>
      <c r="B831" s="2">
        <v>45346</v>
      </c>
      <c r="C831" t="s">
        <v>131</v>
      </c>
      <c r="D831" t="s">
        <v>93</v>
      </c>
      <c r="E831" t="s">
        <v>2615</v>
      </c>
      <c r="F831" t="s">
        <v>2630</v>
      </c>
      <c r="G831" t="s">
        <v>253</v>
      </c>
      <c r="H831" t="s">
        <v>2648</v>
      </c>
      <c r="I831" t="s">
        <v>2578</v>
      </c>
      <c r="J831">
        <v>73</v>
      </c>
      <c r="K831">
        <v>57.29</v>
      </c>
      <c r="L831">
        <v>32.49</v>
      </c>
      <c r="M831">
        <v>0</v>
      </c>
      <c r="N831" t="s">
        <v>45</v>
      </c>
    </row>
    <row r="832" spans="1:14" x14ac:dyDescent="0.25">
      <c r="A832" t="s">
        <v>1330</v>
      </c>
      <c r="B832" s="2">
        <v>45308</v>
      </c>
      <c r="C832" t="s">
        <v>361</v>
      </c>
      <c r="D832" t="s">
        <v>126</v>
      </c>
      <c r="E832" t="s">
        <v>2618</v>
      </c>
      <c r="F832" t="s">
        <v>2628</v>
      </c>
      <c r="G832" t="s">
        <v>29</v>
      </c>
      <c r="H832" t="s">
        <v>2648</v>
      </c>
      <c r="I832" t="s">
        <v>75</v>
      </c>
      <c r="J832">
        <v>16</v>
      </c>
      <c r="K832">
        <v>93.01</v>
      </c>
      <c r="L832">
        <v>48.83</v>
      </c>
      <c r="M832">
        <v>0.2</v>
      </c>
      <c r="N832" t="s">
        <v>45</v>
      </c>
    </row>
    <row r="833" spans="1:14" x14ac:dyDescent="0.25">
      <c r="A833" t="s">
        <v>1331</v>
      </c>
      <c r="B833" s="2">
        <v>45613</v>
      </c>
      <c r="C833" t="s">
        <v>442</v>
      </c>
      <c r="D833" t="s">
        <v>99</v>
      </c>
      <c r="E833" t="s">
        <v>2616</v>
      </c>
      <c r="F833" t="s">
        <v>2624</v>
      </c>
      <c r="G833" t="s">
        <v>29</v>
      </c>
      <c r="H833" t="s">
        <v>2646</v>
      </c>
      <c r="I833" t="s">
        <v>84</v>
      </c>
      <c r="J833">
        <v>61</v>
      </c>
      <c r="K833">
        <v>72.61</v>
      </c>
      <c r="L833">
        <v>38.58</v>
      </c>
      <c r="M833">
        <v>0.2</v>
      </c>
      <c r="N833" t="s">
        <v>45</v>
      </c>
    </row>
    <row r="834" spans="1:14" x14ac:dyDescent="0.25">
      <c r="A834" t="s">
        <v>1332</v>
      </c>
      <c r="B834" s="2">
        <v>45627</v>
      </c>
      <c r="C834" t="s">
        <v>658</v>
      </c>
      <c r="D834" t="s">
        <v>23</v>
      </c>
      <c r="E834" t="s">
        <v>2617</v>
      </c>
      <c r="F834" t="s">
        <v>2625</v>
      </c>
      <c r="G834" t="s">
        <v>178</v>
      </c>
      <c r="H834" t="s">
        <v>2647</v>
      </c>
      <c r="I834" t="s">
        <v>84</v>
      </c>
      <c r="J834">
        <v>5</v>
      </c>
      <c r="K834">
        <v>76.94</v>
      </c>
      <c r="L834">
        <v>44.72</v>
      </c>
      <c r="M834">
        <v>0.1</v>
      </c>
      <c r="N834" t="s">
        <v>32</v>
      </c>
    </row>
    <row r="835" spans="1:14" x14ac:dyDescent="0.25">
      <c r="A835" t="s">
        <v>1333</v>
      </c>
      <c r="B835" s="2">
        <v>45616</v>
      </c>
      <c r="C835" t="s">
        <v>1334</v>
      </c>
      <c r="D835" t="s">
        <v>66</v>
      </c>
      <c r="E835" t="s">
        <v>2618</v>
      </c>
      <c r="F835" t="s">
        <v>2628</v>
      </c>
      <c r="G835" t="s">
        <v>29</v>
      </c>
      <c r="H835" t="s">
        <v>2645</v>
      </c>
      <c r="I835" t="s">
        <v>44</v>
      </c>
      <c r="J835">
        <v>64</v>
      </c>
      <c r="K835">
        <v>166.16</v>
      </c>
      <c r="L835">
        <v>98.06</v>
      </c>
      <c r="M835">
        <v>0.1</v>
      </c>
      <c r="N835" t="s">
        <v>45</v>
      </c>
    </row>
    <row r="836" spans="1:14" x14ac:dyDescent="0.25">
      <c r="A836" t="s">
        <v>1335</v>
      </c>
      <c r="B836" s="2">
        <v>45513</v>
      </c>
      <c r="C836" t="s">
        <v>970</v>
      </c>
      <c r="D836" t="s">
        <v>66</v>
      </c>
      <c r="E836" t="s">
        <v>2614</v>
      </c>
      <c r="F836" t="s">
        <v>2637</v>
      </c>
      <c r="G836" t="s">
        <v>60</v>
      </c>
      <c r="H836" t="s">
        <v>2648</v>
      </c>
      <c r="I836" t="s">
        <v>70</v>
      </c>
      <c r="J836">
        <v>64</v>
      </c>
      <c r="K836">
        <v>164.43</v>
      </c>
      <c r="L836">
        <v>100.26</v>
      </c>
      <c r="M836">
        <v>0.05</v>
      </c>
      <c r="N836" t="s">
        <v>45</v>
      </c>
    </row>
    <row r="837" spans="1:14" x14ac:dyDescent="0.25">
      <c r="A837" t="s">
        <v>1336</v>
      </c>
      <c r="B837" s="2">
        <v>45296</v>
      </c>
      <c r="C837" t="s">
        <v>1075</v>
      </c>
      <c r="D837" t="s">
        <v>150</v>
      </c>
      <c r="E837" t="s">
        <v>2617</v>
      </c>
      <c r="F837" t="s">
        <v>2642</v>
      </c>
      <c r="G837" t="s">
        <v>90</v>
      </c>
      <c r="H837" t="s">
        <v>2648</v>
      </c>
      <c r="I837" t="s">
        <v>84</v>
      </c>
      <c r="J837">
        <v>39</v>
      </c>
      <c r="K837">
        <v>87.35</v>
      </c>
      <c r="L837">
        <v>53.06</v>
      </c>
      <c r="M837">
        <v>0.15</v>
      </c>
      <c r="N837" t="s">
        <v>45</v>
      </c>
    </row>
    <row r="838" spans="1:14" x14ac:dyDescent="0.25">
      <c r="A838" t="s">
        <v>1337</v>
      </c>
      <c r="B838" s="2">
        <v>45470</v>
      </c>
      <c r="C838" t="s">
        <v>98</v>
      </c>
      <c r="D838" t="s">
        <v>109</v>
      </c>
      <c r="E838" t="s">
        <v>2615</v>
      </c>
      <c r="F838" t="s">
        <v>2630</v>
      </c>
      <c r="G838" t="s">
        <v>90</v>
      </c>
      <c r="H838" t="s">
        <v>2645</v>
      </c>
      <c r="I838" t="s">
        <v>84</v>
      </c>
      <c r="J838">
        <v>55</v>
      </c>
      <c r="K838">
        <v>133.86000000000001</v>
      </c>
      <c r="L838">
        <v>70.930000000000007</v>
      </c>
      <c r="M838">
        <v>0.1</v>
      </c>
      <c r="N838" t="s">
        <v>32</v>
      </c>
    </row>
    <row r="839" spans="1:14" x14ac:dyDescent="0.25">
      <c r="A839" t="s">
        <v>1338</v>
      </c>
      <c r="B839" s="2">
        <v>45640</v>
      </c>
      <c r="C839" t="s">
        <v>696</v>
      </c>
      <c r="D839" t="s">
        <v>99</v>
      </c>
      <c r="E839" t="s">
        <v>2615</v>
      </c>
      <c r="F839" t="s">
        <v>2627</v>
      </c>
      <c r="G839" t="s">
        <v>152</v>
      </c>
      <c r="H839" t="s">
        <v>2648</v>
      </c>
      <c r="I839" t="s">
        <v>84</v>
      </c>
      <c r="J839">
        <v>73</v>
      </c>
      <c r="K839">
        <v>74.37</v>
      </c>
      <c r="L839">
        <v>39.94</v>
      </c>
      <c r="M839">
        <v>0.2</v>
      </c>
      <c r="N839" t="s">
        <v>45</v>
      </c>
    </row>
    <row r="840" spans="1:14" x14ac:dyDescent="0.25">
      <c r="A840" t="s">
        <v>1339</v>
      </c>
      <c r="B840" s="2">
        <v>45419</v>
      </c>
      <c r="C840" t="s">
        <v>182</v>
      </c>
      <c r="D840" t="s">
        <v>216</v>
      </c>
      <c r="E840" t="s">
        <v>2615</v>
      </c>
      <c r="F840" t="s">
        <v>2640</v>
      </c>
      <c r="G840" t="s">
        <v>218</v>
      </c>
      <c r="H840" t="s">
        <v>2648</v>
      </c>
      <c r="I840" t="s">
        <v>75</v>
      </c>
      <c r="J840">
        <v>49</v>
      </c>
      <c r="K840">
        <v>110.24</v>
      </c>
      <c r="L840">
        <v>67.099999999999994</v>
      </c>
      <c r="M840">
        <v>0.1</v>
      </c>
      <c r="N840" t="s">
        <v>45</v>
      </c>
    </row>
    <row r="841" spans="1:14" x14ac:dyDescent="0.25">
      <c r="A841" t="s">
        <v>1340</v>
      </c>
      <c r="B841" s="2">
        <v>45453</v>
      </c>
      <c r="C841" t="s">
        <v>776</v>
      </c>
      <c r="D841" t="s">
        <v>187</v>
      </c>
      <c r="E841" t="s">
        <v>2615</v>
      </c>
      <c r="F841" t="s">
        <v>2630</v>
      </c>
      <c r="G841" t="s">
        <v>83</v>
      </c>
      <c r="H841" t="s">
        <v>2647</v>
      </c>
      <c r="I841" t="s">
        <v>70</v>
      </c>
      <c r="J841">
        <v>32</v>
      </c>
      <c r="K841">
        <v>47.9</v>
      </c>
      <c r="L841">
        <v>28.68</v>
      </c>
      <c r="M841">
        <v>0.2</v>
      </c>
      <c r="N841" t="s">
        <v>45</v>
      </c>
    </row>
    <row r="842" spans="1:14" x14ac:dyDescent="0.25">
      <c r="A842" t="s">
        <v>1341</v>
      </c>
      <c r="B842" s="2">
        <v>45358</v>
      </c>
      <c r="C842" t="s">
        <v>282</v>
      </c>
      <c r="D842" t="s">
        <v>126</v>
      </c>
      <c r="E842" t="s">
        <v>2618</v>
      </c>
      <c r="F842" t="s">
        <v>2634</v>
      </c>
      <c r="G842" t="s">
        <v>248</v>
      </c>
      <c r="H842" t="s">
        <v>2647</v>
      </c>
      <c r="I842" t="s">
        <v>2578</v>
      </c>
      <c r="J842">
        <v>29</v>
      </c>
      <c r="K842">
        <v>86.07</v>
      </c>
      <c r="L842">
        <v>55.86</v>
      </c>
      <c r="M842">
        <v>0.05</v>
      </c>
      <c r="N842" t="s">
        <v>45</v>
      </c>
    </row>
    <row r="843" spans="1:14" x14ac:dyDescent="0.25">
      <c r="A843" t="s">
        <v>1342</v>
      </c>
      <c r="B843" s="2">
        <v>45538</v>
      </c>
      <c r="C843" t="s">
        <v>284</v>
      </c>
      <c r="D843" t="s">
        <v>165</v>
      </c>
      <c r="E843" t="s">
        <v>2616</v>
      </c>
      <c r="F843" t="s">
        <v>2633</v>
      </c>
      <c r="G843" t="s">
        <v>29</v>
      </c>
      <c r="H843" t="s">
        <v>2646</v>
      </c>
      <c r="I843" t="s">
        <v>84</v>
      </c>
      <c r="J843">
        <v>79</v>
      </c>
      <c r="K843">
        <v>40.26</v>
      </c>
      <c r="L843">
        <v>24.42</v>
      </c>
      <c r="M843">
        <v>0.05</v>
      </c>
      <c r="N843" t="s">
        <v>45</v>
      </c>
    </row>
    <row r="844" spans="1:14" x14ac:dyDescent="0.25">
      <c r="A844" t="s">
        <v>1343</v>
      </c>
      <c r="B844" s="2">
        <v>45297</v>
      </c>
      <c r="C844" t="s">
        <v>1002</v>
      </c>
      <c r="D844" t="s">
        <v>126</v>
      </c>
      <c r="E844" t="s">
        <v>2614</v>
      </c>
      <c r="F844" t="s">
        <v>2637</v>
      </c>
      <c r="G844" t="s">
        <v>152</v>
      </c>
      <c r="H844" t="s">
        <v>2645</v>
      </c>
      <c r="I844" t="s">
        <v>70</v>
      </c>
      <c r="J844">
        <v>75</v>
      </c>
      <c r="K844">
        <v>84.15</v>
      </c>
      <c r="L844">
        <v>56.47</v>
      </c>
      <c r="M844">
        <v>0.05</v>
      </c>
      <c r="N844" t="s">
        <v>45</v>
      </c>
    </row>
    <row r="845" spans="1:14" x14ac:dyDescent="0.25">
      <c r="A845" t="s">
        <v>1344</v>
      </c>
      <c r="B845" s="2">
        <v>45491</v>
      </c>
      <c r="C845" t="s">
        <v>1112</v>
      </c>
      <c r="D845" t="s">
        <v>114</v>
      </c>
      <c r="E845" t="s">
        <v>2615</v>
      </c>
      <c r="F845" t="s">
        <v>2630</v>
      </c>
      <c r="G845" t="s">
        <v>152</v>
      </c>
      <c r="H845" t="s">
        <v>2646</v>
      </c>
      <c r="I845" t="s">
        <v>70</v>
      </c>
      <c r="J845">
        <v>40</v>
      </c>
      <c r="K845">
        <v>37.200000000000003</v>
      </c>
      <c r="L845">
        <v>22.53</v>
      </c>
      <c r="M845">
        <v>0.1</v>
      </c>
      <c r="N845" t="s">
        <v>45</v>
      </c>
    </row>
    <row r="846" spans="1:14" x14ac:dyDescent="0.25">
      <c r="A846" t="s">
        <v>1345</v>
      </c>
      <c r="B846" s="2">
        <v>45453</v>
      </c>
      <c r="C846" t="s">
        <v>531</v>
      </c>
      <c r="D846" t="s">
        <v>209</v>
      </c>
      <c r="E846" t="s">
        <v>2615</v>
      </c>
      <c r="F846" t="s">
        <v>2627</v>
      </c>
      <c r="G846" t="s">
        <v>184</v>
      </c>
      <c r="H846" t="s">
        <v>2645</v>
      </c>
      <c r="I846" t="s">
        <v>75</v>
      </c>
      <c r="J846">
        <v>19</v>
      </c>
      <c r="K846">
        <v>18.8</v>
      </c>
      <c r="L846">
        <v>10.25</v>
      </c>
      <c r="M846">
        <v>0.05</v>
      </c>
      <c r="N846" t="s">
        <v>32</v>
      </c>
    </row>
    <row r="847" spans="1:14" x14ac:dyDescent="0.25">
      <c r="A847" t="s">
        <v>796</v>
      </c>
      <c r="B847" s="2">
        <v>45357</v>
      </c>
      <c r="C847" t="s">
        <v>596</v>
      </c>
      <c r="D847" t="s">
        <v>114</v>
      </c>
      <c r="E847" t="s">
        <v>2614</v>
      </c>
      <c r="F847" t="s">
        <v>2636</v>
      </c>
      <c r="G847" t="s">
        <v>170</v>
      </c>
      <c r="H847" t="s">
        <v>2648</v>
      </c>
      <c r="I847" t="s">
        <v>2619</v>
      </c>
      <c r="J847">
        <v>47</v>
      </c>
      <c r="K847">
        <v>32.43</v>
      </c>
      <c r="L847">
        <v>19.82</v>
      </c>
      <c r="M847">
        <v>0.05</v>
      </c>
      <c r="N847" t="s">
        <v>45</v>
      </c>
    </row>
    <row r="848" spans="1:14" x14ac:dyDescent="0.25">
      <c r="A848" t="s">
        <v>1346</v>
      </c>
      <c r="B848" s="2">
        <v>45361</v>
      </c>
      <c r="C848" t="s">
        <v>785</v>
      </c>
      <c r="D848" t="s">
        <v>209</v>
      </c>
      <c r="E848" t="s">
        <v>2616</v>
      </c>
      <c r="F848" t="s">
        <v>2624</v>
      </c>
      <c r="G848" t="s">
        <v>90</v>
      </c>
      <c r="H848" t="s">
        <v>2648</v>
      </c>
      <c r="I848" t="s">
        <v>75</v>
      </c>
      <c r="J848">
        <v>31</v>
      </c>
      <c r="K848">
        <v>17.34</v>
      </c>
      <c r="L848">
        <v>10.65</v>
      </c>
      <c r="M848">
        <v>0.05</v>
      </c>
      <c r="N848" t="s">
        <v>45</v>
      </c>
    </row>
    <row r="849" spans="1:14" x14ac:dyDescent="0.25">
      <c r="A849" t="s">
        <v>1347</v>
      </c>
      <c r="B849" s="2">
        <v>45302</v>
      </c>
      <c r="C849" t="s">
        <v>284</v>
      </c>
      <c r="D849" t="s">
        <v>49</v>
      </c>
      <c r="E849" t="s">
        <v>2618</v>
      </c>
      <c r="F849" t="s">
        <v>2632</v>
      </c>
      <c r="G849" t="s">
        <v>218</v>
      </c>
      <c r="H849" t="s">
        <v>2647</v>
      </c>
      <c r="I849" t="s">
        <v>44</v>
      </c>
      <c r="J849">
        <v>49</v>
      </c>
      <c r="K849">
        <v>25.65</v>
      </c>
      <c r="L849">
        <v>12.35</v>
      </c>
      <c r="M849">
        <v>0.1</v>
      </c>
      <c r="N849" t="s">
        <v>129</v>
      </c>
    </row>
    <row r="850" spans="1:14" x14ac:dyDescent="0.25">
      <c r="A850" t="s">
        <v>1348</v>
      </c>
      <c r="B850" s="2">
        <v>45323</v>
      </c>
      <c r="C850" t="s">
        <v>513</v>
      </c>
      <c r="D850" t="s">
        <v>109</v>
      </c>
      <c r="E850" t="s">
        <v>2614</v>
      </c>
      <c r="F850" t="s">
        <v>2629</v>
      </c>
      <c r="G850" t="s">
        <v>83</v>
      </c>
      <c r="H850" t="s">
        <v>2647</v>
      </c>
      <c r="I850" t="s">
        <v>70</v>
      </c>
      <c r="J850">
        <v>31</v>
      </c>
      <c r="K850">
        <v>117.37</v>
      </c>
      <c r="L850">
        <v>79.69</v>
      </c>
      <c r="M850">
        <v>0.15</v>
      </c>
      <c r="N850" t="s">
        <v>32</v>
      </c>
    </row>
    <row r="851" spans="1:14" x14ac:dyDescent="0.25">
      <c r="A851" t="s">
        <v>1349</v>
      </c>
      <c r="B851" s="2">
        <v>45345</v>
      </c>
      <c r="C851" t="s">
        <v>611</v>
      </c>
      <c r="D851" t="s">
        <v>209</v>
      </c>
      <c r="E851" t="s">
        <v>2615</v>
      </c>
      <c r="F851" t="s">
        <v>2627</v>
      </c>
      <c r="G851" t="s">
        <v>253</v>
      </c>
      <c r="H851" t="s">
        <v>2646</v>
      </c>
      <c r="I851" t="s">
        <v>2578</v>
      </c>
      <c r="J851">
        <v>64</v>
      </c>
      <c r="K851">
        <v>19.2</v>
      </c>
      <c r="L851">
        <v>10.050000000000001</v>
      </c>
      <c r="M851">
        <v>0.2</v>
      </c>
      <c r="N851" t="s">
        <v>32</v>
      </c>
    </row>
    <row r="852" spans="1:14" x14ac:dyDescent="0.25">
      <c r="A852" t="s">
        <v>1350</v>
      </c>
      <c r="B852" s="2">
        <v>45404</v>
      </c>
      <c r="C852" t="s">
        <v>814</v>
      </c>
      <c r="D852" t="s">
        <v>99</v>
      </c>
      <c r="E852" t="s">
        <v>2616</v>
      </c>
      <c r="F852" t="s">
        <v>2624</v>
      </c>
      <c r="G852" t="s">
        <v>265</v>
      </c>
      <c r="H852" t="s">
        <v>2646</v>
      </c>
      <c r="I852" t="s">
        <v>70</v>
      </c>
      <c r="J852">
        <v>18</v>
      </c>
      <c r="K852">
        <v>71.25</v>
      </c>
      <c r="L852">
        <v>38.64</v>
      </c>
      <c r="M852">
        <v>0.15</v>
      </c>
      <c r="N852" t="s">
        <v>32</v>
      </c>
    </row>
    <row r="853" spans="1:14" x14ac:dyDescent="0.25">
      <c r="A853" t="s">
        <v>1351</v>
      </c>
      <c r="B853" s="2">
        <v>45478</v>
      </c>
      <c r="C853" t="s">
        <v>1098</v>
      </c>
      <c r="D853" t="s">
        <v>36</v>
      </c>
      <c r="E853" t="s">
        <v>2618</v>
      </c>
      <c r="F853" t="s">
        <v>2634</v>
      </c>
      <c r="G853" t="s">
        <v>60</v>
      </c>
      <c r="H853" t="s">
        <v>2646</v>
      </c>
      <c r="I853" t="s">
        <v>75</v>
      </c>
      <c r="J853">
        <v>1</v>
      </c>
      <c r="K853">
        <v>173.93</v>
      </c>
      <c r="L853">
        <v>103.8</v>
      </c>
      <c r="M853">
        <v>0.1</v>
      </c>
      <c r="N853" t="s">
        <v>129</v>
      </c>
    </row>
    <row r="854" spans="1:14" x14ac:dyDescent="0.25">
      <c r="A854" t="s">
        <v>1352</v>
      </c>
      <c r="B854" s="2">
        <v>45496</v>
      </c>
      <c r="C854" t="s">
        <v>653</v>
      </c>
      <c r="D854" t="s">
        <v>250</v>
      </c>
      <c r="E854" t="s">
        <v>2614</v>
      </c>
      <c r="F854" t="s">
        <v>2637</v>
      </c>
      <c r="G854" t="s">
        <v>144</v>
      </c>
      <c r="H854" t="s">
        <v>2646</v>
      </c>
      <c r="I854" t="s">
        <v>44</v>
      </c>
      <c r="J854">
        <v>36</v>
      </c>
      <c r="K854">
        <v>62.4</v>
      </c>
      <c r="L854">
        <v>36.56</v>
      </c>
      <c r="M854">
        <v>0</v>
      </c>
      <c r="N854" t="s">
        <v>45</v>
      </c>
    </row>
    <row r="855" spans="1:14" x14ac:dyDescent="0.25">
      <c r="A855" t="s">
        <v>1353</v>
      </c>
      <c r="B855" s="2">
        <v>45522</v>
      </c>
      <c r="C855" t="s">
        <v>970</v>
      </c>
      <c r="D855" t="s">
        <v>250</v>
      </c>
      <c r="E855" t="s">
        <v>2617</v>
      </c>
      <c r="F855" t="s">
        <v>2642</v>
      </c>
      <c r="G855" t="s">
        <v>248</v>
      </c>
      <c r="H855" t="s">
        <v>2646</v>
      </c>
      <c r="I855" t="s">
        <v>75</v>
      </c>
      <c r="J855">
        <v>34</v>
      </c>
      <c r="K855">
        <v>63.45</v>
      </c>
      <c r="L855">
        <v>38.549999999999997</v>
      </c>
      <c r="M855">
        <v>0.05</v>
      </c>
      <c r="N855" t="s">
        <v>45</v>
      </c>
    </row>
    <row r="856" spans="1:14" x14ac:dyDescent="0.25">
      <c r="A856" t="s">
        <v>1354</v>
      </c>
      <c r="B856" s="2">
        <v>45353</v>
      </c>
      <c r="C856" t="s">
        <v>529</v>
      </c>
      <c r="D856" t="s">
        <v>216</v>
      </c>
      <c r="E856" t="s">
        <v>2616</v>
      </c>
      <c r="F856" t="s">
        <v>2633</v>
      </c>
      <c r="G856" t="s">
        <v>261</v>
      </c>
      <c r="H856" t="s">
        <v>2647</v>
      </c>
      <c r="I856" t="s">
        <v>75</v>
      </c>
      <c r="J856">
        <v>69</v>
      </c>
      <c r="K856">
        <v>109.39</v>
      </c>
      <c r="L856">
        <v>62.28</v>
      </c>
      <c r="M856">
        <v>0.02</v>
      </c>
      <c r="N856" t="s">
        <v>129</v>
      </c>
    </row>
    <row r="857" spans="1:14" x14ac:dyDescent="0.25">
      <c r="A857" t="s">
        <v>1355</v>
      </c>
      <c r="B857" s="2">
        <v>45396</v>
      </c>
      <c r="C857" t="s">
        <v>477</v>
      </c>
      <c r="D857" t="s">
        <v>36</v>
      </c>
      <c r="E857" t="s">
        <v>2614</v>
      </c>
      <c r="F857" t="s">
        <v>2622</v>
      </c>
      <c r="G857" t="s">
        <v>74</v>
      </c>
      <c r="H857" t="s">
        <v>2645</v>
      </c>
      <c r="I857" t="s">
        <v>2578</v>
      </c>
      <c r="J857">
        <v>14</v>
      </c>
      <c r="K857">
        <v>172.78</v>
      </c>
      <c r="L857">
        <v>91.63</v>
      </c>
      <c r="M857">
        <v>0.1</v>
      </c>
      <c r="N857" t="s">
        <v>45</v>
      </c>
    </row>
    <row r="858" spans="1:14" x14ac:dyDescent="0.25">
      <c r="A858" t="s">
        <v>1356</v>
      </c>
      <c r="B858" s="2">
        <v>45482</v>
      </c>
      <c r="C858" t="s">
        <v>389</v>
      </c>
      <c r="D858" t="s">
        <v>78</v>
      </c>
      <c r="E858" t="s">
        <v>2617</v>
      </c>
      <c r="F858" t="s">
        <v>2642</v>
      </c>
      <c r="G858" t="s">
        <v>218</v>
      </c>
      <c r="H858" t="s">
        <v>2647</v>
      </c>
      <c r="I858" t="s">
        <v>2578</v>
      </c>
      <c r="J858">
        <v>22</v>
      </c>
      <c r="K858">
        <v>139.83000000000001</v>
      </c>
      <c r="L858">
        <v>79.75</v>
      </c>
      <c r="M858">
        <v>0</v>
      </c>
      <c r="N858" t="s">
        <v>129</v>
      </c>
    </row>
    <row r="859" spans="1:14" x14ac:dyDescent="0.25">
      <c r="A859" t="s">
        <v>1357</v>
      </c>
      <c r="B859" s="2">
        <v>45505</v>
      </c>
      <c r="C859" t="s">
        <v>563</v>
      </c>
      <c r="D859" t="s">
        <v>36</v>
      </c>
      <c r="E859" t="s">
        <v>2615</v>
      </c>
      <c r="F859" t="s">
        <v>2623</v>
      </c>
      <c r="G859" t="s">
        <v>90</v>
      </c>
      <c r="H859" t="s">
        <v>2648</v>
      </c>
      <c r="I859" t="s">
        <v>70</v>
      </c>
      <c r="J859">
        <v>10</v>
      </c>
      <c r="K859">
        <v>167.85</v>
      </c>
      <c r="L859">
        <v>103.2</v>
      </c>
      <c r="M859">
        <v>0.02</v>
      </c>
      <c r="N859" t="s">
        <v>45</v>
      </c>
    </row>
    <row r="860" spans="1:14" x14ac:dyDescent="0.25">
      <c r="A860" t="s">
        <v>1358</v>
      </c>
      <c r="B860" s="2">
        <v>45462</v>
      </c>
      <c r="C860" t="s">
        <v>237</v>
      </c>
      <c r="D860" t="s">
        <v>99</v>
      </c>
      <c r="E860" t="s">
        <v>2615</v>
      </c>
      <c r="F860" t="s">
        <v>2640</v>
      </c>
      <c r="G860" t="s">
        <v>265</v>
      </c>
      <c r="H860" t="s">
        <v>2648</v>
      </c>
      <c r="I860" t="s">
        <v>44</v>
      </c>
      <c r="J860">
        <v>39</v>
      </c>
      <c r="K860">
        <v>65.709999999999994</v>
      </c>
      <c r="L860">
        <v>38.54</v>
      </c>
      <c r="M860">
        <v>0.1</v>
      </c>
      <c r="N860" t="s">
        <v>45</v>
      </c>
    </row>
    <row r="861" spans="1:14" x14ac:dyDescent="0.25">
      <c r="A861" t="s">
        <v>1359</v>
      </c>
      <c r="B861" s="2">
        <v>45342</v>
      </c>
      <c r="C861" t="s">
        <v>1068</v>
      </c>
      <c r="D861" t="s">
        <v>216</v>
      </c>
      <c r="E861" t="s">
        <v>2618</v>
      </c>
      <c r="F861" t="s">
        <v>2632</v>
      </c>
      <c r="G861" t="s">
        <v>83</v>
      </c>
      <c r="H861" t="s">
        <v>2648</v>
      </c>
      <c r="I861" t="s">
        <v>2578</v>
      </c>
      <c r="J861">
        <v>10</v>
      </c>
      <c r="K861">
        <v>107.09</v>
      </c>
      <c r="L861">
        <v>61.92</v>
      </c>
      <c r="M861">
        <v>0.15</v>
      </c>
      <c r="N861" t="s">
        <v>45</v>
      </c>
    </row>
    <row r="862" spans="1:14" x14ac:dyDescent="0.25">
      <c r="A862" t="s">
        <v>1360</v>
      </c>
      <c r="B862" s="2">
        <v>45412</v>
      </c>
      <c r="C862" t="s">
        <v>468</v>
      </c>
      <c r="D862" t="s">
        <v>222</v>
      </c>
      <c r="E862" t="s">
        <v>2618</v>
      </c>
      <c r="F862" t="s">
        <v>2628</v>
      </c>
      <c r="G862" t="s">
        <v>248</v>
      </c>
      <c r="H862" t="s">
        <v>2645</v>
      </c>
      <c r="I862" t="s">
        <v>75</v>
      </c>
      <c r="J862">
        <v>65</v>
      </c>
      <c r="K862">
        <v>128.76</v>
      </c>
      <c r="L862">
        <v>80.959999999999994</v>
      </c>
      <c r="M862">
        <v>0</v>
      </c>
      <c r="N862" t="s">
        <v>129</v>
      </c>
    </row>
    <row r="863" spans="1:14" x14ac:dyDescent="0.25">
      <c r="A863" t="s">
        <v>1361</v>
      </c>
      <c r="B863" s="2">
        <v>45466</v>
      </c>
      <c r="C863" t="s">
        <v>1362</v>
      </c>
      <c r="D863" t="s">
        <v>109</v>
      </c>
      <c r="E863" t="s">
        <v>2616</v>
      </c>
      <c r="F863" t="s">
        <v>2631</v>
      </c>
      <c r="G863" t="s">
        <v>83</v>
      </c>
      <c r="H863" t="s">
        <v>2650</v>
      </c>
      <c r="I863" t="s">
        <v>70</v>
      </c>
      <c r="J863">
        <v>21</v>
      </c>
      <c r="K863">
        <v>126.4</v>
      </c>
      <c r="L863">
        <v>69.23</v>
      </c>
      <c r="M863">
        <v>0.05</v>
      </c>
      <c r="N863" t="s">
        <v>45</v>
      </c>
    </row>
    <row r="864" spans="1:14" x14ac:dyDescent="0.25">
      <c r="A864" t="s">
        <v>1363</v>
      </c>
      <c r="B864" s="2">
        <v>45579</v>
      </c>
      <c r="C864" t="s">
        <v>1159</v>
      </c>
      <c r="D864" t="s">
        <v>99</v>
      </c>
      <c r="E864" t="s">
        <v>2617</v>
      </c>
      <c r="F864" t="s">
        <v>2641</v>
      </c>
      <c r="G864" t="s">
        <v>83</v>
      </c>
      <c r="H864" t="s">
        <v>2648</v>
      </c>
      <c r="I864" t="s">
        <v>44</v>
      </c>
      <c r="J864">
        <v>12</v>
      </c>
      <c r="K864">
        <v>64.94</v>
      </c>
      <c r="L864">
        <v>40.08</v>
      </c>
      <c r="M864">
        <v>0.1</v>
      </c>
      <c r="N864" t="s">
        <v>32</v>
      </c>
    </row>
    <row r="865" spans="1:14" x14ac:dyDescent="0.25">
      <c r="A865" t="s">
        <v>1364</v>
      </c>
      <c r="B865" s="2">
        <v>45451</v>
      </c>
      <c r="C865" t="s">
        <v>267</v>
      </c>
      <c r="D865" t="s">
        <v>49</v>
      </c>
      <c r="E865" t="s">
        <v>2615</v>
      </c>
      <c r="F865" t="s">
        <v>2640</v>
      </c>
      <c r="G865" t="s">
        <v>60</v>
      </c>
      <c r="H865" t="s">
        <v>2645</v>
      </c>
      <c r="I865" t="s">
        <v>84</v>
      </c>
      <c r="J865">
        <v>75</v>
      </c>
      <c r="K865">
        <v>26.69</v>
      </c>
      <c r="L865">
        <v>12.97</v>
      </c>
      <c r="M865">
        <v>0.15</v>
      </c>
      <c r="N865" t="s">
        <v>32</v>
      </c>
    </row>
    <row r="866" spans="1:14" x14ac:dyDescent="0.25">
      <c r="A866" t="s">
        <v>1365</v>
      </c>
      <c r="B866" s="2">
        <v>45339</v>
      </c>
      <c r="C866" t="s">
        <v>535</v>
      </c>
      <c r="D866" t="s">
        <v>216</v>
      </c>
      <c r="E866" t="s">
        <v>2616</v>
      </c>
      <c r="F866" t="s">
        <v>2638</v>
      </c>
      <c r="G866" t="s">
        <v>248</v>
      </c>
      <c r="H866" t="s">
        <v>2646</v>
      </c>
      <c r="I866" t="s">
        <v>84</v>
      </c>
      <c r="J866">
        <v>43</v>
      </c>
      <c r="K866">
        <v>111.65</v>
      </c>
      <c r="L866">
        <v>68.92</v>
      </c>
      <c r="M866">
        <v>0</v>
      </c>
      <c r="N866" t="s">
        <v>32</v>
      </c>
    </row>
    <row r="867" spans="1:14" x14ac:dyDescent="0.25">
      <c r="A867" t="s">
        <v>1366</v>
      </c>
      <c r="B867" s="2">
        <v>45556</v>
      </c>
      <c r="C867" t="s">
        <v>651</v>
      </c>
      <c r="D867" t="s">
        <v>36</v>
      </c>
      <c r="E867" t="s">
        <v>2614</v>
      </c>
      <c r="F867" t="s">
        <v>2622</v>
      </c>
      <c r="G867" t="s">
        <v>60</v>
      </c>
      <c r="H867" t="s">
        <v>2647</v>
      </c>
      <c r="I867" t="s">
        <v>75</v>
      </c>
      <c r="J867">
        <v>19</v>
      </c>
      <c r="K867">
        <v>175.36</v>
      </c>
      <c r="L867">
        <v>94.02</v>
      </c>
      <c r="M867">
        <v>0.15</v>
      </c>
      <c r="N867" t="s">
        <v>45</v>
      </c>
    </row>
    <row r="868" spans="1:14" x14ac:dyDescent="0.25">
      <c r="A868" t="s">
        <v>1367</v>
      </c>
      <c r="B868" s="2">
        <v>45539</v>
      </c>
      <c r="C868" t="s">
        <v>1368</v>
      </c>
      <c r="D868" t="s">
        <v>176</v>
      </c>
      <c r="E868" t="s">
        <v>2617</v>
      </c>
      <c r="F868" t="s">
        <v>2625</v>
      </c>
      <c r="G868" t="s">
        <v>218</v>
      </c>
      <c r="H868" t="s">
        <v>2646</v>
      </c>
      <c r="I868" t="s">
        <v>84</v>
      </c>
      <c r="J868">
        <v>29</v>
      </c>
      <c r="K868">
        <v>107.96</v>
      </c>
      <c r="L868">
        <v>61.24</v>
      </c>
      <c r="M868">
        <v>0</v>
      </c>
      <c r="N868" t="s">
        <v>32</v>
      </c>
    </row>
    <row r="869" spans="1:14" x14ac:dyDescent="0.25">
      <c r="A869" t="s">
        <v>1369</v>
      </c>
      <c r="B869" s="2">
        <v>45335</v>
      </c>
      <c r="C869" t="s">
        <v>314</v>
      </c>
      <c r="D869" t="s">
        <v>141</v>
      </c>
      <c r="E869" t="s">
        <v>2614</v>
      </c>
      <c r="F869" t="s">
        <v>2629</v>
      </c>
      <c r="G869" t="s">
        <v>144</v>
      </c>
      <c r="H869" t="s">
        <v>2645</v>
      </c>
      <c r="I869" t="s">
        <v>44</v>
      </c>
      <c r="J869">
        <v>6</v>
      </c>
      <c r="K869">
        <v>87.91</v>
      </c>
      <c r="L869">
        <v>53.94</v>
      </c>
      <c r="M869">
        <v>0.15</v>
      </c>
      <c r="N869" t="s">
        <v>45</v>
      </c>
    </row>
    <row r="870" spans="1:14" x14ac:dyDescent="0.25">
      <c r="A870" t="s">
        <v>1370</v>
      </c>
      <c r="B870" s="2">
        <v>45324</v>
      </c>
      <c r="C870" t="s">
        <v>422</v>
      </c>
      <c r="D870" t="s">
        <v>99</v>
      </c>
      <c r="E870" t="s">
        <v>2614</v>
      </c>
      <c r="F870" t="s">
        <v>2636</v>
      </c>
      <c r="G870" t="s">
        <v>111</v>
      </c>
      <c r="H870" t="s">
        <v>2648</v>
      </c>
      <c r="I870" t="s">
        <v>70</v>
      </c>
      <c r="J870">
        <v>52</v>
      </c>
      <c r="K870">
        <v>69.63</v>
      </c>
      <c r="L870">
        <v>40.880000000000003</v>
      </c>
      <c r="M870">
        <v>0.02</v>
      </c>
      <c r="N870" t="s">
        <v>45</v>
      </c>
    </row>
    <row r="871" spans="1:14" x14ac:dyDescent="0.25">
      <c r="A871" t="s">
        <v>1371</v>
      </c>
      <c r="B871" s="2">
        <v>45529</v>
      </c>
      <c r="C871" t="s">
        <v>992</v>
      </c>
      <c r="D871" t="s">
        <v>150</v>
      </c>
      <c r="E871" t="s">
        <v>2617</v>
      </c>
      <c r="F871" t="s">
        <v>2626</v>
      </c>
      <c r="G871" t="s">
        <v>178</v>
      </c>
      <c r="H871" t="s">
        <v>2645</v>
      </c>
      <c r="I871" t="s">
        <v>70</v>
      </c>
      <c r="J871">
        <v>40</v>
      </c>
      <c r="K871">
        <v>80.569999999999993</v>
      </c>
      <c r="L871">
        <v>47.72</v>
      </c>
      <c r="M871">
        <v>0.1</v>
      </c>
      <c r="N871" t="s">
        <v>45</v>
      </c>
    </row>
    <row r="872" spans="1:14" x14ac:dyDescent="0.25">
      <c r="A872" t="s">
        <v>1372</v>
      </c>
      <c r="B872" s="2">
        <v>45625</v>
      </c>
      <c r="C872" t="s">
        <v>495</v>
      </c>
      <c r="D872" t="s">
        <v>23</v>
      </c>
      <c r="E872" t="s">
        <v>2614</v>
      </c>
      <c r="F872" t="s">
        <v>2643</v>
      </c>
      <c r="G872" t="s">
        <v>248</v>
      </c>
      <c r="H872" t="s">
        <v>2647</v>
      </c>
      <c r="I872" t="s">
        <v>2578</v>
      </c>
      <c r="J872">
        <v>54</v>
      </c>
      <c r="K872">
        <v>73.430000000000007</v>
      </c>
      <c r="L872">
        <v>47.05</v>
      </c>
      <c r="M872">
        <v>0</v>
      </c>
      <c r="N872" t="s">
        <v>129</v>
      </c>
    </row>
    <row r="873" spans="1:14" x14ac:dyDescent="0.25">
      <c r="A873" t="s">
        <v>1373</v>
      </c>
      <c r="B873" s="2">
        <v>45567</v>
      </c>
      <c r="C873" t="s">
        <v>34</v>
      </c>
      <c r="D873" t="s">
        <v>216</v>
      </c>
      <c r="E873" t="s">
        <v>2617</v>
      </c>
      <c r="F873" t="s">
        <v>2641</v>
      </c>
      <c r="G873" t="s">
        <v>69</v>
      </c>
      <c r="H873" t="s">
        <v>2645</v>
      </c>
      <c r="I873" t="s">
        <v>84</v>
      </c>
      <c r="J873">
        <v>1</v>
      </c>
      <c r="K873">
        <v>105.35</v>
      </c>
      <c r="L873">
        <v>62.43</v>
      </c>
      <c r="M873">
        <v>0.2</v>
      </c>
      <c r="N873" t="s">
        <v>129</v>
      </c>
    </row>
    <row r="874" spans="1:14" x14ac:dyDescent="0.25">
      <c r="A874" t="s">
        <v>1374</v>
      </c>
      <c r="B874" s="2">
        <v>45645</v>
      </c>
      <c r="C874" t="s">
        <v>1155</v>
      </c>
      <c r="D874" t="s">
        <v>150</v>
      </c>
      <c r="E874" t="s">
        <v>2616</v>
      </c>
      <c r="F874" t="s">
        <v>2624</v>
      </c>
      <c r="G874" t="s">
        <v>29</v>
      </c>
      <c r="H874" t="s">
        <v>2647</v>
      </c>
      <c r="I874" t="s">
        <v>75</v>
      </c>
      <c r="J874">
        <v>16</v>
      </c>
      <c r="K874">
        <v>80.14</v>
      </c>
      <c r="L874">
        <v>53.13</v>
      </c>
      <c r="M874">
        <v>0.2</v>
      </c>
      <c r="N874" t="s">
        <v>45</v>
      </c>
    </row>
    <row r="875" spans="1:14" x14ac:dyDescent="0.25">
      <c r="A875" t="s">
        <v>1375</v>
      </c>
      <c r="B875" s="2">
        <v>45482</v>
      </c>
      <c r="C875" t="s">
        <v>430</v>
      </c>
      <c r="D875" t="s">
        <v>93</v>
      </c>
      <c r="E875" t="s">
        <v>2614</v>
      </c>
      <c r="F875" t="s">
        <v>2622</v>
      </c>
      <c r="G875" t="s">
        <v>74</v>
      </c>
      <c r="H875" t="s">
        <v>2646</v>
      </c>
      <c r="I875" t="s">
        <v>2578</v>
      </c>
      <c r="J875">
        <v>25</v>
      </c>
      <c r="K875">
        <v>58.86</v>
      </c>
      <c r="L875">
        <v>30.37</v>
      </c>
      <c r="M875">
        <v>0</v>
      </c>
      <c r="N875" t="s">
        <v>45</v>
      </c>
    </row>
    <row r="876" spans="1:14" x14ac:dyDescent="0.25">
      <c r="A876" t="s">
        <v>1376</v>
      </c>
      <c r="B876" s="2">
        <v>45649</v>
      </c>
      <c r="C876" t="s">
        <v>312</v>
      </c>
      <c r="D876" t="s">
        <v>187</v>
      </c>
      <c r="E876" t="s">
        <v>2616</v>
      </c>
      <c r="F876" t="s">
        <v>2631</v>
      </c>
      <c r="G876" t="s">
        <v>111</v>
      </c>
      <c r="H876" t="s">
        <v>2647</v>
      </c>
      <c r="I876" t="s">
        <v>70</v>
      </c>
      <c r="J876">
        <v>14</v>
      </c>
      <c r="K876">
        <v>48.76</v>
      </c>
      <c r="L876">
        <v>27.21</v>
      </c>
      <c r="M876">
        <v>0.1</v>
      </c>
      <c r="N876" t="s">
        <v>45</v>
      </c>
    </row>
    <row r="877" spans="1:14" x14ac:dyDescent="0.25">
      <c r="A877" t="s">
        <v>1377</v>
      </c>
      <c r="B877" s="2">
        <v>45511</v>
      </c>
      <c r="C877" t="s">
        <v>267</v>
      </c>
      <c r="D877" t="s">
        <v>109</v>
      </c>
      <c r="E877" t="s">
        <v>2615</v>
      </c>
      <c r="F877" t="s">
        <v>2627</v>
      </c>
      <c r="G877" t="s">
        <v>261</v>
      </c>
      <c r="H877" t="s">
        <v>2646</v>
      </c>
      <c r="I877" t="s">
        <v>75</v>
      </c>
      <c r="J877">
        <v>16</v>
      </c>
      <c r="K877">
        <v>126.72</v>
      </c>
      <c r="L877">
        <v>75.48</v>
      </c>
      <c r="M877">
        <v>0</v>
      </c>
      <c r="N877" t="s">
        <v>45</v>
      </c>
    </row>
    <row r="878" spans="1:14" x14ac:dyDescent="0.25">
      <c r="A878" t="s">
        <v>1378</v>
      </c>
      <c r="B878" s="2">
        <v>45301</v>
      </c>
      <c r="C878" t="s">
        <v>924</v>
      </c>
      <c r="D878" t="s">
        <v>132</v>
      </c>
      <c r="E878" t="s">
        <v>2614</v>
      </c>
      <c r="F878" t="s">
        <v>2636</v>
      </c>
      <c r="G878" t="s">
        <v>253</v>
      </c>
      <c r="H878" t="s">
        <v>2645</v>
      </c>
      <c r="I878" t="s">
        <v>70</v>
      </c>
      <c r="J878">
        <v>33</v>
      </c>
      <c r="K878">
        <v>59.13</v>
      </c>
      <c r="L878">
        <v>32.22</v>
      </c>
      <c r="M878">
        <v>0.02</v>
      </c>
      <c r="N878" t="s">
        <v>45</v>
      </c>
    </row>
    <row r="879" spans="1:14" x14ac:dyDescent="0.25">
      <c r="A879" t="s">
        <v>1379</v>
      </c>
      <c r="B879" s="2">
        <v>45359</v>
      </c>
      <c r="C879" t="s">
        <v>1380</v>
      </c>
      <c r="D879" t="s">
        <v>187</v>
      </c>
      <c r="E879" t="s">
        <v>2617</v>
      </c>
      <c r="F879" t="s">
        <v>2625</v>
      </c>
      <c r="G879" t="s">
        <v>218</v>
      </c>
      <c r="H879" t="s">
        <v>2648</v>
      </c>
      <c r="I879" t="s">
        <v>2578</v>
      </c>
      <c r="J879">
        <v>14</v>
      </c>
      <c r="K879">
        <v>50.35</v>
      </c>
      <c r="L879">
        <v>28.2</v>
      </c>
      <c r="M879">
        <v>0.15</v>
      </c>
      <c r="N879" t="s">
        <v>45</v>
      </c>
    </row>
    <row r="880" spans="1:14" x14ac:dyDescent="0.25">
      <c r="A880" t="s">
        <v>1381</v>
      </c>
      <c r="B880" s="2">
        <v>45456</v>
      </c>
      <c r="C880" t="s">
        <v>389</v>
      </c>
      <c r="D880" t="s">
        <v>222</v>
      </c>
      <c r="E880" t="s">
        <v>2618</v>
      </c>
      <c r="F880" t="s">
        <v>2628</v>
      </c>
      <c r="G880" t="s">
        <v>42</v>
      </c>
      <c r="H880" t="s">
        <v>2648</v>
      </c>
      <c r="I880" t="s">
        <v>44</v>
      </c>
      <c r="J880">
        <v>30</v>
      </c>
      <c r="K880">
        <v>129.08000000000001</v>
      </c>
      <c r="L880">
        <v>74.58</v>
      </c>
      <c r="M880">
        <v>0.02</v>
      </c>
      <c r="N880" t="s">
        <v>45</v>
      </c>
    </row>
    <row r="881" spans="1:14" x14ac:dyDescent="0.25">
      <c r="A881" t="s">
        <v>1382</v>
      </c>
      <c r="B881" s="2">
        <v>45598</v>
      </c>
      <c r="C881" t="s">
        <v>180</v>
      </c>
      <c r="D881" t="s">
        <v>23</v>
      </c>
      <c r="E881" t="s">
        <v>2618</v>
      </c>
      <c r="F881" t="s">
        <v>2634</v>
      </c>
      <c r="G881" t="s">
        <v>90</v>
      </c>
      <c r="H881" t="s">
        <v>2648</v>
      </c>
      <c r="I881" t="s">
        <v>44</v>
      </c>
      <c r="J881">
        <v>41</v>
      </c>
      <c r="K881">
        <v>71.13</v>
      </c>
      <c r="L881">
        <v>44.32</v>
      </c>
      <c r="M881">
        <v>0.05</v>
      </c>
      <c r="N881" t="s">
        <v>45</v>
      </c>
    </row>
    <row r="882" spans="1:14" x14ac:dyDescent="0.25">
      <c r="A882" t="s">
        <v>1383</v>
      </c>
      <c r="B882" s="2">
        <v>45595</v>
      </c>
      <c r="C882" t="s">
        <v>1071</v>
      </c>
      <c r="D882" t="s">
        <v>209</v>
      </c>
      <c r="E882" t="s">
        <v>2615</v>
      </c>
      <c r="F882" t="s">
        <v>2630</v>
      </c>
      <c r="G882" t="s">
        <v>74</v>
      </c>
      <c r="H882" t="s">
        <v>2648</v>
      </c>
      <c r="I882" t="s">
        <v>84</v>
      </c>
      <c r="J882">
        <v>25</v>
      </c>
      <c r="K882">
        <v>18.41</v>
      </c>
      <c r="L882">
        <v>10.52</v>
      </c>
      <c r="M882">
        <v>0.15</v>
      </c>
      <c r="N882" t="s">
        <v>45</v>
      </c>
    </row>
    <row r="883" spans="1:14" x14ac:dyDescent="0.25">
      <c r="A883" t="s">
        <v>1384</v>
      </c>
      <c r="B883" s="2">
        <v>45458</v>
      </c>
      <c r="C883" t="s">
        <v>493</v>
      </c>
      <c r="D883" t="s">
        <v>49</v>
      </c>
      <c r="E883" t="s">
        <v>2617</v>
      </c>
      <c r="F883" t="s">
        <v>2626</v>
      </c>
      <c r="G883" t="s">
        <v>253</v>
      </c>
      <c r="H883" t="s">
        <v>2647</v>
      </c>
      <c r="I883" t="s">
        <v>84</v>
      </c>
      <c r="J883">
        <v>16</v>
      </c>
      <c r="K883">
        <v>25.4</v>
      </c>
      <c r="L883">
        <v>12.57</v>
      </c>
      <c r="M883">
        <v>0.2</v>
      </c>
      <c r="N883" t="s">
        <v>45</v>
      </c>
    </row>
    <row r="884" spans="1:14" x14ac:dyDescent="0.25">
      <c r="A884" t="s">
        <v>1385</v>
      </c>
      <c r="B884" s="2">
        <v>45654</v>
      </c>
      <c r="C884" t="s">
        <v>584</v>
      </c>
      <c r="D884" t="s">
        <v>165</v>
      </c>
      <c r="E884" t="s">
        <v>2616</v>
      </c>
      <c r="F884" t="s">
        <v>2624</v>
      </c>
      <c r="G884" t="s">
        <v>74</v>
      </c>
      <c r="H884" t="s">
        <v>2646</v>
      </c>
      <c r="I884" t="s">
        <v>70</v>
      </c>
      <c r="J884">
        <v>8</v>
      </c>
      <c r="K884">
        <v>40.19</v>
      </c>
      <c r="L884">
        <v>23.48</v>
      </c>
      <c r="M884">
        <v>0.15</v>
      </c>
      <c r="N884" t="s">
        <v>45</v>
      </c>
    </row>
    <row r="885" spans="1:14" x14ac:dyDescent="0.25">
      <c r="A885" t="s">
        <v>1386</v>
      </c>
      <c r="B885" s="2">
        <v>45505</v>
      </c>
      <c r="C885" t="s">
        <v>1078</v>
      </c>
      <c r="D885" t="s">
        <v>36</v>
      </c>
      <c r="E885" t="s">
        <v>2616</v>
      </c>
      <c r="F885" t="s">
        <v>2638</v>
      </c>
      <c r="G885" t="s">
        <v>144</v>
      </c>
      <c r="H885" t="s">
        <v>2648</v>
      </c>
      <c r="I885" t="s">
        <v>84</v>
      </c>
      <c r="J885">
        <v>63</v>
      </c>
      <c r="K885">
        <v>171.71</v>
      </c>
      <c r="L885">
        <v>97.31</v>
      </c>
      <c r="M885">
        <v>0</v>
      </c>
      <c r="N885" t="s">
        <v>129</v>
      </c>
    </row>
    <row r="886" spans="1:14" x14ac:dyDescent="0.25">
      <c r="A886" t="s">
        <v>1387</v>
      </c>
      <c r="B886" s="2">
        <v>45410</v>
      </c>
      <c r="C886" t="s">
        <v>1112</v>
      </c>
      <c r="D886" t="s">
        <v>23</v>
      </c>
      <c r="E886" t="s">
        <v>2618</v>
      </c>
      <c r="F886" t="s">
        <v>2634</v>
      </c>
      <c r="G886" t="s">
        <v>42</v>
      </c>
      <c r="H886" t="s">
        <v>2647</v>
      </c>
      <c r="I886" t="s">
        <v>84</v>
      </c>
      <c r="J886">
        <v>12</v>
      </c>
      <c r="K886">
        <v>71.98</v>
      </c>
      <c r="L886">
        <v>41.99</v>
      </c>
      <c r="M886">
        <v>0.15</v>
      </c>
      <c r="N886" t="s">
        <v>32</v>
      </c>
    </row>
    <row r="887" spans="1:14" x14ac:dyDescent="0.25">
      <c r="A887" t="s">
        <v>1388</v>
      </c>
      <c r="B887" s="2">
        <v>45348</v>
      </c>
      <c r="C887" t="s">
        <v>276</v>
      </c>
      <c r="D887" t="s">
        <v>114</v>
      </c>
      <c r="E887" t="s">
        <v>2614</v>
      </c>
      <c r="F887" t="s">
        <v>2629</v>
      </c>
      <c r="G887" t="s">
        <v>111</v>
      </c>
      <c r="H887" t="s">
        <v>2645</v>
      </c>
      <c r="I887" t="s">
        <v>84</v>
      </c>
      <c r="J887">
        <v>37</v>
      </c>
      <c r="K887">
        <v>32.46</v>
      </c>
      <c r="L887">
        <v>22.25</v>
      </c>
      <c r="M887">
        <v>0</v>
      </c>
      <c r="N887" t="s">
        <v>129</v>
      </c>
    </row>
    <row r="888" spans="1:14" x14ac:dyDescent="0.25">
      <c r="A888" t="s">
        <v>1389</v>
      </c>
      <c r="B888" s="2">
        <v>45459</v>
      </c>
      <c r="C888" t="s">
        <v>64</v>
      </c>
      <c r="D888" t="s">
        <v>126</v>
      </c>
      <c r="E888" t="s">
        <v>2618</v>
      </c>
      <c r="F888" t="s">
        <v>2628</v>
      </c>
      <c r="G888" t="s">
        <v>178</v>
      </c>
      <c r="H888" t="s">
        <v>2648</v>
      </c>
      <c r="I888" t="s">
        <v>44</v>
      </c>
      <c r="J888">
        <v>79</v>
      </c>
      <c r="K888">
        <v>97.06</v>
      </c>
      <c r="L888">
        <v>52.26</v>
      </c>
      <c r="M888">
        <v>0.05</v>
      </c>
      <c r="N888" t="s">
        <v>45</v>
      </c>
    </row>
    <row r="889" spans="1:14" x14ac:dyDescent="0.25">
      <c r="A889" t="s">
        <v>1390</v>
      </c>
      <c r="B889" s="2">
        <v>45303</v>
      </c>
      <c r="C889" t="s">
        <v>399</v>
      </c>
      <c r="D889" t="s">
        <v>150</v>
      </c>
      <c r="E889" t="s">
        <v>2617</v>
      </c>
      <c r="F889" t="s">
        <v>2641</v>
      </c>
      <c r="G889" t="s">
        <v>218</v>
      </c>
      <c r="H889" t="s">
        <v>2645</v>
      </c>
      <c r="I889" t="s">
        <v>84</v>
      </c>
      <c r="J889">
        <v>11</v>
      </c>
      <c r="K889">
        <v>82.61</v>
      </c>
      <c r="L889">
        <v>49.12</v>
      </c>
      <c r="M889">
        <v>0.1</v>
      </c>
      <c r="N889" t="s">
        <v>45</v>
      </c>
    </row>
    <row r="890" spans="1:14" x14ac:dyDescent="0.25">
      <c r="A890" t="s">
        <v>1391</v>
      </c>
      <c r="B890" s="2">
        <v>45416</v>
      </c>
      <c r="C890" t="s">
        <v>293</v>
      </c>
      <c r="D890" t="s">
        <v>49</v>
      </c>
      <c r="E890" t="s">
        <v>2616</v>
      </c>
      <c r="F890" t="s">
        <v>2631</v>
      </c>
      <c r="G890" t="s">
        <v>152</v>
      </c>
      <c r="H890" t="s">
        <v>2648</v>
      </c>
      <c r="I890" t="s">
        <v>2578</v>
      </c>
      <c r="J890">
        <v>33</v>
      </c>
      <c r="K890">
        <v>26.92</v>
      </c>
      <c r="L890">
        <v>12.81</v>
      </c>
      <c r="M890">
        <v>0.2</v>
      </c>
      <c r="N890" t="s">
        <v>129</v>
      </c>
    </row>
    <row r="891" spans="1:14" x14ac:dyDescent="0.25">
      <c r="A891" t="s">
        <v>1392</v>
      </c>
      <c r="B891" s="2">
        <v>45579</v>
      </c>
      <c r="C891" t="s">
        <v>1265</v>
      </c>
      <c r="D891" t="s">
        <v>141</v>
      </c>
      <c r="E891" t="s">
        <v>2614</v>
      </c>
      <c r="F891" t="s">
        <v>2629</v>
      </c>
      <c r="G891" t="s">
        <v>111</v>
      </c>
      <c r="H891" t="s">
        <v>2648</v>
      </c>
      <c r="I891" t="s">
        <v>2578</v>
      </c>
      <c r="J891">
        <v>62</v>
      </c>
      <c r="K891">
        <v>99.6</v>
      </c>
      <c r="L891">
        <v>53.4</v>
      </c>
      <c r="M891">
        <v>0.15</v>
      </c>
      <c r="N891" t="s">
        <v>45</v>
      </c>
    </row>
    <row r="892" spans="1:14" x14ac:dyDescent="0.25">
      <c r="A892" t="s">
        <v>1393</v>
      </c>
      <c r="B892" s="2">
        <v>45624</v>
      </c>
      <c r="C892" t="s">
        <v>1394</v>
      </c>
      <c r="D892" t="s">
        <v>141</v>
      </c>
      <c r="E892" t="s">
        <v>2615</v>
      </c>
      <c r="F892" t="s">
        <v>2627</v>
      </c>
      <c r="G892" t="s">
        <v>253</v>
      </c>
      <c r="H892" t="s">
        <v>2645</v>
      </c>
      <c r="I892" t="s">
        <v>84</v>
      </c>
      <c r="J892">
        <v>11</v>
      </c>
      <c r="K892">
        <v>101.09</v>
      </c>
      <c r="L892">
        <v>59.24</v>
      </c>
      <c r="M892">
        <v>0.05</v>
      </c>
      <c r="N892" t="s">
        <v>129</v>
      </c>
    </row>
    <row r="893" spans="1:14" x14ac:dyDescent="0.25">
      <c r="A893" t="s">
        <v>1395</v>
      </c>
      <c r="B893" s="2">
        <v>45495</v>
      </c>
      <c r="C893" t="s">
        <v>182</v>
      </c>
      <c r="D893" t="s">
        <v>36</v>
      </c>
      <c r="E893" t="s">
        <v>2615</v>
      </c>
      <c r="F893" t="s">
        <v>2630</v>
      </c>
      <c r="G893" t="s">
        <v>195</v>
      </c>
      <c r="H893" t="s">
        <v>2647</v>
      </c>
      <c r="I893" t="s">
        <v>44</v>
      </c>
      <c r="J893">
        <v>47</v>
      </c>
      <c r="K893">
        <v>157.9</v>
      </c>
      <c r="L893">
        <v>101.72</v>
      </c>
      <c r="M893">
        <v>0.15</v>
      </c>
      <c r="N893" t="s">
        <v>45</v>
      </c>
    </row>
    <row r="894" spans="1:14" x14ac:dyDescent="0.25">
      <c r="A894" t="s">
        <v>1396</v>
      </c>
      <c r="B894" s="2">
        <v>45581</v>
      </c>
      <c r="C894" t="s">
        <v>811</v>
      </c>
      <c r="D894" t="s">
        <v>93</v>
      </c>
      <c r="E894" t="s">
        <v>2617</v>
      </c>
      <c r="F894" t="s">
        <v>2642</v>
      </c>
      <c r="G894" t="s">
        <v>178</v>
      </c>
      <c r="H894" t="s">
        <v>2645</v>
      </c>
      <c r="I894" t="s">
        <v>44</v>
      </c>
      <c r="J894">
        <v>8</v>
      </c>
      <c r="K894">
        <v>53.23</v>
      </c>
      <c r="L894">
        <v>34.26</v>
      </c>
      <c r="M894">
        <v>0.2</v>
      </c>
      <c r="N894" t="s">
        <v>32</v>
      </c>
    </row>
    <row r="895" spans="1:14" x14ac:dyDescent="0.25">
      <c r="A895" t="s">
        <v>1397</v>
      </c>
      <c r="B895" s="2">
        <v>45549</v>
      </c>
      <c r="C895" t="s">
        <v>282</v>
      </c>
      <c r="D895" t="s">
        <v>49</v>
      </c>
      <c r="E895" t="s">
        <v>2614</v>
      </c>
      <c r="F895" t="s">
        <v>2637</v>
      </c>
      <c r="G895" t="s">
        <v>265</v>
      </c>
      <c r="H895" t="s">
        <v>2648</v>
      </c>
      <c r="I895" t="s">
        <v>75</v>
      </c>
      <c r="J895">
        <v>48</v>
      </c>
      <c r="K895">
        <v>23.1</v>
      </c>
      <c r="L895">
        <v>13.96</v>
      </c>
      <c r="M895">
        <v>0.02</v>
      </c>
      <c r="N895" t="s">
        <v>45</v>
      </c>
    </row>
    <row r="896" spans="1:14" x14ac:dyDescent="0.25">
      <c r="A896" t="s">
        <v>1398</v>
      </c>
      <c r="B896" s="2">
        <v>45339</v>
      </c>
      <c r="C896" t="s">
        <v>301</v>
      </c>
      <c r="D896" t="s">
        <v>49</v>
      </c>
      <c r="E896" t="s">
        <v>2615</v>
      </c>
      <c r="F896" t="s">
        <v>2627</v>
      </c>
      <c r="G896" t="s">
        <v>83</v>
      </c>
      <c r="H896" t="s">
        <v>2648</v>
      </c>
      <c r="I896" t="s">
        <v>84</v>
      </c>
      <c r="J896">
        <v>45</v>
      </c>
      <c r="K896">
        <v>25.32</v>
      </c>
      <c r="L896">
        <v>13.28</v>
      </c>
      <c r="M896">
        <v>0.02</v>
      </c>
      <c r="N896" t="s">
        <v>45</v>
      </c>
    </row>
    <row r="897" spans="1:14" x14ac:dyDescent="0.25">
      <c r="A897" t="s">
        <v>1399</v>
      </c>
      <c r="B897" s="2">
        <v>45511</v>
      </c>
      <c r="C897" t="s">
        <v>297</v>
      </c>
      <c r="D897" t="s">
        <v>187</v>
      </c>
      <c r="E897" t="s">
        <v>2614</v>
      </c>
      <c r="F897" t="s">
        <v>2636</v>
      </c>
      <c r="G897" t="s">
        <v>69</v>
      </c>
      <c r="H897" t="s">
        <v>2648</v>
      </c>
      <c r="I897" t="s">
        <v>84</v>
      </c>
      <c r="J897">
        <v>41</v>
      </c>
      <c r="K897">
        <v>48.86</v>
      </c>
      <c r="L897">
        <v>29.83</v>
      </c>
      <c r="M897">
        <v>0.2</v>
      </c>
      <c r="N897" t="s">
        <v>45</v>
      </c>
    </row>
    <row r="898" spans="1:14" x14ac:dyDescent="0.25">
      <c r="A898" t="s">
        <v>1400</v>
      </c>
      <c r="B898" s="2">
        <v>45387</v>
      </c>
      <c r="C898" t="s">
        <v>674</v>
      </c>
      <c r="D898" t="s">
        <v>141</v>
      </c>
      <c r="E898" t="s">
        <v>2617</v>
      </c>
      <c r="F898" t="s">
        <v>2625</v>
      </c>
      <c r="G898" t="s">
        <v>261</v>
      </c>
      <c r="H898" t="s">
        <v>2645</v>
      </c>
      <c r="I898" t="s">
        <v>44</v>
      </c>
      <c r="J898">
        <v>71</v>
      </c>
      <c r="K898">
        <v>93.77</v>
      </c>
      <c r="L898">
        <v>56.92</v>
      </c>
      <c r="M898">
        <v>0.05</v>
      </c>
      <c r="N898" t="s">
        <v>45</v>
      </c>
    </row>
    <row r="899" spans="1:14" x14ac:dyDescent="0.25">
      <c r="A899" t="s">
        <v>1401</v>
      </c>
      <c r="B899" s="2">
        <v>45384</v>
      </c>
      <c r="C899" t="s">
        <v>339</v>
      </c>
      <c r="D899" t="s">
        <v>78</v>
      </c>
      <c r="E899" t="s">
        <v>2615</v>
      </c>
      <c r="F899" t="s">
        <v>2627</v>
      </c>
      <c r="G899" t="s">
        <v>42</v>
      </c>
      <c r="H899" t="s">
        <v>2645</v>
      </c>
      <c r="I899" t="s">
        <v>2578</v>
      </c>
      <c r="J899">
        <v>47</v>
      </c>
      <c r="K899">
        <v>129.93</v>
      </c>
      <c r="L899">
        <v>76.13</v>
      </c>
      <c r="M899">
        <v>0.1</v>
      </c>
      <c r="N899" t="s">
        <v>45</v>
      </c>
    </row>
    <row r="900" spans="1:14" x14ac:dyDescent="0.25">
      <c r="A900" t="s">
        <v>1402</v>
      </c>
      <c r="B900" s="2">
        <v>45481</v>
      </c>
      <c r="C900" t="s">
        <v>524</v>
      </c>
      <c r="D900" t="s">
        <v>93</v>
      </c>
      <c r="E900" t="s">
        <v>2616</v>
      </c>
      <c r="F900" t="s">
        <v>2624</v>
      </c>
      <c r="G900" t="s">
        <v>118</v>
      </c>
      <c r="H900" t="s">
        <v>2648</v>
      </c>
      <c r="I900" t="s">
        <v>84</v>
      </c>
      <c r="J900">
        <v>24</v>
      </c>
      <c r="K900">
        <v>52.36</v>
      </c>
      <c r="L900">
        <v>32.92</v>
      </c>
      <c r="M900">
        <v>0.02</v>
      </c>
      <c r="N900" t="s">
        <v>45</v>
      </c>
    </row>
    <row r="901" spans="1:14" x14ac:dyDescent="0.25">
      <c r="A901" t="s">
        <v>1403</v>
      </c>
      <c r="B901" s="2">
        <v>45634</v>
      </c>
      <c r="C901" t="s">
        <v>414</v>
      </c>
      <c r="D901" t="s">
        <v>216</v>
      </c>
      <c r="E901" t="s">
        <v>2614</v>
      </c>
      <c r="F901" t="s">
        <v>2636</v>
      </c>
      <c r="G901" t="s">
        <v>170</v>
      </c>
      <c r="H901" t="s">
        <v>2646</v>
      </c>
      <c r="I901" t="s">
        <v>70</v>
      </c>
      <c r="J901">
        <v>25</v>
      </c>
      <c r="K901">
        <v>117.54</v>
      </c>
      <c r="L901">
        <v>71.599999999999994</v>
      </c>
      <c r="M901">
        <v>0.15</v>
      </c>
      <c r="N901" t="s">
        <v>45</v>
      </c>
    </row>
    <row r="902" spans="1:14" x14ac:dyDescent="0.25">
      <c r="A902" t="s">
        <v>1404</v>
      </c>
      <c r="B902" s="2">
        <v>45503</v>
      </c>
      <c r="C902" t="s">
        <v>354</v>
      </c>
      <c r="D902" t="s">
        <v>93</v>
      </c>
      <c r="E902" t="s">
        <v>2615</v>
      </c>
      <c r="F902" t="s">
        <v>2627</v>
      </c>
      <c r="G902" t="s">
        <v>69</v>
      </c>
      <c r="H902" t="s">
        <v>2645</v>
      </c>
      <c r="I902" t="s">
        <v>84</v>
      </c>
      <c r="J902">
        <v>76</v>
      </c>
      <c r="K902">
        <v>54.79</v>
      </c>
      <c r="L902">
        <v>31.53</v>
      </c>
      <c r="M902">
        <v>0.15</v>
      </c>
      <c r="N902" t="s">
        <v>45</v>
      </c>
    </row>
    <row r="903" spans="1:14" x14ac:dyDescent="0.25">
      <c r="A903" t="s">
        <v>1405</v>
      </c>
      <c r="B903" s="2">
        <v>45626</v>
      </c>
      <c r="C903" t="s">
        <v>975</v>
      </c>
      <c r="D903" t="s">
        <v>141</v>
      </c>
      <c r="E903" t="s">
        <v>2615</v>
      </c>
      <c r="F903" t="s">
        <v>2627</v>
      </c>
      <c r="G903" t="s">
        <v>42</v>
      </c>
      <c r="H903" t="s">
        <v>2647</v>
      </c>
      <c r="I903" t="s">
        <v>75</v>
      </c>
      <c r="J903">
        <v>26</v>
      </c>
      <c r="K903">
        <v>90.68</v>
      </c>
      <c r="L903">
        <v>59.65</v>
      </c>
      <c r="M903">
        <v>0.15</v>
      </c>
      <c r="N903" t="s">
        <v>45</v>
      </c>
    </row>
    <row r="904" spans="1:14" x14ac:dyDescent="0.25">
      <c r="A904" t="s">
        <v>1406</v>
      </c>
      <c r="B904" s="2">
        <v>45637</v>
      </c>
      <c r="C904" t="s">
        <v>1122</v>
      </c>
      <c r="D904" t="s">
        <v>141</v>
      </c>
      <c r="E904" t="s">
        <v>2614</v>
      </c>
      <c r="F904" t="s">
        <v>2637</v>
      </c>
      <c r="G904" t="s">
        <v>42</v>
      </c>
      <c r="H904" t="s">
        <v>2647</v>
      </c>
      <c r="I904" t="s">
        <v>2578</v>
      </c>
      <c r="J904">
        <v>62</v>
      </c>
      <c r="K904">
        <v>97.55</v>
      </c>
      <c r="L904">
        <v>55.26</v>
      </c>
      <c r="M904">
        <v>0.1</v>
      </c>
      <c r="N904" t="s">
        <v>45</v>
      </c>
    </row>
    <row r="905" spans="1:14" x14ac:dyDescent="0.25">
      <c r="A905" t="s">
        <v>1407</v>
      </c>
      <c r="B905" s="2">
        <v>45556</v>
      </c>
      <c r="C905" t="s">
        <v>691</v>
      </c>
      <c r="D905" t="s">
        <v>109</v>
      </c>
      <c r="E905" t="s">
        <v>2614</v>
      </c>
      <c r="F905" t="s">
        <v>2637</v>
      </c>
      <c r="G905" t="s">
        <v>248</v>
      </c>
      <c r="H905" t="s">
        <v>2645</v>
      </c>
      <c r="I905" t="s">
        <v>84</v>
      </c>
      <c r="J905">
        <v>7</v>
      </c>
      <c r="K905">
        <v>122.92</v>
      </c>
      <c r="L905">
        <v>77.06</v>
      </c>
      <c r="M905">
        <v>0.02</v>
      </c>
      <c r="N905" t="s">
        <v>45</v>
      </c>
    </row>
    <row r="906" spans="1:14" x14ac:dyDescent="0.25">
      <c r="A906" t="s">
        <v>1409</v>
      </c>
      <c r="B906" s="2">
        <v>45325</v>
      </c>
      <c r="C906" t="s">
        <v>247</v>
      </c>
      <c r="D906" t="s">
        <v>93</v>
      </c>
      <c r="E906" t="s">
        <v>2615</v>
      </c>
      <c r="F906" t="s">
        <v>2630</v>
      </c>
      <c r="G906" t="s">
        <v>74</v>
      </c>
      <c r="H906" t="s">
        <v>2645</v>
      </c>
      <c r="I906" t="s">
        <v>2578</v>
      </c>
      <c r="J906">
        <v>40</v>
      </c>
      <c r="K906">
        <v>50.83</v>
      </c>
      <c r="L906">
        <v>32.44</v>
      </c>
      <c r="M906">
        <v>0.1</v>
      </c>
      <c r="N906" t="s">
        <v>32</v>
      </c>
    </row>
    <row r="907" spans="1:14" x14ac:dyDescent="0.25">
      <c r="A907" t="s">
        <v>1410</v>
      </c>
      <c r="B907" s="2">
        <v>45476</v>
      </c>
      <c r="C907" t="s">
        <v>1317</v>
      </c>
      <c r="D907" t="s">
        <v>150</v>
      </c>
      <c r="E907" t="s">
        <v>2614</v>
      </c>
      <c r="F907" t="s">
        <v>2629</v>
      </c>
      <c r="G907" t="s">
        <v>90</v>
      </c>
      <c r="H907" t="s">
        <v>2646</v>
      </c>
      <c r="I907" t="s">
        <v>70</v>
      </c>
      <c r="J907">
        <v>41</v>
      </c>
      <c r="K907">
        <v>87.64</v>
      </c>
      <c r="L907">
        <v>51.35</v>
      </c>
      <c r="M907">
        <v>0.1</v>
      </c>
      <c r="N907" t="s">
        <v>45</v>
      </c>
    </row>
    <row r="908" spans="1:14" x14ac:dyDescent="0.25">
      <c r="A908" t="s">
        <v>1411</v>
      </c>
      <c r="B908" s="2">
        <v>45365</v>
      </c>
      <c r="C908" t="s">
        <v>1412</v>
      </c>
      <c r="D908" t="s">
        <v>36</v>
      </c>
      <c r="E908" t="s">
        <v>2617</v>
      </c>
      <c r="F908" t="s">
        <v>2625</v>
      </c>
      <c r="G908" t="s">
        <v>60</v>
      </c>
      <c r="H908" t="s">
        <v>2647</v>
      </c>
      <c r="I908" t="s">
        <v>70</v>
      </c>
      <c r="J908">
        <v>13</v>
      </c>
      <c r="K908">
        <v>155.99</v>
      </c>
      <c r="L908">
        <v>105.03</v>
      </c>
      <c r="M908">
        <v>0.15</v>
      </c>
      <c r="N908" t="s">
        <v>45</v>
      </c>
    </row>
    <row r="909" spans="1:14" x14ac:dyDescent="0.25">
      <c r="A909" t="s">
        <v>1413</v>
      </c>
      <c r="B909" s="2">
        <v>45327</v>
      </c>
      <c r="C909" t="s">
        <v>497</v>
      </c>
      <c r="D909" t="s">
        <v>150</v>
      </c>
      <c r="E909" t="s">
        <v>2614</v>
      </c>
      <c r="F909" t="s">
        <v>2622</v>
      </c>
      <c r="G909" t="s">
        <v>218</v>
      </c>
      <c r="H909" t="s">
        <v>2645</v>
      </c>
      <c r="I909" t="s">
        <v>2578</v>
      </c>
      <c r="J909">
        <v>36</v>
      </c>
      <c r="K909">
        <v>78.569999999999993</v>
      </c>
      <c r="L909">
        <v>47.45</v>
      </c>
      <c r="M909">
        <v>0.1</v>
      </c>
      <c r="N909" t="s">
        <v>32</v>
      </c>
    </row>
    <row r="910" spans="1:14" x14ac:dyDescent="0.25">
      <c r="A910" t="s">
        <v>1414</v>
      </c>
      <c r="B910" s="2">
        <v>45583</v>
      </c>
      <c r="C910" t="s">
        <v>1210</v>
      </c>
      <c r="D910" t="s">
        <v>132</v>
      </c>
      <c r="E910" t="s">
        <v>2617</v>
      </c>
      <c r="F910" t="s">
        <v>2626</v>
      </c>
      <c r="G910" t="s">
        <v>90</v>
      </c>
      <c r="H910" t="s">
        <v>2647</v>
      </c>
      <c r="I910" t="s">
        <v>84</v>
      </c>
      <c r="J910">
        <v>5</v>
      </c>
      <c r="K910">
        <v>57.09</v>
      </c>
      <c r="L910">
        <v>35.29</v>
      </c>
      <c r="M910">
        <v>0</v>
      </c>
      <c r="N910" t="s">
        <v>32</v>
      </c>
    </row>
    <row r="911" spans="1:14" x14ac:dyDescent="0.25">
      <c r="A911" t="s">
        <v>1415</v>
      </c>
      <c r="B911" s="2">
        <v>45402</v>
      </c>
      <c r="C911" t="s">
        <v>617</v>
      </c>
      <c r="D911" t="s">
        <v>141</v>
      </c>
      <c r="E911" t="s">
        <v>2615</v>
      </c>
      <c r="F911" t="s">
        <v>2623</v>
      </c>
      <c r="G911" t="s">
        <v>261</v>
      </c>
      <c r="H911" t="s">
        <v>2646</v>
      </c>
      <c r="I911" t="s">
        <v>70</v>
      </c>
      <c r="J911">
        <v>80</v>
      </c>
      <c r="K911">
        <v>102.08</v>
      </c>
      <c r="L911">
        <v>60.42</v>
      </c>
      <c r="M911">
        <v>0.15</v>
      </c>
      <c r="N911" t="s">
        <v>45</v>
      </c>
    </row>
    <row r="912" spans="1:14" x14ac:dyDescent="0.25">
      <c r="A912" t="s">
        <v>1416</v>
      </c>
      <c r="B912" s="2">
        <v>45407</v>
      </c>
      <c r="C912" t="s">
        <v>333</v>
      </c>
      <c r="D912" t="s">
        <v>36</v>
      </c>
      <c r="E912" t="s">
        <v>2615</v>
      </c>
      <c r="F912" t="s">
        <v>2630</v>
      </c>
      <c r="G912" t="s">
        <v>253</v>
      </c>
      <c r="H912" t="s">
        <v>2647</v>
      </c>
      <c r="I912" t="s">
        <v>84</v>
      </c>
      <c r="J912">
        <v>14</v>
      </c>
      <c r="K912">
        <v>156.84</v>
      </c>
      <c r="L912">
        <v>102.08</v>
      </c>
      <c r="M912">
        <v>0.05</v>
      </c>
      <c r="N912" t="s">
        <v>45</v>
      </c>
    </row>
    <row r="913" spans="1:14" x14ac:dyDescent="0.25">
      <c r="A913" t="s">
        <v>1417</v>
      </c>
      <c r="B913" s="2">
        <v>45639</v>
      </c>
      <c r="C913" t="s">
        <v>715</v>
      </c>
      <c r="D913" t="s">
        <v>93</v>
      </c>
      <c r="E913" t="s">
        <v>2616</v>
      </c>
      <c r="F913" t="s">
        <v>2631</v>
      </c>
      <c r="G913" t="s">
        <v>29</v>
      </c>
      <c r="H913" t="s">
        <v>2645</v>
      </c>
      <c r="I913" t="s">
        <v>75</v>
      </c>
      <c r="J913">
        <v>22</v>
      </c>
      <c r="K913">
        <v>57.05</v>
      </c>
      <c r="L913">
        <v>32.22</v>
      </c>
      <c r="M913">
        <v>0</v>
      </c>
      <c r="N913" t="s">
        <v>45</v>
      </c>
    </row>
    <row r="914" spans="1:14" x14ac:dyDescent="0.25">
      <c r="A914" t="s">
        <v>1418</v>
      </c>
      <c r="B914" s="2">
        <v>45598</v>
      </c>
      <c r="C914" t="s">
        <v>1137</v>
      </c>
      <c r="D914" t="s">
        <v>114</v>
      </c>
      <c r="E914" t="s">
        <v>2616</v>
      </c>
      <c r="F914" t="s">
        <v>2624</v>
      </c>
      <c r="G914" t="s">
        <v>29</v>
      </c>
      <c r="H914" t="s">
        <v>2647</v>
      </c>
      <c r="I914" t="s">
        <v>44</v>
      </c>
      <c r="J914">
        <v>33</v>
      </c>
      <c r="K914">
        <v>35.22</v>
      </c>
      <c r="L914">
        <v>22.15</v>
      </c>
      <c r="M914">
        <v>0.2</v>
      </c>
      <c r="N914" t="s">
        <v>32</v>
      </c>
    </row>
    <row r="915" spans="1:14" x14ac:dyDescent="0.25">
      <c r="A915" t="s">
        <v>1419</v>
      </c>
      <c r="B915" s="2">
        <v>45396</v>
      </c>
      <c r="C915" t="s">
        <v>735</v>
      </c>
      <c r="D915" t="s">
        <v>66</v>
      </c>
      <c r="E915" t="s">
        <v>2618</v>
      </c>
      <c r="F915" t="s">
        <v>2634</v>
      </c>
      <c r="G915" t="s">
        <v>184</v>
      </c>
      <c r="H915" t="s">
        <v>2648</v>
      </c>
      <c r="I915" t="s">
        <v>75</v>
      </c>
      <c r="J915">
        <v>68</v>
      </c>
      <c r="K915">
        <v>147.38</v>
      </c>
      <c r="L915">
        <v>99.22</v>
      </c>
      <c r="M915">
        <v>0.05</v>
      </c>
      <c r="N915" t="s">
        <v>45</v>
      </c>
    </row>
    <row r="916" spans="1:14" x14ac:dyDescent="0.25">
      <c r="A916" t="s">
        <v>1420</v>
      </c>
      <c r="B916" s="2">
        <v>45374</v>
      </c>
      <c r="C916" t="s">
        <v>904</v>
      </c>
      <c r="D916" t="s">
        <v>250</v>
      </c>
      <c r="E916" t="s">
        <v>2618</v>
      </c>
      <c r="F916" t="s">
        <v>2639</v>
      </c>
      <c r="G916" t="s">
        <v>74</v>
      </c>
      <c r="H916" t="s">
        <v>2648</v>
      </c>
      <c r="I916" t="s">
        <v>2578</v>
      </c>
      <c r="J916">
        <v>65</v>
      </c>
      <c r="K916">
        <v>68.64</v>
      </c>
      <c r="L916">
        <v>39.03</v>
      </c>
      <c r="M916">
        <v>0.15</v>
      </c>
      <c r="N916" t="s">
        <v>32</v>
      </c>
    </row>
    <row r="917" spans="1:14" x14ac:dyDescent="0.25">
      <c r="A917" t="s">
        <v>1421</v>
      </c>
      <c r="B917" s="2">
        <v>45315</v>
      </c>
      <c r="C917" t="s">
        <v>442</v>
      </c>
      <c r="D917" t="s">
        <v>114</v>
      </c>
      <c r="E917" t="s">
        <v>2616</v>
      </c>
      <c r="F917" t="s">
        <v>2631</v>
      </c>
      <c r="G917" t="s">
        <v>90</v>
      </c>
      <c r="H917" t="s">
        <v>2645</v>
      </c>
      <c r="I917" t="s">
        <v>75</v>
      </c>
      <c r="J917">
        <v>36</v>
      </c>
      <c r="K917">
        <v>34.08</v>
      </c>
      <c r="L917">
        <v>19.899999999999999</v>
      </c>
      <c r="M917">
        <v>0.1</v>
      </c>
      <c r="N917" t="s">
        <v>32</v>
      </c>
    </row>
    <row r="918" spans="1:14" x14ac:dyDescent="0.25">
      <c r="A918" t="s">
        <v>1422</v>
      </c>
      <c r="B918" s="2">
        <v>45502</v>
      </c>
      <c r="C918" t="s">
        <v>897</v>
      </c>
      <c r="D918" t="s">
        <v>209</v>
      </c>
      <c r="E918" t="s">
        <v>2618</v>
      </c>
      <c r="F918" t="s">
        <v>2635</v>
      </c>
      <c r="G918" t="s">
        <v>83</v>
      </c>
      <c r="H918" t="s">
        <v>2645</v>
      </c>
      <c r="I918" t="s">
        <v>2619</v>
      </c>
      <c r="J918">
        <v>75</v>
      </c>
      <c r="K918">
        <v>18.46</v>
      </c>
      <c r="L918">
        <v>10</v>
      </c>
      <c r="M918">
        <v>0.05</v>
      </c>
      <c r="N918" t="s">
        <v>129</v>
      </c>
    </row>
    <row r="919" spans="1:14" x14ac:dyDescent="0.25">
      <c r="A919" t="s">
        <v>1423</v>
      </c>
      <c r="B919" s="2">
        <v>45311</v>
      </c>
      <c r="C919" t="s">
        <v>131</v>
      </c>
      <c r="D919" t="s">
        <v>23</v>
      </c>
      <c r="E919" t="s">
        <v>2616</v>
      </c>
      <c r="F919" t="s">
        <v>2631</v>
      </c>
      <c r="G919" t="s">
        <v>265</v>
      </c>
      <c r="H919" t="s">
        <v>2646</v>
      </c>
      <c r="I919" t="s">
        <v>44</v>
      </c>
      <c r="J919">
        <v>8</v>
      </c>
      <c r="K919">
        <v>75.94</v>
      </c>
      <c r="L919">
        <v>40.729999999999997</v>
      </c>
      <c r="M919">
        <v>0.05</v>
      </c>
      <c r="N919" t="s">
        <v>32</v>
      </c>
    </row>
    <row r="920" spans="1:14" x14ac:dyDescent="0.25">
      <c r="A920" t="s">
        <v>1424</v>
      </c>
      <c r="B920" s="2">
        <v>45520</v>
      </c>
      <c r="C920" t="s">
        <v>961</v>
      </c>
      <c r="D920" t="s">
        <v>209</v>
      </c>
      <c r="E920" t="s">
        <v>2616</v>
      </c>
      <c r="F920" t="s">
        <v>2631</v>
      </c>
      <c r="G920" t="s">
        <v>261</v>
      </c>
      <c r="H920" t="s">
        <v>2648</v>
      </c>
      <c r="I920" t="s">
        <v>75</v>
      </c>
      <c r="J920">
        <v>55</v>
      </c>
      <c r="K920">
        <v>18.399999999999999</v>
      </c>
      <c r="L920">
        <v>9.59</v>
      </c>
      <c r="M920">
        <v>0</v>
      </c>
      <c r="N920" t="s">
        <v>45</v>
      </c>
    </row>
    <row r="921" spans="1:14" x14ac:dyDescent="0.25">
      <c r="A921" t="s">
        <v>1425</v>
      </c>
      <c r="B921" s="2">
        <v>45598</v>
      </c>
      <c r="C921" t="s">
        <v>1426</v>
      </c>
      <c r="D921" t="s">
        <v>132</v>
      </c>
      <c r="E921" t="s">
        <v>2616</v>
      </c>
      <c r="F921" t="s">
        <v>2633</v>
      </c>
      <c r="G921" t="s">
        <v>83</v>
      </c>
      <c r="H921" t="s">
        <v>2648</v>
      </c>
      <c r="I921" t="s">
        <v>75</v>
      </c>
      <c r="J921">
        <v>17</v>
      </c>
      <c r="K921">
        <v>60.87</v>
      </c>
      <c r="L921">
        <v>34.880000000000003</v>
      </c>
      <c r="M921">
        <v>0.15</v>
      </c>
      <c r="N921" t="s">
        <v>45</v>
      </c>
    </row>
    <row r="922" spans="1:14" x14ac:dyDescent="0.25">
      <c r="A922" t="s">
        <v>1427</v>
      </c>
      <c r="B922" s="2">
        <v>45653</v>
      </c>
      <c r="C922" t="s">
        <v>664</v>
      </c>
      <c r="D922" t="s">
        <v>23</v>
      </c>
      <c r="E922" t="s">
        <v>2617</v>
      </c>
      <c r="F922" t="s">
        <v>2641</v>
      </c>
      <c r="G922" t="s">
        <v>261</v>
      </c>
      <c r="H922" t="s">
        <v>2646</v>
      </c>
      <c r="I922" t="s">
        <v>84</v>
      </c>
      <c r="J922">
        <v>78</v>
      </c>
      <c r="K922">
        <v>78.77</v>
      </c>
      <c r="L922">
        <v>44.81</v>
      </c>
      <c r="M922">
        <v>0.02</v>
      </c>
      <c r="N922" t="s">
        <v>45</v>
      </c>
    </row>
    <row r="923" spans="1:14" x14ac:dyDescent="0.25">
      <c r="A923" t="s">
        <v>1428</v>
      </c>
      <c r="B923" s="2">
        <v>45312</v>
      </c>
      <c r="C923" t="s">
        <v>739</v>
      </c>
      <c r="D923" t="s">
        <v>132</v>
      </c>
      <c r="E923" t="s">
        <v>2615</v>
      </c>
      <c r="F923" t="s">
        <v>2623</v>
      </c>
      <c r="G923" t="s">
        <v>178</v>
      </c>
      <c r="H923" t="s">
        <v>2648</v>
      </c>
      <c r="I923" t="s">
        <v>44</v>
      </c>
      <c r="J923">
        <v>42</v>
      </c>
      <c r="K923">
        <v>56.91</v>
      </c>
      <c r="L923">
        <v>36.51</v>
      </c>
      <c r="M923">
        <v>0.1</v>
      </c>
      <c r="N923" t="s">
        <v>129</v>
      </c>
    </row>
    <row r="924" spans="1:14" x14ac:dyDescent="0.25">
      <c r="A924" t="s">
        <v>1429</v>
      </c>
      <c r="B924" s="2">
        <v>45516</v>
      </c>
      <c r="C924" t="s">
        <v>148</v>
      </c>
      <c r="D924" t="s">
        <v>78</v>
      </c>
      <c r="E924" t="s">
        <v>2615</v>
      </c>
      <c r="F924" t="s">
        <v>2623</v>
      </c>
      <c r="G924" t="s">
        <v>60</v>
      </c>
      <c r="H924" t="s">
        <v>2650</v>
      </c>
      <c r="I924" t="s">
        <v>44</v>
      </c>
      <c r="J924">
        <v>32</v>
      </c>
      <c r="K924">
        <v>146.27000000000001</v>
      </c>
      <c r="L924">
        <v>75.959999999999994</v>
      </c>
      <c r="M924">
        <v>0.15</v>
      </c>
      <c r="N924" t="s">
        <v>45</v>
      </c>
    </row>
    <row r="925" spans="1:14" x14ac:dyDescent="0.25">
      <c r="A925" t="s">
        <v>1430</v>
      </c>
      <c r="B925" s="2">
        <v>45650</v>
      </c>
      <c r="C925" t="s">
        <v>1431</v>
      </c>
      <c r="D925" t="s">
        <v>150</v>
      </c>
      <c r="E925" t="s">
        <v>2614</v>
      </c>
      <c r="F925" t="s">
        <v>2622</v>
      </c>
      <c r="G925" t="s">
        <v>111</v>
      </c>
      <c r="H925" t="s">
        <v>2648</v>
      </c>
      <c r="I925" t="s">
        <v>70</v>
      </c>
      <c r="J925">
        <v>40</v>
      </c>
      <c r="K925">
        <v>79.14</v>
      </c>
      <c r="L925">
        <v>54.6</v>
      </c>
      <c r="M925">
        <v>0.05</v>
      </c>
      <c r="N925" t="s">
        <v>45</v>
      </c>
    </row>
    <row r="926" spans="1:14" x14ac:dyDescent="0.25">
      <c r="A926" t="s">
        <v>1432</v>
      </c>
      <c r="B926" s="2">
        <v>45401</v>
      </c>
      <c r="C926" t="s">
        <v>567</v>
      </c>
      <c r="D926" t="s">
        <v>49</v>
      </c>
      <c r="E926" t="s">
        <v>2618</v>
      </c>
      <c r="F926" t="s">
        <v>2632</v>
      </c>
      <c r="G926" t="s">
        <v>74</v>
      </c>
      <c r="H926" t="s">
        <v>2645</v>
      </c>
      <c r="I926" t="s">
        <v>44</v>
      </c>
      <c r="J926">
        <v>58</v>
      </c>
      <c r="K926">
        <v>23.34</v>
      </c>
      <c r="L926">
        <v>13.82</v>
      </c>
      <c r="M926">
        <v>0</v>
      </c>
      <c r="N926" t="s">
        <v>32</v>
      </c>
    </row>
    <row r="927" spans="1:14" x14ac:dyDescent="0.25">
      <c r="A927" t="s">
        <v>1433</v>
      </c>
      <c r="B927" s="2">
        <v>45407</v>
      </c>
      <c r="C927" t="s">
        <v>433</v>
      </c>
      <c r="D927" t="s">
        <v>165</v>
      </c>
      <c r="E927" t="s">
        <v>2614</v>
      </c>
      <c r="F927" t="s">
        <v>2629</v>
      </c>
      <c r="G927" t="s">
        <v>178</v>
      </c>
      <c r="H927" t="s">
        <v>2645</v>
      </c>
      <c r="I927" t="s">
        <v>70</v>
      </c>
      <c r="J927">
        <v>80</v>
      </c>
      <c r="K927">
        <v>43.94</v>
      </c>
      <c r="L927">
        <v>25.66</v>
      </c>
      <c r="M927">
        <v>0.2</v>
      </c>
      <c r="N927" t="s">
        <v>45</v>
      </c>
    </row>
    <row r="928" spans="1:14" x14ac:dyDescent="0.25">
      <c r="A928" t="s">
        <v>1434</v>
      </c>
      <c r="B928" s="2">
        <v>45428</v>
      </c>
      <c r="C928" t="s">
        <v>897</v>
      </c>
      <c r="D928" t="s">
        <v>187</v>
      </c>
      <c r="E928" t="s">
        <v>2617</v>
      </c>
      <c r="F928" t="s">
        <v>2625</v>
      </c>
      <c r="G928" t="s">
        <v>42</v>
      </c>
      <c r="H928" t="s">
        <v>2645</v>
      </c>
      <c r="I928" t="s">
        <v>2578</v>
      </c>
      <c r="J928">
        <v>13</v>
      </c>
      <c r="K928">
        <v>51.03</v>
      </c>
      <c r="L928">
        <v>27.75</v>
      </c>
      <c r="M928">
        <v>0.05</v>
      </c>
      <c r="N928" t="s">
        <v>129</v>
      </c>
    </row>
    <row r="929" spans="1:14" x14ac:dyDescent="0.25">
      <c r="A929" t="s">
        <v>1435</v>
      </c>
      <c r="B929" s="2">
        <v>45344</v>
      </c>
      <c r="C929" t="s">
        <v>843</v>
      </c>
      <c r="D929" t="s">
        <v>109</v>
      </c>
      <c r="E929" t="s">
        <v>2614</v>
      </c>
      <c r="F929" t="s">
        <v>2636</v>
      </c>
      <c r="G929" t="s">
        <v>60</v>
      </c>
      <c r="H929" t="s">
        <v>2645</v>
      </c>
      <c r="I929" t="s">
        <v>75</v>
      </c>
      <c r="J929">
        <v>41</v>
      </c>
      <c r="K929">
        <v>117.56</v>
      </c>
      <c r="L929">
        <v>69.88</v>
      </c>
      <c r="M929">
        <v>0.05</v>
      </c>
      <c r="N929" t="s">
        <v>129</v>
      </c>
    </row>
    <row r="930" spans="1:14" x14ac:dyDescent="0.25">
      <c r="A930" t="s">
        <v>1436</v>
      </c>
      <c r="B930" s="2">
        <v>45602</v>
      </c>
      <c r="C930" t="s">
        <v>1394</v>
      </c>
      <c r="D930" t="s">
        <v>78</v>
      </c>
      <c r="E930" t="s">
        <v>2618</v>
      </c>
      <c r="F930" t="s">
        <v>2634</v>
      </c>
      <c r="G930" t="s">
        <v>74</v>
      </c>
      <c r="H930" t="s">
        <v>2647</v>
      </c>
      <c r="I930" t="s">
        <v>75</v>
      </c>
      <c r="J930">
        <v>58</v>
      </c>
      <c r="K930">
        <v>146.59</v>
      </c>
      <c r="L930">
        <v>76.66</v>
      </c>
      <c r="M930">
        <v>0.02</v>
      </c>
      <c r="N930" t="s">
        <v>45</v>
      </c>
    </row>
    <row r="931" spans="1:14" x14ac:dyDescent="0.25">
      <c r="A931" t="s">
        <v>1437</v>
      </c>
      <c r="B931" s="2">
        <v>45628</v>
      </c>
      <c r="C931" t="s">
        <v>491</v>
      </c>
      <c r="D931" t="s">
        <v>176</v>
      </c>
      <c r="E931" t="s">
        <v>2614</v>
      </c>
      <c r="F931" t="s">
        <v>2622</v>
      </c>
      <c r="G931" t="s">
        <v>178</v>
      </c>
      <c r="H931" t="s">
        <v>2648</v>
      </c>
      <c r="I931" t="s">
        <v>84</v>
      </c>
      <c r="J931">
        <v>33</v>
      </c>
      <c r="K931">
        <v>101.13</v>
      </c>
      <c r="L931">
        <v>66.28</v>
      </c>
      <c r="M931">
        <v>0.02</v>
      </c>
      <c r="N931" t="s">
        <v>45</v>
      </c>
    </row>
    <row r="932" spans="1:14" x14ac:dyDescent="0.25">
      <c r="A932" t="s">
        <v>1438</v>
      </c>
      <c r="B932" s="2">
        <v>45451</v>
      </c>
      <c r="C932" t="s">
        <v>967</v>
      </c>
      <c r="D932" t="s">
        <v>99</v>
      </c>
      <c r="E932" t="s">
        <v>2615</v>
      </c>
      <c r="F932" t="s">
        <v>2627</v>
      </c>
      <c r="G932" t="s">
        <v>195</v>
      </c>
      <c r="H932" t="s">
        <v>2647</v>
      </c>
      <c r="I932" t="s">
        <v>2578</v>
      </c>
      <c r="J932">
        <v>22</v>
      </c>
      <c r="K932">
        <v>73.86</v>
      </c>
      <c r="L932">
        <v>40.9</v>
      </c>
      <c r="M932">
        <v>0.1</v>
      </c>
      <c r="N932" t="s">
        <v>129</v>
      </c>
    </row>
    <row r="933" spans="1:14" x14ac:dyDescent="0.25">
      <c r="A933" t="s">
        <v>1439</v>
      </c>
      <c r="B933" s="2">
        <v>45516</v>
      </c>
      <c r="C933" t="s">
        <v>759</v>
      </c>
      <c r="D933" t="s">
        <v>165</v>
      </c>
      <c r="E933" t="s">
        <v>2618</v>
      </c>
      <c r="F933" t="s">
        <v>2635</v>
      </c>
      <c r="G933" t="s">
        <v>152</v>
      </c>
      <c r="H933" t="s">
        <v>2647</v>
      </c>
      <c r="I933" t="s">
        <v>44</v>
      </c>
      <c r="J933">
        <v>63</v>
      </c>
      <c r="K933">
        <v>43.28</v>
      </c>
      <c r="L933">
        <v>24.55</v>
      </c>
      <c r="M933">
        <v>0</v>
      </c>
      <c r="N933" t="s">
        <v>45</v>
      </c>
    </row>
    <row r="934" spans="1:14" x14ac:dyDescent="0.25">
      <c r="A934" t="s">
        <v>1440</v>
      </c>
      <c r="B934" s="2">
        <v>45587</v>
      </c>
      <c r="C934" t="s">
        <v>800</v>
      </c>
      <c r="D934" t="s">
        <v>36</v>
      </c>
      <c r="E934" t="s">
        <v>2614</v>
      </c>
      <c r="F934" t="s">
        <v>2637</v>
      </c>
      <c r="G934" t="s">
        <v>111</v>
      </c>
      <c r="H934" t="s">
        <v>2646</v>
      </c>
      <c r="I934" t="s">
        <v>44</v>
      </c>
      <c r="J934">
        <v>25</v>
      </c>
      <c r="K934">
        <v>160.54</v>
      </c>
      <c r="L934">
        <v>92.09</v>
      </c>
      <c r="M934">
        <v>0.05</v>
      </c>
      <c r="N934" t="s">
        <v>32</v>
      </c>
    </row>
    <row r="935" spans="1:14" x14ac:dyDescent="0.25">
      <c r="A935" t="s">
        <v>1441</v>
      </c>
      <c r="B935" s="2">
        <v>45462</v>
      </c>
      <c r="C935" t="s">
        <v>515</v>
      </c>
      <c r="D935" t="s">
        <v>36</v>
      </c>
      <c r="E935" t="s">
        <v>2614</v>
      </c>
      <c r="F935" t="s">
        <v>2637</v>
      </c>
      <c r="G935" t="s">
        <v>261</v>
      </c>
      <c r="H935" t="s">
        <v>2648</v>
      </c>
      <c r="I935" t="s">
        <v>2578</v>
      </c>
      <c r="J935">
        <v>3</v>
      </c>
      <c r="K935">
        <v>176.44</v>
      </c>
      <c r="L935">
        <v>95.29</v>
      </c>
      <c r="M935">
        <v>0.02</v>
      </c>
      <c r="N935" t="s">
        <v>45</v>
      </c>
    </row>
    <row r="936" spans="1:14" x14ac:dyDescent="0.25">
      <c r="A936" t="s">
        <v>1442</v>
      </c>
      <c r="B936" s="2">
        <v>45608</v>
      </c>
      <c r="C936" t="s">
        <v>970</v>
      </c>
      <c r="D936" t="s">
        <v>209</v>
      </c>
      <c r="E936" t="s">
        <v>2615</v>
      </c>
      <c r="F936" t="s">
        <v>2640</v>
      </c>
      <c r="G936" t="s">
        <v>83</v>
      </c>
      <c r="H936" t="s">
        <v>2647</v>
      </c>
      <c r="I936" t="s">
        <v>2578</v>
      </c>
      <c r="J936">
        <v>40</v>
      </c>
      <c r="K936">
        <v>19.36</v>
      </c>
      <c r="L936">
        <v>10.07</v>
      </c>
      <c r="M936">
        <v>0.15</v>
      </c>
      <c r="N936" t="s">
        <v>32</v>
      </c>
    </row>
    <row r="937" spans="1:14" x14ac:dyDescent="0.25">
      <c r="A937" t="s">
        <v>1443</v>
      </c>
      <c r="B937" s="2">
        <v>45554</v>
      </c>
      <c r="C937" t="s">
        <v>658</v>
      </c>
      <c r="D937" t="s">
        <v>49</v>
      </c>
      <c r="E937" t="s">
        <v>2617</v>
      </c>
      <c r="F937" t="s">
        <v>2641</v>
      </c>
      <c r="G937" t="s">
        <v>90</v>
      </c>
      <c r="H937" t="s">
        <v>2648</v>
      </c>
      <c r="I937" t="s">
        <v>44</v>
      </c>
      <c r="J937">
        <v>15</v>
      </c>
      <c r="K937">
        <v>23.56</v>
      </c>
      <c r="L937">
        <v>13.04</v>
      </c>
      <c r="M937">
        <v>0.05</v>
      </c>
      <c r="N937" t="s">
        <v>45</v>
      </c>
    </row>
    <row r="938" spans="1:14" x14ac:dyDescent="0.25">
      <c r="A938" t="s">
        <v>1444</v>
      </c>
      <c r="B938" s="2">
        <v>45435</v>
      </c>
      <c r="C938" t="s">
        <v>721</v>
      </c>
      <c r="D938" t="s">
        <v>250</v>
      </c>
      <c r="E938" t="s">
        <v>2617</v>
      </c>
      <c r="F938" t="s">
        <v>2626</v>
      </c>
      <c r="G938" t="s">
        <v>83</v>
      </c>
      <c r="H938" t="s">
        <v>2647</v>
      </c>
      <c r="I938" t="s">
        <v>75</v>
      </c>
      <c r="J938">
        <v>72</v>
      </c>
      <c r="K938">
        <v>67.180000000000007</v>
      </c>
      <c r="L938">
        <v>35.979999999999997</v>
      </c>
      <c r="M938">
        <v>0.05</v>
      </c>
      <c r="N938" t="s">
        <v>45</v>
      </c>
    </row>
    <row r="939" spans="1:14" x14ac:dyDescent="0.25">
      <c r="A939" t="s">
        <v>1445</v>
      </c>
      <c r="B939" s="2">
        <v>45611</v>
      </c>
      <c r="C939" t="s">
        <v>347</v>
      </c>
      <c r="D939" t="s">
        <v>216</v>
      </c>
      <c r="E939" t="s">
        <v>2618</v>
      </c>
      <c r="F939" t="s">
        <v>2628</v>
      </c>
      <c r="G939" t="s">
        <v>60</v>
      </c>
      <c r="H939" t="s">
        <v>2647</v>
      </c>
      <c r="I939" t="s">
        <v>44</v>
      </c>
      <c r="J939">
        <v>38</v>
      </c>
      <c r="K939">
        <v>102.16</v>
      </c>
      <c r="L939">
        <v>65.23</v>
      </c>
      <c r="M939">
        <v>0.2</v>
      </c>
      <c r="N939" t="s">
        <v>32</v>
      </c>
    </row>
    <row r="940" spans="1:14" x14ac:dyDescent="0.25">
      <c r="A940" t="s">
        <v>1446</v>
      </c>
      <c r="B940" s="2">
        <v>45404</v>
      </c>
      <c r="C940" t="s">
        <v>464</v>
      </c>
      <c r="D940" t="s">
        <v>99</v>
      </c>
      <c r="E940" t="s">
        <v>2618</v>
      </c>
      <c r="F940" t="s">
        <v>2628</v>
      </c>
      <c r="G940" t="s">
        <v>195</v>
      </c>
      <c r="H940" t="s">
        <v>2646</v>
      </c>
      <c r="I940" t="s">
        <v>70</v>
      </c>
      <c r="J940">
        <v>66</v>
      </c>
      <c r="K940">
        <v>75.19</v>
      </c>
      <c r="L940">
        <v>41.12</v>
      </c>
      <c r="M940">
        <v>0.02</v>
      </c>
      <c r="N940" t="s">
        <v>45</v>
      </c>
    </row>
    <row r="941" spans="1:14" x14ac:dyDescent="0.25">
      <c r="A941" t="s">
        <v>1447</v>
      </c>
      <c r="B941" s="2">
        <v>45533</v>
      </c>
      <c r="C941" t="s">
        <v>194</v>
      </c>
      <c r="D941" t="s">
        <v>165</v>
      </c>
      <c r="E941" t="s">
        <v>2615</v>
      </c>
      <c r="F941" t="s">
        <v>2630</v>
      </c>
      <c r="G941" t="s">
        <v>184</v>
      </c>
      <c r="H941" t="s">
        <v>2646</v>
      </c>
      <c r="I941" t="s">
        <v>84</v>
      </c>
      <c r="J941">
        <v>68</v>
      </c>
      <c r="K941">
        <v>41.54</v>
      </c>
      <c r="L941">
        <v>24.39</v>
      </c>
      <c r="M941">
        <v>0.2</v>
      </c>
      <c r="N941" t="s">
        <v>45</v>
      </c>
    </row>
    <row r="942" spans="1:14" x14ac:dyDescent="0.25">
      <c r="A942" t="s">
        <v>1448</v>
      </c>
      <c r="B942" s="2">
        <v>45516</v>
      </c>
      <c r="C942" t="s">
        <v>162</v>
      </c>
      <c r="D942" t="s">
        <v>176</v>
      </c>
      <c r="E942" t="s">
        <v>2617</v>
      </c>
      <c r="F942" t="s">
        <v>2625</v>
      </c>
      <c r="G942" t="s">
        <v>83</v>
      </c>
      <c r="H942" t="s">
        <v>2646</v>
      </c>
      <c r="I942" t="s">
        <v>70</v>
      </c>
      <c r="J942">
        <v>47</v>
      </c>
      <c r="K942">
        <v>100.97</v>
      </c>
      <c r="L942">
        <v>61.44</v>
      </c>
      <c r="M942">
        <v>0.02</v>
      </c>
      <c r="N942" t="s">
        <v>45</v>
      </c>
    </row>
    <row r="943" spans="1:14" x14ac:dyDescent="0.25">
      <c r="A943" t="s">
        <v>1449</v>
      </c>
      <c r="B943" s="2">
        <v>45434</v>
      </c>
      <c r="C943" t="s">
        <v>594</v>
      </c>
      <c r="D943" t="s">
        <v>141</v>
      </c>
      <c r="E943" t="s">
        <v>2615</v>
      </c>
      <c r="F943" t="s">
        <v>2627</v>
      </c>
      <c r="G943" t="s">
        <v>69</v>
      </c>
      <c r="H943" t="s">
        <v>2647</v>
      </c>
      <c r="I943" t="s">
        <v>84</v>
      </c>
      <c r="J943">
        <v>34</v>
      </c>
      <c r="K943">
        <v>96.48</v>
      </c>
      <c r="L943">
        <v>61.4</v>
      </c>
      <c r="M943">
        <v>0.15</v>
      </c>
      <c r="N943" t="s">
        <v>45</v>
      </c>
    </row>
    <row r="944" spans="1:14" x14ac:dyDescent="0.25">
      <c r="A944" t="s">
        <v>1450</v>
      </c>
      <c r="B944" s="2">
        <v>45621</v>
      </c>
      <c r="C944" t="s">
        <v>580</v>
      </c>
      <c r="D944" t="s">
        <v>78</v>
      </c>
      <c r="E944" t="s">
        <v>2615</v>
      </c>
      <c r="F944" t="s">
        <v>2640</v>
      </c>
      <c r="G944" t="s">
        <v>184</v>
      </c>
      <c r="H944" t="s">
        <v>2647</v>
      </c>
      <c r="I944" t="s">
        <v>75</v>
      </c>
      <c r="J944">
        <v>23</v>
      </c>
      <c r="K944">
        <v>138.19999999999999</v>
      </c>
      <c r="L944">
        <v>78.69</v>
      </c>
      <c r="M944">
        <v>0.2</v>
      </c>
      <c r="N944" t="s">
        <v>45</v>
      </c>
    </row>
    <row r="945" spans="1:14" x14ac:dyDescent="0.25">
      <c r="A945" t="s">
        <v>1451</v>
      </c>
      <c r="B945" s="2">
        <v>45417</v>
      </c>
      <c r="C945" t="s">
        <v>626</v>
      </c>
      <c r="D945" t="s">
        <v>93</v>
      </c>
      <c r="E945" t="s">
        <v>2618</v>
      </c>
      <c r="F945" t="s">
        <v>2634</v>
      </c>
      <c r="G945" t="s">
        <v>253</v>
      </c>
      <c r="H945" t="s">
        <v>2645</v>
      </c>
      <c r="I945" t="s">
        <v>2578</v>
      </c>
      <c r="J945">
        <v>40</v>
      </c>
      <c r="K945">
        <v>58.91</v>
      </c>
      <c r="L945">
        <v>32.94</v>
      </c>
      <c r="M945">
        <v>0.1</v>
      </c>
      <c r="N945" t="s">
        <v>129</v>
      </c>
    </row>
    <row r="946" spans="1:14" x14ac:dyDescent="0.25">
      <c r="A946" t="s">
        <v>1452</v>
      </c>
      <c r="B946" s="2">
        <v>45511</v>
      </c>
      <c r="C946" t="s">
        <v>911</v>
      </c>
      <c r="D946" t="s">
        <v>126</v>
      </c>
      <c r="E946" t="s">
        <v>2616</v>
      </c>
      <c r="F946" t="s">
        <v>2633</v>
      </c>
      <c r="G946" t="s">
        <v>218</v>
      </c>
      <c r="H946" t="s">
        <v>2647</v>
      </c>
      <c r="I946" t="s">
        <v>84</v>
      </c>
      <c r="J946">
        <v>26</v>
      </c>
      <c r="K946">
        <v>89.41</v>
      </c>
      <c r="L946">
        <v>57.07</v>
      </c>
      <c r="M946">
        <v>0.2</v>
      </c>
      <c r="N946" t="s">
        <v>45</v>
      </c>
    </row>
    <row r="947" spans="1:14" x14ac:dyDescent="0.25">
      <c r="A947" t="s">
        <v>1453</v>
      </c>
      <c r="B947" s="2">
        <v>45421</v>
      </c>
      <c r="C947" t="s">
        <v>945</v>
      </c>
      <c r="D947" t="s">
        <v>49</v>
      </c>
      <c r="E947" t="s">
        <v>2618</v>
      </c>
      <c r="F947" t="s">
        <v>2635</v>
      </c>
      <c r="G947" t="s">
        <v>74</v>
      </c>
      <c r="H947" t="s">
        <v>2646</v>
      </c>
      <c r="I947" t="s">
        <v>2578</v>
      </c>
      <c r="J947">
        <v>25</v>
      </c>
      <c r="K947">
        <v>23.83</v>
      </c>
      <c r="L947">
        <v>12.11</v>
      </c>
      <c r="M947">
        <v>0.15</v>
      </c>
      <c r="N947" t="s">
        <v>45</v>
      </c>
    </row>
    <row r="948" spans="1:14" x14ac:dyDescent="0.25">
      <c r="A948" t="s">
        <v>1454</v>
      </c>
      <c r="B948" s="2">
        <v>45463</v>
      </c>
      <c r="C948" t="s">
        <v>1380</v>
      </c>
      <c r="D948" t="s">
        <v>209</v>
      </c>
      <c r="E948" t="s">
        <v>2616</v>
      </c>
      <c r="F948" t="s">
        <v>2631</v>
      </c>
      <c r="G948" t="s">
        <v>152</v>
      </c>
      <c r="H948" t="s">
        <v>2648</v>
      </c>
      <c r="I948" t="s">
        <v>84</v>
      </c>
      <c r="J948">
        <v>79</v>
      </c>
      <c r="K948">
        <v>18.829999999999998</v>
      </c>
      <c r="L948">
        <v>9.93</v>
      </c>
      <c r="M948">
        <v>0.1</v>
      </c>
      <c r="N948" t="s">
        <v>45</v>
      </c>
    </row>
    <row r="949" spans="1:14" x14ac:dyDescent="0.25">
      <c r="A949" t="s">
        <v>1455</v>
      </c>
      <c r="B949" s="2">
        <v>45486</v>
      </c>
      <c r="C949" t="s">
        <v>430</v>
      </c>
      <c r="D949" t="s">
        <v>222</v>
      </c>
      <c r="E949" t="s">
        <v>2616</v>
      </c>
      <c r="F949" t="s">
        <v>2638</v>
      </c>
      <c r="G949" t="s">
        <v>178</v>
      </c>
      <c r="H949" t="s">
        <v>2647</v>
      </c>
      <c r="I949" t="s">
        <v>84</v>
      </c>
      <c r="J949">
        <v>41</v>
      </c>
      <c r="K949">
        <v>123.41</v>
      </c>
      <c r="L949">
        <v>77.11</v>
      </c>
      <c r="M949">
        <v>0.05</v>
      </c>
      <c r="N949" t="s">
        <v>45</v>
      </c>
    </row>
    <row r="950" spans="1:14" x14ac:dyDescent="0.25">
      <c r="A950" t="s">
        <v>1456</v>
      </c>
      <c r="B950" s="2">
        <v>45624</v>
      </c>
      <c r="C950" t="s">
        <v>578</v>
      </c>
      <c r="D950" t="s">
        <v>36</v>
      </c>
      <c r="E950" t="s">
        <v>2614</v>
      </c>
      <c r="F950" t="s">
        <v>2637</v>
      </c>
      <c r="G950" t="s">
        <v>29</v>
      </c>
      <c r="H950" t="s">
        <v>2648</v>
      </c>
      <c r="I950" t="s">
        <v>44</v>
      </c>
      <c r="J950">
        <v>59</v>
      </c>
      <c r="K950">
        <v>159.38</v>
      </c>
      <c r="L950">
        <v>103.64</v>
      </c>
      <c r="M950">
        <v>0.1</v>
      </c>
      <c r="N950" t="s">
        <v>45</v>
      </c>
    </row>
    <row r="951" spans="1:14" x14ac:dyDescent="0.25">
      <c r="A951" t="s">
        <v>1457</v>
      </c>
      <c r="B951" s="2">
        <v>45602</v>
      </c>
      <c r="C951" t="s">
        <v>220</v>
      </c>
      <c r="D951" t="s">
        <v>36</v>
      </c>
      <c r="E951" t="s">
        <v>2617</v>
      </c>
      <c r="F951" t="s">
        <v>2642</v>
      </c>
      <c r="G951" t="s">
        <v>29</v>
      </c>
      <c r="H951" t="s">
        <v>2646</v>
      </c>
      <c r="I951" t="s">
        <v>75</v>
      </c>
      <c r="J951" t="e">
        <f>ROUND(#REF!/Sales12[[#This Row],[Unit_Price]],0)</f>
        <v>#REF!</v>
      </c>
      <c r="K951">
        <v>176.92</v>
      </c>
      <c r="L951">
        <v>106.84</v>
      </c>
      <c r="M951">
        <v>0.15</v>
      </c>
      <c r="N951" t="s">
        <v>45</v>
      </c>
    </row>
    <row r="952" spans="1:14" x14ac:dyDescent="0.25">
      <c r="A952" t="s">
        <v>1458</v>
      </c>
      <c r="B952" s="2">
        <v>45359</v>
      </c>
      <c r="C952" t="s">
        <v>258</v>
      </c>
      <c r="D952" t="s">
        <v>141</v>
      </c>
      <c r="E952" t="s">
        <v>2615</v>
      </c>
      <c r="F952" t="s">
        <v>2627</v>
      </c>
      <c r="G952" t="s">
        <v>111</v>
      </c>
      <c r="H952" t="s">
        <v>2648</v>
      </c>
      <c r="I952" t="s">
        <v>2578</v>
      </c>
      <c r="J952">
        <v>38</v>
      </c>
      <c r="K952">
        <v>96.69</v>
      </c>
      <c r="L952">
        <v>57.17</v>
      </c>
      <c r="M952">
        <v>0.2</v>
      </c>
      <c r="N952" t="s">
        <v>45</v>
      </c>
    </row>
    <row r="953" spans="1:14" x14ac:dyDescent="0.25">
      <c r="A953" t="s">
        <v>1459</v>
      </c>
      <c r="B953" s="2">
        <v>45411</v>
      </c>
      <c r="C953" t="s">
        <v>611</v>
      </c>
      <c r="D953" t="s">
        <v>109</v>
      </c>
      <c r="E953" t="s">
        <v>2614</v>
      </c>
      <c r="F953" t="s">
        <v>2637</v>
      </c>
      <c r="G953" t="s">
        <v>170</v>
      </c>
      <c r="H953" t="s">
        <v>2645</v>
      </c>
      <c r="I953" t="s">
        <v>2578</v>
      </c>
      <c r="J953">
        <v>77</v>
      </c>
      <c r="K953">
        <v>118.47</v>
      </c>
      <c r="L953">
        <v>76.31</v>
      </c>
      <c r="M953">
        <v>0.2</v>
      </c>
      <c r="N953" t="s">
        <v>45</v>
      </c>
    </row>
    <row r="954" spans="1:14" x14ac:dyDescent="0.25">
      <c r="A954" t="s">
        <v>1460</v>
      </c>
      <c r="B954" s="2">
        <v>45520</v>
      </c>
      <c r="C954" t="s">
        <v>617</v>
      </c>
      <c r="D954" t="s">
        <v>109</v>
      </c>
      <c r="E954" t="s">
        <v>2617</v>
      </c>
      <c r="F954" t="s">
        <v>2641</v>
      </c>
      <c r="G954" t="s">
        <v>248</v>
      </c>
      <c r="H954" t="s">
        <v>2648</v>
      </c>
      <c r="I954" t="s">
        <v>75</v>
      </c>
      <c r="J954">
        <v>6</v>
      </c>
      <c r="K954">
        <v>120.77</v>
      </c>
      <c r="L954">
        <v>74.959999999999994</v>
      </c>
      <c r="M954">
        <v>0.05</v>
      </c>
      <c r="N954" t="s">
        <v>45</v>
      </c>
    </row>
    <row r="955" spans="1:14" x14ac:dyDescent="0.25">
      <c r="A955" t="s">
        <v>1461</v>
      </c>
      <c r="B955" s="2">
        <v>45480</v>
      </c>
      <c r="C955" t="s">
        <v>893</v>
      </c>
      <c r="D955" t="s">
        <v>165</v>
      </c>
      <c r="E955" t="s">
        <v>2614</v>
      </c>
      <c r="F955" t="s">
        <v>2636</v>
      </c>
      <c r="G955" t="s">
        <v>118</v>
      </c>
      <c r="H955" t="s">
        <v>2646</v>
      </c>
      <c r="I955" t="s">
        <v>70</v>
      </c>
      <c r="J955">
        <v>42</v>
      </c>
      <c r="K955">
        <v>43.7</v>
      </c>
      <c r="L955">
        <v>23.21</v>
      </c>
      <c r="M955">
        <v>0.2</v>
      </c>
      <c r="N955" t="s">
        <v>45</v>
      </c>
    </row>
    <row r="956" spans="1:14" x14ac:dyDescent="0.25">
      <c r="A956" t="s">
        <v>1462</v>
      </c>
      <c r="B956" s="2">
        <v>45643</v>
      </c>
      <c r="C956" t="s">
        <v>389</v>
      </c>
      <c r="D956" t="s">
        <v>141</v>
      </c>
      <c r="E956" t="s">
        <v>2614</v>
      </c>
      <c r="F956" t="s">
        <v>2636</v>
      </c>
      <c r="G956" t="s">
        <v>42</v>
      </c>
      <c r="H956" t="s">
        <v>2646</v>
      </c>
      <c r="I956" t="s">
        <v>75</v>
      </c>
      <c r="J956">
        <v>43</v>
      </c>
      <c r="K956">
        <v>97.71</v>
      </c>
      <c r="L956">
        <v>58.61</v>
      </c>
      <c r="M956">
        <v>0.05</v>
      </c>
      <c r="N956" t="s">
        <v>32</v>
      </c>
    </row>
    <row r="957" spans="1:14" x14ac:dyDescent="0.25">
      <c r="A957" t="s">
        <v>1463</v>
      </c>
      <c r="B957" s="2">
        <v>45341</v>
      </c>
      <c r="C957" t="s">
        <v>859</v>
      </c>
      <c r="D957" t="s">
        <v>209</v>
      </c>
      <c r="E957" t="s">
        <v>2615</v>
      </c>
      <c r="F957" t="s">
        <v>2630</v>
      </c>
      <c r="G957" t="s">
        <v>178</v>
      </c>
      <c r="H957" t="s">
        <v>2648</v>
      </c>
      <c r="I957" t="s">
        <v>2578</v>
      </c>
      <c r="J957">
        <v>28</v>
      </c>
      <c r="K957">
        <v>18.899999999999999</v>
      </c>
      <c r="L957">
        <v>10.25</v>
      </c>
      <c r="M957">
        <v>0.15</v>
      </c>
      <c r="N957" t="s">
        <v>45</v>
      </c>
    </row>
    <row r="958" spans="1:14" x14ac:dyDescent="0.25">
      <c r="A958" t="s">
        <v>1464</v>
      </c>
      <c r="B958" s="2">
        <v>45551</v>
      </c>
      <c r="C958" t="s">
        <v>983</v>
      </c>
      <c r="D958" t="s">
        <v>78</v>
      </c>
      <c r="E958" t="s">
        <v>2614</v>
      </c>
      <c r="F958" t="s">
        <v>2636</v>
      </c>
      <c r="G958" t="s">
        <v>265</v>
      </c>
      <c r="H958" t="s">
        <v>2647</v>
      </c>
      <c r="I958" t="s">
        <v>75</v>
      </c>
      <c r="J958">
        <v>57</v>
      </c>
      <c r="K958">
        <v>134.57</v>
      </c>
      <c r="L958">
        <v>76.22</v>
      </c>
      <c r="M958">
        <v>0</v>
      </c>
      <c r="N958" t="s">
        <v>45</v>
      </c>
    </row>
    <row r="959" spans="1:14" x14ac:dyDescent="0.25">
      <c r="A959" t="s">
        <v>1465</v>
      </c>
      <c r="B959" s="2">
        <v>45343</v>
      </c>
      <c r="C959" t="s">
        <v>811</v>
      </c>
      <c r="D959" t="s">
        <v>23</v>
      </c>
      <c r="E959" t="s">
        <v>2614</v>
      </c>
      <c r="F959" t="s">
        <v>2637</v>
      </c>
      <c r="G959" t="s">
        <v>60</v>
      </c>
      <c r="H959" t="s">
        <v>2645</v>
      </c>
      <c r="I959" t="s">
        <v>44</v>
      </c>
      <c r="J959">
        <v>57</v>
      </c>
      <c r="K959">
        <v>70.88</v>
      </c>
      <c r="L959">
        <v>46.3</v>
      </c>
      <c r="M959">
        <v>0.2</v>
      </c>
      <c r="N959" t="s">
        <v>32</v>
      </c>
    </row>
    <row r="960" spans="1:14" x14ac:dyDescent="0.25">
      <c r="A960" t="s">
        <v>1466</v>
      </c>
      <c r="B960" s="2">
        <v>45573</v>
      </c>
      <c r="C960" t="s">
        <v>483</v>
      </c>
      <c r="D960" t="s">
        <v>99</v>
      </c>
      <c r="E960" t="s">
        <v>2614</v>
      </c>
      <c r="F960" t="s">
        <v>2629</v>
      </c>
      <c r="G960" t="s">
        <v>83</v>
      </c>
      <c r="H960" t="s">
        <v>2645</v>
      </c>
      <c r="I960" t="s">
        <v>70</v>
      </c>
      <c r="J960">
        <v>22</v>
      </c>
      <c r="K960">
        <v>67.84</v>
      </c>
      <c r="L960">
        <v>40.04</v>
      </c>
      <c r="M960">
        <v>0.2</v>
      </c>
      <c r="N960" t="s">
        <v>45</v>
      </c>
    </row>
    <row r="961" spans="1:14" x14ac:dyDescent="0.25">
      <c r="A961" t="s">
        <v>1467</v>
      </c>
      <c r="B961" s="2">
        <v>45322</v>
      </c>
      <c r="C961" t="s">
        <v>499</v>
      </c>
      <c r="D961" t="s">
        <v>216</v>
      </c>
      <c r="E961" t="s">
        <v>2616</v>
      </c>
      <c r="F961" t="s">
        <v>2638</v>
      </c>
      <c r="G961" t="s">
        <v>178</v>
      </c>
      <c r="H961" t="s">
        <v>2647</v>
      </c>
      <c r="I961" t="s">
        <v>44</v>
      </c>
      <c r="J961">
        <v>56</v>
      </c>
      <c r="K961">
        <v>104.8</v>
      </c>
      <c r="L961">
        <v>67.08</v>
      </c>
      <c r="M961">
        <v>0.02</v>
      </c>
      <c r="N961" t="s">
        <v>45</v>
      </c>
    </row>
    <row r="962" spans="1:14" x14ac:dyDescent="0.25">
      <c r="A962" t="s">
        <v>1468</v>
      </c>
      <c r="B962" s="2">
        <v>45525</v>
      </c>
      <c r="C962" t="s">
        <v>1469</v>
      </c>
      <c r="D962" t="s">
        <v>93</v>
      </c>
      <c r="E962" t="s">
        <v>2617</v>
      </c>
      <c r="F962" t="s">
        <v>2626</v>
      </c>
      <c r="G962" t="s">
        <v>42</v>
      </c>
      <c r="H962" t="s">
        <v>2648</v>
      </c>
      <c r="I962" t="s">
        <v>75</v>
      </c>
      <c r="J962">
        <v>77</v>
      </c>
      <c r="K962">
        <v>51.95</v>
      </c>
      <c r="L962">
        <v>32.369999999999997</v>
      </c>
      <c r="M962">
        <v>0</v>
      </c>
      <c r="N962" t="s">
        <v>45</v>
      </c>
    </row>
    <row r="963" spans="1:14" x14ac:dyDescent="0.25">
      <c r="A963" t="s">
        <v>1470</v>
      </c>
      <c r="B963" s="2">
        <v>45528</v>
      </c>
      <c r="C963" t="s">
        <v>739</v>
      </c>
      <c r="D963" t="s">
        <v>209</v>
      </c>
      <c r="E963" t="s">
        <v>2614</v>
      </c>
      <c r="F963" t="s">
        <v>2637</v>
      </c>
      <c r="G963" t="s">
        <v>118</v>
      </c>
      <c r="H963" t="s">
        <v>2646</v>
      </c>
      <c r="I963" t="s">
        <v>44</v>
      </c>
      <c r="J963">
        <v>56</v>
      </c>
      <c r="K963">
        <v>18.87</v>
      </c>
      <c r="L963">
        <v>9.3699999999999992</v>
      </c>
      <c r="M963">
        <v>0.1</v>
      </c>
      <c r="N963" t="s">
        <v>129</v>
      </c>
    </row>
    <row r="964" spans="1:14" x14ac:dyDescent="0.25">
      <c r="A964" t="s">
        <v>1471</v>
      </c>
      <c r="B964" s="2">
        <v>45608</v>
      </c>
      <c r="C964" t="s">
        <v>511</v>
      </c>
      <c r="D964" t="s">
        <v>209</v>
      </c>
      <c r="E964" t="s">
        <v>2617</v>
      </c>
      <c r="F964" t="s">
        <v>2641</v>
      </c>
      <c r="G964" t="s">
        <v>265</v>
      </c>
      <c r="H964" t="s">
        <v>2645</v>
      </c>
      <c r="I964" t="s">
        <v>70</v>
      </c>
      <c r="J964">
        <v>59</v>
      </c>
      <c r="K964">
        <v>19.059999999999999</v>
      </c>
      <c r="L964">
        <v>10.66</v>
      </c>
      <c r="M964">
        <v>0.2</v>
      </c>
      <c r="N964" t="s">
        <v>45</v>
      </c>
    </row>
    <row r="965" spans="1:14" x14ac:dyDescent="0.25">
      <c r="A965" t="s">
        <v>1472</v>
      </c>
      <c r="B965" s="2">
        <v>45605</v>
      </c>
      <c r="C965" t="s">
        <v>1171</v>
      </c>
      <c r="D965" t="s">
        <v>49</v>
      </c>
      <c r="E965" t="s">
        <v>2615</v>
      </c>
      <c r="F965" t="s">
        <v>2640</v>
      </c>
      <c r="G965" t="s">
        <v>69</v>
      </c>
      <c r="H965" t="s">
        <v>2645</v>
      </c>
      <c r="I965" t="s">
        <v>44</v>
      </c>
      <c r="J965">
        <v>36</v>
      </c>
      <c r="K965">
        <v>24.18</v>
      </c>
      <c r="L965">
        <v>13.93</v>
      </c>
      <c r="M965">
        <v>0.2</v>
      </c>
      <c r="N965" t="s">
        <v>32</v>
      </c>
    </row>
    <row r="966" spans="1:14" x14ac:dyDescent="0.25">
      <c r="A966" t="s">
        <v>1473</v>
      </c>
      <c r="B966" s="2">
        <v>45467</v>
      </c>
      <c r="C966" t="s">
        <v>900</v>
      </c>
      <c r="D966" t="s">
        <v>93</v>
      </c>
      <c r="E966" t="s">
        <v>2618</v>
      </c>
      <c r="F966" t="s">
        <v>2628</v>
      </c>
      <c r="G966" t="s">
        <v>60</v>
      </c>
      <c r="H966" t="s">
        <v>2648</v>
      </c>
      <c r="I966" t="s">
        <v>75</v>
      </c>
      <c r="J966">
        <v>53</v>
      </c>
      <c r="K966">
        <v>51.63</v>
      </c>
      <c r="L966">
        <v>34.25</v>
      </c>
      <c r="M966">
        <v>0.15</v>
      </c>
      <c r="N966" t="s">
        <v>45</v>
      </c>
    </row>
    <row r="967" spans="1:14" x14ac:dyDescent="0.25">
      <c r="A967" t="s">
        <v>1474</v>
      </c>
      <c r="B967" s="2">
        <v>45462</v>
      </c>
      <c r="C967" t="s">
        <v>1215</v>
      </c>
      <c r="D967" t="s">
        <v>150</v>
      </c>
      <c r="E967" t="s">
        <v>2616</v>
      </c>
      <c r="F967" t="s">
        <v>2633</v>
      </c>
      <c r="G967" t="s">
        <v>195</v>
      </c>
      <c r="H967" t="s">
        <v>2648</v>
      </c>
      <c r="I967" t="s">
        <v>84</v>
      </c>
      <c r="J967">
        <v>46</v>
      </c>
      <c r="K967">
        <v>89.23</v>
      </c>
      <c r="L967">
        <v>52.11</v>
      </c>
      <c r="M967">
        <v>0.15</v>
      </c>
      <c r="N967" t="s">
        <v>45</v>
      </c>
    </row>
    <row r="968" spans="1:14" x14ac:dyDescent="0.25">
      <c r="A968" t="s">
        <v>1475</v>
      </c>
      <c r="B968" s="2">
        <v>45382</v>
      </c>
      <c r="C968" t="s">
        <v>1476</v>
      </c>
      <c r="D968" t="s">
        <v>216</v>
      </c>
      <c r="E968" t="s">
        <v>2618</v>
      </c>
      <c r="F968" t="s">
        <v>2635</v>
      </c>
      <c r="G968" t="s">
        <v>60</v>
      </c>
      <c r="H968" t="s">
        <v>2647</v>
      </c>
      <c r="I968" t="s">
        <v>70</v>
      </c>
      <c r="J968">
        <v>42</v>
      </c>
      <c r="K968">
        <v>105.53</v>
      </c>
      <c r="L968">
        <v>63.36</v>
      </c>
      <c r="M968">
        <v>0</v>
      </c>
      <c r="N968" t="s">
        <v>32</v>
      </c>
    </row>
    <row r="969" spans="1:14" x14ac:dyDescent="0.25">
      <c r="A969" t="s">
        <v>1477</v>
      </c>
      <c r="B969" s="2">
        <v>45496</v>
      </c>
      <c r="C969" t="s">
        <v>515</v>
      </c>
      <c r="D969" t="s">
        <v>209</v>
      </c>
      <c r="E969" t="s">
        <v>2616</v>
      </c>
      <c r="F969" t="s">
        <v>2631</v>
      </c>
      <c r="G969" t="s">
        <v>218</v>
      </c>
      <c r="H969" t="s">
        <v>2646</v>
      </c>
      <c r="I969" t="s">
        <v>2578</v>
      </c>
      <c r="J969">
        <v>13</v>
      </c>
      <c r="K969">
        <v>17.62</v>
      </c>
      <c r="L969">
        <v>9.2899999999999991</v>
      </c>
      <c r="M969">
        <v>0.05</v>
      </c>
      <c r="N969" t="s">
        <v>129</v>
      </c>
    </row>
    <row r="970" spans="1:14" x14ac:dyDescent="0.25">
      <c r="A970" t="s">
        <v>1478</v>
      </c>
      <c r="B970" s="2">
        <v>45513</v>
      </c>
      <c r="C970" t="s">
        <v>757</v>
      </c>
      <c r="D970" t="s">
        <v>222</v>
      </c>
      <c r="E970" t="s">
        <v>2617</v>
      </c>
      <c r="F970" t="s">
        <v>2642</v>
      </c>
      <c r="G970" t="s">
        <v>83</v>
      </c>
      <c r="H970" t="s">
        <v>2647</v>
      </c>
      <c r="I970" t="s">
        <v>44</v>
      </c>
      <c r="J970">
        <v>13</v>
      </c>
      <c r="K970">
        <v>118.97</v>
      </c>
      <c r="L970">
        <v>81.72</v>
      </c>
      <c r="M970">
        <v>0.2</v>
      </c>
      <c r="N970" t="s">
        <v>129</v>
      </c>
    </row>
    <row r="971" spans="1:14" x14ac:dyDescent="0.25">
      <c r="A971" t="s">
        <v>1479</v>
      </c>
      <c r="B971" s="2">
        <v>45468</v>
      </c>
      <c r="C971" t="s">
        <v>600</v>
      </c>
      <c r="D971" t="s">
        <v>216</v>
      </c>
      <c r="E971" t="s">
        <v>2618</v>
      </c>
      <c r="F971" t="s">
        <v>2632</v>
      </c>
      <c r="G971" t="s">
        <v>152</v>
      </c>
      <c r="H971" t="s">
        <v>2645</v>
      </c>
      <c r="I971" t="s">
        <v>75</v>
      </c>
      <c r="J971">
        <v>2</v>
      </c>
      <c r="K971">
        <v>104.07</v>
      </c>
      <c r="L971">
        <v>64.150000000000006</v>
      </c>
      <c r="M971">
        <v>0.05</v>
      </c>
      <c r="N971" t="s">
        <v>45</v>
      </c>
    </row>
    <row r="972" spans="1:14" x14ac:dyDescent="0.25">
      <c r="A972" t="s">
        <v>1480</v>
      </c>
      <c r="B972" s="2">
        <v>45477</v>
      </c>
      <c r="C972" t="s">
        <v>247</v>
      </c>
      <c r="D972" t="s">
        <v>114</v>
      </c>
      <c r="E972" t="s">
        <v>2616</v>
      </c>
      <c r="F972" t="s">
        <v>2633</v>
      </c>
      <c r="G972" t="s">
        <v>195</v>
      </c>
      <c r="H972" t="s">
        <v>2645</v>
      </c>
      <c r="I972" t="s">
        <v>84</v>
      </c>
      <c r="J972">
        <v>79</v>
      </c>
      <c r="K972">
        <v>35.4</v>
      </c>
      <c r="L972">
        <v>19.8</v>
      </c>
      <c r="M972">
        <v>0.02</v>
      </c>
      <c r="N972" t="s">
        <v>45</v>
      </c>
    </row>
    <row r="973" spans="1:14" x14ac:dyDescent="0.25">
      <c r="A973" t="s">
        <v>1481</v>
      </c>
      <c r="B973" s="2">
        <v>45402</v>
      </c>
      <c r="C973" t="s">
        <v>146</v>
      </c>
      <c r="D973" t="s">
        <v>66</v>
      </c>
      <c r="E973" t="s">
        <v>2614</v>
      </c>
      <c r="F973" t="s">
        <v>2629</v>
      </c>
      <c r="G973" t="s">
        <v>265</v>
      </c>
      <c r="H973" t="s">
        <v>2648</v>
      </c>
      <c r="I973" t="s">
        <v>2578</v>
      </c>
      <c r="J973">
        <v>25</v>
      </c>
      <c r="K973">
        <v>165.59</v>
      </c>
      <c r="L973">
        <v>110.03</v>
      </c>
      <c r="M973">
        <v>0.1</v>
      </c>
      <c r="N973" t="s">
        <v>129</v>
      </c>
    </row>
    <row r="974" spans="1:14" x14ac:dyDescent="0.25">
      <c r="A974" t="s">
        <v>1482</v>
      </c>
      <c r="B974" s="2">
        <v>45350</v>
      </c>
      <c r="C974" t="s">
        <v>485</v>
      </c>
      <c r="D974" t="s">
        <v>250</v>
      </c>
      <c r="E974" t="s">
        <v>2616</v>
      </c>
      <c r="F974" t="s">
        <v>2631</v>
      </c>
      <c r="G974" t="s">
        <v>248</v>
      </c>
      <c r="H974" t="s">
        <v>2645</v>
      </c>
      <c r="I974" t="s">
        <v>70</v>
      </c>
      <c r="J974">
        <v>35</v>
      </c>
      <c r="K974">
        <v>66.72</v>
      </c>
      <c r="L974">
        <v>39.799999999999997</v>
      </c>
      <c r="M974">
        <v>0</v>
      </c>
      <c r="N974" t="s">
        <v>45</v>
      </c>
    </row>
    <row r="975" spans="1:14" x14ac:dyDescent="0.25">
      <c r="A975" t="s">
        <v>1483</v>
      </c>
      <c r="B975" s="2">
        <v>45305</v>
      </c>
      <c r="C975" t="s">
        <v>2619</v>
      </c>
      <c r="D975" t="s">
        <v>250</v>
      </c>
      <c r="E975" t="s">
        <v>2614</v>
      </c>
      <c r="F975" t="s">
        <v>2636</v>
      </c>
      <c r="G975" t="s">
        <v>178</v>
      </c>
      <c r="H975" t="s">
        <v>2646</v>
      </c>
      <c r="I975" t="s">
        <v>44</v>
      </c>
      <c r="J975">
        <v>26</v>
      </c>
      <c r="K975">
        <v>64.81</v>
      </c>
      <c r="L975">
        <v>36.15</v>
      </c>
      <c r="M975">
        <v>0.15</v>
      </c>
      <c r="N975" t="s">
        <v>45</v>
      </c>
    </row>
    <row r="976" spans="1:14" x14ac:dyDescent="0.25">
      <c r="A976" t="s">
        <v>1484</v>
      </c>
      <c r="B976" s="2">
        <v>45605</v>
      </c>
      <c r="C976" t="s">
        <v>623</v>
      </c>
      <c r="D976" t="s">
        <v>222</v>
      </c>
      <c r="E976" t="s">
        <v>2615</v>
      </c>
      <c r="F976" t="s">
        <v>2640</v>
      </c>
      <c r="G976" t="s">
        <v>170</v>
      </c>
      <c r="H976" t="s">
        <v>2645</v>
      </c>
      <c r="I976" t="s">
        <v>2578</v>
      </c>
      <c r="J976">
        <v>7</v>
      </c>
      <c r="K976">
        <v>118.58</v>
      </c>
      <c r="L976">
        <v>77.39</v>
      </c>
      <c r="M976">
        <v>0.05</v>
      </c>
      <c r="N976" t="s">
        <v>32</v>
      </c>
    </row>
    <row r="977" spans="1:14" x14ac:dyDescent="0.25">
      <c r="A977" t="s">
        <v>1485</v>
      </c>
      <c r="B977" s="2">
        <v>45303</v>
      </c>
      <c r="C977" t="s">
        <v>658</v>
      </c>
      <c r="D977" t="s">
        <v>132</v>
      </c>
      <c r="E977" t="s">
        <v>2618</v>
      </c>
      <c r="F977" t="s">
        <v>2628</v>
      </c>
      <c r="G977" t="s">
        <v>29</v>
      </c>
      <c r="H977" t="s">
        <v>2645</v>
      </c>
      <c r="I977" t="s">
        <v>44</v>
      </c>
      <c r="J977">
        <v>12</v>
      </c>
      <c r="K977">
        <v>61.84</v>
      </c>
      <c r="L977">
        <v>33.770000000000003</v>
      </c>
      <c r="M977">
        <v>0.02</v>
      </c>
      <c r="N977" t="s">
        <v>32</v>
      </c>
    </row>
    <row r="978" spans="1:14" x14ac:dyDescent="0.25">
      <c r="A978" t="s">
        <v>1486</v>
      </c>
      <c r="B978" s="2">
        <v>45584</v>
      </c>
      <c r="C978" t="s">
        <v>483</v>
      </c>
      <c r="D978" t="s">
        <v>126</v>
      </c>
      <c r="E978" t="s">
        <v>2615</v>
      </c>
      <c r="F978" t="s">
        <v>2640</v>
      </c>
      <c r="G978" t="s">
        <v>111</v>
      </c>
      <c r="H978" t="s">
        <v>2647</v>
      </c>
      <c r="I978" t="s">
        <v>84</v>
      </c>
      <c r="J978">
        <v>65</v>
      </c>
      <c r="K978">
        <v>84.44</v>
      </c>
      <c r="L978">
        <v>50.04</v>
      </c>
      <c r="M978">
        <v>0.05</v>
      </c>
      <c r="N978" t="s">
        <v>45</v>
      </c>
    </row>
    <row r="979" spans="1:14" x14ac:dyDescent="0.25">
      <c r="A979" t="s">
        <v>1487</v>
      </c>
      <c r="B979" s="2">
        <v>45628</v>
      </c>
      <c r="C979" t="s">
        <v>1488</v>
      </c>
      <c r="D979" t="s">
        <v>187</v>
      </c>
      <c r="E979" t="s">
        <v>2615</v>
      </c>
      <c r="F979" t="s">
        <v>2623</v>
      </c>
      <c r="G979" t="s">
        <v>111</v>
      </c>
      <c r="H979" t="s">
        <v>2648</v>
      </c>
      <c r="I979" t="s">
        <v>70</v>
      </c>
      <c r="J979">
        <v>1</v>
      </c>
      <c r="K979">
        <v>45.85</v>
      </c>
      <c r="L979">
        <v>28.31</v>
      </c>
      <c r="M979">
        <v>0.1</v>
      </c>
      <c r="N979" t="s">
        <v>45</v>
      </c>
    </row>
    <row r="980" spans="1:14" x14ac:dyDescent="0.25">
      <c r="A980" t="s">
        <v>1489</v>
      </c>
      <c r="B980" s="2">
        <v>45557</v>
      </c>
      <c r="C980" t="s">
        <v>1236</v>
      </c>
      <c r="D980" t="s">
        <v>109</v>
      </c>
      <c r="E980" t="s">
        <v>2616</v>
      </c>
      <c r="F980" t="s">
        <v>2633</v>
      </c>
      <c r="G980" t="s">
        <v>111</v>
      </c>
      <c r="H980" t="s">
        <v>2648</v>
      </c>
      <c r="I980" t="s">
        <v>84</v>
      </c>
      <c r="J980">
        <v>25</v>
      </c>
      <c r="K980">
        <v>119.11</v>
      </c>
      <c r="L980">
        <v>69.52</v>
      </c>
      <c r="M980">
        <v>0.1</v>
      </c>
      <c r="N980" t="s">
        <v>32</v>
      </c>
    </row>
    <row r="981" spans="1:14" x14ac:dyDescent="0.25">
      <c r="A981" t="s">
        <v>1490</v>
      </c>
      <c r="B981" s="2">
        <v>45447</v>
      </c>
      <c r="C981" t="s">
        <v>936</v>
      </c>
      <c r="D981" t="s">
        <v>222</v>
      </c>
      <c r="E981" t="s">
        <v>2618</v>
      </c>
      <c r="F981" t="s">
        <v>2635</v>
      </c>
      <c r="G981" t="s">
        <v>248</v>
      </c>
      <c r="H981" t="s">
        <v>2646</v>
      </c>
      <c r="I981" t="s">
        <v>75</v>
      </c>
      <c r="J981">
        <v>38</v>
      </c>
      <c r="K981">
        <v>120.43</v>
      </c>
      <c r="L981">
        <v>75.5</v>
      </c>
      <c r="M981">
        <v>0.05</v>
      </c>
      <c r="N981" t="s">
        <v>32</v>
      </c>
    </row>
    <row r="982" spans="1:14" x14ac:dyDescent="0.25">
      <c r="A982" t="s">
        <v>1491</v>
      </c>
      <c r="B982" s="2">
        <v>45306</v>
      </c>
      <c r="C982" t="s">
        <v>584</v>
      </c>
      <c r="D982" t="s">
        <v>36</v>
      </c>
      <c r="E982" t="s">
        <v>2616</v>
      </c>
      <c r="F982" t="s">
        <v>2631</v>
      </c>
      <c r="G982" t="s">
        <v>29</v>
      </c>
      <c r="H982" t="s">
        <v>2645</v>
      </c>
      <c r="I982" t="s">
        <v>2578</v>
      </c>
      <c r="J982">
        <v>48</v>
      </c>
      <c r="K982">
        <v>152.56</v>
      </c>
      <c r="L982">
        <v>100.32</v>
      </c>
      <c r="M982">
        <v>0.2</v>
      </c>
      <c r="N982" t="s">
        <v>129</v>
      </c>
    </row>
    <row r="983" spans="1:14" x14ac:dyDescent="0.25">
      <c r="A983" t="s">
        <v>1492</v>
      </c>
      <c r="B983" s="2">
        <v>45478</v>
      </c>
      <c r="C983" t="s">
        <v>1493</v>
      </c>
      <c r="D983" t="s">
        <v>141</v>
      </c>
      <c r="E983" t="s">
        <v>2615</v>
      </c>
      <c r="F983" t="s">
        <v>2627</v>
      </c>
      <c r="G983" t="s">
        <v>218</v>
      </c>
      <c r="H983" t="s">
        <v>2647</v>
      </c>
      <c r="I983" t="s">
        <v>44</v>
      </c>
      <c r="J983">
        <v>41</v>
      </c>
      <c r="K983">
        <v>92.36</v>
      </c>
      <c r="L983">
        <v>56.14</v>
      </c>
      <c r="M983">
        <v>0.2</v>
      </c>
      <c r="N983" t="s">
        <v>45</v>
      </c>
    </row>
    <row r="984" spans="1:14" x14ac:dyDescent="0.25">
      <c r="A984" t="s">
        <v>1494</v>
      </c>
      <c r="B984" s="2">
        <v>45384</v>
      </c>
      <c r="C984" t="s">
        <v>602</v>
      </c>
      <c r="D984" t="s">
        <v>141</v>
      </c>
      <c r="E984" t="s">
        <v>2616</v>
      </c>
      <c r="F984" t="s">
        <v>2624</v>
      </c>
      <c r="G984" t="s">
        <v>195</v>
      </c>
      <c r="H984" t="s">
        <v>2646</v>
      </c>
      <c r="I984" t="s">
        <v>84</v>
      </c>
      <c r="J984" t="e">
        <f>ROUND(#REF!/Sales12[[#This Row],[Unit_Price]],0)</f>
        <v>#REF!</v>
      </c>
      <c r="K984">
        <v>91.71</v>
      </c>
      <c r="L984">
        <v>56.73</v>
      </c>
      <c r="M984">
        <v>0.05</v>
      </c>
      <c r="N984" t="s">
        <v>45</v>
      </c>
    </row>
    <row r="985" spans="1:14" x14ac:dyDescent="0.25">
      <c r="A985" t="s">
        <v>1495</v>
      </c>
      <c r="B985" s="2">
        <v>45297</v>
      </c>
      <c r="C985" t="s">
        <v>454</v>
      </c>
      <c r="D985" t="s">
        <v>209</v>
      </c>
      <c r="E985" t="s">
        <v>2618</v>
      </c>
      <c r="F985" t="s">
        <v>2634</v>
      </c>
      <c r="G985" t="s">
        <v>111</v>
      </c>
      <c r="H985" t="s">
        <v>2647</v>
      </c>
      <c r="I985" t="s">
        <v>75</v>
      </c>
      <c r="J985">
        <v>18</v>
      </c>
      <c r="K985">
        <v>18.440000000000001</v>
      </c>
      <c r="L985">
        <v>10.19</v>
      </c>
      <c r="M985">
        <v>0</v>
      </c>
      <c r="N985" t="s">
        <v>45</v>
      </c>
    </row>
    <row r="986" spans="1:14" x14ac:dyDescent="0.25">
      <c r="A986" t="s">
        <v>1496</v>
      </c>
      <c r="B986" s="2">
        <v>45452</v>
      </c>
      <c r="C986" t="s">
        <v>331</v>
      </c>
      <c r="D986" t="s">
        <v>150</v>
      </c>
      <c r="E986" t="s">
        <v>2616</v>
      </c>
      <c r="F986" t="s">
        <v>2631</v>
      </c>
      <c r="G986" t="s">
        <v>29</v>
      </c>
      <c r="H986" t="s">
        <v>2647</v>
      </c>
      <c r="I986" t="s">
        <v>70</v>
      </c>
      <c r="J986">
        <v>53</v>
      </c>
      <c r="K986">
        <v>85.44</v>
      </c>
      <c r="L986">
        <v>48.9</v>
      </c>
      <c r="M986">
        <v>0</v>
      </c>
      <c r="N986" t="s">
        <v>45</v>
      </c>
    </row>
    <row r="987" spans="1:14" x14ac:dyDescent="0.25">
      <c r="A987" t="s">
        <v>1497</v>
      </c>
      <c r="B987" s="2">
        <v>45393</v>
      </c>
      <c r="C987" t="s">
        <v>852</v>
      </c>
      <c r="D987" t="s">
        <v>209</v>
      </c>
      <c r="E987" t="s">
        <v>2617</v>
      </c>
      <c r="F987" t="s">
        <v>2626</v>
      </c>
      <c r="G987" t="s">
        <v>60</v>
      </c>
      <c r="H987" t="s">
        <v>2645</v>
      </c>
      <c r="I987" t="s">
        <v>44</v>
      </c>
      <c r="J987">
        <v>3</v>
      </c>
      <c r="K987">
        <v>18.7</v>
      </c>
      <c r="L987">
        <v>10.38</v>
      </c>
      <c r="M987">
        <v>0.02</v>
      </c>
      <c r="N987" t="s">
        <v>129</v>
      </c>
    </row>
    <row r="988" spans="1:14" x14ac:dyDescent="0.25">
      <c r="A988" t="s">
        <v>1498</v>
      </c>
      <c r="B988" s="2">
        <v>45353</v>
      </c>
      <c r="C988" t="s">
        <v>203</v>
      </c>
      <c r="D988" t="s">
        <v>150</v>
      </c>
      <c r="E988" t="s">
        <v>2614</v>
      </c>
      <c r="F988" t="s">
        <v>2637</v>
      </c>
      <c r="G988" t="s">
        <v>178</v>
      </c>
      <c r="H988" t="s">
        <v>2645</v>
      </c>
      <c r="I988" t="s">
        <v>2578</v>
      </c>
      <c r="J988">
        <v>43</v>
      </c>
      <c r="K988">
        <v>91.54</v>
      </c>
      <c r="L988">
        <v>53.39</v>
      </c>
      <c r="M988">
        <v>0</v>
      </c>
      <c r="N988" t="s">
        <v>45</v>
      </c>
    </row>
    <row r="989" spans="1:14" x14ac:dyDescent="0.25">
      <c r="A989" t="s">
        <v>1499</v>
      </c>
      <c r="B989" s="2">
        <v>45539</v>
      </c>
      <c r="C989" t="s">
        <v>636</v>
      </c>
      <c r="D989" t="s">
        <v>78</v>
      </c>
      <c r="E989" t="s">
        <v>2615</v>
      </c>
      <c r="F989" t="s">
        <v>2640</v>
      </c>
      <c r="G989" t="s">
        <v>42</v>
      </c>
      <c r="H989" t="s">
        <v>2646</v>
      </c>
      <c r="I989" t="s">
        <v>84</v>
      </c>
      <c r="J989">
        <v>18</v>
      </c>
      <c r="K989">
        <v>132.03</v>
      </c>
      <c r="L989">
        <v>83.63</v>
      </c>
      <c r="M989">
        <v>0.1</v>
      </c>
      <c r="N989" t="s">
        <v>45</v>
      </c>
    </row>
    <row r="990" spans="1:14" x14ac:dyDescent="0.25">
      <c r="A990" t="s">
        <v>1500</v>
      </c>
      <c r="B990" s="2">
        <v>45517</v>
      </c>
      <c r="C990" t="s">
        <v>533</v>
      </c>
      <c r="D990" t="s">
        <v>78</v>
      </c>
      <c r="E990" t="s">
        <v>2616</v>
      </c>
      <c r="F990" t="s">
        <v>2631</v>
      </c>
      <c r="G990" t="s">
        <v>184</v>
      </c>
      <c r="H990" t="s">
        <v>2645</v>
      </c>
      <c r="I990" t="s">
        <v>84</v>
      </c>
      <c r="J990">
        <v>50</v>
      </c>
      <c r="K990">
        <v>129.83000000000001</v>
      </c>
      <c r="L990">
        <v>75.97</v>
      </c>
      <c r="M990">
        <v>0.05</v>
      </c>
      <c r="N990" t="s">
        <v>32</v>
      </c>
    </row>
    <row r="991" spans="1:14" x14ac:dyDescent="0.25">
      <c r="A991" t="s">
        <v>1501</v>
      </c>
      <c r="B991" s="2">
        <v>45620</v>
      </c>
      <c r="C991" t="s">
        <v>475</v>
      </c>
      <c r="D991" t="s">
        <v>66</v>
      </c>
      <c r="E991" t="s">
        <v>2615</v>
      </c>
      <c r="F991" t="s">
        <v>2640</v>
      </c>
      <c r="G991" t="s">
        <v>111</v>
      </c>
      <c r="H991" t="s">
        <v>2647</v>
      </c>
      <c r="I991" t="s">
        <v>2578</v>
      </c>
      <c r="J991">
        <v>44</v>
      </c>
      <c r="K991">
        <v>158.88</v>
      </c>
      <c r="L991">
        <v>108.75</v>
      </c>
      <c r="M991">
        <v>0</v>
      </c>
      <c r="N991" t="s">
        <v>45</v>
      </c>
    </row>
    <row r="992" spans="1:14" x14ac:dyDescent="0.25">
      <c r="A992" t="s">
        <v>1502</v>
      </c>
      <c r="B992" s="2">
        <v>45628</v>
      </c>
      <c r="C992" t="s">
        <v>613</v>
      </c>
      <c r="D992" t="s">
        <v>250</v>
      </c>
      <c r="E992" t="s">
        <v>2617</v>
      </c>
      <c r="F992" t="s">
        <v>2642</v>
      </c>
      <c r="G992" t="s">
        <v>178</v>
      </c>
      <c r="H992" t="s">
        <v>2648</v>
      </c>
      <c r="I992" t="s">
        <v>75</v>
      </c>
      <c r="J992">
        <v>77</v>
      </c>
      <c r="K992">
        <v>69.44</v>
      </c>
      <c r="L992">
        <v>37.51</v>
      </c>
      <c r="M992">
        <v>0.15</v>
      </c>
      <c r="N992" t="s">
        <v>45</v>
      </c>
    </row>
    <row r="993" spans="1:14" x14ac:dyDescent="0.25">
      <c r="A993" t="s">
        <v>1503</v>
      </c>
      <c r="B993" s="2">
        <v>45603</v>
      </c>
      <c r="C993" t="s">
        <v>1071</v>
      </c>
      <c r="D993" t="s">
        <v>150</v>
      </c>
      <c r="E993" t="s">
        <v>2614</v>
      </c>
      <c r="F993" t="s">
        <v>2622</v>
      </c>
      <c r="G993" t="s">
        <v>265</v>
      </c>
      <c r="H993" t="s">
        <v>2647</v>
      </c>
      <c r="I993" t="s">
        <v>84</v>
      </c>
      <c r="J993">
        <v>57</v>
      </c>
      <c r="K993">
        <v>80.56</v>
      </c>
      <c r="L993">
        <v>50.46</v>
      </c>
      <c r="M993">
        <v>0</v>
      </c>
      <c r="N993" t="s">
        <v>45</v>
      </c>
    </row>
    <row r="994" spans="1:14" x14ac:dyDescent="0.25">
      <c r="A994" t="s">
        <v>1504</v>
      </c>
      <c r="B994" s="2">
        <v>45336</v>
      </c>
      <c r="C994" t="s">
        <v>653</v>
      </c>
      <c r="D994" t="s">
        <v>99</v>
      </c>
      <c r="E994" t="s">
        <v>2615</v>
      </c>
      <c r="F994" t="s">
        <v>2623</v>
      </c>
      <c r="G994" t="s">
        <v>69</v>
      </c>
      <c r="H994" t="s">
        <v>2645</v>
      </c>
      <c r="I994" t="s">
        <v>2578</v>
      </c>
      <c r="J994">
        <v>53</v>
      </c>
      <c r="K994">
        <v>71.53</v>
      </c>
      <c r="L994">
        <v>42.35</v>
      </c>
      <c r="M994">
        <v>0.15</v>
      </c>
      <c r="N994" t="s">
        <v>45</v>
      </c>
    </row>
    <row r="995" spans="1:14" x14ac:dyDescent="0.25">
      <c r="A995" t="s">
        <v>1506</v>
      </c>
      <c r="B995" s="2">
        <v>45527</v>
      </c>
      <c r="C995" t="s">
        <v>759</v>
      </c>
      <c r="D995" t="s">
        <v>66</v>
      </c>
      <c r="E995" t="s">
        <v>2618</v>
      </c>
      <c r="F995" t="s">
        <v>2634</v>
      </c>
      <c r="G995" t="s">
        <v>184</v>
      </c>
      <c r="H995" t="s">
        <v>2645</v>
      </c>
      <c r="I995" t="s">
        <v>84</v>
      </c>
      <c r="J995">
        <v>24</v>
      </c>
      <c r="K995">
        <v>164.97</v>
      </c>
      <c r="L995">
        <v>104.21</v>
      </c>
      <c r="M995">
        <v>0.05</v>
      </c>
      <c r="N995" t="s">
        <v>45</v>
      </c>
    </row>
    <row r="996" spans="1:14" x14ac:dyDescent="0.25">
      <c r="A996" t="s">
        <v>1507</v>
      </c>
      <c r="B996" s="2">
        <v>45586</v>
      </c>
      <c r="C996" t="s">
        <v>1047</v>
      </c>
      <c r="D996" t="s">
        <v>141</v>
      </c>
      <c r="E996" t="s">
        <v>2617</v>
      </c>
      <c r="F996" t="s">
        <v>2626</v>
      </c>
      <c r="G996" t="s">
        <v>261</v>
      </c>
      <c r="H996" t="s">
        <v>2645</v>
      </c>
      <c r="I996" t="s">
        <v>84</v>
      </c>
      <c r="J996">
        <v>32</v>
      </c>
      <c r="K996">
        <v>96.43</v>
      </c>
      <c r="L996">
        <v>56.89</v>
      </c>
      <c r="M996">
        <v>0.05</v>
      </c>
      <c r="N996" t="s">
        <v>45</v>
      </c>
    </row>
    <row r="997" spans="1:14" x14ac:dyDescent="0.25">
      <c r="A997" t="s">
        <v>1508</v>
      </c>
      <c r="B997" s="2">
        <v>45604</v>
      </c>
      <c r="C997" t="s">
        <v>1210</v>
      </c>
      <c r="D997" t="s">
        <v>176</v>
      </c>
      <c r="E997" t="s">
        <v>2614</v>
      </c>
      <c r="F997" t="s">
        <v>2629</v>
      </c>
      <c r="G997" t="s">
        <v>60</v>
      </c>
      <c r="H997" t="s">
        <v>2648</v>
      </c>
      <c r="I997" t="s">
        <v>75</v>
      </c>
      <c r="J997">
        <v>27</v>
      </c>
      <c r="K997">
        <v>98.1</v>
      </c>
      <c r="L997">
        <v>64.89</v>
      </c>
      <c r="M997" t="e">
        <f>ROUND(#REF!/#REF!,2)</f>
        <v>#REF!</v>
      </c>
      <c r="N997" t="s">
        <v>45</v>
      </c>
    </row>
    <row r="998" spans="1:14" x14ac:dyDescent="0.25">
      <c r="A998" t="s">
        <v>1509</v>
      </c>
      <c r="B998" s="2">
        <v>45543</v>
      </c>
      <c r="C998" t="s">
        <v>945</v>
      </c>
      <c r="D998" t="s">
        <v>176</v>
      </c>
      <c r="E998" t="s">
        <v>2615</v>
      </c>
      <c r="F998" t="s">
        <v>2640</v>
      </c>
      <c r="G998" t="s">
        <v>178</v>
      </c>
      <c r="H998" t="s">
        <v>2647</v>
      </c>
      <c r="I998" t="s">
        <v>44</v>
      </c>
      <c r="J998">
        <v>24</v>
      </c>
      <c r="K998">
        <v>111.28</v>
      </c>
      <c r="L998">
        <v>63.98</v>
      </c>
      <c r="M998">
        <v>0.15</v>
      </c>
      <c r="N998" t="s">
        <v>45</v>
      </c>
    </row>
    <row r="999" spans="1:14" x14ac:dyDescent="0.25">
      <c r="A999" t="s">
        <v>1510</v>
      </c>
      <c r="B999" s="2">
        <v>45382</v>
      </c>
      <c r="C999" t="s">
        <v>408</v>
      </c>
      <c r="D999" t="s">
        <v>216</v>
      </c>
      <c r="E999" t="s">
        <v>2618</v>
      </c>
      <c r="F999" t="s">
        <v>2632</v>
      </c>
      <c r="G999" t="s">
        <v>218</v>
      </c>
      <c r="H999" t="s">
        <v>2645</v>
      </c>
      <c r="I999" t="s">
        <v>75</v>
      </c>
      <c r="J999">
        <v>78</v>
      </c>
      <c r="K999">
        <v>107.42</v>
      </c>
      <c r="L999">
        <v>64.819999999999993</v>
      </c>
      <c r="M999">
        <v>0.02</v>
      </c>
      <c r="N999" t="s">
        <v>45</v>
      </c>
    </row>
    <row r="1000" spans="1:14" x14ac:dyDescent="0.25">
      <c r="A1000" t="s">
        <v>1511</v>
      </c>
      <c r="B1000" s="2">
        <v>45608</v>
      </c>
      <c r="C1000" t="s">
        <v>1184</v>
      </c>
      <c r="D1000" t="s">
        <v>23</v>
      </c>
      <c r="E1000" t="s">
        <v>2614</v>
      </c>
      <c r="F1000" t="s">
        <v>2637</v>
      </c>
      <c r="G1000" t="s">
        <v>265</v>
      </c>
      <c r="H1000" t="s">
        <v>2648</v>
      </c>
      <c r="I1000" t="s">
        <v>70</v>
      </c>
      <c r="J1000">
        <v>29</v>
      </c>
      <c r="K1000">
        <v>77.91</v>
      </c>
      <c r="L1000">
        <v>43.48</v>
      </c>
      <c r="M1000">
        <v>0.1</v>
      </c>
      <c r="N1000" t="s">
        <v>32</v>
      </c>
    </row>
    <row r="1001" spans="1:14" x14ac:dyDescent="0.25">
      <c r="A1001" t="s">
        <v>1512</v>
      </c>
      <c r="B1001" s="2">
        <v>45462</v>
      </c>
      <c r="C1001" t="s">
        <v>318</v>
      </c>
      <c r="D1001" t="s">
        <v>23</v>
      </c>
      <c r="E1001" t="s">
        <v>2614</v>
      </c>
      <c r="F1001" t="s">
        <v>2637</v>
      </c>
      <c r="G1001" t="s">
        <v>248</v>
      </c>
      <c r="H1001" t="s">
        <v>2648</v>
      </c>
      <c r="I1001" t="s">
        <v>2578</v>
      </c>
      <c r="J1001">
        <v>80</v>
      </c>
      <c r="K1001">
        <v>73.52</v>
      </c>
      <c r="L1001">
        <v>46.19</v>
      </c>
      <c r="M1001">
        <v>0.1</v>
      </c>
      <c r="N1001" t="s">
        <v>129</v>
      </c>
    </row>
    <row r="1002" spans="1:14" x14ac:dyDescent="0.25">
      <c r="A1002" t="s">
        <v>1513</v>
      </c>
      <c r="B1002" s="2">
        <v>45357</v>
      </c>
      <c r="C1002" t="s">
        <v>480</v>
      </c>
      <c r="D1002" t="s">
        <v>66</v>
      </c>
      <c r="E1002" t="s">
        <v>2615</v>
      </c>
      <c r="F1002" t="s">
        <v>2640</v>
      </c>
      <c r="G1002" t="s">
        <v>69</v>
      </c>
      <c r="H1002" t="s">
        <v>2646</v>
      </c>
      <c r="I1002" t="s">
        <v>44</v>
      </c>
      <c r="J1002">
        <v>13</v>
      </c>
      <c r="K1002">
        <v>162.12</v>
      </c>
      <c r="L1002">
        <v>99.89</v>
      </c>
      <c r="M1002">
        <v>0.2</v>
      </c>
      <c r="N1002" t="s">
        <v>45</v>
      </c>
    </row>
    <row r="1003" spans="1:14" x14ac:dyDescent="0.25">
      <c r="A1003" t="s">
        <v>1514</v>
      </c>
      <c r="B1003" s="2">
        <v>45296</v>
      </c>
      <c r="C1003" t="s">
        <v>662</v>
      </c>
      <c r="D1003" t="s">
        <v>141</v>
      </c>
      <c r="E1003" t="s">
        <v>2617</v>
      </c>
      <c r="F1003" t="s">
        <v>2625</v>
      </c>
      <c r="G1003" t="s">
        <v>60</v>
      </c>
      <c r="H1003" t="s">
        <v>2646</v>
      </c>
      <c r="I1003" t="s">
        <v>75</v>
      </c>
      <c r="J1003">
        <v>67</v>
      </c>
      <c r="K1003">
        <v>96.62</v>
      </c>
      <c r="L1003">
        <v>60.46</v>
      </c>
      <c r="M1003">
        <v>0.15</v>
      </c>
      <c r="N1003" t="s">
        <v>32</v>
      </c>
    </row>
    <row r="1004" spans="1:14" x14ac:dyDescent="0.25">
      <c r="A1004" t="s">
        <v>1515</v>
      </c>
      <c r="B1004" s="2">
        <v>45649</v>
      </c>
      <c r="C1004" t="s">
        <v>418</v>
      </c>
      <c r="D1004" t="s">
        <v>141</v>
      </c>
      <c r="E1004" t="s">
        <v>2618</v>
      </c>
      <c r="F1004" t="s">
        <v>2632</v>
      </c>
      <c r="G1004" t="s">
        <v>248</v>
      </c>
      <c r="H1004" t="s">
        <v>2646</v>
      </c>
      <c r="I1004" t="s">
        <v>84</v>
      </c>
      <c r="J1004">
        <v>54</v>
      </c>
      <c r="K1004">
        <v>89.39</v>
      </c>
      <c r="L1004">
        <v>61.59</v>
      </c>
      <c r="M1004">
        <v>0.02</v>
      </c>
      <c r="N1004" t="s">
        <v>45</v>
      </c>
    </row>
    <row r="1005" spans="1:14" x14ac:dyDescent="0.25">
      <c r="A1005" t="s">
        <v>1516</v>
      </c>
      <c r="B1005" s="2">
        <v>45649</v>
      </c>
      <c r="C1005" t="s">
        <v>303</v>
      </c>
      <c r="D1005" t="s">
        <v>176</v>
      </c>
      <c r="E1005" t="s">
        <v>2615</v>
      </c>
      <c r="F1005" t="s">
        <v>2627</v>
      </c>
      <c r="G1005" t="s">
        <v>178</v>
      </c>
      <c r="H1005" t="s">
        <v>2645</v>
      </c>
      <c r="I1005" t="s">
        <v>75</v>
      </c>
      <c r="J1005">
        <v>28</v>
      </c>
      <c r="K1005">
        <v>97.65</v>
      </c>
      <c r="L1005">
        <v>66.87</v>
      </c>
      <c r="M1005">
        <v>0.1</v>
      </c>
      <c r="N1005" t="s">
        <v>45</v>
      </c>
    </row>
    <row r="1006" spans="1:14" x14ac:dyDescent="0.25">
      <c r="A1006" t="s">
        <v>1517</v>
      </c>
      <c r="B1006" s="2">
        <v>45563</v>
      </c>
      <c r="C1006" t="s">
        <v>1044</v>
      </c>
      <c r="D1006" t="s">
        <v>222</v>
      </c>
      <c r="E1006" t="s">
        <v>2615</v>
      </c>
      <c r="F1006" t="s">
        <v>2630</v>
      </c>
      <c r="G1006" t="s">
        <v>29</v>
      </c>
      <c r="H1006" t="s">
        <v>2647</v>
      </c>
      <c r="I1006" t="s">
        <v>75</v>
      </c>
      <c r="J1006">
        <v>66</v>
      </c>
      <c r="K1006">
        <v>125.73</v>
      </c>
      <c r="L1006">
        <v>79.87</v>
      </c>
      <c r="M1006">
        <v>0.02</v>
      </c>
      <c r="N1006" t="s">
        <v>45</v>
      </c>
    </row>
    <row r="1007" spans="1:14" x14ac:dyDescent="0.25">
      <c r="A1007" t="s">
        <v>1518</v>
      </c>
      <c r="B1007" s="2">
        <v>45381</v>
      </c>
      <c r="C1007" t="s">
        <v>1175</v>
      </c>
      <c r="D1007" t="s">
        <v>109</v>
      </c>
      <c r="E1007" t="s">
        <v>2618</v>
      </c>
      <c r="F1007" t="s">
        <v>2635</v>
      </c>
      <c r="G1007" t="s">
        <v>265</v>
      </c>
      <c r="H1007" t="s">
        <v>2648</v>
      </c>
      <c r="I1007" t="s">
        <v>70</v>
      </c>
      <c r="J1007">
        <v>41</v>
      </c>
      <c r="K1007">
        <v>127.73</v>
      </c>
      <c r="L1007">
        <v>75.349999999999994</v>
      </c>
      <c r="M1007">
        <v>0.2</v>
      </c>
      <c r="N1007" t="s">
        <v>32</v>
      </c>
    </row>
    <row r="1008" spans="1:14" x14ac:dyDescent="0.25">
      <c r="A1008" t="s">
        <v>1519</v>
      </c>
      <c r="B1008" s="2">
        <v>45549</v>
      </c>
      <c r="C1008" t="s">
        <v>1310</v>
      </c>
      <c r="D1008" t="s">
        <v>93</v>
      </c>
      <c r="E1008" t="s">
        <v>2615</v>
      </c>
      <c r="F1008" t="s">
        <v>2627</v>
      </c>
      <c r="G1008" t="s">
        <v>253</v>
      </c>
      <c r="H1008" t="s">
        <v>2645</v>
      </c>
      <c r="I1008" t="s">
        <v>44</v>
      </c>
      <c r="J1008">
        <v>66</v>
      </c>
      <c r="K1008">
        <v>55.41</v>
      </c>
      <c r="L1008">
        <v>34.06</v>
      </c>
      <c r="M1008">
        <v>0.2</v>
      </c>
      <c r="N1008" t="s">
        <v>32</v>
      </c>
    </row>
    <row r="1009" spans="1:14" x14ac:dyDescent="0.25">
      <c r="A1009" t="s">
        <v>1520</v>
      </c>
      <c r="B1009" s="2">
        <v>45362</v>
      </c>
      <c r="C1009" t="s">
        <v>948</v>
      </c>
      <c r="D1009" t="s">
        <v>109</v>
      </c>
      <c r="E1009" t="s">
        <v>2616</v>
      </c>
      <c r="F1009" t="s">
        <v>2631</v>
      </c>
      <c r="G1009" t="s">
        <v>118</v>
      </c>
      <c r="H1009" t="s">
        <v>2645</v>
      </c>
      <c r="I1009" t="s">
        <v>70</v>
      </c>
      <c r="J1009">
        <v>21</v>
      </c>
      <c r="K1009">
        <v>130.59</v>
      </c>
      <c r="L1009">
        <v>72.23</v>
      </c>
      <c r="M1009">
        <v>0.02</v>
      </c>
      <c r="N1009" t="s">
        <v>45</v>
      </c>
    </row>
    <row r="1010" spans="1:14" x14ac:dyDescent="0.25">
      <c r="A1010" t="s">
        <v>1521</v>
      </c>
      <c r="B1010" s="2">
        <v>45338</v>
      </c>
      <c r="C1010" t="s">
        <v>408</v>
      </c>
      <c r="D1010" t="s">
        <v>126</v>
      </c>
      <c r="E1010" t="s">
        <v>2617</v>
      </c>
      <c r="F1010" t="s">
        <v>2642</v>
      </c>
      <c r="G1010" t="s">
        <v>152</v>
      </c>
      <c r="H1010" t="s">
        <v>2646</v>
      </c>
      <c r="I1010" t="s">
        <v>75</v>
      </c>
      <c r="J1010">
        <v>21</v>
      </c>
      <c r="K1010">
        <v>86.68</v>
      </c>
      <c r="L1010">
        <v>51.96</v>
      </c>
      <c r="M1010">
        <v>0.2</v>
      </c>
      <c r="N1010" t="s">
        <v>45</v>
      </c>
    </row>
    <row r="1011" spans="1:14" x14ac:dyDescent="0.25">
      <c r="A1011" t="s">
        <v>1522</v>
      </c>
      <c r="B1011" s="2">
        <v>45562</v>
      </c>
      <c r="C1011" t="s">
        <v>389</v>
      </c>
      <c r="D1011" t="s">
        <v>209</v>
      </c>
      <c r="E1011" t="s">
        <v>2617</v>
      </c>
      <c r="F1011" t="s">
        <v>2626</v>
      </c>
      <c r="G1011" t="s">
        <v>253</v>
      </c>
      <c r="H1011" t="s">
        <v>2645</v>
      </c>
      <c r="I1011" t="s">
        <v>44</v>
      </c>
      <c r="J1011">
        <v>63</v>
      </c>
      <c r="K1011">
        <v>18.88</v>
      </c>
      <c r="L1011">
        <v>10.52</v>
      </c>
      <c r="M1011">
        <v>0.2</v>
      </c>
      <c r="N1011" t="s">
        <v>45</v>
      </c>
    </row>
    <row r="1012" spans="1:14" x14ac:dyDescent="0.25">
      <c r="A1012" t="s">
        <v>1523</v>
      </c>
      <c r="B1012" s="2">
        <v>45651</v>
      </c>
      <c r="C1012" t="s">
        <v>1047</v>
      </c>
      <c r="D1012" t="s">
        <v>114</v>
      </c>
      <c r="E1012" t="s">
        <v>2615</v>
      </c>
      <c r="F1012" t="s">
        <v>2627</v>
      </c>
      <c r="G1012" t="s">
        <v>178</v>
      </c>
      <c r="H1012" t="s">
        <v>2647</v>
      </c>
      <c r="I1012" t="s">
        <v>84</v>
      </c>
      <c r="J1012">
        <v>37</v>
      </c>
      <c r="K1012">
        <v>36.53</v>
      </c>
      <c r="L1012">
        <v>20.12</v>
      </c>
      <c r="M1012">
        <v>0.15</v>
      </c>
      <c r="N1012" t="s">
        <v>32</v>
      </c>
    </row>
    <row r="1013" spans="1:14" x14ac:dyDescent="0.25">
      <c r="A1013" t="s">
        <v>1524</v>
      </c>
      <c r="B1013" s="2">
        <v>45518</v>
      </c>
      <c r="C1013" t="s">
        <v>487</v>
      </c>
      <c r="D1013" t="s">
        <v>66</v>
      </c>
      <c r="E1013" t="s">
        <v>2617</v>
      </c>
      <c r="F1013" t="s">
        <v>2642</v>
      </c>
      <c r="G1013" t="s">
        <v>90</v>
      </c>
      <c r="H1013" t="s">
        <v>2647</v>
      </c>
      <c r="I1013" t="s">
        <v>84</v>
      </c>
      <c r="J1013">
        <v>35</v>
      </c>
      <c r="K1013">
        <v>166.12</v>
      </c>
      <c r="L1013">
        <v>100.3</v>
      </c>
      <c r="M1013">
        <v>0.1</v>
      </c>
      <c r="N1013" t="s">
        <v>32</v>
      </c>
    </row>
    <row r="1014" spans="1:14" x14ac:dyDescent="0.25">
      <c r="A1014" t="s">
        <v>1525</v>
      </c>
      <c r="B1014" s="2">
        <v>45463</v>
      </c>
      <c r="C1014" t="s">
        <v>924</v>
      </c>
      <c r="D1014" t="s">
        <v>109</v>
      </c>
      <c r="E1014" t="s">
        <v>2614</v>
      </c>
      <c r="F1014" t="s">
        <v>2622</v>
      </c>
      <c r="G1014" t="s">
        <v>144</v>
      </c>
      <c r="H1014" t="s">
        <v>2647</v>
      </c>
      <c r="I1014" t="s">
        <v>75</v>
      </c>
      <c r="J1014">
        <v>73</v>
      </c>
      <c r="K1014">
        <v>116.83</v>
      </c>
      <c r="L1014">
        <v>78.47</v>
      </c>
      <c r="M1014">
        <v>0.2</v>
      </c>
      <c r="N1014" t="s">
        <v>129</v>
      </c>
    </row>
    <row r="1015" spans="1:14" x14ac:dyDescent="0.25">
      <c r="A1015" t="s">
        <v>1526</v>
      </c>
      <c r="B1015" s="2">
        <v>45380</v>
      </c>
      <c r="C1015" t="s">
        <v>897</v>
      </c>
      <c r="D1015" t="s">
        <v>93</v>
      </c>
      <c r="E1015" t="s">
        <v>2617</v>
      </c>
      <c r="F1015" t="s">
        <v>2641</v>
      </c>
      <c r="G1015" t="s">
        <v>265</v>
      </c>
      <c r="H1015" t="s">
        <v>2647</v>
      </c>
      <c r="I1015" t="s">
        <v>2578</v>
      </c>
      <c r="J1015">
        <v>78</v>
      </c>
      <c r="K1015">
        <v>56.78</v>
      </c>
      <c r="L1015">
        <v>33.51</v>
      </c>
      <c r="M1015">
        <v>0.02</v>
      </c>
      <c r="N1015" t="s">
        <v>45</v>
      </c>
    </row>
    <row r="1016" spans="1:14" x14ac:dyDescent="0.25">
      <c r="A1016" t="s">
        <v>1527</v>
      </c>
      <c r="B1016" s="2">
        <v>45381</v>
      </c>
      <c r="C1016" t="s">
        <v>1488</v>
      </c>
      <c r="D1016" t="s">
        <v>126</v>
      </c>
      <c r="E1016" t="s">
        <v>2614</v>
      </c>
      <c r="F1016" t="s">
        <v>2637</v>
      </c>
      <c r="G1016" t="s">
        <v>69</v>
      </c>
      <c r="H1016" t="s">
        <v>2645</v>
      </c>
      <c r="I1016" t="s">
        <v>75</v>
      </c>
      <c r="J1016">
        <v>9</v>
      </c>
      <c r="K1016">
        <v>83.98</v>
      </c>
      <c r="L1016">
        <v>52.66</v>
      </c>
      <c r="M1016">
        <v>0.1</v>
      </c>
      <c r="N1016" t="s">
        <v>32</v>
      </c>
    </row>
    <row r="1017" spans="1:14" x14ac:dyDescent="0.25">
      <c r="A1017" t="s">
        <v>1528</v>
      </c>
      <c r="B1017" s="2">
        <v>45541</v>
      </c>
      <c r="C1017" t="s">
        <v>1265</v>
      </c>
      <c r="D1017" t="s">
        <v>176</v>
      </c>
      <c r="E1017" t="s">
        <v>2615</v>
      </c>
      <c r="F1017" t="s">
        <v>2623</v>
      </c>
      <c r="G1017" t="s">
        <v>69</v>
      </c>
      <c r="H1017" t="s">
        <v>2647</v>
      </c>
      <c r="I1017" t="s">
        <v>75</v>
      </c>
      <c r="J1017">
        <v>51</v>
      </c>
      <c r="K1017">
        <v>109.51</v>
      </c>
      <c r="L1017">
        <v>62.17</v>
      </c>
      <c r="M1017">
        <v>0.2</v>
      </c>
      <c r="N1017" t="s">
        <v>45</v>
      </c>
    </row>
    <row r="1018" spans="1:14" x14ac:dyDescent="0.25">
      <c r="A1018" t="s">
        <v>1529</v>
      </c>
      <c r="B1018" s="2">
        <v>45409</v>
      </c>
      <c r="C1018" t="s">
        <v>1380</v>
      </c>
      <c r="D1018" t="s">
        <v>165</v>
      </c>
      <c r="E1018" t="s">
        <v>2616</v>
      </c>
      <c r="F1018" t="s">
        <v>2631</v>
      </c>
      <c r="G1018" t="s">
        <v>60</v>
      </c>
      <c r="H1018" t="s">
        <v>2646</v>
      </c>
      <c r="I1018" t="s">
        <v>75</v>
      </c>
      <c r="J1018">
        <v>32</v>
      </c>
      <c r="K1018">
        <v>41.17</v>
      </c>
      <c r="L1018">
        <v>23.33</v>
      </c>
      <c r="M1018">
        <v>0.1</v>
      </c>
      <c r="N1018" t="s">
        <v>129</v>
      </c>
    </row>
    <row r="1019" spans="1:14" x14ac:dyDescent="0.25">
      <c r="A1019" t="s">
        <v>1530</v>
      </c>
      <c r="B1019" s="2">
        <v>45438</v>
      </c>
      <c r="C1019" t="s">
        <v>1531</v>
      </c>
      <c r="D1019" t="s">
        <v>216</v>
      </c>
      <c r="E1019" t="s">
        <v>2616</v>
      </c>
      <c r="F1019" t="s">
        <v>2624</v>
      </c>
      <c r="G1019" t="s">
        <v>195</v>
      </c>
      <c r="H1019" t="s">
        <v>2645</v>
      </c>
      <c r="I1019" t="s">
        <v>75</v>
      </c>
      <c r="J1019">
        <v>21</v>
      </c>
      <c r="K1019">
        <v>113.39</v>
      </c>
      <c r="L1019">
        <v>70.62</v>
      </c>
      <c r="M1019">
        <v>0.05</v>
      </c>
      <c r="N1019" t="s">
        <v>45</v>
      </c>
    </row>
    <row r="1020" spans="1:14" x14ac:dyDescent="0.25">
      <c r="A1020" t="s">
        <v>1532</v>
      </c>
      <c r="B1020" s="2">
        <v>45535</v>
      </c>
      <c r="C1020" t="s">
        <v>674</v>
      </c>
      <c r="D1020" t="s">
        <v>132</v>
      </c>
      <c r="E1020" t="s">
        <v>2618</v>
      </c>
      <c r="F1020" t="s">
        <v>2632</v>
      </c>
      <c r="G1020" t="s">
        <v>111</v>
      </c>
      <c r="H1020" t="s">
        <v>2645</v>
      </c>
      <c r="I1020" t="s">
        <v>84</v>
      </c>
      <c r="J1020">
        <v>-2</v>
      </c>
      <c r="K1020">
        <v>57.4</v>
      </c>
      <c r="L1020">
        <v>33.83</v>
      </c>
      <c r="M1020">
        <v>0</v>
      </c>
      <c r="N1020" t="s">
        <v>45</v>
      </c>
    </row>
    <row r="1021" spans="1:14" x14ac:dyDescent="0.25">
      <c r="A1021" t="s">
        <v>1533</v>
      </c>
      <c r="B1021" s="2">
        <v>45368</v>
      </c>
      <c r="C1021" t="s">
        <v>1129</v>
      </c>
      <c r="D1021" t="s">
        <v>187</v>
      </c>
      <c r="E1021" t="s">
        <v>2617</v>
      </c>
      <c r="F1021" t="s">
        <v>2626</v>
      </c>
      <c r="G1021" t="s">
        <v>152</v>
      </c>
      <c r="H1021" t="s">
        <v>2647</v>
      </c>
      <c r="I1021" t="s">
        <v>84</v>
      </c>
      <c r="J1021">
        <v>5</v>
      </c>
      <c r="K1021">
        <v>44.83</v>
      </c>
      <c r="L1021">
        <v>29.17</v>
      </c>
      <c r="M1021">
        <v>0.15</v>
      </c>
      <c r="N1021" t="s">
        <v>45</v>
      </c>
    </row>
    <row r="1022" spans="1:14" x14ac:dyDescent="0.25">
      <c r="A1022" t="s">
        <v>1534</v>
      </c>
      <c r="B1022" s="2">
        <v>45416</v>
      </c>
      <c r="C1022" t="s">
        <v>1368</v>
      </c>
      <c r="D1022" t="s">
        <v>49</v>
      </c>
      <c r="E1022" t="s">
        <v>2617</v>
      </c>
      <c r="F1022" t="s">
        <v>2641</v>
      </c>
      <c r="G1022" t="s">
        <v>90</v>
      </c>
      <c r="H1022" t="s">
        <v>2648</v>
      </c>
      <c r="I1022" t="s">
        <v>70</v>
      </c>
      <c r="J1022">
        <v>62</v>
      </c>
      <c r="K1022">
        <v>23.29</v>
      </c>
      <c r="L1022">
        <v>13.38</v>
      </c>
      <c r="M1022">
        <v>0.02</v>
      </c>
      <c r="N1022" t="s">
        <v>45</v>
      </c>
    </row>
    <row r="1023" spans="1:14" x14ac:dyDescent="0.25">
      <c r="A1023" t="s">
        <v>1535</v>
      </c>
      <c r="B1023" s="2">
        <v>45628</v>
      </c>
      <c r="C1023" t="s">
        <v>113</v>
      </c>
      <c r="D1023" t="s">
        <v>141</v>
      </c>
      <c r="E1023" t="s">
        <v>2614</v>
      </c>
      <c r="F1023" t="s">
        <v>2637</v>
      </c>
      <c r="G1023" t="s">
        <v>111</v>
      </c>
      <c r="H1023" t="s">
        <v>2648</v>
      </c>
      <c r="I1023" t="s">
        <v>70</v>
      </c>
      <c r="J1023">
        <v>55</v>
      </c>
      <c r="K1023">
        <v>97.11</v>
      </c>
      <c r="L1023">
        <v>61.41</v>
      </c>
      <c r="M1023">
        <v>0.15</v>
      </c>
      <c r="N1023" t="s">
        <v>129</v>
      </c>
    </row>
    <row r="1024" spans="1:14" x14ac:dyDescent="0.25">
      <c r="A1024" t="s">
        <v>1536</v>
      </c>
      <c r="B1024" s="2">
        <v>45588</v>
      </c>
      <c r="C1024" t="s">
        <v>21</v>
      </c>
      <c r="D1024" t="s">
        <v>176</v>
      </c>
      <c r="E1024" t="s">
        <v>2616</v>
      </c>
      <c r="F1024" t="s">
        <v>2624</v>
      </c>
      <c r="G1024" t="s">
        <v>218</v>
      </c>
      <c r="H1024" t="s">
        <v>2645</v>
      </c>
      <c r="I1024" t="s">
        <v>84</v>
      </c>
      <c r="J1024">
        <v>73</v>
      </c>
      <c r="K1024">
        <v>103.3</v>
      </c>
      <c r="L1024">
        <v>59.44</v>
      </c>
      <c r="M1024">
        <v>0.05</v>
      </c>
      <c r="N1024" t="s">
        <v>45</v>
      </c>
    </row>
    <row r="1025" spans="1:14" x14ac:dyDescent="0.25">
      <c r="A1025" t="s">
        <v>1537</v>
      </c>
      <c r="B1025" s="2">
        <v>45357</v>
      </c>
      <c r="C1025" t="s">
        <v>293</v>
      </c>
      <c r="D1025" t="s">
        <v>132</v>
      </c>
      <c r="E1025" t="s">
        <v>2615</v>
      </c>
      <c r="F1025" t="s">
        <v>2630</v>
      </c>
      <c r="G1025" t="s">
        <v>2619</v>
      </c>
      <c r="H1025" t="s">
        <v>2645</v>
      </c>
      <c r="I1025" t="s">
        <v>75</v>
      </c>
      <c r="J1025">
        <v>13</v>
      </c>
      <c r="K1025">
        <v>57.91</v>
      </c>
      <c r="L1025">
        <v>32.25</v>
      </c>
      <c r="M1025">
        <v>0.1</v>
      </c>
      <c r="N1025" t="s">
        <v>45</v>
      </c>
    </row>
    <row r="1026" spans="1:14" x14ac:dyDescent="0.25">
      <c r="A1026" t="s">
        <v>1538</v>
      </c>
      <c r="B1026" s="2">
        <v>45320</v>
      </c>
      <c r="C1026" t="s">
        <v>367</v>
      </c>
      <c r="D1026" t="s">
        <v>141</v>
      </c>
      <c r="E1026" t="s">
        <v>2616</v>
      </c>
      <c r="F1026" t="s">
        <v>2631</v>
      </c>
      <c r="G1026" t="s">
        <v>83</v>
      </c>
      <c r="H1026" t="s">
        <v>2646</v>
      </c>
      <c r="I1026" t="s">
        <v>75</v>
      </c>
      <c r="J1026">
        <v>67</v>
      </c>
      <c r="K1026">
        <v>99.52</v>
      </c>
      <c r="L1026">
        <v>59.47</v>
      </c>
      <c r="M1026">
        <v>0.05</v>
      </c>
      <c r="N1026" t="s">
        <v>32</v>
      </c>
    </row>
    <row r="1027" spans="1:14" x14ac:dyDescent="0.25">
      <c r="A1027" t="s">
        <v>1539</v>
      </c>
      <c r="B1027" s="2">
        <v>45419</v>
      </c>
      <c r="C1027" t="s">
        <v>893</v>
      </c>
      <c r="D1027" t="s">
        <v>150</v>
      </c>
      <c r="E1027" t="s">
        <v>2616</v>
      </c>
      <c r="F1027" t="s">
        <v>2633</v>
      </c>
      <c r="G1027" t="s">
        <v>218</v>
      </c>
      <c r="H1027" t="s">
        <v>2645</v>
      </c>
      <c r="I1027" t="s">
        <v>75</v>
      </c>
      <c r="J1027">
        <v>39</v>
      </c>
      <c r="K1027">
        <v>89.08</v>
      </c>
      <c r="L1027">
        <v>48.58</v>
      </c>
      <c r="M1027">
        <v>0</v>
      </c>
      <c r="N1027" t="s">
        <v>32</v>
      </c>
    </row>
    <row r="1028" spans="1:14" x14ac:dyDescent="0.25">
      <c r="A1028" t="s">
        <v>1540</v>
      </c>
      <c r="B1028" s="2">
        <v>45614</v>
      </c>
      <c r="C1028" t="s">
        <v>192</v>
      </c>
      <c r="D1028" t="s">
        <v>23</v>
      </c>
      <c r="E1028" t="s">
        <v>2617</v>
      </c>
      <c r="F1028" t="s">
        <v>2641</v>
      </c>
      <c r="G1028" t="s">
        <v>74</v>
      </c>
      <c r="H1028" t="s">
        <v>2649</v>
      </c>
      <c r="I1028" t="s">
        <v>84</v>
      </c>
      <c r="J1028">
        <v>6</v>
      </c>
      <c r="K1028">
        <v>77.31</v>
      </c>
      <c r="L1028">
        <v>46.46</v>
      </c>
      <c r="M1028">
        <v>0.2</v>
      </c>
      <c r="N1028" t="s">
        <v>45</v>
      </c>
    </row>
    <row r="1029" spans="1:14" x14ac:dyDescent="0.25">
      <c r="A1029" t="s">
        <v>1541</v>
      </c>
      <c r="B1029" s="2">
        <v>45298</v>
      </c>
      <c r="C1029" t="s">
        <v>832</v>
      </c>
      <c r="D1029" t="s">
        <v>49</v>
      </c>
      <c r="E1029" t="s">
        <v>2618</v>
      </c>
      <c r="F1029" t="s">
        <v>2628</v>
      </c>
      <c r="G1029" t="s">
        <v>90</v>
      </c>
      <c r="H1029" t="s">
        <v>2645</v>
      </c>
      <c r="I1029" t="s">
        <v>2578</v>
      </c>
      <c r="J1029">
        <v>5</v>
      </c>
      <c r="K1029">
        <v>25.71</v>
      </c>
      <c r="L1029">
        <v>13.22</v>
      </c>
      <c r="M1029">
        <v>0</v>
      </c>
      <c r="N1029" t="s">
        <v>45</v>
      </c>
    </row>
    <row r="1030" spans="1:14" x14ac:dyDescent="0.25">
      <c r="A1030" t="s">
        <v>1542</v>
      </c>
      <c r="B1030" s="2">
        <v>45445</v>
      </c>
      <c r="C1030" t="s">
        <v>303</v>
      </c>
      <c r="D1030" t="s">
        <v>78</v>
      </c>
      <c r="E1030" t="s">
        <v>2616</v>
      </c>
      <c r="F1030" t="s">
        <v>2638</v>
      </c>
      <c r="G1030" t="s">
        <v>184</v>
      </c>
      <c r="H1030" t="s">
        <v>2645</v>
      </c>
      <c r="I1030" t="s">
        <v>2578</v>
      </c>
      <c r="J1030">
        <v>30</v>
      </c>
      <c r="K1030">
        <v>137.11000000000001</v>
      </c>
      <c r="L1030">
        <v>83.33</v>
      </c>
      <c r="M1030">
        <v>0.05</v>
      </c>
      <c r="N1030" t="s">
        <v>32</v>
      </c>
    </row>
    <row r="1031" spans="1:14" x14ac:dyDescent="0.25">
      <c r="A1031" t="s">
        <v>1543</v>
      </c>
      <c r="B1031" s="2">
        <v>45565</v>
      </c>
      <c r="C1031" t="s">
        <v>442</v>
      </c>
      <c r="D1031" t="s">
        <v>109</v>
      </c>
      <c r="E1031" t="s">
        <v>2617</v>
      </c>
      <c r="F1031" t="s">
        <v>2625</v>
      </c>
      <c r="G1031" t="s">
        <v>248</v>
      </c>
      <c r="H1031" t="s">
        <v>2648</v>
      </c>
      <c r="I1031" t="s">
        <v>44</v>
      </c>
      <c r="J1031">
        <v>18</v>
      </c>
      <c r="K1031">
        <v>131.78</v>
      </c>
      <c r="L1031">
        <v>69.98</v>
      </c>
      <c r="M1031">
        <v>0.02</v>
      </c>
      <c r="N1031" t="s">
        <v>32</v>
      </c>
    </row>
    <row r="1032" spans="1:14" x14ac:dyDescent="0.25">
      <c r="A1032" t="s">
        <v>1544</v>
      </c>
      <c r="B1032" s="2">
        <v>45486</v>
      </c>
      <c r="C1032" t="s">
        <v>347</v>
      </c>
      <c r="D1032" t="s">
        <v>141</v>
      </c>
      <c r="E1032" t="s">
        <v>2614</v>
      </c>
      <c r="F1032" t="s">
        <v>2636</v>
      </c>
      <c r="G1032" t="s">
        <v>152</v>
      </c>
      <c r="H1032" t="s">
        <v>2648</v>
      </c>
      <c r="I1032" t="s">
        <v>70</v>
      </c>
      <c r="J1032">
        <v>13</v>
      </c>
      <c r="K1032">
        <v>88.28</v>
      </c>
      <c r="L1032">
        <v>61.4</v>
      </c>
      <c r="M1032">
        <v>0.05</v>
      </c>
      <c r="N1032" t="s">
        <v>129</v>
      </c>
    </row>
    <row r="1033" spans="1:14" x14ac:dyDescent="0.25">
      <c r="A1033" t="s">
        <v>1545</v>
      </c>
      <c r="B1033" s="2">
        <v>45650</v>
      </c>
      <c r="C1033" t="s">
        <v>1278</v>
      </c>
      <c r="D1033" t="s">
        <v>49</v>
      </c>
      <c r="E1033" t="s">
        <v>2617</v>
      </c>
      <c r="F1033" t="s">
        <v>2626</v>
      </c>
      <c r="G1033" t="s">
        <v>42</v>
      </c>
      <c r="H1033" t="s">
        <v>2646</v>
      </c>
      <c r="I1033" t="s">
        <v>75</v>
      </c>
      <c r="J1033">
        <v>18</v>
      </c>
      <c r="K1033">
        <v>25.14</v>
      </c>
      <c r="L1033">
        <v>12.26</v>
      </c>
      <c r="M1033">
        <v>0.2</v>
      </c>
      <c r="N1033" t="s">
        <v>45</v>
      </c>
    </row>
    <row r="1034" spans="1:14" x14ac:dyDescent="0.25">
      <c r="A1034" t="s">
        <v>1546</v>
      </c>
      <c r="B1034" s="2">
        <v>45500</v>
      </c>
      <c r="C1034" t="s">
        <v>676</v>
      </c>
      <c r="D1034" t="s">
        <v>209</v>
      </c>
      <c r="E1034" t="s">
        <v>2617</v>
      </c>
      <c r="F1034" t="s">
        <v>2641</v>
      </c>
      <c r="G1034" t="s">
        <v>265</v>
      </c>
      <c r="H1034" t="s">
        <v>2648</v>
      </c>
      <c r="I1034" t="s">
        <v>84</v>
      </c>
      <c r="J1034">
        <v>65</v>
      </c>
      <c r="K1034">
        <v>17.05</v>
      </c>
      <c r="L1034">
        <v>9.64</v>
      </c>
      <c r="M1034">
        <v>0</v>
      </c>
      <c r="N1034" t="s">
        <v>45</v>
      </c>
    </row>
    <row r="1035" spans="1:14" x14ac:dyDescent="0.25">
      <c r="A1035" t="s">
        <v>1547</v>
      </c>
      <c r="B1035" s="2">
        <v>45440</v>
      </c>
      <c r="C1035" t="s">
        <v>917</v>
      </c>
      <c r="D1035" t="s">
        <v>222</v>
      </c>
      <c r="E1035" t="s">
        <v>2614</v>
      </c>
      <c r="F1035" t="s">
        <v>2622</v>
      </c>
      <c r="G1035" t="s">
        <v>178</v>
      </c>
      <c r="H1035" t="s">
        <v>2648</v>
      </c>
      <c r="I1035" t="s">
        <v>2578</v>
      </c>
      <c r="J1035">
        <v>11</v>
      </c>
      <c r="K1035">
        <v>110.8</v>
      </c>
      <c r="L1035">
        <v>83.86</v>
      </c>
      <c r="M1035">
        <v>0.02</v>
      </c>
      <c r="N1035" t="s">
        <v>129</v>
      </c>
    </row>
    <row r="1036" spans="1:14" x14ac:dyDescent="0.25">
      <c r="A1036" t="s">
        <v>1548</v>
      </c>
      <c r="B1036" s="2">
        <v>45462</v>
      </c>
      <c r="C1036" t="s">
        <v>559</v>
      </c>
      <c r="D1036" t="s">
        <v>216</v>
      </c>
      <c r="E1036" t="s">
        <v>2614</v>
      </c>
      <c r="F1036" t="s">
        <v>2636</v>
      </c>
      <c r="G1036" t="s">
        <v>152</v>
      </c>
      <c r="H1036" t="s">
        <v>2645</v>
      </c>
      <c r="I1036" t="s">
        <v>75</v>
      </c>
      <c r="J1036">
        <v>26</v>
      </c>
      <c r="K1036">
        <v>117.41</v>
      </c>
      <c r="L1036">
        <v>62.07</v>
      </c>
      <c r="M1036">
        <v>0.2</v>
      </c>
      <c r="N1036" t="s">
        <v>45</v>
      </c>
    </row>
    <row r="1037" spans="1:14" x14ac:dyDescent="0.25">
      <c r="A1037" t="s">
        <v>1549</v>
      </c>
      <c r="B1037" s="2">
        <v>45605</v>
      </c>
      <c r="C1037" t="s">
        <v>373</v>
      </c>
      <c r="D1037" t="s">
        <v>93</v>
      </c>
      <c r="E1037" t="s">
        <v>2618</v>
      </c>
      <c r="F1037" t="s">
        <v>2634</v>
      </c>
      <c r="G1037" t="s">
        <v>42</v>
      </c>
      <c r="H1037" t="s">
        <v>2647</v>
      </c>
      <c r="I1037" t="s">
        <v>44</v>
      </c>
      <c r="J1037">
        <v>79</v>
      </c>
      <c r="K1037">
        <v>52.63</v>
      </c>
      <c r="L1037">
        <v>30.34</v>
      </c>
      <c r="M1037">
        <v>0.05</v>
      </c>
      <c r="N1037" t="s">
        <v>45</v>
      </c>
    </row>
    <row r="1038" spans="1:14" x14ac:dyDescent="0.25">
      <c r="A1038" t="s">
        <v>1550</v>
      </c>
      <c r="B1038" s="2">
        <v>45445</v>
      </c>
      <c r="C1038" t="s">
        <v>1469</v>
      </c>
      <c r="D1038" t="s">
        <v>36</v>
      </c>
      <c r="E1038" t="s">
        <v>2618</v>
      </c>
      <c r="F1038" t="s">
        <v>2632</v>
      </c>
      <c r="G1038" t="s">
        <v>42</v>
      </c>
      <c r="H1038" t="s">
        <v>2647</v>
      </c>
      <c r="I1038" t="s">
        <v>2578</v>
      </c>
      <c r="J1038">
        <v>36</v>
      </c>
      <c r="K1038">
        <v>152.1</v>
      </c>
      <c r="L1038">
        <v>98.5</v>
      </c>
      <c r="M1038">
        <v>0</v>
      </c>
      <c r="N1038" t="s">
        <v>32</v>
      </c>
    </row>
    <row r="1039" spans="1:14" x14ac:dyDescent="0.25">
      <c r="A1039" t="s">
        <v>1551</v>
      </c>
      <c r="B1039" s="2">
        <v>45307</v>
      </c>
      <c r="C1039" t="s">
        <v>948</v>
      </c>
      <c r="D1039" t="s">
        <v>114</v>
      </c>
      <c r="E1039" t="s">
        <v>2617</v>
      </c>
      <c r="F1039" t="s">
        <v>2626</v>
      </c>
      <c r="G1039" t="s">
        <v>60</v>
      </c>
      <c r="H1039" t="s">
        <v>2645</v>
      </c>
      <c r="I1039" t="s">
        <v>2578</v>
      </c>
      <c r="J1039">
        <v>72</v>
      </c>
      <c r="K1039">
        <v>37.49</v>
      </c>
      <c r="L1039">
        <v>20.89</v>
      </c>
      <c r="M1039">
        <v>0.05</v>
      </c>
      <c r="N1039" t="s">
        <v>129</v>
      </c>
    </row>
    <row r="1040" spans="1:14" x14ac:dyDescent="0.25">
      <c r="A1040" t="s">
        <v>1552</v>
      </c>
      <c r="B1040" s="2">
        <v>45300</v>
      </c>
      <c r="C1040" t="s">
        <v>1394</v>
      </c>
      <c r="D1040" t="s">
        <v>36</v>
      </c>
      <c r="E1040" t="s">
        <v>2617</v>
      </c>
      <c r="F1040" t="s">
        <v>2625</v>
      </c>
      <c r="G1040" t="s">
        <v>111</v>
      </c>
      <c r="H1040" t="s">
        <v>2647</v>
      </c>
      <c r="I1040" t="s">
        <v>70</v>
      </c>
      <c r="J1040">
        <v>65</v>
      </c>
      <c r="K1040">
        <v>167.23</v>
      </c>
      <c r="L1040">
        <v>105.35</v>
      </c>
      <c r="M1040">
        <v>0.2</v>
      </c>
      <c r="N1040" t="s">
        <v>45</v>
      </c>
    </row>
    <row r="1041" spans="1:14" x14ac:dyDescent="0.25">
      <c r="A1041" t="s">
        <v>1553</v>
      </c>
      <c r="B1041" s="2">
        <v>45632</v>
      </c>
      <c r="C1041" t="s">
        <v>1281</v>
      </c>
      <c r="D1041" t="s">
        <v>250</v>
      </c>
      <c r="E1041" t="s">
        <v>2618</v>
      </c>
      <c r="F1041" t="s">
        <v>2634</v>
      </c>
      <c r="G1041" t="s">
        <v>152</v>
      </c>
      <c r="H1041" t="s">
        <v>2645</v>
      </c>
      <c r="I1041" t="s">
        <v>44</v>
      </c>
      <c r="J1041">
        <v>32</v>
      </c>
      <c r="K1041">
        <v>67.25</v>
      </c>
      <c r="L1041">
        <v>35.4</v>
      </c>
      <c r="M1041">
        <v>0.2</v>
      </c>
      <c r="N1041" t="s">
        <v>45</v>
      </c>
    </row>
    <row r="1042" spans="1:14" x14ac:dyDescent="0.25">
      <c r="A1042" t="s">
        <v>1554</v>
      </c>
      <c r="B1042" s="2">
        <v>45411</v>
      </c>
      <c r="C1042" t="s">
        <v>798</v>
      </c>
      <c r="D1042" t="s">
        <v>150</v>
      </c>
      <c r="E1042" t="s">
        <v>2618</v>
      </c>
      <c r="F1042" t="s">
        <v>2634</v>
      </c>
      <c r="G1042" t="s">
        <v>144</v>
      </c>
      <c r="H1042" t="s">
        <v>2645</v>
      </c>
      <c r="I1042" t="s">
        <v>44</v>
      </c>
      <c r="J1042">
        <v>15</v>
      </c>
      <c r="K1042">
        <v>89.37</v>
      </c>
      <c r="L1042">
        <v>46.93</v>
      </c>
      <c r="M1042">
        <v>0.2</v>
      </c>
      <c r="N1042" t="s">
        <v>45</v>
      </c>
    </row>
    <row r="1043" spans="1:14" x14ac:dyDescent="0.25">
      <c r="A1043" t="s">
        <v>1555</v>
      </c>
      <c r="B1043" s="2">
        <v>45432</v>
      </c>
      <c r="C1043" t="s">
        <v>645</v>
      </c>
      <c r="D1043" t="s">
        <v>78</v>
      </c>
      <c r="E1043" t="s">
        <v>2614</v>
      </c>
      <c r="F1043" t="s">
        <v>2622</v>
      </c>
      <c r="G1043" t="s">
        <v>218</v>
      </c>
      <c r="H1043" t="s">
        <v>2648</v>
      </c>
      <c r="I1043" t="s">
        <v>2619</v>
      </c>
      <c r="J1043">
        <v>37</v>
      </c>
      <c r="K1043">
        <v>145.87</v>
      </c>
      <c r="L1043">
        <v>86.38</v>
      </c>
      <c r="M1043">
        <v>0.1</v>
      </c>
      <c r="N1043" t="s">
        <v>45</v>
      </c>
    </row>
    <row r="1044" spans="1:14" x14ac:dyDescent="0.25">
      <c r="A1044" t="s">
        <v>1556</v>
      </c>
      <c r="B1044" s="2">
        <v>45306</v>
      </c>
      <c r="C1044" t="s">
        <v>1557</v>
      </c>
      <c r="D1044" t="s">
        <v>49</v>
      </c>
      <c r="E1044" t="s">
        <v>2616</v>
      </c>
      <c r="F1044" t="s">
        <v>2631</v>
      </c>
      <c r="G1044" t="s">
        <v>265</v>
      </c>
      <c r="H1044" t="s">
        <v>2647</v>
      </c>
      <c r="I1044" t="s">
        <v>44</v>
      </c>
      <c r="J1044">
        <v>72</v>
      </c>
      <c r="K1044">
        <v>24.19</v>
      </c>
      <c r="L1044">
        <v>12.58</v>
      </c>
      <c r="M1044">
        <v>0</v>
      </c>
      <c r="N1044" t="s">
        <v>45</v>
      </c>
    </row>
    <row r="1045" spans="1:14" x14ac:dyDescent="0.25">
      <c r="A1045" t="s">
        <v>1558</v>
      </c>
      <c r="B1045" s="2">
        <v>45387</v>
      </c>
      <c r="C1045" t="s">
        <v>800</v>
      </c>
      <c r="D1045" t="s">
        <v>176</v>
      </c>
      <c r="E1045" t="s">
        <v>2615</v>
      </c>
      <c r="F1045" t="s">
        <v>2627</v>
      </c>
      <c r="G1045" t="s">
        <v>118</v>
      </c>
      <c r="H1045" t="s">
        <v>2647</v>
      </c>
      <c r="I1045" t="s">
        <v>84</v>
      </c>
      <c r="J1045">
        <v>32</v>
      </c>
      <c r="K1045">
        <v>98.83</v>
      </c>
      <c r="L1045">
        <v>66.650000000000006</v>
      </c>
      <c r="M1045">
        <v>0.02</v>
      </c>
      <c r="N1045" t="s">
        <v>32</v>
      </c>
    </row>
    <row r="1046" spans="1:14" x14ac:dyDescent="0.25">
      <c r="A1046" t="s">
        <v>1559</v>
      </c>
      <c r="B1046" s="2">
        <v>45510</v>
      </c>
      <c r="C1046" t="s">
        <v>333</v>
      </c>
      <c r="D1046" t="s">
        <v>36</v>
      </c>
      <c r="E1046" t="s">
        <v>2617</v>
      </c>
      <c r="F1046" t="s">
        <v>2641</v>
      </c>
      <c r="G1046" t="s">
        <v>74</v>
      </c>
      <c r="H1046" t="s">
        <v>2646</v>
      </c>
      <c r="I1046" t="s">
        <v>84</v>
      </c>
      <c r="J1046" t="e">
        <f>ROUND(#REF!/Sales12[[#This Row],[Unit_Price]],0)</f>
        <v>#REF!</v>
      </c>
      <c r="K1046">
        <v>159.83000000000001</v>
      </c>
      <c r="L1046">
        <v>95.89</v>
      </c>
      <c r="M1046">
        <v>0.05</v>
      </c>
      <c r="N1046" t="s">
        <v>45</v>
      </c>
    </row>
    <row r="1047" spans="1:14" x14ac:dyDescent="0.25">
      <c r="A1047" t="s">
        <v>1560</v>
      </c>
      <c r="B1047" s="2">
        <v>45539</v>
      </c>
      <c r="C1047" t="s">
        <v>172</v>
      </c>
      <c r="D1047" t="s">
        <v>141</v>
      </c>
      <c r="E1047" t="s">
        <v>2614</v>
      </c>
      <c r="F1047" t="s">
        <v>2636</v>
      </c>
      <c r="G1047" t="s">
        <v>60</v>
      </c>
      <c r="H1047" t="s">
        <v>2649</v>
      </c>
      <c r="I1047" t="s">
        <v>44</v>
      </c>
      <c r="J1047">
        <v>65</v>
      </c>
      <c r="K1047">
        <v>97.69</v>
      </c>
      <c r="L1047">
        <v>61.14</v>
      </c>
      <c r="M1047">
        <v>0.02</v>
      </c>
      <c r="N1047" t="s">
        <v>45</v>
      </c>
    </row>
    <row r="1048" spans="1:14" x14ac:dyDescent="0.25">
      <c r="A1048" t="s">
        <v>1561</v>
      </c>
      <c r="B1048" s="2">
        <v>45560</v>
      </c>
      <c r="C1048" t="s">
        <v>660</v>
      </c>
      <c r="D1048" t="s">
        <v>114</v>
      </c>
      <c r="E1048" t="s">
        <v>2614</v>
      </c>
      <c r="F1048" t="s">
        <v>2637</v>
      </c>
      <c r="G1048" t="s">
        <v>90</v>
      </c>
      <c r="H1048" t="s">
        <v>2648</v>
      </c>
      <c r="I1048" t="s">
        <v>75</v>
      </c>
      <c r="J1048">
        <v>38</v>
      </c>
      <c r="K1048">
        <v>36.92</v>
      </c>
      <c r="L1048">
        <v>20.95</v>
      </c>
      <c r="M1048">
        <v>0.02</v>
      </c>
      <c r="N1048" t="s">
        <v>45</v>
      </c>
    </row>
    <row r="1049" spans="1:14" x14ac:dyDescent="0.25">
      <c r="A1049" t="s">
        <v>1562</v>
      </c>
      <c r="B1049" s="2">
        <v>45336</v>
      </c>
      <c r="C1049" t="s">
        <v>397</v>
      </c>
      <c r="D1049" t="s">
        <v>222</v>
      </c>
      <c r="E1049" t="s">
        <v>2618</v>
      </c>
      <c r="F1049" t="s">
        <v>2632</v>
      </c>
      <c r="G1049" t="s">
        <v>218</v>
      </c>
      <c r="H1049" t="s">
        <v>2646</v>
      </c>
      <c r="I1049" t="s">
        <v>70</v>
      </c>
      <c r="J1049">
        <v>11</v>
      </c>
      <c r="K1049">
        <v>127.14</v>
      </c>
      <c r="L1049">
        <v>74.5</v>
      </c>
      <c r="M1049">
        <v>0.1</v>
      </c>
      <c r="N1049" t="s">
        <v>45</v>
      </c>
    </row>
    <row r="1050" spans="1:14" x14ac:dyDescent="0.25">
      <c r="A1050" t="s">
        <v>1563</v>
      </c>
      <c r="B1050" s="2">
        <v>45418</v>
      </c>
      <c r="C1050" t="s">
        <v>47</v>
      </c>
      <c r="D1050" t="s">
        <v>78</v>
      </c>
      <c r="E1050" t="s">
        <v>2616</v>
      </c>
      <c r="F1050" t="s">
        <v>2633</v>
      </c>
      <c r="G1050" t="s">
        <v>69</v>
      </c>
      <c r="H1050" t="s">
        <v>2647</v>
      </c>
      <c r="I1050" t="s">
        <v>84</v>
      </c>
      <c r="J1050">
        <v>40</v>
      </c>
      <c r="K1050">
        <v>134.97999999999999</v>
      </c>
      <c r="L1050">
        <v>86.95</v>
      </c>
      <c r="M1050">
        <v>0.2</v>
      </c>
      <c r="N1050" t="s">
        <v>45</v>
      </c>
    </row>
    <row r="1051" spans="1:14" x14ac:dyDescent="0.25">
      <c r="A1051" t="s">
        <v>1564</v>
      </c>
      <c r="B1051" s="2">
        <v>45347</v>
      </c>
      <c r="C1051" t="s">
        <v>931</v>
      </c>
      <c r="D1051" t="s">
        <v>49</v>
      </c>
      <c r="E1051" t="s">
        <v>2614</v>
      </c>
      <c r="F1051" t="s">
        <v>2622</v>
      </c>
      <c r="G1051" t="s">
        <v>42</v>
      </c>
      <c r="H1051" t="s">
        <v>2646</v>
      </c>
      <c r="I1051" t="s">
        <v>2578</v>
      </c>
      <c r="J1051">
        <v>5</v>
      </c>
      <c r="K1051">
        <v>26.88</v>
      </c>
      <c r="L1051">
        <v>12.5</v>
      </c>
      <c r="M1051">
        <v>0.2</v>
      </c>
      <c r="N1051" t="s">
        <v>45</v>
      </c>
    </row>
    <row r="1052" spans="1:14" x14ac:dyDescent="0.25">
      <c r="A1052" t="s">
        <v>1565</v>
      </c>
      <c r="B1052" s="2">
        <v>45318</v>
      </c>
      <c r="C1052" t="s">
        <v>653</v>
      </c>
      <c r="D1052" t="s">
        <v>49</v>
      </c>
      <c r="E1052" t="s">
        <v>2618</v>
      </c>
      <c r="F1052" t="s">
        <v>2635</v>
      </c>
      <c r="G1052" t="s">
        <v>152</v>
      </c>
      <c r="H1052" t="s">
        <v>2646</v>
      </c>
      <c r="I1052" t="s">
        <v>2578</v>
      </c>
      <c r="J1052">
        <v>55</v>
      </c>
      <c r="K1052">
        <v>25.8</v>
      </c>
      <c r="L1052">
        <v>13.37</v>
      </c>
      <c r="M1052">
        <v>0.2</v>
      </c>
      <c r="N1052" t="s">
        <v>45</v>
      </c>
    </row>
    <row r="1053" spans="1:14" x14ac:dyDescent="0.25">
      <c r="A1053" t="s">
        <v>1566</v>
      </c>
      <c r="B1053" s="2">
        <v>45567</v>
      </c>
      <c r="C1053" t="s">
        <v>926</v>
      </c>
      <c r="D1053" t="s">
        <v>49</v>
      </c>
      <c r="E1053" t="s">
        <v>2614</v>
      </c>
      <c r="F1053" t="s">
        <v>2622</v>
      </c>
      <c r="G1053" t="s">
        <v>60</v>
      </c>
      <c r="H1053" t="s">
        <v>2646</v>
      </c>
      <c r="I1053" t="s">
        <v>2578</v>
      </c>
      <c r="J1053">
        <v>56</v>
      </c>
      <c r="K1053">
        <v>25.01</v>
      </c>
      <c r="L1053">
        <v>13.2</v>
      </c>
      <c r="M1053">
        <v>0.2</v>
      </c>
      <c r="N1053" t="s">
        <v>32</v>
      </c>
    </row>
    <row r="1054" spans="1:14" x14ac:dyDescent="0.25">
      <c r="A1054" t="s">
        <v>1567</v>
      </c>
      <c r="B1054" s="2">
        <v>45363</v>
      </c>
      <c r="C1054" t="s">
        <v>255</v>
      </c>
      <c r="D1054" t="s">
        <v>114</v>
      </c>
      <c r="E1054" t="s">
        <v>2614</v>
      </c>
      <c r="F1054" t="s">
        <v>2622</v>
      </c>
      <c r="G1054" t="s">
        <v>60</v>
      </c>
      <c r="H1054" t="s">
        <v>2647</v>
      </c>
      <c r="I1054" t="s">
        <v>2578</v>
      </c>
      <c r="J1054">
        <v>75</v>
      </c>
      <c r="K1054">
        <v>33.89</v>
      </c>
      <c r="L1054">
        <v>21.7</v>
      </c>
      <c r="M1054">
        <v>0.2</v>
      </c>
      <c r="N1054" t="s">
        <v>32</v>
      </c>
    </row>
    <row r="1055" spans="1:14" x14ac:dyDescent="0.25">
      <c r="A1055" t="s">
        <v>1568</v>
      </c>
      <c r="B1055" s="2">
        <v>45598</v>
      </c>
      <c r="C1055" t="s">
        <v>1047</v>
      </c>
      <c r="D1055" t="s">
        <v>150</v>
      </c>
      <c r="E1055" t="s">
        <v>2617</v>
      </c>
      <c r="F1055" t="s">
        <v>2641</v>
      </c>
      <c r="G1055" t="s">
        <v>265</v>
      </c>
      <c r="H1055" t="s">
        <v>2646</v>
      </c>
      <c r="I1055" t="s">
        <v>70</v>
      </c>
      <c r="J1055">
        <v>42</v>
      </c>
      <c r="K1055">
        <v>79.16</v>
      </c>
      <c r="L1055">
        <v>48.43</v>
      </c>
      <c r="M1055">
        <v>0.15</v>
      </c>
      <c r="N1055" t="s">
        <v>45</v>
      </c>
    </row>
    <row r="1056" spans="1:14" x14ac:dyDescent="0.25">
      <c r="A1056" t="s">
        <v>1569</v>
      </c>
      <c r="B1056" s="2">
        <v>45347</v>
      </c>
      <c r="C1056" t="s">
        <v>658</v>
      </c>
      <c r="D1056" t="s">
        <v>109</v>
      </c>
      <c r="E1056" t="s">
        <v>2618</v>
      </c>
      <c r="F1056" t="s">
        <v>2632</v>
      </c>
      <c r="G1056" t="s">
        <v>69</v>
      </c>
      <c r="H1056" t="s">
        <v>2646</v>
      </c>
      <c r="I1056" t="s">
        <v>2578</v>
      </c>
      <c r="J1056">
        <v>19</v>
      </c>
      <c r="K1056">
        <v>130.22</v>
      </c>
      <c r="L1056">
        <v>75.489999999999995</v>
      </c>
      <c r="M1056">
        <v>0.15</v>
      </c>
      <c r="N1056" t="s">
        <v>129</v>
      </c>
    </row>
    <row r="1057" spans="1:14" x14ac:dyDescent="0.25">
      <c r="A1057" t="s">
        <v>1570</v>
      </c>
      <c r="B1057" s="2">
        <v>45486</v>
      </c>
      <c r="C1057" t="s">
        <v>234</v>
      </c>
      <c r="D1057" t="s">
        <v>165</v>
      </c>
      <c r="E1057" t="s">
        <v>2614</v>
      </c>
      <c r="F1057" t="s">
        <v>2636</v>
      </c>
      <c r="G1057" t="s">
        <v>29</v>
      </c>
      <c r="H1057" t="s">
        <v>2646</v>
      </c>
      <c r="I1057" t="s">
        <v>70</v>
      </c>
      <c r="J1057">
        <v>12</v>
      </c>
      <c r="K1057">
        <v>40.93</v>
      </c>
      <c r="L1057">
        <v>23.29</v>
      </c>
      <c r="M1057">
        <v>0.2</v>
      </c>
      <c r="N1057" t="s">
        <v>32</v>
      </c>
    </row>
    <row r="1058" spans="1:14" x14ac:dyDescent="0.25">
      <c r="A1058" t="s">
        <v>1571</v>
      </c>
      <c r="B1058" s="2">
        <v>45560</v>
      </c>
      <c r="C1058" t="s">
        <v>389</v>
      </c>
      <c r="D1058" t="s">
        <v>109</v>
      </c>
      <c r="E1058" t="s">
        <v>2615</v>
      </c>
      <c r="F1058" t="s">
        <v>2630</v>
      </c>
      <c r="G1058" t="s">
        <v>60</v>
      </c>
      <c r="H1058" t="s">
        <v>2646</v>
      </c>
      <c r="I1058" t="s">
        <v>75</v>
      </c>
      <c r="J1058">
        <v>54</v>
      </c>
      <c r="K1058">
        <v>121.71</v>
      </c>
      <c r="L1058">
        <v>79.67</v>
      </c>
      <c r="M1058">
        <v>0.2</v>
      </c>
      <c r="N1058" t="s">
        <v>45</v>
      </c>
    </row>
    <row r="1059" spans="1:14" x14ac:dyDescent="0.25">
      <c r="A1059" t="s">
        <v>1572</v>
      </c>
      <c r="B1059" s="2">
        <v>45586</v>
      </c>
      <c r="C1059" t="s">
        <v>1036</v>
      </c>
      <c r="D1059" t="s">
        <v>36</v>
      </c>
      <c r="E1059" t="s">
        <v>2617</v>
      </c>
      <c r="F1059" t="s">
        <v>2641</v>
      </c>
      <c r="G1059" t="s">
        <v>83</v>
      </c>
      <c r="H1059" t="s">
        <v>2647</v>
      </c>
      <c r="I1059" t="s">
        <v>84</v>
      </c>
      <c r="J1059">
        <v>41</v>
      </c>
      <c r="K1059">
        <v>154.74</v>
      </c>
      <c r="L1059">
        <v>98.88</v>
      </c>
      <c r="M1059">
        <v>0.15</v>
      </c>
      <c r="N1059" t="s">
        <v>45</v>
      </c>
    </row>
    <row r="1060" spans="1:14" x14ac:dyDescent="0.25">
      <c r="A1060" t="s">
        <v>1573</v>
      </c>
      <c r="B1060" s="2">
        <v>45598</v>
      </c>
      <c r="C1060" t="s">
        <v>691</v>
      </c>
      <c r="D1060" t="s">
        <v>250</v>
      </c>
      <c r="E1060" t="s">
        <v>2615</v>
      </c>
      <c r="F1060" t="s">
        <v>2627</v>
      </c>
      <c r="G1060" t="s">
        <v>60</v>
      </c>
      <c r="H1060" t="s">
        <v>2648</v>
      </c>
      <c r="I1060" t="s">
        <v>44</v>
      </c>
      <c r="J1060">
        <v>33</v>
      </c>
      <c r="K1060">
        <v>65.87</v>
      </c>
      <c r="L1060">
        <v>38.56</v>
      </c>
      <c r="M1060">
        <v>0.15</v>
      </c>
      <c r="N1060" t="s">
        <v>45</v>
      </c>
    </row>
    <row r="1061" spans="1:14" x14ac:dyDescent="0.25">
      <c r="A1061" t="s">
        <v>1574</v>
      </c>
      <c r="B1061" s="2">
        <v>45590</v>
      </c>
      <c r="C1061" t="s">
        <v>1575</v>
      </c>
      <c r="D1061" t="s">
        <v>36</v>
      </c>
      <c r="E1061" t="s">
        <v>2615</v>
      </c>
      <c r="F1061" t="s">
        <v>2640</v>
      </c>
      <c r="G1061" t="s">
        <v>248</v>
      </c>
      <c r="H1061" t="s">
        <v>2646</v>
      </c>
      <c r="I1061" t="s">
        <v>70</v>
      </c>
      <c r="J1061">
        <v>73</v>
      </c>
      <c r="K1061">
        <v>160.79</v>
      </c>
      <c r="L1061">
        <v>99.17</v>
      </c>
      <c r="M1061">
        <v>0</v>
      </c>
      <c r="N1061" t="s">
        <v>32</v>
      </c>
    </row>
    <row r="1062" spans="1:14" x14ac:dyDescent="0.25">
      <c r="A1062" t="s">
        <v>1576</v>
      </c>
      <c r="B1062" s="2">
        <v>45433</v>
      </c>
      <c r="C1062" t="s">
        <v>911</v>
      </c>
      <c r="D1062" t="s">
        <v>114</v>
      </c>
      <c r="E1062" t="s">
        <v>2618</v>
      </c>
      <c r="F1062" t="s">
        <v>2634</v>
      </c>
      <c r="G1062" t="s">
        <v>60</v>
      </c>
      <c r="H1062" t="s">
        <v>2645</v>
      </c>
      <c r="I1062" t="s">
        <v>2578</v>
      </c>
      <c r="J1062">
        <v>20</v>
      </c>
      <c r="K1062">
        <v>36.049999999999997</v>
      </c>
      <c r="L1062">
        <v>19.72</v>
      </c>
      <c r="M1062">
        <v>0.02</v>
      </c>
      <c r="N1062" t="s">
        <v>45</v>
      </c>
    </row>
    <row r="1063" spans="1:14" x14ac:dyDescent="0.25">
      <c r="A1063" t="s">
        <v>1577</v>
      </c>
      <c r="B1063" s="2">
        <v>45545</v>
      </c>
      <c r="C1063" t="s">
        <v>655</v>
      </c>
      <c r="D1063" t="s">
        <v>109</v>
      </c>
      <c r="E1063" t="s">
        <v>2617</v>
      </c>
      <c r="F1063" t="s">
        <v>2642</v>
      </c>
      <c r="G1063" t="s">
        <v>69</v>
      </c>
      <c r="H1063" t="s">
        <v>2648</v>
      </c>
      <c r="I1063" t="s">
        <v>84</v>
      </c>
      <c r="J1063">
        <v>42</v>
      </c>
      <c r="K1063">
        <v>117.4</v>
      </c>
      <c r="L1063">
        <v>72.08</v>
      </c>
      <c r="M1063">
        <v>0.02</v>
      </c>
      <c r="N1063" t="s">
        <v>45</v>
      </c>
    </row>
    <row r="1064" spans="1:14" x14ac:dyDescent="0.25">
      <c r="A1064" t="s">
        <v>1578</v>
      </c>
      <c r="B1064" s="2">
        <v>45508</v>
      </c>
      <c r="C1064" t="s">
        <v>655</v>
      </c>
      <c r="D1064" t="s">
        <v>187</v>
      </c>
      <c r="E1064" t="s">
        <v>2616</v>
      </c>
      <c r="F1064" t="s">
        <v>2624</v>
      </c>
      <c r="G1064" t="s">
        <v>60</v>
      </c>
      <c r="H1064" t="s">
        <v>2647</v>
      </c>
      <c r="I1064" t="s">
        <v>84</v>
      </c>
      <c r="J1064">
        <v>72</v>
      </c>
      <c r="K1064">
        <v>48.36</v>
      </c>
      <c r="L1064">
        <v>27.54</v>
      </c>
      <c r="M1064">
        <v>0.2</v>
      </c>
      <c r="N1064" t="s">
        <v>45</v>
      </c>
    </row>
    <row r="1065" spans="1:14" x14ac:dyDescent="0.25">
      <c r="A1065" t="s">
        <v>1579</v>
      </c>
      <c r="B1065" s="2">
        <v>45323</v>
      </c>
      <c r="C1065" t="s">
        <v>422</v>
      </c>
      <c r="D1065" t="s">
        <v>176</v>
      </c>
      <c r="E1065" t="s">
        <v>2615</v>
      </c>
      <c r="F1065" t="s">
        <v>2623</v>
      </c>
      <c r="G1065" t="s">
        <v>265</v>
      </c>
      <c r="H1065" t="s">
        <v>2647</v>
      </c>
      <c r="I1065" t="s">
        <v>70</v>
      </c>
      <c r="J1065">
        <v>58</v>
      </c>
      <c r="K1065">
        <v>101.41</v>
      </c>
      <c r="L1065">
        <v>63.92</v>
      </c>
      <c r="M1065">
        <v>0</v>
      </c>
      <c r="N1065" t="s">
        <v>45</v>
      </c>
    </row>
    <row r="1066" spans="1:14" x14ac:dyDescent="0.25">
      <c r="A1066" t="s">
        <v>1580</v>
      </c>
      <c r="B1066" s="2">
        <v>45571</v>
      </c>
      <c r="C1066" t="s">
        <v>272</v>
      </c>
      <c r="D1066" t="s">
        <v>165</v>
      </c>
      <c r="E1066" t="s">
        <v>2618</v>
      </c>
      <c r="F1066" t="s">
        <v>2628</v>
      </c>
      <c r="G1066" t="s">
        <v>184</v>
      </c>
      <c r="H1066" t="s">
        <v>2647</v>
      </c>
      <c r="I1066" t="s">
        <v>70</v>
      </c>
      <c r="J1066">
        <v>67</v>
      </c>
      <c r="K1066">
        <v>38.92</v>
      </c>
      <c r="L1066">
        <v>23.07</v>
      </c>
      <c r="M1066" t="e">
        <f>ROUND(#REF!/#REF!,2)</f>
        <v>#REF!</v>
      </c>
      <c r="N1066" t="s">
        <v>45</v>
      </c>
    </row>
    <row r="1067" spans="1:14" x14ac:dyDescent="0.25">
      <c r="A1067" t="s">
        <v>1581</v>
      </c>
      <c r="B1067" s="2">
        <v>45565</v>
      </c>
      <c r="C1067" t="s">
        <v>461</v>
      </c>
      <c r="D1067" t="s">
        <v>99</v>
      </c>
      <c r="E1067" t="s">
        <v>2616</v>
      </c>
      <c r="F1067" t="s">
        <v>2633</v>
      </c>
      <c r="G1067" t="s">
        <v>42</v>
      </c>
      <c r="H1067" t="s">
        <v>2650</v>
      </c>
      <c r="I1067" t="s">
        <v>2578</v>
      </c>
      <c r="J1067">
        <v>78</v>
      </c>
      <c r="K1067">
        <v>70.7</v>
      </c>
      <c r="L1067">
        <v>44</v>
      </c>
      <c r="M1067">
        <v>0.05</v>
      </c>
      <c r="N1067" t="s">
        <v>45</v>
      </c>
    </row>
    <row r="1068" spans="1:14" x14ac:dyDescent="0.25">
      <c r="A1068" t="s">
        <v>1582</v>
      </c>
      <c r="B1068" s="2">
        <v>45398</v>
      </c>
      <c r="C1068" t="s">
        <v>293</v>
      </c>
      <c r="D1068" t="s">
        <v>187</v>
      </c>
      <c r="E1068" t="s">
        <v>2614</v>
      </c>
      <c r="F1068" t="s">
        <v>2622</v>
      </c>
      <c r="G1068" t="s">
        <v>170</v>
      </c>
      <c r="H1068" t="s">
        <v>2648</v>
      </c>
      <c r="I1068" t="s">
        <v>2578</v>
      </c>
      <c r="J1068">
        <v>33</v>
      </c>
      <c r="K1068">
        <v>49.64</v>
      </c>
      <c r="L1068">
        <v>29.77</v>
      </c>
      <c r="M1068">
        <v>0.05</v>
      </c>
      <c r="N1068" t="s">
        <v>45</v>
      </c>
    </row>
    <row r="1069" spans="1:14" x14ac:dyDescent="0.25">
      <c r="A1069" t="s">
        <v>1583</v>
      </c>
      <c r="B1069" s="2">
        <v>45374</v>
      </c>
      <c r="C1069" t="s">
        <v>651</v>
      </c>
      <c r="D1069" t="s">
        <v>141</v>
      </c>
      <c r="E1069" t="s">
        <v>2617</v>
      </c>
      <c r="F1069" t="s">
        <v>2642</v>
      </c>
      <c r="G1069" t="s">
        <v>218</v>
      </c>
      <c r="H1069" t="s">
        <v>2645</v>
      </c>
      <c r="I1069" t="s">
        <v>44</v>
      </c>
      <c r="J1069">
        <v>43</v>
      </c>
      <c r="K1069">
        <v>97.7</v>
      </c>
      <c r="L1069">
        <v>53.51</v>
      </c>
      <c r="M1069">
        <v>0.1</v>
      </c>
      <c r="N1069" t="s">
        <v>45</v>
      </c>
    </row>
    <row r="1070" spans="1:14" x14ac:dyDescent="0.25">
      <c r="A1070" t="s">
        <v>1584</v>
      </c>
      <c r="B1070" s="2">
        <v>45328</v>
      </c>
      <c r="C1070" t="s">
        <v>148</v>
      </c>
      <c r="D1070" t="s">
        <v>132</v>
      </c>
      <c r="E1070" t="s">
        <v>2616</v>
      </c>
      <c r="F1070" t="s">
        <v>2638</v>
      </c>
      <c r="G1070" t="s">
        <v>178</v>
      </c>
      <c r="H1070" t="s">
        <v>2648</v>
      </c>
      <c r="I1070" t="s">
        <v>70</v>
      </c>
      <c r="J1070">
        <v>44</v>
      </c>
      <c r="K1070">
        <v>57.57</v>
      </c>
      <c r="L1070">
        <v>33.909999999999997</v>
      </c>
      <c r="M1070">
        <v>0.05</v>
      </c>
      <c r="N1070" t="s">
        <v>129</v>
      </c>
    </row>
    <row r="1071" spans="1:14" x14ac:dyDescent="0.25">
      <c r="A1071" t="s">
        <v>1585</v>
      </c>
      <c r="B1071" s="2">
        <v>45520</v>
      </c>
      <c r="C1071" t="s">
        <v>1586</v>
      </c>
      <c r="D1071" t="s">
        <v>165</v>
      </c>
      <c r="E1071" t="s">
        <v>2615</v>
      </c>
      <c r="F1071" t="s">
        <v>2640</v>
      </c>
      <c r="G1071" t="s">
        <v>152</v>
      </c>
      <c r="H1071" t="s">
        <v>2648</v>
      </c>
      <c r="I1071" t="s">
        <v>2578</v>
      </c>
      <c r="J1071">
        <v>55</v>
      </c>
      <c r="K1071">
        <v>39.270000000000003</v>
      </c>
      <c r="L1071">
        <v>24.94</v>
      </c>
      <c r="M1071">
        <v>0.2</v>
      </c>
      <c r="N1071" t="s">
        <v>45</v>
      </c>
    </row>
    <row r="1072" spans="1:14" x14ac:dyDescent="0.25">
      <c r="A1072" t="s">
        <v>1587</v>
      </c>
      <c r="B1072" s="2">
        <v>45370</v>
      </c>
      <c r="C1072" t="s">
        <v>874</v>
      </c>
      <c r="D1072" t="s">
        <v>141</v>
      </c>
      <c r="E1072" t="s">
        <v>2614</v>
      </c>
      <c r="F1072" t="s">
        <v>2636</v>
      </c>
      <c r="G1072" t="s">
        <v>29</v>
      </c>
      <c r="H1072" t="s">
        <v>2645</v>
      </c>
      <c r="I1072" t="s">
        <v>75</v>
      </c>
      <c r="J1072">
        <v>44</v>
      </c>
      <c r="K1072">
        <v>93.45</v>
      </c>
      <c r="L1072">
        <v>61.89</v>
      </c>
      <c r="M1072">
        <v>0.05</v>
      </c>
      <c r="N1072" t="s">
        <v>129</v>
      </c>
    </row>
    <row r="1073" spans="1:14" x14ac:dyDescent="0.25">
      <c r="A1073" t="s">
        <v>1588</v>
      </c>
      <c r="B1073" s="2">
        <v>45571</v>
      </c>
      <c r="C1073" t="s">
        <v>341</v>
      </c>
      <c r="D1073" t="s">
        <v>165</v>
      </c>
      <c r="E1073" t="s">
        <v>2615</v>
      </c>
      <c r="F1073" t="s">
        <v>2630</v>
      </c>
      <c r="G1073" t="s">
        <v>178</v>
      </c>
      <c r="H1073" t="s">
        <v>2645</v>
      </c>
      <c r="I1073" t="s">
        <v>44</v>
      </c>
      <c r="J1073">
        <v>70</v>
      </c>
      <c r="K1073">
        <v>45</v>
      </c>
      <c r="L1073">
        <v>26.54</v>
      </c>
      <c r="M1073">
        <v>0.2</v>
      </c>
      <c r="N1073" t="s">
        <v>45</v>
      </c>
    </row>
    <row r="1074" spans="1:14" x14ac:dyDescent="0.25">
      <c r="A1074" t="s">
        <v>1589</v>
      </c>
      <c r="B1074" s="2">
        <v>45650</v>
      </c>
      <c r="C1074" t="s">
        <v>199</v>
      </c>
      <c r="D1074" t="s">
        <v>150</v>
      </c>
      <c r="E1074" t="s">
        <v>2616</v>
      </c>
      <c r="F1074" t="s">
        <v>2639</v>
      </c>
      <c r="G1074" t="s">
        <v>178</v>
      </c>
      <c r="H1074" t="s">
        <v>2648</v>
      </c>
      <c r="I1074" t="s">
        <v>44</v>
      </c>
      <c r="J1074">
        <v>38</v>
      </c>
      <c r="K1074">
        <v>80.25</v>
      </c>
      <c r="L1074">
        <v>54.82</v>
      </c>
      <c r="M1074">
        <v>0</v>
      </c>
      <c r="N1074" t="s">
        <v>32</v>
      </c>
    </row>
    <row r="1075" spans="1:14" x14ac:dyDescent="0.25">
      <c r="A1075" t="s">
        <v>1590</v>
      </c>
      <c r="B1075" s="2">
        <v>45567</v>
      </c>
      <c r="C1075" t="s">
        <v>852</v>
      </c>
      <c r="D1075" t="s">
        <v>109</v>
      </c>
      <c r="E1075" t="s">
        <v>2618</v>
      </c>
      <c r="F1075" t="s">
        <v>2635</v>
      </c>
      <c r="G1075" t="s">
        <v>74</v>
      </c>
      <c r="H1075" t="s">
        <v>2647</v>
      </c>
      <c r="I1075" t="s">
        <v>44</v>
      </c>
      <c r="J1075">
        <v>7</v>
      </c>
      <c r="K1075">
        <v>128.33000000000001</v>
      </c>
      <c r="L1075">
        <v>70.010000000000005</v>
      </c>
      <c r="M1075">
        <v>0.2</v>
      </c>
      <c r="N1075" t="s">
        <v>45</v>
      </c>
    </row>
    <row r="1076" spans="1:14" x14ac:dyDescent="0.25">
      <c r="A1076" t="s">
        <v>1591</v>
      </c>
      <c r="B1076" s="2">
        <v>45558</v>
      </c>
      <c r="C1076" t="s">
        <v>631</v>
      </c>
      <c r="D1076" t="s">
        <v>114</v>
      </c>
      <c r="E1076" t="s">
        <v>2614</v>
      </c>
      <c r="F1076" t="s">
        <v>2637</v>
      </c>
      <c r="G1076" t="s">
        <v>261</v>
      </c>
      <c r="H1076" t="s">
        <v>2645</v>
      </c>
      <c r="I1076" t="s">
        <v>75</v>
      </c>
      <c r="J1076">
        <v>67</v>
      </c>
      <c r="K1076">
        <v>34.33</v>
      </c>
      <c r="L1076">
        <v>22.04</v>
      </c>
      <c r="M1076">
        <v>0.02</v>
      </c>
      <c r="N1076" t="s">
        <v>45</v>
      </c>
    </row>
    <row r="1077" spans="1:14" x14ac:dyDescent="0.25">
      <c r="A1077" t="s">
        <v>1592</v>
      </c>
      <c r="B1077" s="2">
        <v>45640</v>
      </c>
      <c r="C1077" t="s">
        <v>146</v>
      </c>
      <c r="D1077" t="s">
        <v>36</v>
      </c>
      <c r="E1077" t="s">
        <v>2616</v>
      </c>
      <c r="F1077" t="s">
        <v>2633</v>
      </c>
      <c r="G1077" t="s">
        <v>184</v>
      </c>
      <c r="H1077" t="s">
        <v>2645</v>
      </c>
      <c r="I1077" t="s">
        <v>75</v>
      </c>
      <c r="J1077">
        <v>4</v>
      </c>
      <c r="K1077">
        <v>166.97</v>
      </c>
      <c r="L1077">
        <v>104.41</v>
      </c>
      <c r="M1077">
        <v>0.02</v>
      </c>
      <c r="N1077" t="s">
        <v>45</v>
      </c>
    </row>
    <row r="1078" spans="1:14" x14ac:dyDescent="0.25">
      <c r="A1078" t="s">
        <v>1593</v>
      </c>
      <c r="B1078" s="2">
        <v>45339</v>
      </c>
      <c r="C1078" t="s">
        <v>331</v>
      </c>
      <c r="D1078" t="s">
        <v>250</v>
      </c>
      <c r="E1078" t="s">
        <v>2615</v>
      </c>
      <c r="F1078" t="s">
        <v>2630</v>
      </c>
      <c r="G1078" t="s">
        <v>195</v>
      </c>
      <c r="H1078" t="s">
        <v>2646</v>
      </c>
      <c r="I1078" t="s">
        <v>2578</v>
      </c>
      <c r="J1078">
        <v>33</v>
      </c>
      <c r="K1078">
        <v>65.61</v>
      </c>
      <c r="L1078">
        <v>36.909999999999997</v>
      </c>
      <c r="M1078">
        <v>0.15</v>
      </c>
      <c r="N1078" t="s">
        <v>129</v>
      </c>
    </row>
    <row r="1079" spans="1:14" x14ac:dyDescent="0.25">
      <c r="A1079" t="s">
        <v>1594</v>
      </c>
      <c r="B1079" s="2">
        <v>45365</v>
      </c>
      <c r="C1079" t="s">
        <v>1122</v>
      </c>
      <c r="D1079" t="s">
        <v>109</v>
      </c>
      <c r="E1079" t="s">
        <v>2617</v>
      </c>
      <c r="F1079" t="s">
        <v>2641</v>
      </c>
      <c r="G1079" t="s">
        <v>111</v>
      </c>
      <c r="H1079" t="s">
        <v>2645</v>
      </c>
      <c r="I1079" t="s">
        <v>44</v>
      </c>
      <c r="J1079">
        <v>6</v>
      </c>
      <c r="K1079">
        <v>126.54</v>
      </c>
      <c r="L1079">
        <v>68.599999999999994</v>
      </c>
      <c r="M1079">
        <v>0.2</v>
      </c>
      <c r="N1079" t="s">
        <v>32</v>
      </c>
    </row>
    <row r="1080" spans="1:14" x14ac:dyDescent="0.25">
      <c r="A1080" t="s">
        <v>1595</v>
      </c>
      <c r="B1080" s="2">
        <v>45440</v>
      </c>
      <c r="C1080" t="s">
        <v>613</v>
      </c>
      <c r="D1080" t="s">
        <v>109</v>
      </c>
      <c r="E1080" t="s">
        <v>2616</v>
      </c>
      <c r="F1080" t="s">
        <v>2633</v>
      </c>
      <c r="G1080" t="s">
        <v>248</v>
      </c>
      <c r="H1080" t="s">
        <v>2646</v>
      </c>
      <c r="I1080" t="s">
        <v>70</v>
      </c>
      <c r="J1080">
        <v>21</v>
      </c>
      <c r="K1080">
        <v>118.32</v>
      </c>
      <c r="L1080">
        <v>79.28</v>
      </c>
      <c r="M1080">
        <v>0.02</v>
      </c>
      <c r="N1080" t="s">
        <v>129</v>
      </c>
    </row>
    <row r="1081" spans="1:14" x14ac:dyDescent="0.25">
      <c r="A1081" t="s">
        <v>1596</v>
      </c>
      <c r="B1081" s="2">
        <v>45452</v>
      </c>
      <c r="C1081" t="s">
        <v>631</v>
      </c>
      <c r="D1081" t="s">
        <v>176</v>
      </c>
      <c r="E1081" t="s">
        <v>2614</v>
      </c>
      <c r="F1081" t="s">
        <v>2637</v>
      </c>
      <c r="G1081" t="s">
        <v>265</v>
      </c>
      <c r="H1081" t="s">
        <v>2648</v>
      </c>
      <c r="I1081" t="s">
        <v>44</v>
      </c>
      <c r="J1081">
        <v>22</v>
      </c>
      <c r="K1081">
        <v>97.65</v>
      </c>
      <c r="L1081">
        <v>63.13</v>
      </c>
      <c r="M1081">
        <v>0.05</v>
      </c>
      <c r="N1081" t="s">
        <v>45</v>
      </c>
    </row>
    <row r="1082" spans="1:14" x14ac:dyDescent="0.25">
      <c r="A1082" t="s">
        <v>1597</v>
      </c>
      <c r="B1082" s="2">
        <v>45373</v>
      </c>
      <c r="C1082" t="s">
        <v>414</v>
      </c>
      <c r="D1082" t="s">
        <v>66</v>
      </c>
      <c r="E1082" t="s">
        <v>2617</v>
      </c>
      <c r="F1082" t="s">
        <v>2642</v>
      </c>
      <c r="G1082" t="s">
        <v>83</v>
      </c>
      <c r="H1082" t="s">
        <v>2646</v>
      </c>
      <c r="I1082" t="s">
        <v>75</v>
      </c>
      <c r="J1082">
        <v>54</v>
      </c>
      <c r="K1082">
        <v>160.29</v>
      </c>
      <c r="L1082">
        <v>103.87</v>
      </c>
      <c r="M1082">
        <v>0.1</v>
      </c>
      <c r="N1082" t="s">
        <v>45</v>
      </c>
    </row>
    <row r="1083" spans="1:14" x14ac:dyDescent="0.25">
      <c r="A1083" t="s">
        <v>1598</v>
      </c>
      <c r="B1083" s="2">
        <v>45325</v>
      </c>
      <c r="C1083" t="s">
        <v>438</v>
      </c>
      <c r="D1083" t="s">
        <v>93</v>
      </c>
      <c r="E1083" t="s">
        <v>2614</v>
      </c>
      <c r="F1083" t="s">
        <v>2629</v>
      </c>
      <c r="G1083" t="s">
        <v>170</v>
      </c>
      <c r="H1083" t="s">
        <v>2645</v>
      </c>
      <c r="I1083" t="s">
        <v>2578</v>
      </c>
      <c r="J1083">
        <v>36</v>
      </c>
      <c r="K1083">
        <v>55.41</v>
      </c>
      <c r="L1083">
        <v>31.66</v>
      </c>
      <c r="M1083">
        <v>0.15</v>
      </c>
      <c r="N1083" t="s">
        <v>129</v>
      </c>
    </row>
    <row r="1084" spans="1:14" x14ac:dyDescent="0.25">
      <c r="A1084" t="s">
        <v>1599</v>
      </c>
      <c r="B1084" s="2">
        <v>45471</v>
      </c>
      <c r="C1084" t="s">
        <v>169</v>
      </c>
      <c r="D1084" t="s">
        <v>141</v>
      </c>
      <c r="E1084" t="s">
        <v>2616</v>
      </c>
      <c r="F1084" t="s">
        <v>2631</v>
      </c>
      <c r="G1084" t="s">
        <v>184</v>
      </c>
      <c r="H1084" t="s">
        <v>2648</v>
      </c>
      <c r="I1084" t="s">
        <v>84</v>
      </c>
      <c r="J1084">
        <v>70</v>
      </c>
      <c r="K1084">
        <v>102.25</v>
      </c>
      <c r="L1084">
        <v>54.39</v>
      </c>
      <c r="M1084">
        <v>0.05</v>
      </c>
      <c r="N1084" t="s">
        <v>45</v>
      </c>
    </row>
    <row r="1085" spans="1:14" x14ac:dyDescent="0.25">
      <c r="A1085" t="s">
        <v>1600</v>
      </c>
      <c r="B1085" s="2">
        <v>45526</v>
      </c>
      <c r="C1085" t="s">
        <v>911</v>
      </c>
      <c r="D1085" t="s">
        <v>36</v>
      </c>
      <c r="E1085" t="s">
        <v>2615</v>
      </c>
      <c r="F1085" t="s">
        <v>2627</v>
      </c>
      <c r="G1085" t="s">
        <v>218</v>
      </c>
      <c r="H1085" t="s">
        <v>2647</v>
      </c>
      <c r="I1085" t="s">
        <v>84</v>
      </c>
      <c r="J1085">
        <v>39</v>
      </c>
      <c r="K1085">
        <v>166.46</v>
      </c>
      <c r="L1085">
        <v>102.47</v>
      </c>
      <c r="M1085">
        <v>0.15</v>
      </c>
      <c r="N1085" t="s">
        <v>45</v>
      </c>
    </row>
    <row r="1086" spans="1:14" x14ac:dyDescent="0.25">
      <c r="A1086" t="s">
        <v>1601</v>
      </c>
      <c r="B1086" s="2">
        <v>45405</v>
      </c>
      <c r="C1086" t="s">
        <v>56</v>
      </c>
      <c r="D1086" t="s">
        <v>150</v>
      </c>
      <c r="E1086" t="s">
        <v>2615</v>
      </c>
      <c r="F1086" t="s">
        <v>2623</v>
      </c>
      <c r="G1086" t="s">
        <v>261</v>
      </c>
      <c r="H1086" t="s">
        <v>2645</v>
      </c>
      <c r="I1086" t="s">
        <v>44</v>
      </c>
      <c r="J1086">
        <v>29</v>
      </c>
      <c r="K1086">
        <v>80.94</v>
      </c>
      <c r="L1086">
        <v>48.26</v>
      </c>
      <c r="M1086">
        <v>0.2</v>
      </c>
      <c r="N1086" t="s">
        <v>45</v>
      </c>
    </row>
    <row r="1087" spans="1:14" x14ac:dyDescent="0.25">
      <c r="A1087" t="s">
        <v>1602</v>
      </c>
      <c r="B1087" s="2">
        <v>45398</v>
      </c>
      <c r="C1087" t="s">
        <v>194</v>
      </c>
      <c r="D1087" t="s">
        <v>132</v>
      </c>
      <c r="E1087" t="s">
        <v>2614</v>
      </c>
      <c r="F1087" t="s">
        <v>2636</v>
      </c>
      <c r="G1087" t="s">
        <v>265</v>
      </c>
      <c r="H1087" t="s">
        <v>2647</v>
      </c>
      <c r="I1087" t="s">
        <v>75</v>
      </c>
      <c r="J1087">
        <v>28</v>
      </c>
      <c r="K1087">
        <v>64.66</v>
      </c>
      <c r="L1087">
        <v>32.6</v>
      </c>
      <c r="M1087">
        <v>0.05</v>
      </c>
      <c r="N1087" t="s">
        <v>45</v>
      </c>
    </row>
    <row r="1088" spans="1:14" x14ac:dyDescent="0.25">
      <c r="A1088" t="s">
        <v>1603</v>
      </c>
      <c r="B1088" s="2">
        <v>45609</v>
      </c>
      <c r="C1088" t="s">
        <v>662</v>
      </c>
      <c r="D1088" t="s">
        <v>99</v>
      </c>
      <c r="E1088" t="s">
        <v>2615</v>
      </c>
      <c r="F1088" t="s">
        <v>2630</v>
      </c>
      <c r="G1088" t="s">
        <v>42</v>
      </c>
      <c r="H1088" t="s">
        <v>2648</v>
      </c>
      <c r="I1088" t="s">
        <v>84</v>
      </c>
      <c r="J1088">
        <v>11</v>
      </c>
      <c r="K1088">
        <v>71.099999999999994</v>
      </c>
      <c r="L1088">
        <v>43.77</v>
      </c>
      <c r="M1088">
        <v>0.1</v>
      </c>
      <c r="N1088" t="s">
        <v>45</v>
      </c>
    </row>
    <row r="1089" spans="1:14" x14ac:dyDescent="0.25">
      <c r="A1089" t="s">
        <v>1604</v>
      </c>
      <c r="B1089" s="2">
        <v>45622</v>
      </c>
      <c r="C1089" t="s">
        <v>953</v>
      </c>
      <c r="D1089" t="s">
        <v>132</v>
      </c>
      <c r="E1089" t="s">
        <v>2615</v>
      </c>
      <c r="F1089" t="s">
        <v>2623</v>
      </c>
      <c r="G1089" t="s">
        <v>90</v>
      </c>
      <c r="H1089" t="s">
        <v>2648</v>
      </c>
      <c r="I1089" t="s">
        <v>70</v>
      </c>
      <c r="J1089">
        <v>25</v>
      </c>
      <c r="K1089">
        <v>62.49</v>
      </c>
      <c r="L1089">
        <v>31.84</v>
      </c>
      <c r="M1089">
        <v>0.15</v>
      </c>
      <c r="N1089" t="s">
        <v>129</v>
      </c>
    </row>
    <row r="1090" spans="1:14" x14ac:dyDescent="0.25">
      <c r="A1090" t="s">
        <v>1605</v>
      </c>
      <c r="B1090" s="2">
        <v>45583</v>
      </c>
      <c r="C1090" t="s">
        <v>339</v>
      </c>
      <c r="D1090" t="s">
        <v>222</v>
      </c>
      <c r="E1090" t="s">
        <v>2615</v>
      </c>
      <c r="F1090" t="s">
        <v>2627</v>
      </c>
      <c r="G1090" t="s">
        <v>83</v>
      </c>
      <c r="H1090" t="s">
        <v>2645</v>
      </c>
      <c r="I1090" t="s">
        <v>75</v>
      </c>
      <c r="J1090">
        <v>28</v>
      </c>
      <c r="K1090">
        <v>127.19</v>
      </c>
      <c r="L1090">
        <v>78.36</v>
      </c>
      <c r="M1090">
        <v>0.2</v>
      </c>
      <c r="N1090" t="s">
        <v>45</v>
      </c>
    </row>
    <row r="1091" spans="1:14" x14ac:dyDescent="0.25">
      <c r="A1091" t="s">
        <v>1606</v>
      </c>
      <c r="B1091" s="2">
        <v>45555</v>
      </c>
      <c r="C1091" t="s">
        <v>347</v>
      </c>
      <c r="D1091" t="s">
        <v>176</v>
      </c>
      <c r="E1091" t="s">
        <v>2615</v>
      </c>
      <c r="F1091" t="s">
        <v>2640</v>
      </c>
      <c r="G1091" t="s">
        <v>144</v>
      </c>
      <c r="H1091" t="s">
        <v>2648</v>
      </c>
      <c r="I1091" t="s">
        <v>84</v>
      </c>
      <c r="J1091">
        <v>9</v>
      </c>
      <c r="K1091">
        <v>104.88</v>
      </c>
      <c r="L1091">
        <v>60.98</v>
      </c>
      <c r="M1091">
        <v>0.1</v>
      </c>
      <c r="N1091" t="s">
        <v>45</v>
      </c>
    </row>
    <row r="1092" spans="1:14" x14ac:dyDescent="0.25">
      <c r="A1092" t="s">
        <v>1607</v>
      </c>
      <c r="B1092" s="2">
        <v>45306</v>
      </c>
      <c r="C1092" t="s">
        <v>303</v>
      </c>
      <c r="D1092" t="s">
        <v>187</v>
      </c>
      <c r="E1092" t="s">
        <v>2616</v>
      </c>
      <c r="F1092" t="s">
        <v>2631</v>
      </c>
      <c r="G1092" t="s">
        <v>178</v>
      </c>
      <c r="H1092" t="s">
        <v>2647</v>
      </c>
      <c r="I1092" t="s">
        <v>2619</v>
      </c>
      <c r="J1092">
        <v>50</v>
      </c>
      <c r="K1092">
        <v>46.39</v>
      </c>
      <c r="L1092">
        <v>27.43</v>
      </c>
      <c r="M1092">
        <v>0.05</v>
      </c>
      <c r="N1092" t="s">
        <v>45</v>
      </c>
    </row>
    <row r="1093" spans="1:14" x14ac:dyDescent="0.25">
      <c r="A1093" t="s">
        <v>1608</v>
      </c>
      <c r="B1093" s="2">
        <v>45365</v>
      </c>
      <c r="C1093" t="s">
        <v>280</v>
      </c>
      <c r="D1093" t="s">
        <v>176</v>
      </c>
      <c r="E1093" t="s">
        <v>2618</v>
      </c>
      <c r="F1093" t="s">
        <v>2628</v>
      </c>
      <c r="G1093" t="s">
        <v>111</v>
      </c>
      <c r="H1093" t="s">
        <v>2647</v>
      </c>
      <c r="I1093" t="s">
        <v>75</v>
      </c>
      <c r="J1093">
        <v>35</v>
      </c>
      <c r="K1093">
        <v>100.67</v>
      </c>
      <c r="L1093">
        <v>67.91</v>
      </c>
      <c r="M1093">
        <v>0.15</v>
      </c>
      <c r="N1093" t="s">
        <v>32</v>
      </c>
    </row>
    <row r="1094" spans="1:14" x14ac:dyDescent="0.25">
      <c r="A1094" t="s">
        <v>1609</v>
      </c>
      <c r="B1094" s="2">
        <v>45434</v>
      </c>
      <c r="C1094" t="s">
        <v>506</v>
      </c>
      <c r="D1094" t="s">
        <v>165</v>
      </c>
      <c r="E1094" t="s">
        <v>2615</v>
      </c>
      <c r="F1094" t="s">
        <v>2623</v>
      </c>
      <c r="G1094" t="s">
        <v>74</v>
      </c>
      <c r="H1094" t="s">
        <v>2647</v>
      </c>
      <c r="I1094" t="s">
        <v>75</v>
      </c>
      <c r="J1094">
        <v>11</v>
      </c>
      <c r="K1094">
        <v>39.450000000000003</v>
      </c>
      <c r="L1094">
        <v>24.84</v>
      </c>
      <c r="M1094">
        <v>0.05</v>
      </c>
      <c r="N1094" t="s">
        <v>32</v>
      </c>
    </row>
    <row r="1095" spans="1:14" x14ac:dyDescent="0.25">
      <c r="A1095" t="s">
        <v>1610</v>
      </c>
      <c r="B1095" s="2">
        <v>45595</v>
      </c>
      <c r="C1095" t="s">
        <v>823</v>
      </c>
      <c r="D1095" t="s">
        <v>222</v>
      </c>
      <c r="E1095" t="s">
        <v>2615</v>
      </c>
      <c r="F1095" t="s">
        <v>2630</v>
      </c>
      <c r="G1095" t="s">
        <v>42</v>
      </c>
      <c r="H1095" t="s">
        <v>2645</v>
      </c>
      <c r="I1095" t="s">
        <v>2578</v>
      </c>
      <c r="J1095">
        <v>44</v>
      </c>
      <c r="K1095">
        <v>116.31</v>
      </c>
      <c r="L1095">
        <v>80.55</v>
      </c>
      <c r="M1095">
        <v>0.05</v>
      </c>
      <c r="N1095" t="s">
        <v>45</v>
      </c>
    </row>
    <row r="1096" spans="1:14" x14ac:dyDescent="0.25">
      <c r="A1096" t="s">
        <v>1611</v>
      </c>
      <c r="B1096" s="2">
        <v>45428</v>
      </c>
      <c r="C1096" t="s">
        <v>318</v>
      </c>
      <c r="D1096" t="s">
        <v>209</v>
      </c>
      <c r="E1096" t="s">
        <v>2614</v>
      </c>
      <c r="F1096" t="s">
        <v>2637</v>
      </c>
      <c r="G1096" t="s">
        <v>178</v>
      </c>
      <c r="H1096" t="s">
        <v>2646</v>
      </c>
      <c r="I1096" t="s">
        <v>44</v>
      </c>
      <c r="J1096">
        <v>20</v>
      </c>
      <c r="K1096">
        <v>19.21</v>
      </c>
      <c r="L1096">
        <v>10.19</v>
      </c>
      <c r="M1096">
        <v>0.2</v>
      </c>
      <c r="N1096" t="s">
        <v>129</v>
      </c>
    </row>
    <row r="1097" spans="1:14" x14ac:dyDescent="0.25">
      <c r="A1097" t="s">
        <v>1612</v>
      </c>
      <c r="B1097" s="2">
        <v>45486</v>
      </c>
      <c r="C1097" t="s">
        <v>1469</v>
      </c>
      <c r="D1097" t="s">
        <v>250</v>
      </c>
      <c r="E1097" t="s">
        <v>2618</v>
      </c>
      <c r="F1097" t="s">
        <v>2632</v>
      </c>
      <c r="G1097" t="s">
        <v>195</v>
      </c>
      <c r="H1097" t="s">
        <v>2648</v>
      </c>
      <c r="I1097" t="s">
        <v>70</v>
      </c>
      <c r="J1097">
        <v>35</v>
      </c>
      <c r="K1097">
        <v>61.69</v>
      </c>
      <c r="L1097">
        <v>36.08</v>
      </c>
      <c r="M1097">
        <v>0.2</v>
      </c>
      <c r="N1097" t="s">
        <v>45</v>
      </c>
    </row>
    <row r="1098" spans="1:14" x14ac:dyDescent="0.25">
      <c r="A1098" t="s">
        <v>1613</v>
      </c>
      <c r="B1098" s="2">
        <v>45559</v>
      </c>
      <c r="C1098" t="s">
        <v>146</v>
      </c>
      <c r="D1098" t="s">
        <v>99</v>
      </c>
      <c r="E1098" t="s">
        <v>2617</v>
      </c>
      <c r="F1098" t="s">
        <v>2642</v>
      </c>
      <c r="G1098" t="s">
        <v>218</v>
      </c>
      <c r="H1098" t="s">
        <v>2648</v>
      </c>
      <c r="I1098" t="s">
        <v>84</v>
      </c>
      <c r="J1098">
        <v>20</v>
      </c>
      <c r="K1098">
        <v>65.16</v>
      </c>
      <c r="L1098">
        <v>42.97</v>
      </c>
      <c r="M1098">
        <v>0</v>
      </c>
      <c r="N1098" t="s">
        <v>45</v>
      </c>
    </row>
    <row r="1099" spans="1:14" x14ac:dyDescent="0.25">
      <c r="A1099" t="s">
        <v>1614</v>
      </c>
      <c r="B1099" s="2">
        <v>45616</v>
      </c>
      <c r="C1099" t="s">
        <v>1129</v>
      </c>
      <c r="D1099" t="s">
        <v>109</v>
      </c>
      <c r="E1099" t="s">
        <v>2617</v>
      </c>
      <c r="F1099" t="s">
        <v>2626</v>
      </c>
      <c r="G1099" t="s">
        <v>90</v>
      </c>
      <c r="H1099" t="s">
        <v>2646</v>
      </c>
      <c r="I1099" t="s">
        <v>70</v>
      </c>
      <c r="J1099">
        <v>37</v>
      </c>
      <c r="K1099">
        <v>130.96</v>
      </c>
      <c r="L1099">
        <v>72.77</v>
      </c>
      <c r="M1099">
        <v>0.2</v>
      </c>
      <c r="N1099" t="s">
        <v>45</v>
      </c>
    </row>
    <row r="1100" spans="1:14" x14ac:dyDescent="0.25">
      <c r="A1100" t="s">
        <v>1615</v>
      </c>
      <c r="B1100" s="2">
        <v>45449</v>
      </c>
      <c r="C1100" t="s">
        <v>737</v>
      </c>
      <c r="D1100" t="s">
        <v>99</v>
      </c>
      <c r="E1100" t="s">
        <v>2618</v>
      </c>
      <c r="F1100" t="s">
        <v>2632</v>
      </c>
      <c r="G1100" t="s">
        <v>170</v>
      </c>
      <c r="H1100" t="s">
        <v>2645</v>
      </c>
      <c r="I1100" t="s">
        <v>44</v>
      </c>
      <c r="J1100">
        <v>38</v>
      </c>
      <c r="K1100">
        <v>65.3</v>
      </c>
      <c r="L1100">
        <v>41.16</v>
      </c>
      <c r="M1100">
        <v>0.02</v>
      </c>
      <c r="N1100" t="s">
        <v>45</v>
      </c>
    </row>
    <row r="1101" spans="1:14" x14ac:dyDescent="0.25">
      <c r="A1101" t="s">
        <v>1616</v>
      </c>
      <c r="B1101" s="2">
        <v>45604</v>
      </c>
      <c r="C1101" t="s">
        <v>1617</v>
      </c>
      <c r="D1101" t="s">
        <v>114</v>
      </c>
      <c r="E1101" t="s">
        <v>2618</v>
      </c>
      <c r="F1101" t="s">
        <v>2632</v>
      </c>
      <c r="G1101" t="s">
        <v>42</v>
      </c>
      <c r="H1101" t="s">
        <v>2647</v>
      </c>
      <c r="I1101" t="s">
        <v>2578</v>
      </c>
      <c r="J1101">
        <v>10</v>
      </c>
      <c r="K1101">
        <v>36.520000000000003</v>
      </c>
      <c r="L1101">
        <v>20.98</v>
      </c>
      <c r="M1101">
        <v>0.1</v>
      </c>
      <c r="N1101" t="s">
        <v>45</v>
      </c>
    </row>
    <row r="1102" spans="1:14" x14ac:dyDescent="0.25">
      <c r="A1102" t="s">
        <v>1618</v>
      </c>
      <c r="B1102" s="2">
        <v>45599</v>
      </c>
      <c r="C1102" t="s">
        <v>878</v>
      </c>
      <c r="D1102" t="s">
        <v>150</v>
      </c>
      <c r="E1102" t="s">
        <v>2614</v>
      </c>
      <c r="F1102" t="s">
        <v>2629</v>
      </c>
      <c r="G1102" t="s">
        <v>60</v>
      </c>
      <c r="H1102" t="s">
        <v>2646</v>
      </c>
      <c r="I1102" t="s">
        <v>75</v>
      </c>
      <c r="J1102">
        <v>43</v>
      </c>
      <c r="K1102">
        <v>84.08</v>
      </c>
      <c r="L1102">
        <v>54.92</v>
      </c>
      <c r="M1102">
        <v>0.1</v>
      </c>
      <c r="N1102" t="s">
        <v>45</v>
      </c>
    </row>
    <row r="1103" spans="1:14" x14ac:dyDescent="0.25">
      <c r="A1103" t="s">
        <v>1619</v>
      </c>
      <c r="B1103" s="2">
        <v>45394</v>
      </c>
      <c r="C1103" t="s">
        <v>1620</v>
      </c>
      <c r="D1103" t="s">
        <v>141</v>
      </c>
      <c r="E1103" t="s">
        <v>2616</v>
      </c>
      <c r="F1103" t="s">
        <v>2638</v>
      </c>
      <c r="G1103" t="s">
        <v>74</v>
      </c>
      <c r="H1103" t="s">
        <v>2648</v>
      </c>
      <c r="I1103" t="s">
        <v>75</v>
      </c>
      <c r="J1103">
        <v>17</v>
      </c>
      <c r="K1103">
        <v>97.31</v>
      </c>
      <c r="L1103">
        <v>55.44</v>
      </c>
      <c r="M1103">
        <v>0.15</v>
      </c>
      <c r="N1103" t="s">
        <v>45</v>
      </c>
    </row>
    <row r="1104" spans="1:14" x14ac:dyDescent="0.25">
      <c r="A1104" t="s">
        <v>1621</v>
      </c>
      <c r="B1104" s="2">
        <v>45648</v>
      </c>
      <c r="C1104" t="s">
        <v>303</v>
      </c>
      <c r="D1104" t="s">
        <v>99</v>
      </c>
      <c r="E1104" t="s">
        <v>2614</v>
      </c>
      <c r="F1104" t="s">
        <v>2622</v>
      </c>
      <c r="G1104" t="s">
        <v>29</v>
      </c>
      <c r="H1104" t="s">
        <v>2645</v>
      </c>
      <c r="I1104" t="s">
        <v>44</v>
      </c>
      <c r="J1104">
        <v>13</v>
      </c>
      <c r="K1104">
        <v>66.13</v>
      </c>
      <c r="L1104">
        <v>40.880000000000003</v>
      </c>
      <c r="M1104">
        <v>0</v>
      </c>
      <c r="N1104" t="s">
        <v>45</v>
      </c>
    </row>
    <row r="1105" spans="1:14" x14ac:dyDescent="0.25">
      <c r="A1105" t="s">
        <v>1622</v>
      </c>
      <c r="B1105" s="2">
        <v>45648</v>
      </c>
      <c r="C1105" t="s">
        <v>47</v>
      </c>
      <c r="D1105" t="s">
        <v>114</v>
      </c>
      <c r="E1105" t="s">
        <v>2616</v>
      </c>
      <c r="F1105" t="s">
        <v>2624</v>
      </c>
      <c r="G1105" t="s">
        <v>90</v>
      </c>
      <c r="H1105" t="s">
        <v>2648</v>
      </c>
      <c r="I1105" t="s">
        <v>44</v>
      </c>
      <c r="J1105">
        <v>59</v>
      </c>
      <c r="K1105">
        <v>34.72</v>
      </c>
      <c r="L1105">
        <v>21.84</v>
      </c>
      <c r="M1105">
        <v>0.1</v>
      </c>
      <c r="N1105" t="s">
        <v>45</v>
      </c>
    </row>
    <row r="1106" spans="1:14" x14ac:dyDescent="0.25">
      <c r="A1106" t="s">
        <v>1623</v>
      </c>
      <c r="B1106" s="2">
        <v>45423</v>
      </c>
      <c r="C1106" t="s">
        <v>47</v>
      </c>
      <c r="D1106" t="s">
        <v>176</v>
      </c>
      <c r="E1106" t="s">
        <v>2615</v>
      </c>
      <c r="F1106" t="s">
        <v>2640</v>
      </c>
      <c r="G1106" t="s">
        <v>184</v>
      </c>
      <c r="H1106" t="s">
        <v>2645</v>
      </c>
      <c r="I1106" t="s">
        <v>75</v>
      </c>
      <c r="J1106">
        <v>63</v>
      </c>
      <c r="K1106">
        <v>97.84</v>
      </c>
      <c r="L1106">
        <v>63.54</v>
      </c>
      <c r="M1106">
        <v>0.2</v>
      </c>
      <c r="N1106" t="s">
        <v>129</v>
      </c>
    </row>
    <row r="1107" spans="1:14" x14ac:dyDescent="0.25">
      <c r="A1107" t="s">
        <v>1624</v>
      </c>
      <c r="B1107" s="2">
        <v>45488</v>
      </c>
      <c r="C1107" t="s">
        <v>584</v>
      </c>
      <c r="D1107" t="s">
        <v>250</v>
      </c>
      <c r="E1107" t="s">
        <v>2614</v>
      </c>
      <c r="F1107" t="s">
        <v>2629</v>
      </c>
      <c r="G1107" t="s">
        <v>83</v>
      </c>
      <c r="H1107" t="s">
        <v>2648</v>
      </c>
      <c r="I1107" t="s">
        <v>44</v>
      </c>
      <c r="J1107">
        <v>31</v>
      </c>
      <c r="K1107">
        <v>64.39</v>
      </c>
      <c r="L1107">
        <v>40.36</v>
      </c>
      <c r="M1107">
        <v>0.1</v>
      </c>
      <c r="N1107" t="s">
        <v>129</v>
      </c>
    </row>
    <row r="1108" spans="1:14" x14ac:dyDescent="0.25">
      <c r="A1108" t="s">
        <v>1625</v>
      </c>
      <c r="B1108" s="2">
        <v>45522</v>
      </c>
      <c r="C1108" t="s">
        <v>291</v>
      </c>
      <c r="D1108" t="s">
        <v>176</v>
      </c>
      <c r="E1108" t="s">
        <v>2616</v>
      </c>
      <c r="F1108" t="s">
        <v>2624</v>
      </c>
      <c r="G1108" t="s">
        <v>218</v>
      </c>
      <c r="H1108" t="s">
        <v>2646</v>
      </c>
      <c r="I1108" t="s">
        <v>44</v>
      </c>
      <c r="J1108">
        <v>21</v>
      </c>
      <c r="K1108">
        <v>100.5</v>
      </c>
      <c r="L1108">
        <v>60.79</v>
      </c>
      <c r="M1108">
        <v>0.02</v>
      </c>
      <c r="N1108" t="s">
        <v>45</v>
      </c>
    </row>
    <row r="1109" spans="1:14" x14ac:dyDescent="0.25">
      <c r="A1109" t="s">
        <v>1626</v>
      </c>
      <c r="B1109" s="2">
        <v>45322</v>
      </c>
      <c r="C1109" t="s">
        <v>578</v>
      </c>
      <c r="D1109" t="s">
        <v>36</v>
      </c>
      <c r="E1109" t="s">
        <v>2615</v>
      </c>
      <c r="F1109" t="s">
        <v>2623</v>
      </c>
      <c r="G1109" t="s">
        <v>218</v>
      </c>
      <c r="H1109" t="s">
        <v>2648</v>
      </c>
      <c r="I1109" t="s">
        <v>75</v>
      </c>
      <c r="J1109">
        <v>64</v>
      </c>
      <c r="K1109">
        <v>171.76</v>
      </c>
      <c r="L1109">
        <v>98.34</v>
      </c>
      <c r="M1109">
        <v>0.05</v>
      </c>
      <c r="N1109" t="s">
        <v>45</v>
      </c>
    </row>
    <row r="1110" spans="1:14" x14ac:dyDescent="0.25">
      <c r="A1110" t="s">
        <v>1627</v>
      </c>
      <c r="B1110" s="2">
        <v>45553</v>
      </c>
      <c r="C1110" t="s">
        <v>757</v>
      </c>
      <c r="D1110" t="s">
        <v>23</v>
      </c>
      <c r="E1110" t="s">
        <v>2618</v>
      </c>
      <c r="F1110" t="s">
        <v>2634</v>
      </c>
      <c r="G1110" t="s">
        <v>83</v>
      </c>
      <c r="H1110" t="s">
        <v>2647</v>
      </c>
      <c r="I1110" t="s">
        <v>70</v>
      </c>
      <c r="J1110">
        <v>71</v>
      </c>
      <c r="K1110">
        <v>77.34</v>
      </c>
      <c r="L1110">
        <v>43.33</v>
      </c>
      <c r="M1110">
        <v>0.05</v>
      </c>
      <c r="N1110" t="s">
        <v>45</v>
      </c>
    </row>
    <row r="1111" spans="1:14" x14ac:dyDescent="0.25">
      <c r="A1111" t="s">
        <v>1628</v>
      </c>
      <c r="B1111" s="2">
        <v>45448</v>
      </c>
      <c r="C1111" t="s">
        <v>888</v>
      </c>
      <c r="D1111" t="s">
        <v>150</v>
      </c>
      <c r="E1111" t="s">
        <v>2615</v>
      </c>
      <c r="F1111" t="s">
        <v>2627</v>
      </c>
      <c r="G1111" t="s">
        <v>265</v>
      </c>
      <c r="H1111" t="s">
        <v>2647</v>
      </c>
      <c r="I1111" t="s">
        <v>75</v>
      </c>
      <c r="J1111">
        <v>31</v>
      </c>
      <c r="K1111">
        <v>87.32</v>
      </c>
      <c r="L1111">
        <v>51.49</v>
      </c>
      <c r="M1111">
        <v>0.02</v>
      </c>
      <c r="N1111" t="s">
        <v>45</v>
      </c>
    </row>
    <row r="1112" spans="1:14" x14ac:dyDescent="0.25">
      <c r="A1112" t="s">
        <v>1629</v>
      </c>
      <c r="B1112" s="2">
        <v>45419</v>
      </c>
      <c r="C1112" t="s">
        <v>948</v>
      </c>
      <c r="D1112" t="s">
        <v>49</v>
      </c>
      <c r="E1112" t="s">
        <v>2616</v>
      </c>
      <c r="F1112" t="s">
        <v>2638</v>
      </c>
      <c r="G1112" t="s">
        <v>261</v>
      </c>
      <c r="H1112" t="s">
        <v>2647</v>
      </c>
      <c r="I1112" t="s">
        <v>2578</v>
      </c>
      <c r="J1112">
        <v>45</v>
      </c>
      <c r="K1112">
        <v>26.12</v>
      </c>
      <c r="L1112">
        <v>12.91</v>
      </c>
      <c r="M1112">
        <v>0</v>
      </c>
      <c r="N1112" t="s">
        <v>45</v>
      </c>
    </row>
    <row r="1113" spans="1:14" x14ac:dyDescent="0.25">
      <c r="A1113" t="s">
        <v>1630</v>
      </c>
      <c r="B1113" s="2">
        <v>45434</v>
      </c>
      <c r="C1113" t="s">
        <v>180</v>
      </c>
      <c r="D1113" t="s">
        <v>150</v>
      </c>
      <c r="E1113" t="s">
        <v>2618</v>
      </c>
      <c r="F1113" t="s">
        <v>2628</v>
      </c>
      <c r="G1113" t="s">
        <v>144</v>
      </c>
      <c r="H1113" t="s">
        <v>2648</v>
      </c>
      <c r="I1113" t="s">
        <v>84</v>
      </c>
      <c r="J1113">
        <v>61</v>
      </c>
      <c r="K1113">
        <v>89.64</v>
      </c>
      <c r="L1113">
        <v>48.73</v>
      </c>
      <c r="M1113">
        <v>0.02</v>
      </c>
      <c r="N1113" t="s">
        <v>45</v>
      </c>
    </row>
    <row r="1114" spans="1:14" x14ac:dyDescent="0.25">
      <c r="A1114" t="s">
        <v>1631</v>
      </c>
      <c r="B1114" s="2">
        <v>45346</v>
      </c>
      <c r="C1114" t="s">
        <v>2619</v>
      </c>
      <c r="D1114" t="s">
        <v>49</v>
      </c>
      <c r="E1114" t="s">
        <v>2617</v>
      </c>
      <c r="F1114" t="s">
        <v>2642</v>
      </c>
      <c r="G1114" t="s">
        <v>60</v>
      </c>
      <c r="H1114" t="s">
        <v>2648</v>
      </c>
      <c r="I1114" t="s">
        <v>2578</v>
      </c>
      <c r="J1114">
        <v>8</v>
      </c>
      <c r="K1114">
        <v>25.16</v>
      </c>
      <c r="L1114">
        <v>13.41</v>
      </c>
      <c r="M1114">
        <v>0.05</v>
      </c>
      <c r="N1114" t="s">
        <v>45</v>
      </c>
    </row>
    <row r="1115" spans="1:14" x14ac:dyDescent="0.25">
      <c r="A1115" t="s">
        <v>1632</v>
      </c>
      <c r="B1115" s="2">
        <v>45383</v>
      </c>
      <c r="C1115" t="s">
        <v>1047</v>
      </c>
      <c r="D1115" t="s">
        <v>36</v>
      </c>
      <c r="E1115" t="s">
        <v>2615</v>
      </c>
      <c r="F1115" t="s">
        <v>2640</v>
      </c>
      <c r="G1115" t="s">
        <v>178</v>
      </c>
      <c r="H1115" t="s">
        <v>2648</v>
      </c>
      <c r="I1115" t="s">
        <v>44</v>
      </c>
      <c r="J1115">
        <v>7</v>
      </c>
      <c r="K1115">
        <v>176.5</v>
      </c>
      <c r="L1115">
        <v>94.02</v>
      </c>
      <c r="M1115">
        <v>0.05</v>
      </c>
      <c r="N1115" t="s">
        <v>32</v>
      </c>
    </row>
    <row r="1116" spans="1:14" x14ac:dyDescent="0.25">
      <c r="A1116" t="s">
        <v>1633</v>
      </c>
      <c r="B1116" s="2">
        <v>45645</v>
      </c>
      <c r="C1116" t="s">
        <v>983</v>
      </c>
      <c r="D1116" t="s">
        <v>216</v>
      </c>
      <c r="E1116" t="s">
        <v>2617</v>
      </c>
      <c r="F1116" t="s">
        <v>2642</v>
      </c>
      <c r="G1116" t="s">
        <v>253</v>
      </c>
      <c r="H1116" t="s">
        <v>2647</v>
      </c>
      <c r="I1116" t="s">
        <v>70</v>
      </c>
      <c r="J1116">
        <v>36</v>
      </c>
      <c r="K1116">
        <v>105.3</v>
      </c>
      <c r="L1116">
        <v>61.9</v>
      </c>
      <c r="M1116">
        <v>0.15</v>
      </c>
      <c r="N1116" t="s">
        <v>45</v>
      </c>
    </row>
    <row r="1117" spans="1:14" x14ac:dyDescent="0.25">
      <c r="A1117" t="s">
        <v>1634</v>
      </c>
      <c r="B1117" s="2">
        <v>45318</v>
      </c>
      <c r="C1117" t="s">
        <v>1210</v>
      </c>
      <c r="D1117" t="s">
        <v>222</v>
      </c>
      <c r="E1117" t="s">
        <v>2615</v>
      </c>
      <c r="F1117" t="s">
        <v>2623</v>
      </c>
      <c r="G1117" t="s">
        <v>152</v>
      </c>
      <c r="H1117" t="s">
        <v>2646</v>
      </c>
      <c r="I1117" t="s">
        <v>70</v>
      </c>
      <c r="J1117">
        <v>35</v>
      </c>
      <c r="K1117">
        <v>128.87</v>
      </c>
      <c r="L1117">
        <v>76.44</v>
      </c>
      <c r="M1117">
        <v>0.1</v>
      </c>
      <c r="N1117" t="s">
        <v>45</v>
      </c>
    </row>
    <row r="1118" spans="1:14" x14ac:dyDescent="0.25">
      <c r="A1118" t="s">
        <v>1635</v>
      </c>
      <c r="B1118" s="2">
        <v>45506</v>
      </c>
      <c r="C1118" t="s">
        <v>1412</v>
      </c>
      <c r="D1118" t="s">
        <v>126</v>
      </c>
      <c r="E1118" t="s">
        <v>2615</v>
      </c>
      <c r="F1118" t="s">
        <v>2640</v>
      </c>
      <c r="G1118" t="s">
        <v>83</v>
      </c>
      <c r="H1118" t="s">
        <v>2647</v>
      </c>
      <c r="I1118" t="s">
        <v>70</v>
      </c>
      <c r="J1118">
        <v>26</v>
      </c>
      <c r="K1118">
        <v>83.28</v>
      </c>
      <c r="L1118">
        <v>49.43</v>
      </c>
      <c r="M1118">
        <v>0.2</v>
      </c>
      <c r="N1118" t="s">
        <v>45</v>
      </c>
    </row>
    <row r="1119" spans="1:14" x14ac:dyDescent="0.25">
      <c r="A1119" t="s">
        <v>1636</v>
      </c>
      <c r="B1119" s="2">
        <v>45574</v>
      </c>
      <c r="C1119" t="s">
        <v>314</v>
      </c>
      <c r="D1119" t="s">
        <v>132</v>
      </c>
      <c r="E1119" t="s">
        <v>2615</v>
      </c>
      <c r="F1119" t="s">
        <v>2640</v>
      </c>
      <c r="G1119" t="s">
        <v>2619</v>
      </c>
      <c r="H1119" t="s">
        <v>2648</v>
      </c>
      <c r="I1119" t="s">
        <v>75</v>
      </c>
      <c r="J1119">
        <v>46</v>
      </c>
      <c r="K1119">
        <v>59.03</v>
      </c>
      <c r="L1119">
        <v>35.85</v>
      </c>
      <c r="M1119">
        <v>0.02</v>
      </c>
      <c r="N1119" t="s">
        <v>45</v>
      </c>
    </row>
    <row r="1120" spans="1:14" x14ac:dyDescent="0.25">
      <c r="A1120" t="s">
        <v>1637</v>
      </c>
      <c r="B1120" s="2">
        <v>45596</v>
      </c>
      <c r="C1120" t="s">
        <v>162</v>
      </c>
      <c r="D1120" t="s">
        <v>216</v>
      </c>
      <c r="E1120" t="s">
        <v>2617</v>
      </c>
      <c r="F1120" t="s">
        <v>2625</v>
      </c>
      <c r="G1120" t="s">
        <v>29</v>
      </c>
      <c r="H1120" t="s">
        <v>2645</v>
      </c>
      <c r="I1120" t="s">
        <v>44</v>
      </c>
      <c r="J1120">
        <v>4</v>
      </c>
      <c r="K1120">
        <v>105.4</v>
      </c>
      <c r="L1120">
        <v>62.82</v>
      </c>
      <c r="M1120">
        <v>0.05</v>
      </c>
      <c r="N1120" t="s">
        <v>45</v>
      </c>
    </row>
    <row r="1121" spans="1:14" x14ac:dyDescent="0.25">
      <c r="A1121" t="s">
        <v>1638</v>
      </c>
      <c r="B1121" s="2">
        <v>45374</v>
      </c>
      <c r="C1121" t="s">
        <v>1493</v>
      </c>
      <c r="D1121" t="s">
        <v>109</v>
      </c>
      <c r="E1121" t="s">
        <v>2618</v>
      </c>
      <c r="F1121" t="s">
        <v>2634</v>
      </c>
      <c r="G1121" t="s">
        <v>261</v>
      </c>
      <c r="H1121" t="s">
        <v>2645</v>
      </c>
      <c r="I1121" t="s">
        <v>70</v>
      </c>
      <c r="J1121">
        <v>12</v>
      </c>
      <c r="K1121">
        <v>118.77</v>
      </c>
      <c r="L1121">
        <v>-10</v>
      </c>
      <c r="M1121">
        <v>0.15</v>
      </c>
      <c r="N1121" t="s">
        <v>45</v>
      </c>
    </row>
    <row r="1122" spans="1:14" x14ac:dyDescent="0.25">
      <c r="A1122" t="s">
        <v>1639</v>
      </c>
      <c r="B1122" s="2">
        <v>45311</v>
      </c>
      <c r="C1122" t="s">
        <v>495</v>
      </c>
      <c r="D1122" t="s">
        <v>99</v>
      </c>
      <c r="E1122" t="s">
        <v>2617</v>
      </c>
      <c r="F1122" t="s">
        <v>2642</v>
      </c>
      <c r="G1122" t="s">
        <v>90</v>
      </c>
      <c r="H1122" t="s">
        <v>2645</v>
      </c>
      <c r="I1122" t="s">
        <v>70</v>
      </c>
      <c r="J1122">
        <v>73</v>
      </c>
      <c r="K1122">
        <v>72.05</v>
      </c>
      <c r="L1122">
        <v>40.65</v>
      </c>
      <c r="M1122">
        <v>0.1</v>
      </c>
      <c r="N1122" t="s">
        <v>45</v>
      </c>
    </row>
    <row r="1123" spans="1:14" x14ac:dyDescent="0.25">
      <c r="A1123" t="s">
        <v>1640</v>
      </c>
      <c r="B1123" s="2">
        <v>45387</v>
      </c>
      <c r="C1123" t="s">
        <v>717</v>
      </c>
      <c r="D1123" t="s">
        <v>222</v>
      </c>
      <c r="E1123" t="s">
        <v>2618</v>
      </c>
      <c r="F1123" t="s">
        <v>2634</v>
      </c>
      <c r="G1123" t="s">
        <v>170</v>
      </c>
      <c r="H1123" t="s">
        <v>2647</v>
      </c>
      <c r="I1123" t="s">
        <v>70</v>
      </c>
      <c r="J1123">
        <v>41</v>
      </c>
      <c r="K1123">
        <v>112.8</v>
      </c>
      <c r="L1123">
        <v>81.67</v>
      </c>
      <c r="M1123">
        <v>0.15</v>
      </c>
      <c r="N1123" t="s">
        <v>45</v>
      </c>
    </row>
    <row r="1124" spans="1:14" x14ac:dyDescent="0.25">
      <c r="A1124" t="s">
        <v>1641</v>
      </c>
      <c r="B1124" s="2">
        <v>45585</v>
      </c>
      <c r="C1124" t="s">
        <v>852</v>
      </c>
      <c r="D1124" t="s">
        <v>187</v>
      </c>
      <c r="E1124" t="s">
        <v>2615</v>
      </c>
      <c r="F1124" t="s">
        <v>2630</v>
      </c>
      <c r="G1124" t="s">
        <v>2619</v>
      </c>
      <c r="H1124" t="s">
        <v>2648</v>
      </c>
      <c r="I1124" t="s">
        <v>75</v>
      </c>
      <c r="J1124">
        <v>54</v>
      </c>
      <c r="K1124">
        <v>47.96</v>
      </c>
      <c r="L1124">
        <v>30.52</v>
      </c>
      <c r="M1124">
        <v>0.2</v>
      </c>
      <c r="N1124" t="s">
        <v>45</v>
      </c>
    </row>
    <row r="1125" spans="1:14" x14ac:dyDescent="0.25">
      <c r="A1125" t="s">
        <v>1642</v>
      </c>
      <c r="B1125" s="2">
        <v>45375</v>
      </c>
      <c r="C1125" t="s">
        <v>653</v>
      </c>
      <c r="D1125" t="s">
        <v>36</v>
      </c>
      <c r="E1125" t="s">
        <v>2615</v>
      </c>
      <c r="F1125" t="s">
        <v>2630</v>
      </c>
      <c r="G1125" t="s">
        <v>152</v>
      </c>
      <c r="H1125" t="s">
        <v>2648</v>
      </c>
      <c r="I1125" t="s">
        <v>84</v>
      </c>
      <c r="J1125">
        <v>27</v>
      </c>
      <c r="K1125">
        <v>170.63</v>
      </c>
      <c r="L1125">
        <v>94.24</v>
      </c>
      <c r="M1125">
        <v>0</v>
      </c>
      <c r="N1125" t="s">
        <v>45</v>
      </c>
    </row>
    <row r="1126" spans="1:14" x14ac:dyDescent="0.25">
      <c r="A1126" t="s">
        <v>1643</v>
      </c>
      <c r="B1126" s="2">
        <v>45530</v>
      </c>
      <c r="C1126" t="s">
        <v>72</v>
      </c>
      <c r="D1126" t="s">
        <v>66</v>
      </c>
      <c r="E1126" t="s">
        <v>2615</v>
      </c>
      <c r="F1126" t="s">
        <v>2623</v>
      </c>
      <c r="G1126" t="s">
        <v>152</v>
      </c>
      <c r="H1126" t="s">
        <v>2646</v>
      </c>
      <c r="I1126" t="s">
        <v>75</v>
      </c>
      <c r="J1126">
        <v>33</v>
      </c>
      <c r="K1126">
        <v>167.87</v>
      </c>
      <c r="L1126">
        <v>110.59</v>
      </c>
      <c r="M1126">
        <v>0.05</v>
      </c>
      <c r="N1126" t="s">
        <v>45</v>
      </c>
    </row>
    <row r="1127" spans="1:14" x14ac:dyDescent="0.25">
      <c r="A1127" t="s">
        <v>1644</v>
      </c>
      <c r="B1127" s="2">
        <v>45426</v>
      </c>
      <c r="C1127" t="s">
        <v>333</v>
      </c>
      <c r="D1127" t="s">
        <v>109</v>
      </c>
      <c r="E1127" t="s">
        <v>2616</v>
      </c>
      <c r="F1127" t="s">
        <v>2631</v>
      </c>
      <c r="G1127" t="s">
        <v>184</v>
      </c>
      <c r="H1127" t="s">
        <v>2648</v>
      </c>
      <c r="I1127" t="s">
        <v>75</v>
      </c>
      <c r="J1127">
        <v>6</v>
      </c>
      <c r="K1127">
        <v>133.33000000000001</v>
      </c>
      <c r="L1127">
        <v>75.599999999999994</v>
      </c>
      <c r="M1127">
        <v>0.2</v>
      </c>
      <c r="N1127" t="s">
        <v>129</v>
      </c>
    </row>
    <row r="1128" spans="1:14" x14ac:dyDescent="0.25">
      <c r="A1128" t="s">
        <v>1645</v>
      </c>
      <c r="B1128" s="2">
        <v>45368</v>
      </c>
      <c r="C1128" t="s">
        <v>278</v>
      </c>
      <c r="D1128" t="s">
        <v>23</v>
      </c>
      <c r="E1128" t="s">
        <v>2615</v>
      </c>
      <c r="F1128" t="s">
        <v>2627</v>
      </c>
      <c r="G1128" t="s">
        <v>29</v>
      </c>
      <c r="H1128" t="s">
        <v>2648</v>
      </c>
      <c r="I1128" t="s">
        <v>44</v>
      </c>
      <c r="J1128">
        <v>58</v>
      </c>
      <c r="K1128">
        <v>72.099999999999994</v>
      </c>
      <c r="L1128">
        <v>45.13</v>
      </c>
      <c r="M1128">
        <v>0.15</v>
      </c>
      <c r="N1128" t="s">
        <v>32</v>
      </c>
    </row>
    <row r="1129" spans="1:14" x14ac:dyDescent="0.25">
      <c r="A1129" t="s">
        <v>1646</v>
      </c>
      <c r="B1129" s="2">
        <v>45316</v>
      </c>
      <c r="C1129" t="s">
        <v>992</v>
      </c>
      <c r="D1129" t="s">
        <v>176</v>
      </c>
      <c r="E1129" t="s">
        <v>2617</v>
      </c>
      <c r="F1129" t="s">
        <v>2625</v>
      </c>
      <c r="G1129" t="s">
        <v>248</v>
      </c>
      <c r="H1129" t="s">
        <v>2647</v>
      </c>
      <c r="I1129" t="s">
        <v>44</v>
      </c>
      <c r="J1129">
        <v>19</v>
      </c>
      <c r="K1129">
        <v>100.44</v>
      </c>
      <c r="L1129">
        <v>68</v>
      </c>
      <c r="M1129">
        <v>0.05</v>
      </c>
      <c r="N1129" t="s">
        <v>45</v>
      </c>
    </row>
    <row r="1130" spans="1:14" x14ac:dyDescent="0.25">
      <c r="A1130" t="s">
        <v>1647</v>
      </c>
      <c r="B1130" s="2">
        <v>45526</v>
      </c>
      <c r="C1130" t="s">
        <v>651</v>
      </c>
      <c r="D1130" t="s">
        <v>165</v>
      </c>
      <c r="E1130" t="s">
        <v>2617</v>
      </c>
      <c r="F1130" t="s">
        <v>2641</v>
      </c>
      <c r="G1130" t="s">
        <v>253</v>
      </c>
      <c r="H1130" t="s">
        <v>2646</v>
      </c>
      <c r="I1130" t="s">
        <v>44</v>
      </c>
      <c r="J1130">
        <v>73</v>
      </c>
      <c r="K1130">
        <v>43.37</v>
      </c>
      <c r="L1130">
        <v>23.85</v>
      </c>
      <c r="M1130">
        <v>0.2</v>
      </c>
      <c r="N1130" t="s">
        <v>45</v>
      </c>
    </row>
    <row r="1131" spans="1:14" x14ac:dyDescent="0.25">
      <c r="A1131" t="s">
        <v>1648</v>
      </c>
      <c r="B1131" s="2">
        <v>45574</v>
      </c>
      <c r="C1131" t="s">
        <v>182</v>
      </c>
      <c r="D1131" t="s">
        <v>66</v>
      </c>
      <c r="E1131" t="s">
        <v>2616</v>
      </c>
      <c r="F1131" t="s">
        <v>2639</v>
      </c>
      <c r="G1131" t="s">
        <v>144</v>
      </c>
      <c r="H1131" t="s">
        <v>2647</v>
      </c>
      <c r="I1131" t="s">
        <v>70</v>
      </c>
      <c r="J1131">
        <v>68</v>
      </c>
      <c r="K1131">
        <v>156.63</v>
      </c>
      <c r="L1131">
        <v>102.87</v>
      </c>
      <c r="M1131">
        <v>0</v>
      </c>
      <c r="N1131" t="s">
        <v>45</v>
      </c>
    </row>
    <row r="1132" spans="1:14" x14ac:dyDescent="0.25">
      <c r="A1132" t="s">
        <v>1649</v>
      </c>
      <c r="B1132" s="2">
        <v>45400</v>
      </c>
      <c r="C1132" t="s">
        <v>626</v>
      </c>
      <c r="D1132" t="s">
        <v>222</v>
      </c>
      <c r="E1132" t="s">
        <v>2618</v>
      </c>
      <c r="F1132" t="s">
        <v>2632</v>
      </c>
      <c r="G1132" t="s">
        <v>2619</v>
      </c>
      <c r="H1132" t="s">
        <v>2648</v>
      </c>
      <c r="I1132" t="s">
        <v>70</v>
      </c>
      <c r="J1132">
        <v>53</v>
      </c>
      <c r="K1132">
        <v>112.79</v>
      </c>
      <c r="L1132">
        <v>80.88</v>
      </c>
      <c r="M1132">
        <v>0.2</v>
      </c>
      <c r="N1132" t="s">
        <v>32</v>
      </c>
    </row>
    <row r="1133" spans="1:14" x14ac:dyDescent="0.25">
      <c r="A1133" t="s">
        <v>1650</v>
      </c>
      <c r="B1133" s="2">
        <v>45624</v>
      </c>
      <c r="C1133" t="s">
        <v>711</v>
      </c>
      <c r="D1133" t="s">
        <v>165</v>
      </c>
      <c r="E1133" t="s">
        <v>2616</v>
      </c>
      <c r="F1133" t="s">
        <v>2631</v>
      </c>
      <c r="G1133" t="s">
        <v>118</v>
      </c>
      <c r="H1133" t="s">
        <v>2647</v>
      </c>
      <c r="I1133" t="s">
        <v>44</v>
      </c>
      <c r="J1133">
        <v>75</v>
      </c>
      <c r="K1133">
        <v>43.89</v>
      </c>
      <c r="L1133">
        <v>26.01</v>
      </c>
      <c r="M1133">
        <v>0.2</v>
      </c>
      <c r="N1133" t="s">
        <v>45</v>
      </c>
    </row>
    <row r="1134" spans="1:14" x14ac:dyDescent="0.25">
      <c r="A1134" t="s">
        <v>1651</v>
      </c>
      <c r="B1134" s="2">
        <v>45594</v>
      </c>
      <c r="C1134" t="s">
        <v>2619</v>
      </c>
      <c r="D1134" t="s">
        <v>176</v>
      </c>
      <c r="E1134" t="s">
        <v>2616</v>
      </c>
      <c r="F1134" t="s">
        <v>2633</v>
      </c>
      <c r="G1134" t="s">
        <v>60</v>
      </c>
      <c r="H1134" t="s">
        <v>2647</v>
      </c>
      <c r="I1134" t="s">
        <v>75</v>
      </c>
      <c r="J1134">
        <v>39</v>
      </c>
      <c r="K1134">
        <v>97.54</v>
      </c>
      <c r="L1134">
        <v>62.91</v>
      </c>
      <c r="M1134">
        <v>0.05</v>
      </c>
      <c r="N1134" t="s">
        <v>45</v>
      </c>
    </row>
    <row r="1135" spans="1:14" x14ac:dyDescent="0.25">
      <c r="A1135" t="s">
        <v>1652</v>
      </c>
      <c r="B1135" s="2">
        <v>45545</v>
      </c>
      <c r="C1135" t="s">
        <v>155</v>
      </c>
      <c r="D1135" t="s">
        <v>66</v>
      </c>
      <c r="E1135" t="s">
        <v>2616</v>
      </c>
      <c r="F1135" t="s">
        <v>2633</v>
      </c>
      <c r="G1135" t="s">
        <v>195</v>
      </c>
      <c r="H1135" t="s">
        <v>2647</v>
      </c>
      <c r="I1135" t="s">
        <v>2578</v>
      </c>
      <c r="J1135">
        <v>29</v>
      </c>
      <c r="K1135">
        <v>156.61000000000001</v>
      </c>
      <c r="L1135">
        <v>96.81</v>
      </c>
      <c r="M1135">
        <v>0</v>
      </c>
      <c r="N1135" t="s">
        <v>32</v>
      </c>
    </row>
    <row r="1136" spans="1:14" x14ac:dyDescent="0.25">
      <c r="A1136" t="s">
        <v>1653</v>
      </c>
      <c r="B1136" s="2">
        <v>45434</v>
      </c>
      <c r="C1136" t="s">
        <v>897</v>
      </c>
      <c r="D1136" t="s">
        <v>187</v>
      </c>
      <c r="E1136" t="s">
        <v>2614</v>
      </c>
      <c r="F1136" t="s">
        <v>2629</v>
      </c>
      <c r="G1136" t="s">
        <v>69</v>
      </c>
      <c r="H1136" t="s">
        <v>2647</v>
      </c>
      <c r="I1136" t="s">
        <v>44</v>
      </c>
      <c r="J1136">
        <v>63</v>
      </c>
      <c r="K1136">
        <v>51.77</v>
      </c>
      <c r="L1136">
        <v>26.8</v>
      </c>
      <c r="M1136">
        <v>0.05</v>
      </c>
      <c r="N1136" t="s">
        <v>129</v>
      </c>
    </row>
    <row r="1137" spans="1:14" x14ac:dyDescent="0.25">
      <c r="A1137" t="s">
        <v>1654</v>
      </c>
      <c r="B1137" s="2">
        <v>45351</v>
      </c>
      <c r="C1137" t="s">
        <v>798</v>
      </c>
      <c r="D1137" t="s">
        <v>126</v>
      </c>
      <c r="E1137" t="s">
        <v>2617</v>
      </c>
      <c r="F1137" t="s">
        <v>2626</v>
      </c>
      <c r="G1137" t="s">
        <v>218</v>
      </c>
      <c r="H1137" t="s">
        <v>2645</v>
      </c>
      <c r="I1137" t="s">
        <v>70</v>
      </c>
      <c r="J1137">
        <v>18</v>
      </c>
      <c r="K1137">
        <v>92.27</v>
      </c>
      <c r="L1137">
        <v>53.58</v>
      </c>
      <c r="M1137">
        <v>0</v>
      </c>
      <c r="N1137" t="s">
        <v>45</v>
      </c>
    </row>
    <row r="1138" spans="1:14" x14ac:dyDescent="0.25">
      <c r="A1138" t="s">
        <v>1655</v>
      </c>
      <c r="B1138" s="2">
        <v>45327</v>
      </c>
      <c r="C1138" t="s">
        <v>86</v>
      </c>
      <c r="D1138" t="s">
        <v>216</v>
      </c>
      <c r="E1138" t="s">
        <v>2617</v>
      </c>
      <c r="F1138" t="s">
        <v>2626</v>
      </c>
      <c r="G1138" t="s">
        <v>90</v>
      </c>
      <c r="H1138" t="s">
        <v>2648</v>
      </c>
      <c r="I1138" t="s">
        <v>44</v>
      </c>
      <c r="J1138">
        <v>43</v>
      </c>
      <c r="K1138">
        <v>106.67</v>
      </c>
      <c r="L1138">
        <v>65.13</v>
      </c>
      <c r="M1138">
        <v>0.15</v>
      </c>
      <c r="N1138" t="s">
        <v>45</v>
      </c>
    </row>
    <row r="1139" spans="1:14" x14ac:dyDescent="0.25">
      <c r="A1139" t="s">
        <v>1656</v>
      </c>
      <c r="B1139" s="2">
        <v>45439</v>
      </c>
      <c r="C1139" t="s">
        <v>77</v>
      </c>
      <c r="D1139" t="s">
        <v>78</v>
      </c>
      <c r="E1139" t="s">
        <v>2616</v>
      </c>
      <c r="F1139" t="s">
        <v>2633</v>
      </c>
      <c r="G1139" t="s">
        <v>90</v>
      </c>
      <c r="H1139" t="s">
        <v>2647</v>
      </c>
      <c r="I1139" t="s">
        <v>75</v>
      </c>
      <c r="J1139">
        <v>77</v>
      </c>
      <c r="K1139">
        <v>135.4</v>
      </c>
      <c r="L1139">
        <v>80.489999999999995</v>
      </c>
      <c r="M1139">
        <v>0.05</v>
      </c>
      <c r="N1139" t="s">
        <v>129</v>
      </c>
    </row>
    <row r="1140" spans="1:14" x14ac:dyDescent="0.25">
      <c r="A1140" t="s">
        <v>1657</v>
      </c>
      <c r="B1140" s="2">
        <v>45332</v>
      </c>
      <c r="C1140" t="s">
        <v>897</v>
      </c>
      <c r="D1140" t="s">
        <v>23</v>
      </c>
      <c r="E1140" t="s">
        <v>2614</v>
      </c>
      <c r="F1140" t="s">
        <v>2629</v>
      </c>
      <c r="G1140" t="s">
        <v>261</v>
      </c>
      <c r="H1140" t="s">
        <v>2645</v>
      </c>
      <c r="I1140" t="s">
        <v>75</v>
      </c>
      <c r="J1140">
        <v>45</v>
      </c>
      <c r="K1140">
        <v>79.86</v>
      </c>
      <c r="L1140">
        <v>41.12</v>
      </c>
      <c r="M1140">
        <v>0.1</v>
      </c>
      <c r="N1140" t="s">
        <v>45</v>
      </c>
    </row>
    <row r="1141" spans="1:14" x14ac:dyDescent="0.25">
      <c r="A1141" t="s">
        <v>1658</v>
      </c>
      <c r="B1141" s="2">
        <v>45488</v>
      </c>
      <c r="C1141" t="s">
        <v>301</v>
      </c>
      <c r="D1141" t="s">
        <v>93</v>
      </c>
      <c r="E1141" t="s">
        <v>2618</v>
      </c>
      <c r="F1141" t="s">
        <v>2628</v>
      </c>
      <c r="G1141" t="s">
        <v>265</v>
      </c>
      <c r="H1141" t="s">
        <v>2645</v>
      </c>
      <c r="I1141" t="s">
        <v>2578</v>
      </c>
      <c r="J1141">
        <v>20</v>
      </c>
      <c r="K1141">
        <v>58.59</v>
      </c>
      <c r="L1141">
        <v>30.72</v>
      </c>
      <c r="M1141">
        <v>0.2</v>
      </c>
      <c r="N1141" t="s">
        <v>45</v>
      </c>
    </row>
    <row r="1142" spans="1:14" x14ac:dyDescent="0.25">
      <c r="A1142" t="s">
        <v>1659</v>
      </c>
      <c r="B1142" s="2">
        <v>45366</v>
      </c>
      <c r="C1142" t="s">
        <v>485</v>
      </c>
      <c r="D1142" t="s">
        <v>36</v>
      </c>
      <c r="E1142" t="s">
        <v>2618</v>
      </c>
      <c r="F1142" t="s">
        <v>2632</v>
      </c>
      <c r="G1142" t="s">
        <v>265</v>
      </c>
      <c r="H1142" t="s">
        <v>2646</v>
      </c>
      <c r="I1142" t="s">
        <v>75</v>
      </c>
      <c r="J1142">
        <v>73</v>
      </c>
      <c r="K1142">
        <v>176.69</v>
      </c>
      <c r="L1142">
        <v>101.37</v>
      </c>
      <c r="M1142">
        <v>0.02</v>
      </c>
      <c r="N1142" t="s">
        <v>45</v>
      </c>
    </row>
    <row r="1143" spans="1:14" x14ac:dyDescent="0.25">
      <c r="A1143" t="s">
        <v>1660</v>
      </c>
      <c r="B1143" s="2">
        <v>45622</v>
      </c>
      <c r="C1143" t="s">
        <v>541</v>
      </c>
      <c r="D1143" t="s">
        <v>165</v>
      </c>
      <c r="E1143" t="s">
        <v>2618</v>
      </c>
      <c r="F1143" t="s">
        <v>2632</v>
      </c>
      <c r="G1143" t="s">
        <v>265</v>
      </c>
      <c r="H1143" t="s">
        <v>2648</v>
      </c>
      <c r="I1143" t="s">
        <v>75</v>
      </c>
      <c r="J1143">
        <v>63</v>
      </c>
      <c r="K1143">
        <v>42.13</v>
      </c>
      <c r="L1143">
        <v>25.81</v>
      </c>
      <c r="M1143">
        <v>0.1</v>
      </c>
      <c r="N1143" t="s">
        <v>45</v>
      </c>
    </row>
    <row r="1144" spans="1:14" x14ac:dyDescent="0.25">
      <c r="A1144" t="s">
        <v>1661</v>
      </c>
      <c r="B1144" s="2">
        <v>45497</v>
      </c>
      <c r="C1144" t="s">
        <v>77</v>
      </c>
      <c r="D1144" t="s">
        <v>23</v>
      </c>
      <c r="E1144" t="s">
        <v>2618</v>
      </c>
      <c r="F1144" t="s">
        <v>2628</v>
      </c>
      <c r="G1144" t="s">
        <v>69</v>
      </c>
      <c r="H1144" t="s">
        <v>2645</v>
      </c>
      <c r="I1144" t="s">
        <v>44</v>
      </c>
      <c r="J1144">
        <v>71</v>
      </c>
      <c r="K1144">
        <v>69.599999999999994</v>
      </c>
      <c r="L1144">
        <v>0</v>
      </c>
      <c r="M1144">
        <v>0.1</v>
      </c>
      <c r="N1144" t="s">
        <v>45</v>
      </c>
    </row>
    <row r="1145" spans="1:14" x14ac:dyDescent="0.25">
      <c r="A1145" t="s">
        <v>1662</v>
      </c>
      <c r="B1145" s="2">
        <v>45593</v>
      </c>
      <c r="C1145" t="s">
        <v>658</v>
      </c>
      <c r="D1145" t="s">
        <v>176</v>
      </c>
      <c r="E1145" t="s">
        <v>2616</v>
      </c>
      <c r="F1145" t="s">
        <v>2631</v>
      </c>
      <c r="G1145" t="s">
        <v>195</v>
      </c>
      <c r="H1145" t="s">
        <v>2648</v>
      </c>
      <c r="I1145" t="s">
        <v>75</v>
      </c>
      <c r="J1145">
        <v>28</v>
      </c>
      <c r="K1145">
        <v>99.28</v>
      </c>
      <c r="L1145">
        <v>59.58</v>
      </c>
      <c r="M1145">
        <v>0.1</v>
      </c>
      <c r="N1145" t="s">
        <v>32</v>
      </c>
    </row>
    <row r="1146" spans="1:14" x14ac:dyDescent="0.25">
      <c r="A1146" t="s">
        <v>1663</v>
      </c>
      <c r="B1146" s="2">
        <v>45306</v>
      </c>
      <c r="C1146" t="s">
        <v>47</v>
      </c>
      <c r="D1146" t="s">
        <v>132</v>
      </c>
      <c r="E1146" t="s">
        <v>2617</v>
      </c>
      <c r="F1146" t="s">
        <v>2642</v>
      </c>
      <c r="G1146" t="s">
        <v>42</v>
      </c>
      <c r="H1146" t="s">
        <v>2645</v>
      </c>
      <c r="I1146" t="s">
        <v>75</v>
      </c>
      <c r="J1146">
        <v>11</v>
      </c>
      <c r="K1146">
        <v>64.430000000000007</v>
      </c>
      <c r="L1146">
        <v>36.21</v>
      </c>
      <c r="M1146">
        <v>0</v>
      </c>
      <c r="N1146" t="s">
        <v>32</v>
      </c>
    </row>
    <row r="1147" spans="1:14" x14ac:dyDescent="0.25">
      <c r="A1147" t="s">
        <v>1664</v>
      </c>
      <c r="B1147" s="2">
        <v>45560</v>
      </c>
      <c r="C1147" t="s">
        <v>517</v>
      </c>
      <c r="D1147" t="s">
        <v>49</v>
      </c>
      <c r="E1147" t="s">
        <v>2615</v>
      </c>
      <c r="F1147" t="s">
        <v>2627</v>
      </c>
      <c r="G1147" t="s">
        <v>83</v>
      </c>
      <c r="H1147" t="s">
        <v>2647</v>
      </c>
      <c r="I1147" t="s">
        <v>84</v>
      </c>
      <c r="J1147">
        <v>11</v>
      </c>
      <c r="K1147">
        <v>25.05</v>
      </c>
      <c r="L1147">
        <v>13</v>
      </c>
      <c r="M1147">
        <v>0.1</v>
      </c>
      <c r="N1147" t="s">
        <v>45</v>
      </c>
    </row>
    <row r="1148" spans="1:14" x14ac:dyDescent="0.25">
      <c r="A1148" t="s">
        <v>1665</v>
      </c>
      <c r="B1148" s="2">
        <v>45325</v>
      </c>
      <c r="C1148" t="s">
        <v>124</v>
      </c>
      <c r="D1148" t="s">
        <v>150</v>
      </c>
      <c r="E1148" t="s">
        <v>2616</v>
      </c>
      <c r="F1148" t="s">
        <v>2633</v>
      </c>
      <c r="G1148" t="s">
        <v>118</v>
      </c>
      <c r="H1148" t="s">
        <v>2647</v>
      </c>
      <c r="I1148" t="s">
        <v>75</v>
      </c>
      <c r="J1148">
        <v>63</v>
      </c>
      <c r="K1148">
        <v>79.17</v>
      </c>
      <c r="L1148">
        <v>47.02</v>
      </c>
      <c r="M1148">
        <v>0</v>
      </c>
      <c r="N1148" t="s">
        <v>45</v>
      </c>
    </row>
    <row r="1149" spans="1:14" x14ac:dyDescent="0.25">
      <c r="A1149" t="s">
        <v>1666</v>
      </c>
      <c r="B1149" s="2">
        <v>45412</v>
      </c>
      <c r="C1149" t="s">
        <v>428</v>
      </c>
      <c r="D1149" t="s">
        <v>209</v>
      </c>
      <c r="E1149" t="s">
        <v>2616</v>
      </c>
      <c r="F1149" t="s">
        <v>2624</v>
      </c>
      <c r="G1149" t="s">
        <v>253</v>
      </c>
      <c r="H1149" t="s">
        <v>2647</v>
      </c>
      <c r="I1149" t="s">
        <v>84</v>
      </c>
      <c r="J1149">
        <v>75</v>
      </c>
      <c r="K1149">
        <v>16.93</v>
      </c>
      <c r="L1149">
        <v>9.3699999999999992</v>
      </c>
      <c r="M1149">
        <v>0.15</v>
      </c>
      <c r="N1149" t="s">
        <v>45</v>
      </c>
    </row>
    <row r="1150" spans="1:14" x14ac:dyDescent="0.25">
      <c r="A1150" t="s">
        <v>1667</v>
      </c>
      <c r="B1150" s="2">
        <v>45428</v>
      </c>
      <c r="C1150" t="s">
        <v>220</v>
      </c>
      <c r="D1150" t="s">
        <v>165</v>
      </c>
      <c r="E1150" t="s">
        <v>2618</v>
      </c>
      <c r="F1150" t="s">
        <v>2628</v>
      </c>
      <c r="G1150" t="s">
        <v>144</v>
      </c>
      <c r="H1150" t="s">
        <v>2648</v>
      </c>
      <c r="I1150" t="s">
        <v>44</v>
      </c>
      <c r="J1150">
        <v>19</v>
      </c>
      <c r="K1150">
        <v>41.11</v>
      </c>
      <c r="L1150">
        <v>25.53</v>
      </c>
      <c r="M1150">
        <v>0</v>
      </c>
      <c r="N1150" t="s">
        <v>129</v>
      </c>
    </row>
    <row r="1151" spans="1:14" x14ac:dyDescent="0.25">
      <c r="A1151" t="s">
        <v>1668</v>
      </c>
      <c r="B1151" s="2">
        <v>45479</v>
      </c>
      <c r="C1151" t="s">
        <v>1219</v>
      </c>
      <c r="D1151" t="s">
        <v>209</v>
      </c>
      <c r="E1151" t="s">
        <v>2616</v>
      </c>
      <c r="F1151" t="s">
        <v>2631</v>
      </c>
      <c r="G1151" t="s">
        <v>29</v>
      </c>
      <c r="H1151" t="s">
        <v>2646</v>
      </c>
      <c r="I1151" t="s">
        <v>2578</v>
      </c>
      <c r="J1151">
        <v>56</v>
      </c>
      <c r="K1151">
        <v>16.89</v>
      </c>
      <c r="L1151">
        <v>9.85</v>
      </c>
      <c r="M1151">
        <v>0</v>
      </c>
      <c r="N1151" t="s">
        <v>45</v>
      </c>
    </row>
    <row r="1152" spans="1:14" x14ac:dyDescent="0.25">
      <c r="A1152" t="s">
        <v>1669</v>
      </c>
      <c r="B1152" s="2">
        <v>45630</v>
      </c>
      <c r="C1152" t="s">
        <v>301</v>
      </c>
      <c r="D1152" t="s">
        <v>187</v>
      </c>
      <c r="E1152" t="s">
        <v>2618</v>
      </c>
      <c r="F1152" t="s">
        <v>2632</v>
      </c>
      <c r="G1152" t="s">
        <v>248</v>
      </c>
      <c r="H1152" t="s">
        <v>2646</v>
      </c>
      <c r="I1152" t="s">
        <v>44</v>
      </c>
      <c r="J1152">
        <v>18</v>
      </c>
      <c r="K1152">
        <v>48.88</v>
      </c>
      <c r="L1152">
        <v>30.91</v>
      </c>
      <c r="M1152">
        <v>0</v>
      </c>
      <c r="N1152" t="s">
        <v>45</v>
      </c>
    </row>
    <row r="1153" spans="1:14" x14ac:dyDescent="0.25">
      <c r="A1153" t="s">
        <v>1670</v>
      </c>
      <c r="B1153" s="2">
        <v>45642</v>
      </c>
      <c r="C1153" t="s">
        <v>717</v>
      </c>
      <c r="D1153" t="s">
        <v>150</v>
      </c>
      <c r="E1153" t="s">
        <v>2614</v>
      </c>
      <c r="F1153" t="s">
        <v>2629</v>
      </c>
      <c r="G1153" t="s">
        <v>218</v>
      </c>
      <c r="H1153" t="s">
        <v>2647</v>
      </c>
      <c r="I1153" t="s">
        <v>44</v>
      </c>
      <c r="J1153">
        <v>46</v>
      </c>
      <c r="K1153">
        <v>83.88</v>
      </c>
      <c r="L1153">
        <v>54.09</v>
      </c>
      <c r="M1153">
        <v>0.05</v>
      </c>
      <c r="N1153" t="s">
        <v>45</v>
      </c>
    </row>
    <row r="1154" spans="1:14" x14ac:dyDescent="0.25">
      <c r="A1154" t="s">
        <v>1671</v>
      </c>
      <c r="B1154" s="2">
        <v>45552</v>
      </c>
      <c r="C1154" t="s">
        <v>148</v>
      </c>
      <c r="D1154" t="s">
        <v>93</v>
      </c>
      <c r="E1154" t="s">
        <v>2618</v>
      </c>
      <c r="F1154" t="s">
        <v>2635</v>
      </c>
      <c r="G1154" t="s">
        <v>170</v>
      </c>
      <c r="H1154" t="s">
        <v>2647</v>
      </c>
      <c r="I1154" t="s">
        <v>2578</v>
      </c>
      <c r="J1154">
        <v>35</v>
      </c>
      <c r="K1154">
        <v>56.83</v>
      </c>
      <c r="L1154">
        <v>31.43</v>
      </c>
      <c r="M1154">
        <v>0.2</v>
      </c>
      <c r="N1154" t="s">
        <v>45</v>
      </c>
    </row>
    <row r="1155" spans="1:14" x14ac:dyDescent="0.25">
      <c r="A1155" t="s">
        <v>1672</v>
      </c>
      <c r="B1155" s="2">
        <v>45336</v>
      </c>
      <c r="C1155" t="s">
        <v>638</v>
      </c>
      <c r="D1155" t="s">
        <v>187</v>
      </c>
      <c r="E1155" t="s">
        <v>2618</v>
      </c>
      <c r="F1155" t="s">
        <v>2632</v>
      </c>
      <c r="G1155" t="s">
        <v>152</v>
      </c>
      <c r="H1155" t="s">
        <v>2646</v>
      </c>
      <c r="I1155" t="s">
        <v>70</v>
      </c>
      <c r="J1155">
        <v>14</v>
      </c>
      <c r="K1155">
        <v>45.58</v>
      </c>
      <c r="L1155">
        <v>28.36</v>
      </c>
      <c r="M1155">
        <v>0.02</v>
      </c>
      <c r="N1155" t="s">
        <v>32</v>
      </c>
    </row>
    <row r="1156" spans="1:14" x14ac:dyDescent="0.25">
      <c r="A1156" t="s">
        <v>1673</v>
      </c>
      <c r="B1156" s="2">
        <v>45395</v>
      </c>
      <c r="C1156" t="s">
        <v>535</v>
      </c>
      <c r="D1156" t="s">
        <v>126</v>
      </c>
      <c r="E1156" t="s">
        <v>2614</v>
      </c>
      <c r="F1156" t="s">
        <v>2629</v>
      </c>
      <c r="G1156" t="s">
        <v>83</v>
      </c>
      <c r="H1156" t="s">
        <v>2648</v>
      </c>
      <c r="I1156" t="s">
        <v>44</v>
      </c>
      <c r="J1156">
        <v>6</v>
      </c>
      <c r="K1156">
        <v>87.93</v>
      </c>
      <c r="L1156">
        <v>55.19</v>
      </c>
      <c r="M1156">
        <v>0.02</v>
      </c>
      <c r="N1156" t="s">
        <v>45</v>
      </c>
    </row>
    <row r="1157" spans="1:14" x14ac:dyDescent="0.25">
      <c r="A1157" t="s">
        <v>1674</v>
      </c>
      <c r="B1157" s="2">
        <v>45582</v>
      </c>
      <c r="C1157" t="s">
        <v>1098</v>
      </c>
      <c r="D1157" t="s">
        <v>23</v>
      </c>
      <c r="E1157" t="s">
        <v>2618</v>
      </c>
      <c r="F1157" t="s">
        <v>2628</v>
      </c>
      <c r="G1157" t="s">
        <v>83</v>
      </c>
      <c r="H1157" t="s">
        <v>2645</v>
      </c>
      <c r="I1157" t="s">
        <v>75</v>
      </c>
      <c r="J1157">
        <v>50</v>
      </c>
      <c r="K1157">
        <v>76</v>
      </c>
      <c r="L1157">
        <v>41.03</v>
      </c>
      <c r="M1157">
        <v>0.2</v>
      </c>
      <c r="N1157" t="s">
        <v>129</v>
      </c>
    </row>
    <row r="1158" spans="1:14" x14ac:dyDescent="0.25">
      <c r="A1158" t="s">
        <v>1675</v>
      </c>
      <c r="B1158" s="2">
        <v>45400</v>
      </c>
      <c r="C1158" t="s">
        <v>933</v>
      </c>
      <c r="D1158" t="s">
        <v>250</v>
      </c>
      <c r="E1158" t="s">
        <v>2614</v>
      </c>
      <c r="F1158" t="s">
        <v>2629</v>
      </c>
      <c r="G1158" t="s">
        <v>29</v>
      </c>
      <c r="H1158" t="s">
        <v>2646</v>
      </c>
      <c r="I1158" t="s">
        <v>75</v>
      </c>
      <c r="J1158">
        <v>20</v>
      </c>
      <c r="K1158">
        <v>68.430000000000007</v>
      </c>
      <c r="L1158">
        <v>37.369999999999997</v>
      </c>
      <c r="M1158">
        <v>0.02</v>
      </c>
      <c r="N1158" t="s">
        <v>45</v>
      </c>
    </row>
    <row r="1159" spans="1:14" x14ac:dyDescent="0.25">
      <c r="A1159" t="s">
        <v>1676</v>
      </c>
      <c r="B1159" s="2">
        <v>45315</v>
      </c>
      <c r="C1159" t="s">
        <v>975</v>
      </c>
      <c r="D1159" t="s">
        <v>141</v>
      </c>
      <c r="E1159" t="s">
        <v>2617</v>
      </c>
      <c r="F1159" t="s">
        <v>2642</v>
      </c>
      <c r="G1159" t="s">
        <v>248</v>
      </c>
      <c r="H1159" t="s">
        <v>2645</v>
      </c>
      <c r="I1159" t="s">
        <v>2578</v>
      </c>
      <c r="J1159">
        <v>10</v>
      </c>
      <c r="K1159">
        <v>101.12</v>
      </c>
      <c r="L1159">
        <v>53.98</v>
      </c>
      <c r="M1159">
        <v>0.2</v>
      </c>
      <c r="N1159" t="s">
        <v>129</v>
      </c>
    </row>
    <row r="1160" spans="1:14" x14ac:dyDescent="0.25">
      <c r="A1160" t="s">
        <v>1677</v>
      </c>
      <c r="B1160" s="2">
        <v>45404</v>
      </c>
      <c r="C1160" t="s">
        <v>276</v>
      </c>
      <c r="D1160" t="s">
        <v>99</v>
      </c>
      <c r="E1160" t="s">
        <v>2614</v>
      </c>
      <c r="F1160" t="s">
        <v>2622</v>
      </c>
      <c r="G1160" t="s">
        <v>178</v>
      </c>
      <c r="H1160" t="s">
        <v>2647</v>
      </c>
      <c r="I1160" t="s">
        <v>84</v>
      </c>
      <c r="J1160">
        <v>26</v>
      </c>
      <c r="K1160">
        <v>65.05</v>
      </c>
      <c r="L1160">
        <v>42.28</v>
      </c>
      <c r="M1160">
        <v>0.1</v>
      </c>
      <c r="N1160" t="s">
        <v>45</v>
      </c>
    </row>
    <row r="1161" spans="1:14" x14ac:dyDescent="0.25">
      <c r="A1161" t="s">
        <v>1678</v>
      </c>
      <c r="B1161" s="2">
        <v>45564</v>
      </c>
      <c r="C1161" t="s">
        <v>447</v>
      </c>
      <c r="D1161" t="s">
        <v>78</v>
      </c>
      <c r="E1161" t="s">
        <v>2615</v>
      </c>
      <c r="F1161" t="s">
        <v>2627</v>
      </c>
      <c r="G1161" t="s">
        <v>29</v>
      </c>
      <c r="H1161" t="s">
        <v>2647</v>
      </c>
      <c r="I1161" t="s">
        <v>84</v>
      </c>
      <c r="J1161">
        <v>7</v>
      </c>
      <c r="K1161">
        <v>143.66</v>
      </c>
      <c r="L1161">
        <v>80.83</v>
      </c>
      <c r="M1161">
        <v>0.1</v>
      </c>
      <c r="N1161" t="s">
        <v>45</v>
      </c>
    </row>
    <row r="1162" spans="1:14" x14ac:dyDescent="0.25">
      <c r="A1162" t="s">
        <v>1679</v>
      </c>
      <c r="B1162" s="2">
        <v>45608</v>
      </c>
      <c r="C1162" t="s">
        <v>328</v>
      </c>
      <c r="D1162" t="s">
        <v>176</v>
      </c>
      <c r="E1162" t="s">
        <v>2615</v>
      </c>
      <c r="F1162" t="s">
        <v>2630</v>
      </c>
      <c r="G1162" t="s">
        <v>218</v>
      </c>
      <c r="H1162" t="s">
        <v>2647</v>
      </c>
      <c r="I1162" t="s">
        <v>70</v>
      </c>
      <c r="J1162">
        <v>9</v>
      </c>
      <c r="K1162">
        <v>102.3</v>
      </c>
      <c r="L1162">
        <v>61.48</v>
      </c>
      <c r="M1162">
        <v>0.02</v>
      </c>
      <c r="N1162" t="s">
        <v>45</v>
      </c>
    </row>
    <row r="1163" spans="1:14" x14ac:dyDescent="0.25">
      <c r="A1163" t="s">
        <v>1680</v>
      </c>
      <c r="B1163" s="2">
        <v>45492</v>
      </c>
      <c r="C1163" t="s">
        <v>1426</v>
      </c>
      <c r="D1163" t="s">
        <v>176</v>
      </c>
      <c r="E1163" t="s">
        <v>2617</v>
      </c>
      <c r="F1163" t="s">
        <v>2626</v>
      </c>
      <c r="G1163" t="s">
        <v>218</v>
      </c>
      <c r="H1163" t="s">
        <v>2647</v>
      </c>
      <c r="I1163" t="s">
        <v>44</v>
      </c>
      <c r="J1163">
        <v>10</v>
      </c>
      <c r="K1163">
        <v>98.81</v>
      </c>
      <c r="L1163">
        <v>65.28</v>
      </c>
      <c r="M1163">
        <v>0.15</v>
      </c>
      <c r="N1163" t="s">
        <v>45</v>
      </c>
    </row>
    <row r="1164" spans="1:14" x14ac:dyDescent="0.25">
      <c r="A1164" t="s">
        <v>1681</v>
      </c>
      <c r="B1164" s="2">
        <v>45556</v>
      </c>
      <c r="C1164" t="s">
        <v>578</v>
      </c>
      <c r="D1164" t="s">
        <v>66</v>
      </c>
      <c r="E1164" t="s">
        <v>2618</v>
      </c>
      <c r="F1164" t="s">
        <v>2628</v>
      </c>
      <c r="G1164" t="s">
        <v>83</v>
      </c>
      <c r="H1164" t="s">
        <v>2645</v>
      </c>
      <c r="I1164" t="s">
        <v>2578</v>
      </c>
      <c r="J1164">
        <v>17</v>
      </c>
      <c r="K1164">
        <v>155.57</v>
      </c>
      <c r="L1164">
        <v>106.79</v>
      </c>
      <c r="M1164">
        <v>0.15</v>
      </c>
      <c r="N1164" t="s">
        <v>129</v>
      </c>
    </row>
    <row r="1165" spans="1:14" x14ac:dyDescent="0.25">
      <c r="A1165" t="s">
        <v>1682</v>
      </c>
      <c r="B1165" s="2">
        <v>45583</v>
      </c>
      <c r="C1165" t="s">
        <v>1033</v>
      </c>
      <c r="D1165" t="s">
        <v>132</v>
      </c>
      <c r="E1165" t="s">
        <v>2618</v>
      </c>
      <c r="F1165" t="s">
        <v>2628</v>
      </c>
      <c r="G1165" t="s">
        <v>29</v>
      </c>
      <c r="H1165" t="s">
        <v>2646</v>
      </c>
      <c r="I1165" t="s">
        <v>44</v>
      </c>
      <c r="J1165">
        <v>61</v>
      </c>
      <c r="K1165">
        <v>58.29</v>
      </c>
      <c r="L1165">
        <v>33.869999999999997</v>
      </c>
      <c r="M1165">
        <v>0.2</v>
      </c>
      <c r="N1165" t="s">
        <v>129</v>
      </c>
    </row>
    <row r="1166" spans="1:14" x14ac:dyDescent="0.25">
      <c r="A1166" t="s">
        <v>1683</v>
      </c>
      <c r="B1166" s="2">
        <v>45446</v>
      </c>
      <c r="C1166" t="s">
        <v>278</v>
      </c>
      <c r="D1166" t="s">
        <v>49</v>
      </c>
      <c r="E1166" t="s">
        <v>2617</v>
      </c>
      <c r="F1166" t="s">
        <v>2626</v>
      </c>
      <c r="G1166" t="s">
        <v>90</v>
      </c>
      <c r="H1166" t="s">
        <v>2647</v>
      </c>
      <c r="I1166" t="s">
        <v>2578</v>
      </c>
      <c r="J1166">
        <v>26</v>
      </c>
      <c r="K1166">
        <v>25.43</v>
      </c>
      <c r="L1166">
        <v>11.98</v>
      </c>
      <c r="M1166">
        <v>0.1</v>
      </c>
      <c r="N1166" t="s">
        <v>32</v>
      </c>
    </row>
    <row r="1167" spans="1:14" x14ac:dyDescent="0.25">
      <c r="A1167" t="s">
        <v>1684</v>
      </c>
      <c r="B1167" s="2">
        <v>45391</v>
      </c>
      <c r="C1167" t="s">
        <v>280</v>
      </c>
      <c r="D1167" t="s">
        <v>23</v>
      </c>
      <c r="E1167" t="s">
        <v>2615</v>
      </c>
      <c r="F1167" t="s">
        <v>2630</v>
      </c>
      <c r="G1167" t="s">
        <v>83</v>
      </c>
      <c r="H1167" t="s">
        <v>2648</v>
      </c>
      <c r="I1167" t="s">
        <v>44</v>
      </c>
      <c r="J1167">
        <v>41</v>
      </c>
      <c r="K1167">
        <v>79.34</v>
      </c>
      <c r="L1167">
        <v>47.14</v>
      </c>
      <c r="M1167">
        <v>0.1</v>
      </c>
      <c r="N1167" t="s">
        <v>45</v>
      </c>
    </row>
    <row r="1168" spans="1:14" x14ac:dyDescent="0.25">
      <c r="A1168" t="s">
        <v>1685</v>
      </c>
      <c r="B1168" s="2">
        <v>45318</v>
      </c>
      <c r="C1168" t="s">
        <v>739</v>
      </c>
      <c r="D1168" t="s">
        <v>126</v>
      </c>
      <c r="E1168" t="s">
        <v>2617</v>
      </c>
      <c r="F1168" t="s">
        <v>2641</v>
      </c>
      <c r="G1168" t="s">
        <v>265</v>
      </c>
      <c r="H1168" t="s">
        <v>2646</v>
      </c>
      <c r="I1168" t="s">
        <v>2578</v>
      </c>
      <c r="J1168">
        <v>33</v>
      </c>
      <c r="K1168">
        <v>83.54</v>
      </c>
      <c r="L1168">
        <v>51.12</v>
      </c>
      <c r="M1168">
        <v>0.1</v>
      </c>
      <c r="N1168" t="s">
        <v>45</v>
      </c>
    </row>
    <row r="1169" spans="1:14" x14ac:dyDescent="0.25">
      <c r="A1169" t="s">
        <v>1686</v>
      </c>
      <c r="B1169" s="2">
        <v>45314</v>
      </c>
      <c r="C1169" t="s">
        <v>735</v>
      </c>
      <c r="D1169" t="s">
        <v>176</v>
      </c>
      <c r="E1169" t="s">
        <v>2614</v>
      </c>
      <c r="F1169" t="s">
        <v>2629</v>
      </c>
      <c r="G1169" t="s">
        <v>90</v>
      </c>
      <c r="H1169" t="s">
        <v>2648</v>
      </c>
      <c r="I1169" t="s">
        <v>70</v>
      </c>
      <c r="J1169">
        <v>76</v>
      </c>
      <c r="K1169">
        <v>99.51</v>
      </c>
      <c r="L1169">
        <v>61.79</v>
      </c>
      <c r="M1169">
        <v>0.05</v>
      </c>
      <c r="N1169" t="s">
        <v>32</v>
      </c>
    </row>
    <row r="1170" spans="1:14" x14ac:dyDescent="0.25">
      <c r="A1170" t="s">
        <v>1687</v>
      </c>
      <c r="B1170" s="2">
        <v>45602</v>
      </c>
      <c r="C1170" t="s">
        <v>600</v>
      </c>
      <c r="D1170" t="s">
        <v>78</v>
      </c>
      <c r="E1170" t="s">
        <v>2617</v>
      </c>
      <c r="F1170" t="s">
        <v>2642</v>
      </c>
      <c r="G1170" t="s">
        <v>261</v>
      </c>
      <c r="H1170" t="s">
        <v>2645</v>
      </c>
      <c r="I1170" t="s">
        <v>2578</v>
      </c>
      <c r="J1170">
        <v>35</v>
      </c>
      <c r="K1170">
        <v>142.76</v>
      </c>
      <c r="L1170">
        <v>82.91</v>
      </c>
      <c r="M1170">
        <v>0</v>
      </c>
      <c r="N1170" t="s">
        <v>45</v>
      </c>
    </row>
    <row r="1171" spans="1:14" x14ac:dyDescent="0.25">
      <c r="A1171" t="s">
        <v>1688</v>
      </c>
      <c r="B1171" s="2">
        <v>45464</v>
      </c>
      <c r="C1171" t="s">
        <v>422</v>
      </c>
      <c r="D1171" t="s">
        <v>141</v>
      </c>
      <c r="E1171" t="s">
        <v>2615</v>
      </c>
      <c r="F1171" t="s">
        <v>2627</v>
      </c>
      <c r="G1171" t="s">
        <v>83</v>
      </c>
      <c r="H1171" t="s">
        <v>2647</v>
      </c>
      <c r="I1171" t="s">
        <v>84</v>
      </c>
      <c r="J1171">
        <v>48</v>
      </c>
      <c r="K1171">
        <v>89.35</v>
      </c>
      <c r="L1171">
        <v>56.5</v>
      </c>
      <c r="M1171">
        <v>0.2</v>
      </c>
      <c r="N1171" t="s">
        <v>129</v>
      </c>
    </row>
    <row r="1172" spans="1:14" x14ac:dyDescent="0.25">
      <c r="A1172" t="s">
        <v>1689</v>
      </c>
      <c r="B1172" s="2">
        <v>45593</v>
      </c>
      <c r="C1172" t="s">
        <v>1281</v>
      </c>
      <c r="D1172" t="s">
        <v>99</v>
      </c>
      <c r="E1172" t="s">
        <v>2618</v>
      </c>
      <c r="F1172" t="s">
        <v>2632</v>
      </c>
      <c r="G1172" t="s">
        <v>83</v>
      </c>
      <c r="H1172" t="s">
        <v>2648</v>
      </c>
      <c r="I1172" t="s">
        <v>70</v>
      </c>
      <c r="J1172">
        <v>29</v>
      </c>
      <c r="K1172">
        <v>73.89</v>
      </c>
      <c r="L1172">
        <v>38.130000000000003</v>
      </c>
      <c r="M1172">
        <v>0.2</v>
      </c>
      <c r="N1172" t="s">
        <v>45</v>
      </c>
    </row>
    <row r="1173" spans="1:14" x14ac:dyDescent="0.25">
      <c r="A1173" t="s">
        <v>1690</v>
      </c>
      <c r="B1173" s="2">
        <v>45647</v>
      </c>
      <c r="C1173" t="s">
        <v>852</v>
      </c>
      <c r="D1173" t="s">
        <v>49</v>
      </c>
      <c r="E1173" t="s">
        <v>2614</v>
      </c>
      <c r="F1173" t="s">
        <v>2622</v>
      </c>
      <c r="G1173" t="s">
        <v>83</v>
      </c>
      <c r="H1173" t="s">
        <v>2646</v>
      </c>
      <c r="I1173" t="s">
        <v>44</v>
      </c>
      <c r="J1173">
        <v>73</v>
      </c>
      <c r="K1173">
        <v>25.25</v>
      </c>
      <c r="L1173">
        <v>13.26</v>
      </c>
      <c r="M1173">
        <v>0.15</v>
      </c>
      <c r="N1173" t="s">
        <v>45</v>
      </c>
    </row>
    <row r="1174" spans="1:14" x14ac:dyDescent="0.25">
      <c r="A1174" t="s">
        <v>1691</v>
      </c>
      <c r="B1174" s="2">
        <v>45434</v>
      </c>
      <c r="C1174" t="s">
        <v>373</v>
      </c>
      <c r="D1174" t="s">
        <v>150</v>
      </c>
      <c r="E1174" t="s">
        <v>2615</v>
      </c>
      <c r="F1174" t="s">
        <v>2627</v>
      </c>
      <c r="G1174" t="s">
        <v>69</v>
      </c>
      <c r="H1174" t="s">
        <v>2646</v>
      </c>
      <c r="I1174" t="s">
        <v>75</v>
      </c>
      <c r="J1174">
        <v>41</v>
      </c>
      <c r="K1174">
        <v>85.66</v>
      </c>
      <c r="L1174">
        <v>47.46</v>
      </c>
      <c r="M1174">
        <v>0.05</v>
      </c>
      <c r="N1174" t="s">
        <v>45</v>
      </c>
    </row>
    <row r="1175" spans="1:14" x14ac:dyDescent="0.25">
      <c r="A1175" t="s">
        <v>1692</v>
      </c>
      <c r="B1175" s="2">
        <v>45561</v>
      </c>
      <c r="C1175" t="s">
        <v>513</v>
      </c>
      <c r="D1175" t="s">
        <v>250</v>
      </c>
      <c r="E1175" t="s">
        <v>2618</v>
      </c>
      <c r="F1175" t="s">
        <v>2632</v>
      </c>
      <c r="G1175" t="s">
        <v>248</v>
      </c>
      <c r="H1175" t="s">
        <v>2645</v>
      </c>
      <c r="I1175" t="s">
        <v>70</v>
      </c>
      <c r="J1175">
        <v>68</v>
      </c>
      <c r="K1175">
        <v>64.849999999999994</v>
      </c>
      <c r="L1175">
        <v>36.520000000000003</v>
      </c>
      <c r="M1175">
        <v>0</v>
      </c>
      <c r="N1175" t="s">
        <v>45</v>
      </c>
    </row>
    <row r="1176" spans="1:14" x14ac:dyDescent="0.25">
      <c r="A1176" t="s">
        <v>1693</v>
      </c>
      <c r="B1176" s="2">
        <v>45595</v>
      </c>
      <c r="C1176" t="s">
        <v>227</v>
      </c>
      <c r="D1176" t="s">
        <v>209</v>
      </c>
      <c r="E1176" t="s">
        <v>2618</v>
      </c>
      <c r="F1176" t="s">
        <v>2628</v>
      </c>
      <c r="G1176" t="s">
        <v>74</v>
      </c>
      <c r="H1176" t="s">
        <v>2648</v>
      </c>
      <c r="I1176" t="s">
        <v>84</v>
      </c>
      <c r="J1176">
        <v>2</v>
      </c>
      <c r="K1176">
        <v>19.07</v>
      </c>
      <c r="L1176">
        <v>10.55</v>
      </c>
      <c r="M1176">
        <v>0.15</v>
      </c>
      <c r="N1176" t="s">
        <v>45</v>
      </c>
    </row>
    <row r="1177" spans="1:14" x14ac:dyDescent="0.25">
      <c r="A1177" t="s">
        <v>1694</v>
      </c>
      <c r="B1177" s="2">
        <v>45635</v>
      </c>
      <c r="C1177" t="s">
        <v>354</v>
      </c>
      <c r="D1177" t="s">
        <v>250</v>
      </c>
      <c r="E1177" t="s">
        <v>2614</v>
      </c>
      <c r="F1177" t="s">
        <v>2636</v>
      </c>
      <c r="G1177" t="s">
        <v>184</v>
      </c>
      <c r="H1177" t="s">
        <v>2647</v>
      </c>
      <c r="I1177" t="s">
        <v>70</v>
      </c>
      <c r="J1177">
        <v>12</v>
      </c>
      <c r="K1177">
        <v>62.18</v>
      </c>
      <c r="L1177">
        <v>39.35</v>
      </c>
      <c r="M1177">
        <v>0</v>
      </c>
      <c r="N1177" t="s">
        <v>32</v>
      </c>
    </row>
    <row r="1178" spans="1:14" x14ac:dyDescent="0.25">
      <c r="A1178" t="s">
        <v>1695</v>
      </c>
      <c r="B1178" s="2">
        <v>45565</v>
      </c>
      <c r="C1178" t="s">
        <v>140</v>
      </c>
      <c r="D1178" t="s">
        <v>23</v>
      </c>
      <c r="E1178" t="s">
        <v>2616</v>
      </c>
      <c r="F1178" t="s">
        <v>2631</v>
      </c>
      <c r="G1178" t="s">
        <v>29</v>
      </c>
      <c r="H1178" t="s">
        <v>2645</v>
      </c>
      <c r="I1178" t="s">
        <v>2578</v>
      </c>
      <c r="J1178">
        <v>46</v>
      </c>
      <c r="K1178">
        <v>69.150000000000006</v>
      </c>
      <c r="L1178">
        <v>47.31</v>
      </c>
      <c r="M1178">
        <v>-0.05</v>
      </c>
      <c r="N1178" t="s">
        <v>45</v>
      </c>
    </row>
    <row r="1179" spans="1:14" x14ac:dyDescent="0.25">
      <c r="A1179" t="s">
        <v>1696</v>
      </c>
      <c r="B1179" s="2">
        <v>45611</v>
      </c>
      <c r="C1179" t="s">
        <v>658</v>
      </c>
      <c r="D1179" t="s">
        <v>209</v>
      </c>
      <c r="E1179" t="s">
        <v>2614</v>
      </c>
      <c r="F1179" t="s">
        <v>2629</v>
      </c>
      <c r="G1179" t="s">
        <v>195</v>
      </c>
      <c r="H1179" t="s">
        <v>2647</v>
      </c>
      <c r="I1179" t="s">
        <v>75</v>
      </c>
      <c r="J1179">
        <v>36</v>
      </c>
      <c r="K1179">
        <v>17.86</v>
      </c>
      <c r="L1179">
        <v>10.73</v>
      </c>
      <c r="M1179">
        <v>0.05</v>
      </c>
      <c r="N1179" t="s">
        <v>32</v>
      </c>
    </row>
    <row r="1180" spans="1:14" x14ac:dyDescent="0.25">
      <c r="A1180" t="s">
        <v>1697</v>
      </c>
      <c r="B1180" s="2">
        <v>45504</v>
      </c>
      <c r="C1180" t="s">
        <v>295</v>
      </c>
      <c r="D1180" t="s">
        <v>176</v>
      </c>
      <c r="E1180" t="s">
        <v>2614</v>
      </c>
      <c r="F1180" t="s">
        <v>2629</v>
      </c>
      <c r="G1180" t="s">
        <v>29</v>
      </c>
      <c r="H1180" t="s">
        <v>2648</v>
      </c>
      <c r="I1180" t="s">
        <v>84</v>
      </c>
      <c r="J1180">
        <v>11</v>
      </c>
      <c r="K1180">
        <v>109.52</v>
      </c>
      <c r="L1180">
        <v>67.48</v>
      </c>
      <c r="M1180">
        <v>0</v>
      </c>
      <c r="N1180" t="s">
        <v>45</v>
      </c>
    </row>
    <row r="1181" spans="1:14" x14ac:dyDescent="0.25">
      <c r="A1181" t="s">
        <v>1698</v>
      </c>
      <c r="B1181" s="2">
        <v>45496</v>
      </c>
      <c r="C1181" t="s">
        <v>1137</v>
      </c>
      <c r="D1181" t="s">
        <v>114</v>
      </c>
      <c r="E1181" t="s">
        <v>2616</v>
      </c>
      <c r="F1181" t="s">
        <v>2631</v>
      </c>
      <c r="G1181" t="s">
        <v>42</v>
      </c>
      <c r="H1181" t="s">
        <v>2646</v>
      </c>
      <c r="I1181" t="s">
        <v>70</v>
      </c>
      <c r="J1181">
        <v>26</v>
      </c>
      <c r="K1181">
        <v>35.81</v>
      </c>
      <c r="L1181">
        <v>20.65</v>
      </c>
      <c r="M1181">
        <v>0.02</v>
      </c>
      <c r="N1181" t="s">
        <v>45</v>
      </c>
    </row>
    <row r="1182" spans="1:14" x14ac:dyDescent="0.25">
      <c r="A1182" t="s">
        <v>1699</v>
      </c>
      <c r="B1182" s="2">
        <v>45593</v>
      </c>
      <c r="C1182" t="s">
        <v>874</v>
      </c>
      <c r="D1182" t="s">
        <v>209</v>
      </c>
      <c r="E1182" t="s">
        <v>2617</v>
      </c>
      <c r="F1182" t="s">
        <v>2641</v>
      </c>
      <c r="G1182" t="s">
        <v>261</v>
      </c>
      <c r="H1182" t="s">
        <v>2646</v>
      </c>
      <c r="I1182" t="s">
        <v>75</v>
      </c>
      <c r="J1182">
        <v>42</v>
      </c>
      <c r="K1182">
        <v>17.12</v>
      </c>
      <c r="L1182">
        <v>10.36</v>
      </c>
      <c r="M1182">
        <v>0</v>
      </c>
      <c r="N1182" t="s">
        <v>129</v>
      </c>
    </row>
    <row r="1183" spans="1:14" x14ac:dyDescent="0.25">
      <c r="A1183" t="s">
        <v>1700</v>
      </c>
      <c r="B1183" s="2">
        <v>45341</v>
      </c>
      <c r="C1183" t="s">
        <v>611</v>
      </c>
      <c r="D1183" t="s">
        <v>132</v>
      </c>
      <c r="E1183" t="s">
        <v>2615</v>
      </c>
      <c r="F1183" t="s">
        <v>2640</v>
      </c>
      <c r="G1183" t="s">
        <v>69</v>
      </c>
      <c r="H1183" t="s">
        <v>2647</v>
      </c>
      <c r="I1183" t="s">
        <v>84</v>
      </c>
      <c r="J1183">
        <v>49</v>
      </c>
      <c r="K1183">
        <v>58.94</v>
      </c>
      <c r="L1183">
        <v>34.229999999999997</v>
      </c>
      <c r="M1183">
        <v>0.1</v>
      </c>
      <c r="N1183" t="s">
        <v>45</v>
      </c>
    </row>
    <row r="1184" spans="1:14" x14ac:dyDescent="0.25">
      <c r="A1184" t="s">
        <v>1701</v>
      </c>
      <c r="B1184" s="2">
        <v>45434</v>
      </c>
      <c r="C1184" t="s">
        <v>284</v>
      </c>
      <c r="D1184" t="s">
        <v>216</v>
      </c>
      <c r="E1184" t="s">
        <v>2615</v>
      </c>
      <c r="F1184" t="s">
        <v>2623</v>
      </c>
      <c r="G1184" t="s">
        <v>253</v>
      </c>
      <c r="H1184" t="s">
        <v>2645</v>
      </c>
      <c r="I1184" t="s">
        <v>70</v>
      </c>
      <c r="J1184">
        <v>26</v>
      </c>
      <c r="K1184">
        <v>107.29</v>
      </c>
      <c r="L1184">
        <v>65.62</v>
      </c>
      <c r="M1184">
        <v>0</v>
      </c>
      <c r="N1184" t="s">
        <v>32</v>
      </c>
    </row>
    <row r="1185" spans="1:14" x14ac:dyDescent="0.25">
      <c r="A1185" t="s">
        <v>1702</v>
      </c>
      <c r="B1185" s="2">
        <v>45319</v>
      </c>
      <c r="C1185" t="s">
        <v>269</v>
      </c>
      <c r="D1185" t="s">
        <v>222</v>
      </c>
      <c r="E1185" t="s">
        <v>2615</v>
      </c>
      <c r="F1185" t="s">
        <v>2640</v>
      </c>
      <c r="G1185" t="s">
        <v>265</v>
      </c>
      <c r="H1185" t="s">
        <v>2648</v>
      </c>
      <c r="I1185" t="s">
        <v>44</v>
      </c>
      <c r="J1185">
        <v>13</v>
      </c>
      <c r="K1185">
        <v>129.11000000000001</v>
      </c>
      <c r="L1185">
        <v>84.07</v>
      </c>
      <c r="M1185">
        <v>0.1</v>
      </c>
      <c r="N1185" t="s">
        <v>32</v>
      </c>
    </row>
    <row r="1186" spans="1:14" x14ac:dyDescent="0.25">
      <c r="A1186" t="s">
        <v>1703</v>
      </c>
      <c r="B1186" s="2">
        <v>45346</v>
      </c>
      <c r="C1186" t="s">
        <v>316</v>
      </c>
      <c r="D1186" t="s">
        <v>66</v>
      </c>
      <c r="E1186" t="s">
        <v>2614</v>
      </c>
      <c r="F1186" t="s">
        <v>2637</v>
      </c>
      <c r="G1186" t="s">
        <v>218</v>
      </c>
      <c r="H1186" t="s">
        <v>2647</v>
      </c>
      <c r="I1186" t="s">
        <v>44</v>
      </c>
      <c r="J1186" t="e">
        <f>ROUND(#REF!/Sales12[[#This Row],[Unit_Price]],0)</f>
        <v>#REF!</v>
      </c>
      <c r="K1186">
        <v>165.21</v>
      </c>
      <c r="L1186">
        <v>111.83</v>
      </c>
      <c r="M1186">
        <v>0.02</v>
      </c>
      <c r="N1186" t="s">
        <v>45</v>
      </c>
    </row>
    <row r="1187" spans="1:14" x14ac:dyDescent="0.25">
      <c r="A1187" t="s">
        <v>1704</v>
      </c>
      <c r="B1187" s="2">
        <v>45631</v>
      </c>
      <c r="C1187" t="s">
        <v>382</v>
      </c>
      <c r="D1187" t="s">
        <v>176</v>
      </c>
      <c r="E1187" t="s">
        <v>2616</v>
      </c>
      <c r="F1187" t="s">
        <v>2631</v>
      </c>
      <c r="G1187" t="s">
        <v>60</v>
      </c>
      <c r="H1187" t="s">
        <v>2648</v>
      </c>
      <c r="I1187" t="s">
        <v>70</v>
      </c>
      <c r="J1187">
        <v>20</v>
      </c>
      <c r="K1187">
        <v>105.5</v>
      </c>
      <c r="L1187">
        <v>60.4</v>
      </c>
      <c r="M1187">
        <v>0.1</v>
      </c>
      <c r="N1187" t="s">
        <v>45</v>
      </c>
    </row>
    <row r="1188" spans="1:14" x14ac:dyDescent="0.25">
      <c r="A1188" t="s">
        <v>1705</v>
      </c>
      <c r="B1188" s="2">
        <v>45293</v>
      </c>
      <c r="C1188" t="s">
        <v>1706</v>
      </c>
      <c r="D1188" t="s">
        <v>49</v>
      </c>
      <c r="E1188" t="s">
        <v>2617</v>
      </c>
      <c r="F1188" t="s">
        <v>2642</v>
      </c>
      <c r="G1188" t="s">
        <v>261</v>
      </c>
      <c r="H1188" t="s">
        <v>2647</v>
      </c>
      <c r="I1188" t="s">
        <v>2578</v>
      </c>
      <c r="J1188">
        <v>43</v>
      </c>
      <c r="K1188">
        <v>23.56</v>
      </c>
      <c r="L1188">
        <v>13.63</v>
      </c>
      <c r="M1188">
        <v>0.02</v>
      </c>
      <c r="N1188" t="s">
        <v>32</v>
      </c>
    </row>
    <row r="1189" spans="1:14" x14ac:dyDescent="0.25">
      <c r="A1189" t="s">
        <v>1707</v>
      </c>
      <c r="B1189" s="2">
        <v>45570</v>
      </c>
      <c r="C1189" t="s">
        <v>98</v>
      </c>
      <c r="D1189" t="s">
        <v>78</v>
      </c>
      <c r="E1189" t="s">
        <v>2616</v>
      </c>
      <c r="F1189" t="s">
        <v>2631</v>
      </c>
      <c r="G1189" t="s">
        <v>29</v>
      </c>
      <c r="H1189" t="s">
        <v>2647</v>
      </c>
      <c r="I1189" t="s">
        <v>84</v>
      </c>
      <c r="J1189">
        <v>21</v>
      </c>
      <c r="K1189">
        <v>134.41</v>
      </c>
      <c r="L1189">
        <v>83.64</v>
      </c>
      <c r="M1189">
        <v>0.05</v>
      </c>
      <c r="N1189" t="s">
        <v>129</v>
      </c>
    </row>
    <row r="1190" spans="1:14" x14ac:dyDescent="0.25">
      <c r="A1190" t="s">
        <v>1708</v>
      </c>
      <c r="B1190" s="2">
        <v>45610</v>
      </c>
      <c r="C1190" t="s">
        <v>1709</v>
      </c>
      <c r="D1190" t="s">
        <v>165</v>
      </c>
      <c r="E1190" t="s">
        <v>2614</v>
      </c>
      <c r="F1190" t="s">
        <v>2637</v>
      </c>
      <c r="G1190" t="s">
        <v>60</v>
      </c>
      <c r="H1190" t="s">
        <v>2645</v>
      </c>
      <c r="I1190" t="s">
        <v>70</v>
      </c>
      <c r="J1190">
        <v>3</v>
      </c>
      <c r="K1190">
        <v>43.78</v>
      </c>
      <c r="L1190">
        <v>25.49</v>
      </c>
      <c r="M1190">
        <v>0.15</v>
      </c>
      <c r="N1190" t="s">
        <v>45</v>
      </c>
    </row>
    <row r="1191" spans="1:14" x14ac:dyDescent="0.25">
      <c r="A1191" t="s">
        <v>1710</v>
      </c>
      <c r="B1191" s="2">
        <v>45585</v>
      </c>
      <c r="C1191" t="s">
        <v>552</v>
      </c>
      <c r="D1191" t="s">
        <v>250</v>
      </c>
      <c r="E1191" t="s">
        <v>2614</v>
      </c>
      <c r="F1191" t="s">
        <v>2622</v>
      </c>
      <c r="G1191" t="s">
        <v>74</v>
      </c>
      <c r="H1191" t="s">
        <v>2646</v>
      </c>
      <c r="I1191" t="s">
        <v>44</v>
      </c>
      <c r="J1191">
        <v>76</v>
      </c>
      <c r="K1191">
        <v>62.85</v>
      </c>
      <c r="L1191">
        <v>40.409999999999997</v>
      </c>
      <c r="M1191">
        <v>0.02</v>
      </c>
      <c r="N1191" t="s">
        <v>45</v>
      </c>
    </row>
    <row r="1192" spans="1:14" x14ac:dyDescent="0.25">
      <c r="A1192" t="s">
        <v>1711</v>
      </c>
      <c r="B1192" s="2">
        <v>45549</v>
      </c>
      <c r="C1192" t="s">
        <v>1493</v>
      </c>
      <c r="D1192" t="s">
        <v>216</v>
      </c>
      <c r="E1192" t="s">
        <v>2617</v>
      </c>
      <c r="F1192" t="s">
        <v>2626</v>
      </c>
      <c r="G1192" t="s">
        <v>218</v>
      </c>
      <c r="H1192" t="s">
        <v>2648</v>
      </c>
      <c r="I1192" t="s">
        <v>2578</v>
      </c>
      <c r="J1192">
        <v>44</v>
      </c>
      <c r="K1192">
        <v>109.8</v>
      </c>
      <c r="L1192">
        <v>68.790000000000006</v>
      </c>
      <c r="M1192">
        <v>0.02</v>
      </c>
      <c r="N1192" t="s">
        <v>45</v>
      </c>
    </row>
    <row r="1193" spans="1:14" x14ac:dyDescent="0.25">
      <c r="A1193" t="s">
        <v>1712</v>
      </c>
      <c r="B1193" s="2">
        <v>45503</v>
      </c>
      <c r="C1193" t="s">
        <v>721</v>
      </c>
      <c r="D1193" t="s">
        <v>176</v>
      </c>
      <c r="E1193" t="s">
        <v>2616</v>
      </c>
      <c r="F1193" t="s">
        <v>2631</v>
      </c>
      <c r="G1193" t="s">
        <v>118</v>
      </c>
      <c r="H1193" t="s">
        <v>2646</v>
      </c>
      <c r="I1193" t="s">
        <v>84</v>
      </c>
      <c r="J1193">
        <v>23</v>
      </c>
      <c r="K1193">
        <v>99.24</v>
      </c>
      <c r="L1193">
        <v>61.08</v>
      </c>
      <c r="M1193">
        <v>0</v>
      </c>
      <c r="N1193" t="s">
        <v>129</v>
      </c>
    </row>
    <row r="1194" spans="1:14" x14ac:dyDescent="0.25">
      <c r="A1194" t="s">
        <v>1713</v>
      </c>
      <c r="B1194" s="2">
        <v>45372</v>
      </c>
      <c r="C1194" t="s">
        <v>645</v>
      </c>
      <c r="D1194" t="s">
        <v>78</v>
      </c>
      <c r="E1194" t="s">
        <v>2617</v>
      </c>
      <c r="F1194" t="s">
        <v>2626</v>
      </c>
      <c r="G1194" t="s">
        <v>74</v>
      </c>
      <c r="H1194" t="s">
        <v>2647</v>
      </c>
      <c r="I1194" t="s">
        <v>70</v>
      </c>
      <c r="J1194">
        <v>22</v>
      </c>
      <c r="K1194">
        <v>144.79</v>
      </c>
      <c r="L1194">
        <v>76.64</v>
      </c>
      <c r="M1194">
        <v>0.02</v>
      </c>
      <c r="N1194" t="s">
        <v>45</v>
      </c>
    </row>
    <row r="1195" spans="1:14" x14ac:dyDescent="0.25">
      <c r="A1195" t="s">
        <v>1714</v>
      </c>
      <c r="B1195" s="2">
        <v>45417</v>
      </c>
      <c r="C1195" t="s">
        <v>241</v>
      </c>
      <c r="D1195" t="s">
        <v>66</v>
      </c>
      <c r="E1195" t="s">
        <v>2614</v>
      </c>
      <c r="F1195" t="s">
        <v>2629</v>
      </c>
      <c r="G1195" t="s">
        <v>253</v>
      </c>
      <c r="H1195" t="s">
        <v>2646</v>
      </c>
      <c r="I1195" t="s">
        <v>44</v>
      </c>
      <c r="J1195">
        <v>29</v>
      </c>
      <c r="K1195">
        <v>156.79</v>
      </c>
      <c r="L1195">
        <v>111.5</v>
      </c>
      <c r="M1195">
        <v>0.02</v>
      </c>
      <c r="N1195" t="s">
        <v>45</v>
      </c>
    </row>
    <row r="1196" spans="1:14" x14ac:dyDescent="0.25">
      <c r="A1196" t="s">
        <v>1715</v>
      </c>
      <c r="B1196" s="2">
        <v>45655</v>
      </c>
      <c r="C1196" t="s">
        <v>169</v>
      </c>
      <c r="D1196" t="s">
        <v>209</v>
      </c>
      <c r="E1196" t="s">
        <v>2617</v>
      </c>
      <c r="F1196" t="s">
        <v>2625</v>
      </c>
      <c r="G1196" t="s">
        <v>152</v>
      </c>
      <c r="H1196" t="s">
        <v>2645</v>
      </c>
      <c r="I1196" t="s">
        <v>70</v>
      </c>
      <c r="J1196">
        <v>43</v>
      </c>
      <c r="K1196">
        <v>17.78</v>
      </c>
      <c r="L1196">
        <v>9.27</v>
      </c>
      <c r="M1196">
        <v>0.15</v>
      </c>
      <c r="N1196" t="s">
        <v>45</v>
      </c>
    </row>
    <row r="1197" spans="1:14" x14ac:dyDescent="0.25">
      <c r="A1197" t="s">
        <v>1716</v>
      </c>
      <c r="B1197" s="2">
        <v>45472</v>
      </c>
      <c r="C1197" t="s">
        <v>309</v>
      </c>
      <c r="D1197" t="s">
        <v>23</v>
      </c>
      <c r="E1197" t="s">
        <v>2614</v>
      </c>
      <c r="F1197" t="s">
        <v>2637</v>
      </c>
      <c r="G1197" t="s">
        <v>60</v>
      </c>
      <c r="H1197" t="s">
        <v>2648</v>
      </c>
      <c r="I1197" t="s">
        <v>84</v>
      </c>
      <c r="J1197">
        <v>1</v>
      </c>
      <c r="K1197">
        <v>78.95</v>
      </c>
      <c r="L1197">
        <v>42.46</v>
      </c>
      <c r="M1197">
        <v>0</v>
      </c>
      <c r="N1197" t="s">
        <v>32</v>
      </c>
    </row>
    <row r="1198" spans="1:14" x14ac:dyDescent="0.25">
      <c r="A1198" t="s">
        <v>1717</v>
      </c>
      <c r="B1198" s="2">
        <v>45352</v>
      </c>
      <c r="C1198" t="s">
        <v>798</v>
      </c>
      <c r="D1198" t="s">
        <v>66</v>
      </c>
      <c r="E1198" t="s">
        <v>2614</v>
      </c>
      <c r="F1198" t="s">
        <v>2636</v>
      </c>
      <c r="G1198" t="s">
        <v>69</v>
      </c>
      <c r="H1198" t="s">
        <v>2646</v>
      </c>
      <c r="I1198" t="s">
        <v>2578</v>
      </c>
      <c r="J1198">
        <v>66</v>
      </c>
      <c r="K1198">
        <v>152.79</v>
      </c>
      <c r="L1198">
        <v>110.22</v>
      </c>
      <c r="M1198">
        <v>0</v>
      </c>
      <c r="N1198" t="s">
        <v>32</v>
      </c>
    </row>
    <row r="1199" spans="1:14" x14ac:dyDescent="0.25">
      <c r="A1199" t="s">
        <v>1718</v>
      </c>
      <c r="B1199" s="2">
        <v>45598</v>
      </c>
      <c r="C1199" t="s">
        <v>454</v>
      </c>
      <c r="D1199" t="s">
        <v>176</v>
      </c>
      <c r="E1199" t="s">
        <v>2616</v>
      </c>
      <c r="F1199" t="s">
        <v>2633</v>
      </c>
      <c r="G1199" t="s">
        <v>152</v>
      </c>
      <c r="H1199" t="s">
        <v>2648</v>
      </c>
      <c r="I1199" t="s">
        <v>70</v>
      </c>
      <c r="J1199">
        <v>6</v>
      </c>
      <c r="K1199">
        <v>98.12</v>
      </c>
      <c r="L1199">
        <v>66.38</v>
      </c>
      <c r="M1199">
        <v>0.1</v>
      </c>
      <c r="N1199" t="s">
        <v>45</v>
      </c>
    </row>
    <row r="1200" spans="1:14" x14ac:dyDescent="0.25">
      <c r="A1200" t="s">
        <v>1719</v>
      </c>
      <c r="B1200" s="2">
        <v>45595</v>
      </c>
      <c r="C1200" t="s">
        <v>98</v>
      </c>
      <c r="D1200" t="s">
        <v>150</v>
      </c>
      <c r="E1200" t="s">
        <v>2617</v>
      </c>
      <c r="F1200" t="s">
        <v>2626</v>
      </c>
      <c r="G1200" t="s">
        <v>178</v>
      </c>
      <c r="H1200" t="s">
        <v>2645</v>
      </c>
      <c r="I1200" t="s">
        <v>75</v>
      </c>
      <c r="J1200">
        <v>61</v>
      </c>
      <c r="K1200">
        <v>91.13</v>
      </c>
      <c r="L1200">
        <v>52.65</v>
      </c>
      <c r="M1200">
        <v>0</v>
      </c>
      <c r="N1200" t="s">
        <v>45</v>
      </c>
    </row>
    <row r="1201" spans="1:14" x14ac:dyDescent="0.25">
      <c r="A1201" t="s">
        <v>1720</v>
      </c>
      <c r="B1201" s="2">
        <v>45504</v>
      </c>
      <c r="C1201" t="s">
        <v>64</v>
      </c>
      <c r="D1201" t="s">
        <v>222</v>
      </c>
      <c r="E1201" t="s">
        <v>2618</v>
      </c>
      <c r="F1201" t="s">
        <v>2632</v>
      </c>
      <c r="G1201" t="s">
        <v>111</v>
      </c>
      <c r="H1201" t="s">
        <v>2645</v>
      </c>
      <c r="I1201" t="s">
        <v>75</v>
      </c>
      <c r="J1201" t="e">
        <f>ROUND(#REF!/Sales12[[#This Row],[Unit_Price]],0)</f>
        <v>#REF!</v>
      </c>
      <c r="K1201">
        <v>118.82</v>
      </c>
      <c r="L1201">
        <v>80.81</v>
      </c>
      <c r="M1201">
        <v>0.05</v>
      </c>
      <c r="N1201" t="s">
        <v>32</v>
      </c>
    </row>
    <row r="1202" spans="1:14" x14ac:dyDescent="0.25">
      <c r="A1202" t="s">
        <v>1721</v>
      </c>
      <c r="B1202" s="2">
        <v>45373</v>
      </c>
      <c r="C1202" t="s">
        <v>402</v>
      </c>
      <c r="D1202" t="s">
        <v>78</v>
      </c>
      <c r="E1202" t="s">
        <v>2615</v>
      </c>
      <c r="F1202" t="s">
        <v>2627</v>
      </c>
      <c r="G1202" t="s">
        <v>83</v>
      </c>
      <c r="H1202" t="s">
        <v>2647</v>
      </c>
      <c r="I1202" t="s">
        <v>84</v>
      </c>
      <c r="J1202">
        <v>26</v>
      </c>
      <c r="K1202">
        <v>137.41</v>
      </c>
      <c r="L1202">
        <v>75.77</v>
      </c>
      <c r="M1202">
        <v>0.15</v>
      </c>
      <c r="N1202" t="s">
        <v>45</v>
      </c>
    </row>
    <row r="1203" spans="1:14" x14ac:dyDescent="0.25">
      <c r="A1203" t="s">
        <v>1722</v>
      </c>
      <c r="B1203" s="2">
        <v>45389</v>
      </c>
      <c r="C1203" t="s">
        <v>567</v>
      </c>
      <c r="D1203" t="s">
        <v>216</v>
      </c>
      <c r="E1203" t="s">
        <v>2617</v>
      </c>
      <c r="F1203" t="s">
        <v>2641</v>
      </c>
      <c r="G1203" t="s">
        <v>29</v>
      </c>
      <c r="H1203" t="s">
        <v>2646</v>
      </c>
      <c r="I1203" t="s">
        <v>84</v>
      </c>
      <c r="J1203">
        <v>74</v>
      </c>
      <c r="K1203">
        <v>104.79</v>
      </c>
      <c r="L1203">
        <v>67.25</v>
      </c>
      <c r="M1203">
        <v>0</v>
      </c>
      <c r="N1203" t="s">
        <v>45</v>
      </c>
    </row>
    <row r="1204" spans="1:14" x14ac:dyDescent="0.25">
      <c r="A1204" t="s">
        <v>1723</v>
      </c>
      <c r="B1204" s="2">
        <v>45349</v>
      </c>
      <c r="C1204" t="s">
        <v>1724</v>
      </c>
      <c r="D1204" t="s">
        <v>93</v>
      </c>
      <c r="E1204" t="s">
        <v>2614</v>
      </c>
      <c r="F1204" t="s">
        <v>2622</v>
      </c>
      <c r="G1204" t="s">
        <v>170</v>
      </c>
      <c r="H1204" t="s">
        <v>2647</v>
      </c>
      <c r="I1204" t="s">
        <v>2578</v>
      </c>
      <c r="J1204">
        <v>3</v>
      </c>
      <c r="K1204">
        <v>56.84</v>
      </c>
      <c r="L1204">
        <v>29.99</v>
      </c>
      <c r="M1204">
        <v>0.2</v>
      </c>
      <c r="N1204" t="s">
        <v>129</v>
      </c>
    </row>
    <row r="1205" spans="1:14" x14ac:dyDescent="0.25">
      <c r="A1205" t="s">
        <v>1725</v>
      </c>
      <c r="B1205" s="2">
        <v>45531</v>
      </c>
      <c r="C1205" t="s">
        <v>1317</v>
      </c>
      <c r="D1205" t="s">
        <v>216</v>
      </c>
      <c r="E1205" t="s">
        <v>2617</v>
      </c>
      <c r="F1205" t="s">
        <v>2641</v>
      </c>
      <c r="G1205" t="s">
        <v>74</v>
      </c>
      <c r="H1205" t="s">
        <v>2647</v>
      </c>
      <c r="I1205" t="s">
        <v>2578</v>
      </c>
      <c r="J1205">
        <v>34</v>
      </c>
      <c r="K1205">
        <v>106.23</v>
      </c>
      <c r="L1205">
        <v>63.82</v>
      </c>
      <c r="M1205">
        <v>0</v>
      </c>
      <c r="N1205" t="s">
        <v>45</v>
      </c>
    </row>
    <row r="1206" spans="1:14" x14ac:dyDescent="0.25">
      <c r="A1206" t="s">
        <v>1726</v>
      </c>
      <c r="B1206" s="2">
        <v>45602</v>
      </c>
      <c r="C1206" t="s">
        <v>902</v>
      </c>
      <c r="D1206" t="s">
        <v>93</v>
      </c>
      <c r="E1206" t="s">
        <v>2614</v>
      </c>
      <c r="F1206" t="s">
        <v>2637</v>
      </c>
      <c r="G1206" t="s">
        <v>74</v>
      </c>
      <c r="H1206" t="s">
        <v>2646</v>
      </c>
      <c r="I1206" t="s">
        <v>2578</v>
      </c>
      <c r="J1206">
        <v>34</v>
      </c>
      <c r="K1206">
        <v>55.13</v>
      </c>
      <c r="L1206">
        <v>32.18</v>
      </c>
      <c r="M1206">
        <v>0.02</v>
      </c>
      <c r="N1206" t="s">
        <v>32</v>
      </c>
    </row>
    <row r="1207" spans="1:14" x14ac:dyDescent="0.25">
      <c r="A1207" t="s">
        <v>1727</v>
      </c>
      <c r="B1207" s="2">
        <v>45596</v>
      </c>
      <c r="C1207" t="s">
        <v>1317</v>
      </c>
      <c r="D1207" t="s">
        <v>222</v>
      </c>
      <c r="E1207" t="s">
        <v>2618</v>
      </c>
      <c r="F1207" t="s">
        <v>2634</v>
      </c>
      <c r="G1207" t="s">
        <v>42</v>
      </c>
      <c r="H1207" t="s">
        <v>2647</v>
      </c>
      <c r="I1207" t="s">
        <v>2578</v>
      </c>
      <c r="J1207">
        <v>67</v>
      </c>
      <c r="K1207">
        <v>122.23</v>
      </c>
      <c r="L1207">
        <v>78.709999999999994</v>
      </c>
      <c r="M1207">
        <v>0.15</v>
      </c>
      <c r="N1207" t="s">
        <v>45</v>
      </c>
    </row>
    <row r="1208" spans="1:14" x14ac:dyDescent="0.25">
      <c r="A1208" t="s">
        <v>1728</v>
      </c>
      <c r="B1208" s="2">
        <v>45425</v>
      </c>
      <c r="C1208" t="s">
        <v>711</v>
      </c>
      <c r="D1208" t="s">
        <v>165</v>
      </c>
      <c r="E1208" t="s">
        <v>2614</v>
      </c>
      <c r="F1208" t="s">
        <v>2629</v>
      </c>
      <c r="G1208" t="s">
        <v>144</v>
      </c>
      <c r="H1208" t="s">
        <v>2646</v>
      </c>
      <c r="I1208" t="s">
        <v>2578</v>
      </c>
      <c r="J1208">
        <v>43</v>
      </c>
      <c r="K1208">
        <v>39.58</v>
      </c>
      <c r="L1208">
        <v>25.68</v>
      </c>
      <c r="M1208">
        <v>0.15</v>
      </c>
      <c r="N1208" t="s">
        <v>45</v>
      </c>
    </row>
    <row r="1209" spans="1:14" x14ac:dyDescent="0.25">
      <c r="A1209" t="s">
        <v>1729</v>
      </c>
      <c r="B1209" s="2">
        <v>45402</v>
      </c>
      <c r="C1209" t="s">
        <v>707</v>
      </c>
      <c r="D1209" t="s">
        <v>216</v>
      </c>
      <c r="E1209" t="s">
        <v>2614</v>
      </c>
      <c r="F1209" t="s">
        <v>2637</v>
      </c>
      <c r="G1209" t="s">
        <v>90</v>
      </c>
      <c r="H1209" t="s">
        <v>2645</v>
      </c>
      <c r="I1209" t="s">
        <v>70</v>
      </c>
      <c r="J1209">
        <v>59</v>
      </c>
      <c r="K1209">
        <v>109.13</v>
      </c>
      <c r="L1209">
        <v>62.85</v>
      </c>
      <c r="M1209">
        <v>0.02</v>
      </c>
      <c r="N1209" t="s">
        <v>129</v>
      </c>
    </row>
    <row r="1210" spans="1:14" x14ac:dyDescent="0.25">
      <c r="A1210" t="s">
        <v>1730</v>
      </c>
      <c r="B1210" s="2">
        <v>45547</v>
      </c>
      <c r="C1210" t="s">
        <v>1431</v>
      </c>
      <c r="D1210" t="s">
        <v>132</v>
      </c>
      <c r="E1210" t="s">
        <v>2616</v>
      </c>
      <c r="F1210" t="s">
        <v>2638</v>
      </c>
      <c r="G1210" t="s">
        <v>248</v>
      </c>
      <c r="H1210" t="s">
        <v>2648</v>
      </c>
      <c r="I1210" t="s">
        <v>2578</v>
      </c>
      <c r="J1210">
        <v>29</v>
      </c>
      <c r="K1210">
        <v>56.61</v>
      </c>
      <c r="L1210">
        <v>33.14</v>
      </c>
      <c r="M1210">
        <v>0.1</v>
      </c>
      <c r="N1210" t="s">
        <v>45</v>
      </c>
    </row>
    <row r="1211" spans="1:14" x14ac:dyDescent="0.25">
      <c r="A1211" t="s">
        <v>1731</v>
      </c>
      <c r="B1211" s="2">
        <v>45407</v>
      </c>
      <c r="C1211" t="s">
        <v>314</v>
      </c>
      <c r="D1211" t="s">
        <v>109</v>
      </c>
      <c r="E1211" t="s">
        <v>2614</v>
      </c>
      <c r="F1211" t="s">
        <v>2636</v>
      </c>
      <c r="G1211" t="s">
        <v>261</v>
      </c>
      <c r="H1211" t="s">
        <v>2647</v>
      </c>
      <c r="I1211" t="s">
        <v>44</v>
      </c>
      <c r="J1211">
        <v>42</v>
      </c>
      <c r="K1211">
        <v>124.45</v>
      </c>
      <c r="L1211">
        <v>78.5</v>
      </c>
      <c r="M1211">
        <v>0.1</v>
      </c>
      <c r="N1211" t="s">
        <v>129</v>
      </c>
    </row>
    <row r="1212" spans="1:14" x14ac:dyDescent="0.25">
      <c r="A1212" t="s">
        <v>1732</v>
      </c>
      <c r="B1212" s="2">
        <v>45537</v>
      </c>
      <c r="C1212" t="s">
        <v>938</v>
      </c>
      <c r="D1212" t="s">
        <v>36</v>
      </c>
      <c r="E1212" t="s">
        <v>2615</v>
      </c>
      <c r="F1212" t="s">
        <v>2623</v>
      </c>
      <c r="G1212" t="s">
        <v>178</v>
      </c>
      <c r="H1212" t="s">
        <v>2645</v>
      </c>
      <c r="I1212" t="s">
        <v>70</v>
      </c>
      <c r="J1212">
        <v>45</v>
      </c>
      <c r="K1212">
        <v>165.51</v>
      </c>
      <c r="L1212">
        <v>100.71</v>
      </c>
      <c r="M1212">
        <v>0</v>
      </c>
      <c r="N1212" t="s">
        <v>32</v>
      </c>
    </row>
    <row r="1213" spans="1:14" x14ac:dyDescent="0.25">
      <c r="A1213" t="s">
        <v>1733</v>
      </c>
      <c r="B1213" s="2">
        <v>45438</v>
      </c>
      <c r="C1213" t="s">
        <v>77</v>
      </c>
      <c r="D1213" t="s">
        <v>114</v>
      </c>
      <c r="E1213" t="s">
        <v>2615</v>
      </c>
      <c r="F1213" t="s">
        <v>2627</v>
      </c>
      <c r="G1213" t="s">
        <v>195</v>
      </c>
      <c r="H1213" t="s">
        <v>2647</v>
      </c>
      <c r="I1213" t="s">
        <v>44</v>
      </c>
      <c r="J1213">
        <v>30</v>
      </c>
      <c r="K1213">
        <v>32.229999999999997</v>
      </c>
      <c r="L1213">
        <v>19.86</v>
      </c>
      <c r="M1213">
        <v>0.15</v>
      </c>
      <c r="N1213" t="s">
        <v>45</v>
      </c>
    </row>
    <row r="1214" spans="1:14" x14ac:dyDescent="0.25">
      <c r="A1214" t="s">
        <v>1734</v>
      </c>
      <c r="B1214" s="2">
        <v>45300</v>
      </c>
      <c r="C1214" t="s">
        <v>1362</v>
      </c>
      <c r="D1214" t="s">
        <v>222</v>
      </c>
      <c r="E1214" t="s">
        <v>2614</v>
      </c>
      <c r="F1214" t="s">
        <v>2622</v>
      </c>
      <c r="G1214" t="s">
        <v>29</v>
      </c>
      <c r="H1214" t="s">
        <v>2647</v>
      </c>
      <c r="I1214" t="s">
        <v>2578</v>
      </c>
      <c r="J1214">
        <v>62</v>
      </c>
      <c r="K1214">
        <v>118.95</v>
      </c>
      <c r="L1214">
        <v>78.180000000000007</v>
      </c>
      <c r="M1214">
        <v>0.05</v>
      </c>
      <c r="N1214" t="s">
        <v>32</v>
      </c>
    </row>
    <row r="1215" spans="1:14" x14ac:dyDescent="0.25">
      <c r="A1215" t="s">
        <v>1638</v>
      </c>
      <c r="B1215" s="2">
        <v>45374</v>
      </c>
      <c r="C1215" t="s">
        <v>1493</v>
      </c>
      <c r="D1215" t="s">
        <v>109</v>
      </c>
      <c r="E1215" t="s">
        <v>2618</v>
      </c>
      <c r="F1215" t="s">
        <v>2634</v>
      </c>
      <c r="G1215" t="s">
        <v>261</v>
      </c>
      <c r="H1215" t="s">
        <v>2645</v>
      </c>
      <c r="I1215" t="s">
        <v>70</v>
      </c>
      <c r="J1215">
        <v>12</v>
      </c>
      <c r="K1215">
        <v>118.77</v>
      </c>
      <c r="L1215">
        <v>76.040000000000006</v>
      </c>
      <c r="M1215">
        <v>0.15</v>
      </c>
      <c r="N1215" t="s">
        <v>45</v>
      </c>
    </row>
    <row r="1216" spans="1:14" x14ac:dyDescent="0.25">
      <c r="A1216" t="s">
        <v>1735</v>
      </c>
      <c r="B1216" s="2">
        <v>45355</v>
      </c>
      <c r="C1216" t="s">
        <v>124</v>
      </c>
      <c r="D1216" t="s">
        <v>109</v>
      </c>
      <c r="E1216" t="s">
        <v>2618</v>
      </c>
      <c r="F1216" t="s">
        <v>2634</v>
      </c>
      <c r="G1216" t="s">
        <v>248</v>
      </c>
      <c r="H1216" t="s">
        <v>2646</v>
      </c>
      <c r="I1216" t="s">
        <v>75</v>
      </c>
      <c r="J1216">
        <v>60</v>
      </c>
      <c r="K1216">
        <v>120.26</v>
      </c>
      <c r="L1216">
        <v>72.34</v>
      </c>
      <c r="M1216">
        <v>0.05</v>
      </c>
      <c r="N1216" t="s">
        <v>129</v>
      </c>
    </row>
    <row r="1217" spans="1:14" x14ac:dyDescent="0.25">
      <c r="A1217" t="s">
        <v>1736</v>
      </c>
      <c r="B1217" s="2">
        <v>45642</v>
      </c>
      <c r="C1217" t="s">
        <v>367</v>
      </c>
      <c r="D1217" t="s">
        <v>250</v>
      </c>
      <c r="E1217" t="s">
        <v>2614</v>
      </c>
      <c r="F1217" t="s">
        <v>2629</v>
      </c>
      <c r="G1217" t="s">
        <v>118</v>
      </c>
      <c r="H1217" t="s">
        <v>2648</v>
      </c>
      <c r="I1217" t="s">
        <v>44</v>
      </c>
      <c r="J1217">
        <v>77</v>
      </c>
      <c r="K1217">
        <v>62.17</v>
      </c>
      <c r="L1217">
        <v>37.56</v>
      </c>
      <c r="M1217">
        <v>0</v>
      </c>
      <c r="N1217" t="s">
        <v>45</v>
      </c>
    </row>
    <row r="1218" spans="1:14" x14ac:dyDescent="0.25">
      <c r="A1218" t="s">
        <v>1737</v>
      </c>
      <c r="B1218" s="2">
        <v>45448</v>
      </c>
      <c r="C1218" t="s">
        <v>567</v>
      </c>
      <c r="D1218" t="s">
        <v>66</v>
      </c>
      <c r="E1218" t="s">
        <v>2617</v>
      </c>
      <c r="F1218" t="s">
        <v>2641</v>
      </c>
      <c r="G1218" t="s">
        <v>29</v>
      </c>
      <c r="H1218" t="s">
        <v>2647</v>
      </c>
      <c r="I1218" t="s">
        <v>44</v>
      </c>
      <c r="J1218">
        <v>59</v>
      </c>
      <c r="K1218">
        <v>158.44999999999999</v>
      </c>
      <c r="L1218">
        <v>97.44</v>
      </c>
      <c r="M1218">
        <v>0.02</v>
      </c>
      <c r="N1218" t="s">
        <v>32</v>
      </c>
    </row>
    <row r="1219" spans="1:14" x14ac:dyDescent="0.25">
      <c r="A1219" t="s">
        <v>1738</v>
      </c>
      <c r="B1219" s="2">
        <v>45470</v>
      </c>
      <c r="C1219" t="s">
        <v>1013</v>
      </c>
      <c r="D1219" t="s">
        <v>66</v>
      </c>
      <c r="E1219" t="s">
        <v>2615</v>
      </c>
      <c r="F1219" t="s">
        <v>2623</v>
      </c>
      <c r="G1219" t="s">
        <v>261</v>
      </c>
      <c r="H1219" t="s">
        <v>2646</v>
      </c>
      <c r="I1219" t="s">
        <v>2578</v>
      </c>
      <c r="J1219">
        <v>71</v>
      </c>
      <c r="K1219">
        <v>149.15</v>
      </c>
      <c r="L1219">
        <v>100.25</v>
      </c>
      <c r="M1219">
        <v>0.02</v>
      </c>
      <c r="N1219" t="s">
        <v>32</v>
      </c>
    </row>
    <row r="1220" spans="1:14" x14ac:dyDescent="0.25">
      <c r="A1220" t="s">
        <v>1739</v>
      </c>
      <c r="B1220" s="2">
        <v>45562</v>
      </c>
      <c r="C1220" t="s">
        <v>572</v>
      </c>
      <c r="D1220" t="s">
        <v>150</v>
      </c>
      <c r="E1220" t="s">
        <v>2615</v>
      </c>
      <c r="F1220" t="s">
        <v>2627</v>
      </c>
      <c r="G1220" t="s">
        <v>170</v>
      </c>
      <c r="H1220" t="s">
        <v>2646</v>
      </c>
      <c r="I1220" t="s">
        <v>84</v>
      </c>
      <c r="J1220">
        <v>17</v>
      </c>
      <c r="K1220">
        <v>91.61</v>
      </c>
      <c r="L1220">
        <v>53.07</v>
      </c>
      <c r="M1220">
        <v>0.2</v>
      </c>
      <c r="N1220" t="s">
        <v>45</v>
      </c>
    </row>
    <row r="1221" spans="1:14" x14ac:dyDescent="0.25">
      <c r="A1221" t="s">
        <v>1740</v>
      </c>
      <c r="B1221" s="2">
        <v>45478</v>
      </c>
      <c r="C1221" t="s">
        <v>392</v>
      </c>
      <c r="D1221" t="s">
        <v>126</v>
      </c>
      <c r="E1221" t="s">
        <v>2616</v>
      </c>
      <c r="F1221" t="s">
        <v>2638</v>
      </c>
      <c r="G1221" t="s">
        <v>111</v>
      </c>
      <c r="H1221" t="s">
        <v>2648</v>
      </c>
      <c r="I1221" t="s">
        <v>44</v>
      </c>
      <c r="J1221">
        <v>48</v>
      </c>
      <c r="K1221">
        <v>83.24</v>
      </c>
      <c r="L1221">
        <v>49.08</v>
      </c>
      <c r="M1221">
        <v>0.05</v>
      </c>
      <c r="N1221" t="s">
        <v>45</v>
      </c>
    </row>
    <row r="1222" spans="1:14" x14ac:dyDescent="0.25">
      <c r="A1222" t="s">
        <v>1741</v>
      </c>
      <c r="B1222" s="2">
        <v>45376</v>
      </c>
      <c r="C1222" t="s">
        <v>600</v>
      </c>
      <c r="D1222" t="s">
        <v>222</v>
      </c>
      <c r="E1222" t="s">
        <v>2617</v>
      </c>
      <c r="F1222" t="s">
        <v>2626</v>
      </c>
      <c r="G1222" t="s">
        <v>90</v>
      </c>
      <c r="H1222" t="s">
        <v>2647</v>
      </c>
      <c r="I1222" t="s">
        <v>2578</v>
      </c>
      <c r="J1222">
        <v>40</v>
      </c>
      <c r="K1222">
        <v>115.76</v>
      </c>
      <c r="L1222">
        <v>79.78</v>
      </c>
      <c r="M1222">
        <v>0.15</v>
      </c>
      <c r="N1222" t="s">
        <v>45</v>
      </c>
    </row>
    <row r="1223" spans="1:14" x14ac:dyDescent="0.25">
      <c r="A1223" t="s">
        <v>1742</v>
      </c>
      <c r="B1223" s="2">
        <v>45482</v>
      </c>
      <c r="C1223" t="s">
        <v>475</v>
      </c>
      <c r="D1223" t="s">
        <v>23</v>
      </c>
      <c r="E1223" t="s">
        <v>2616</v>
      </c>
      <c r="F1223" t="s">
        <v>2624</v>
      </c>
      <c r="G1223" t="s">
        <v>248</v>
      </c>
      <c r="H1223" t="s">
        <v>2646</v>
      </c>
      <c r="I1223" t="s">
        <v>2578</v>
      </c>
      <c r="J1223">
        <v>34</v>
      </c>
      <c r="K1223">
        <v>73.61</v>
      </c>
      <c r="L1223">
        <v>44.31</v>
      </c>
      <c r="M1223">
        <v>0.15</v>
      </c>
      <c r="N1223" t="s">
        <v>45</v>
      </c>
    </row>
    <row r="1224" spans="1:14" x14ac:dyDescent="0.25">
      <c r="A1224" t="s">
        <v>1743</v>
      </c>
      <c r="B1224" s="2">
        <v>45455</v>
      </c>
      <c r="C1224" t="s">
        <v>1744</v>
      </c>
      <c r="D1224" t="s">
        <v>126</v>
      </c>
      <c r="E1224" t="s">
        <v>2614</v>
      </c>
      <c r="F1224" t="s">
        <v>2636</v>
      </c>
      <c r="G1224" t="s">
        <v>152</v>
      </c>
      <c r="H1224" t="s">
        <v>2646</v>
      </c>
      <c r="I1224" t="s">
        <v>44</v>
      </c>
      <c r="J1224">
        <v>76</v>
      </c>
      <c r="K1224">
        <v>93.3</v>
      </c>
      <c r="L1224">
        <v>56.96</v>
      </c>
      <c r="M1224">
        <v>0.05</v>
      </c>
      <c r="N1224" t="s">
        <v>45</v>
      </c>
    </row>
    <row r="1225" spans="1:14" x14ac:dyDescent="0.25">
      <c r="A1225" t="s">
        <v>1745</v>
      </c>
      <c r="B1225" s="2">
        <v>45328</v>
      </c>
      <c r="C1225" t="s">
        <v>499</v>
      </c>
      <c r="D1225" t="s">
        <v>132</v>
      </c>
      <c r="E1225" t="s">
        <v>2614</v>
      </c>
      <c r="F1225" t="s">
        <v>2629</v>
      </c>
      <c r="G1225" t="s">
        <v>265</v>
      </c>
      <c r="H1225" t="s">
        <v>2645</v>
      </c>
      <c r="I1225" t="s">
        <v>75</v>
      </c>
      <c r="J1225">
        <v>54</v>
      </c>
      <c r="K1225">
        <v>56.54</v>
      </c>
      <c r="L1225">
        <v>32.79</v>
      </c>
      <c r="M1225">
        <v>0.15</v>
      </c>
      <c r="N1225" t="s">
        <v>45</v>
      </c>
    </row>
    <row r="1226" spans="1:14" x14ac:dyDescent="0.25">
      <c r="A1226" t="s">
        <v>1746</v>
      </c>
      <c r="B1226" s="2">
        <v>45357</v>
      </c>
      <c r="C1226" t="s">
        <v>1469</v>
      </c>
      <c r="D1226" t="s">
        <v>36</v>
      </c>
      <c r="E1226" t="s">
        <v>2618</v>
      </c>
      <c r="F1226" t="s">
        <v>2635</v>
      </c>
      <c r="G1226" t="s">
        <v>195</v>
      </c>
      <c r="H1226" t="s">
        <v>2648</v>
      </c>
      <c r="I1226" t="s">
        <v>84</v>
      </c>
      <c r="J1226">
        <v>16</v>
      </c>
      <c r="K1226">
        <v>162.41999999999999</v>
      </c>
      <c r="L1226">
        <v>105.09</v>
      </c>
      <c r="M1226">
        <v>0.2</v>
      </c>
      <c r="N1226" t="s">
        <v>45</v>
      </c>
    </row>
    <row r="1227" spans="1:14" x14ac:dyDescent="0.25">
      <c r="A1227" t="s">
        <v>1747</v>
      </c>
      <c r="B1227" s="2">
        <v>45380</v>
      </c>
      <c r="C1227" t="s">
        <v>1368</v>
      </c>
      <c r="D1227" t="s">
        <v>114</v>
      </c>
      <c r="E1227" t="s">
        <v>2615</v>
      </c>
      <c r="F1227" t="s">
        <v>2623</v>
      </c>
      <c r="G1227" t="s">
        <v>253</v>
      </c>
      <c r="H1227" t="s">
        <v>2645</v>
      </c>
      <c r="I1227" t="s">
        <v>44</v>
      </c>
      <c r="J1227">
        <v>5</v>
      </c>
      <c r="K1227">
        <v>33.29</v>
      </c>
      <c r="L1227">
        <v>20.96</v>
      </c>
      <c r="M1227">
        <v>0</v>
      </c>
      <c r="N1227" t="s">
        <v>129</v>
      </c>
    </row>
    <row r="1228" spans="1:14" x14ac:dyDescent="0.25">
      <c r="A1228" t="s">
        <v>1748</v>
      </c>
      <c r="B1228" s="2">
        <v>45412</v>
      </c>
      <c r="C1228" t="s">
        <v>531</v>
      </c>
      <c r="D1228" t="s">
        <v>126</v>
      </c>
      <c r="E1228" t="s">
        <v>2618</v>
      </c>
      <c r="F1228" t="s">
        <v>2634</v>
      </c>
      <c r="G1228" t="s">
        <v>253</v>
      </c>
      <c r="H1228" t="s">
        <v>2647</v>
      </c>
      <c r="I1228" t="s">
        <v>70</v>
      </c>
      <c r="J1228">
        <v>63</v>
      </c>
      <c r="K1228">
        <v>95.11</v>
      </c>
      <c r="L1228">
        <v>56.24</v>
      </c>
      <c r="M1228">
        <v>0.1</v>
      </c>
      <c r="N1228" t="s">
        <v>45</v>
      </c>
    </row>
    <row r="1229" spans="1:14" x14ac:dyDescent="0.25">
      <c r="A1229" t="s">
        <v>1749</v>
      </c>
      <c r="B1229" s="2">
        <v>45434</v>
      </c>
      <c r="C1229" t="s">
        <v>442</v>
      </c>
      <c r="D1229" t="s">
        <v>216</v>
      </c>
      <c r="E1229" t="s">
        <v>2618</v>
      </c>
      <c r="F1229" t="s">
        <v>2628</v>
      </c>
      <c r="G1229" t="s">
        <v>69</v>
      </c>
      <c r="H1229" t="s">
        <v>2648</v>
      </c>
      <c r="I1229" t="s">
        <v>2578</v>
      </c>
      <c r="J1229">
        <v>78</v>
      </c>
      <c r="K1229">
        <v>114.38</v>
      </c>
      <c r="L1229">
        <v>65.040000000000006</v>
      </c>
      <c r="M1229">
        <v>0.2</v>
      </c>
      <c r="N1229" t="s">
        <v>45</v>
      </c>
    </row>
    <row r="1230" spans="1:14" x14ac:dyDescent="0.25">
      <c r="A1230" t="s">
        <v>1750</v>
      </c>
      <c r="B1230" s="2">
        <v>45363</v>
      </c>
      <c r="C1230" t="s">
        <v>524</v>
      </c>
      <c r="D1230" t="s">
        <v>126</v>
      </c>
      <c r="E1230" t="s">
        <v>2618</v>
      </c>
      <c r="F1230" t="s">
        <v>2635</v>
      </c>
      <c r="G1230" t="s">
        <v>253</v>
      </c>
      <c r="H1230" t="s">
        <v>2648</v>
      </c>
      <c r="I1230" t="s">
        <v>44</v>
      </c>
      <c r="J1230">
        <v>32</v>
      </c>
      <c r="K1230">
        <v>89.02</v>
      </c>
      <c r="L1230">
        <v>51.23</v>
      </c>
      <c r="M1230">
        <v>0.2</v>
      </c>
      <c r="N1230" t="s">
        <v>45</v>
      </c>
    </row>
    <row r="1231" spans="1:14" x14ac:dyDescent="0.25">
      <c r="A1231" t="s">
        <v>1751</v>
      </c>
      <c r="B1231" s="2">
        <v>45384</v>
      </c>
      <c r="C1231" t="s">
        <v>1036</v>
      </c>
      <c r="D1231" t="s">
        <v>114</v>
      </c>
      <c r="E1231" t="s">
        <v>2618</v>
      </c>
      <c r="F1231" t="s">
        <v>2635</v>
      </c>
      <c r="G1231" t="s">
        <v>42</v>
      </c>
      <c r="H1231" t="s">
        <v>2646</v>
      </c>
      <c r="I1231" t="s">
        <v>2619</v>
      </c>
      <c r="J1231">
        <v>67</v>
      </c>
      <c r="K1231">
        <v>32.270000000000003</v>
      </c>
      <c r="L1231">
        <v>19.61</v>
      </c>
      <c r="M1231">
        <v>0.1</v>
      </c>
      <c r="N1231" t="s">
        <v>45</v>
      </c>
    </row>
    <row r="1232" spans="1:14" x14ac:dyDescent="0.25">
      <c r="A1232" t="s">
        <v>1752</v>
      </c>
      <c r="B1232" s="2">
        <v>45527</v>
      </c>
      <c r="C1232" t="s">
        <v>737</v>
      </c>
      <c r="D1232" t="s">
        <v>141</v>
      </c>
      <c r="E1232" t="s">
        <v>2616</v>
      </c>
      <c r="F1232" t="s">
        <v>2631</v>
      </c>
      <c r="G1232" t="s">
        <v>253</v>
      </c>
      <c r="H1232" t="s">
        <v>2648</v>
      </c>
      <c r="I1232" t="s">
        <v>75</v>
      </c>
      <c r="J1232">
        <v>5</v>
      </c>
      <c r="K1232">
        <v>88</v>
      </c>
      <c r="L1232">
        <v>54.49</v>
      </c>
      <c r="M1232">
        <v>0</v>
      </c>
      <c r="N1232" t="s">
        <v>45</v>
      </c>
    </row>
    <row r="1233" spans="1:14" x14ac:dyDescent="0.25">
      <c r="A1233" t="s">
        <v>1753</v>
      </c>
      <c r="B1233" s="2">
        <v>45584</v>
      </c>
      <c r="C1233" t="s">
        <v>1137</v>
      </c>
      <c r="D1233" t="s">
        <v>222</v>
      </c>
      <c r="E1233" t="s">
        <v>2615</v>
      </c>
      <c r="F1233" t="s">
        <v>2623</v>
      </c>
      <c r="G1233" t="s">
        <v>144</v>
      </c>
      <c r="H1233" t="s">
        <v>2647</v>
      </c>
      <c r="I1233" t="s">
        <v>84</v>
      </c>
      <c r="J1233">
        <v>67</v>
      </c>
      <c r="K1233">
        <v>122.18</v>
      </c>
      <c r="L1233">
        <v>76.98</v>
      </c>
      <c r="M1233">
        <v>0.02</v>
      </c>
      <c r="N1233" t="s">
        <v>45</v>
      </c>
    </row>
    <row r="1234" spans="1:14" x14ac:dyDescent="0.25">
      <c r="A1234" t="s">
        <v>1754</v>
      </c>
      <c r="B1234" s="2">
        <v>45311</v>
      </c>
      <c r="C1234" t="s">
        <v>739</v>
      </c>
      <c r="D1234" t="s">
        <v>109</v>
      </c>
      <c r="E1234" t="s">
        <v>2618</v>
      </c>
      <c r="F1234" t="s">
        <v>2632</v>
      </c>
      <c r="G1234" t="s">
        <v>60</v>
      </c>
      <c r="H1234" t="s">
        <v>2648</v>
      </c>
      <c r="I1234" t="s">
        <v>2578</v>
      </c>
      <c r="J1234">
        <v>2</v>
      </c>
      <c r="K1234">
        <v>118</v>
      </c>
      <c r="L1234">
        <v>71.92</v>
      </c>
      <c r="M1234">
        <v>0.05</v>
      </c>
      <c r="N1234" t="s">
        <v>45</v>
      </c>
    </row>
    <row r="1235" spans="1:14" x14ac:dyDescent="0.25">
      <c r="A1235" t="s">
        <v>1755</v>
      </c>
      <c r="B1235" s="2">
        <v>45621</v>
      </c>
      <c r="C1235" t="s">
        <v>1155</v>
      </c>
      <c r="D1235" t="s">
        <v>222</v>
      </c>
      <c r="E1235" t="s">
        <v>2614</v>
      </c>
      <c r="F1235" t="s">
        <v>2629</v>
      </c>
      <c r="G1235" t="s">
        <v>261</v>
      </c>
      <c r="H1235" t="s">
        <v>2645</v>
      </c>
      <c r="I1235" t="s">
        <v>70</v>
      </c>
      <c r="J1235">
        <v>30</v>
      </c>
      <c r="K1235">
        <v>124.22</v>
      </c>
      <c r="L1235">
        <v>79.760000000000005</v>
      </c>
      <c r="M1235">
        <v>0.1</v>
      </c>
      <c r="N1235" t="s">
        <v>45</v>
      </c>
    </row>
    <row r="1236" spans="1:14" x14ac:dyDescent="0.25">
      <c r="A1236" t="s">
        <v>1756</v>
      </c>
      <c r="B1236" s="2">
        <v>45418</v>
      </c>
      <c r="C1236" t="s">
        <v>1002</v>
      </c>
      <c r="D1236" t="s">
        <v>114</v>
      </c>
      <c r="E1236" t="s">
        <v>2616</v>
      </c>
      <c r="F1236" t="s">
        <v>2631</v>
      </c>
      <c r="G1236" t="s">
        <v>29</v>
      </c>
      <c r="H1236" t="s">
        <v>2646</v>
      </c>
      <c r="I1236" t="s">
        <v>75</v>
      </c>
      <c r="J1236">
        <v>32</v>
      </c>
      <c r="K1236">
        <v>33.85</v>
      </c>
      <c r="L1236">
        <v>21.9</v>
      </c>
      <c r="M1236">
        <v>0.1</v>
      </c>
      <c r="N1236" t="s">
        <v>45</v>
      </c>
    </row>
    <row r="1237" spans="1:14" x14ac:dyDescent="0.25">
      <c r="A1237" t="s">
        <v>1757</v>
      </c>
      <c r="B1237" s="2">
        <v>45416</v>
      </c>
      <c r="C1237" t="s">
        <v>98</v>
      </c>
      <c r="D1237" t="s">
        <v>66</v>
      </c>
      <c r="E1237" t="s">
        <v>2616</v>
      </c>
      <c r="F1237" t="s">
        <v>2638</v>
      </c>
      <c r="G1237" t="s">
        <v>265</v>
      </c>
      <c r="H1237" t="s">
        <v>2646</v>
      </c>
      <c r="I1237" t="s">
        <v>2578</v>
      </c>
      <c r="J1237">
        <v>28</v>
      </c>
      <c r="K1237">
        <v>169.91</v>
      </c>
      <c r="L1237">
        <v>106.43</v>
      </c>
      <c r="M1237">
        <v>0.02</v>
      </c>
      <c r="N1237" t="s">
        <v>129</v>
      </c>
    </row>
    <row r="1238" spans="1:14" x14ac:dyDescent="0.25">
      <c r="A1238" t="s">
        <v>1758</v>
      </c>
      <c r="B1238" s="2">
        <v>45488</v>
      </c>
      <c r="C1238" t="s">
        <v>611</v>
      </c>
      <c r="D1238" t="s">
        <v>132</v>
      </c>
      <c r="E1238" t="s">
        <v>2615</v>
      </c>
      <c r="F1238" t="s">
        <v>2639</v>
      </c>
      <c r="G1238" t="s">
        <v>42</v>
      </c>
      <c r="H1238" t="s">
        <v>2645</v>
      </c>
      <c r="I1238" t="s">
        <v>44</v>
      </c>
      <c r="J1238">
        <v>70</v>
      </c>
      <c r="K1238">
        <v>63.66</v>
      </c>
      <c r="L1238">
        <v>36.08</v>
      </c>
      <c r="M1238">
        <v>0.02</v>
      </c>
      <c r="N1238" t="s">
        <v>45</v>
      </c>
    </row>
    <row r="1239" spans="1:14" x14ac:dyDescent="0.25">
      <c r="A1239" t="s">
        <v>1759</v>
      </c>
      <c r="B1239" s="2">
        <v>45319</v>
      </c>
      <c r="C1239" t="s">
        <v>201</v>
      </c>
      <c r="D1239" t="s">
        <v>176</v>
      </c>
      <c r="E1239" t="s">
        <v>2616</v>
      </c>
      <c r="F1239" t="s">
        <v>2631</v>
      </c>
      <c r="G1239" t="s">
        <v>90</v>
      </c>
      <c r="H1239" t="s">
        <v>2645</v>
      </c>
      <c r="I1239" t="s">
        <v>44</v>
      </c>
      <c r="J1239">
        <v>39</v>
      </c>
      <c r="K1239">
        <v>110.11</v>
      </c>
      <c r="L1239">
        <v>60.77</v>
      </c>
      <c r="M1239">
        <v>0.1</v>
      </c>
      <c r="N1239" t="s">
        <v>45</v>
      </c>
    </row>
    <row r="1240" spans="1:14" x14ac:dyDescent="0.25">
      <c r="A1240" t="s">
        <v>1760</v>
      </c>
      <c r="B1240" s="2">
        <v>45520</v>
      </c>
      <c r="C1240" t="s">
        <v>301</v>
      </c>
      <c r="D1240" t="s">
        <v>93</v>
      </c>
      <c r="E1240" t="s">
        <v>2614</v>
      </c>
      <c r="F1240" t="s">
        <v>2622</v>
      </c>
      <c r="G1240" t="s">
        <v>74</v>
      </c>
      <c r="H1240" t="s">
        <v>2645</v>
      </c>
      <c r="I1240" t="s">
        <v>84</v>
      </c>
      <c r="J1240">
        <v>21</v>
      </c>
      <c r="K1240">
        <v>58.24</v>
      </c>
      <c r="L1240">
        <v>31.94</v>
      </c>
      <c r="M1240">
        <v>0</v>
      </c>
      <c r="N1240" t="s">
        <v>32</v>
      </c>
    </row>
    <row r="1241" spans="1:14" x14ac:dyDescent="0.25">
      <c r="A1241" t="s">
        <v>1761</v>
      </c>
      <c r="B1241" s="2">
        <v>45326</v>
      </c>
      <c r="C1241" t="s">
        <v>904</v>
      </c>
      <c r="D1241" t="s">
        <v>250</v>
      </c>
      <c r="E1241" t="s">
        <v>2616</v>
      </c>
      <c r="F1241" t="s">
        <v>2638</v>
      </c>
      <c r="G1241" t="s">
        <v>60</v>
      </c>
      <c r="H1241" t="s">
        <v>2645</v>
      </c>
      <c r="I1241" t="s">
        <v>75</v>
      </c>
      <c r="J1241">
        <v>71</v>
      </c>
      <c r="K1241">
        <v>66.78</v>
      </c>
      <c r="L1241">
        <v>39.86</v>
      </c>
      <c r="M1241">
        <v>0.1</v>
      </c>
      <c r="N1241" t="s">
        <v>32</v>
      </c>
    </row>
    <row r="1242" spans="1:14" x14ac:dyDescent="0.25">
      <c r="A1242" t="s">
        <v>1762</v>
      </c>
      <c r="B1242" s="2">
        <v>45623</v>
      </c>
      <c r="C1242" t="s">
        <v>1380</v>
      </c>
      <c r="D1242" t="s">
        <v>132</v>
      </c>
      <c r="E1242" t="s">
        <v>2615</v>
      </c>
      <c r="F1242" t="s">
        <v>2630</v>
      </c>
      <c r="G1242" t="s">
        <v>248</v>
      </c>
      <c r="H1242" t="s">
        <v>2645</v>
      </c>
      <c r="I1242" t="s">
        <v>70</v>
      </c>
      <c r="J1242">
        <v>11</v>
      </c>
      <c r="K1242">
        <v>58.61</v>
      </c>
      <c r="L1242">
        <v>31.56</v>
      </c>
      <c r="M1242">
        <v>0.05</v>
      </c>
      <c r="N1242" t="s">
        <v>129</v>
      </c>
    </row>
    <row r="1243" spans="1:14" x14ac:dyDescent="0.25">
      <c r="A1243" t="s">
        <v>1763</v>
      </c>
      <c r="B1243" s="2">
        <v>45549</v>
      </c>
      <c r="C1243" t="s">
        <v>1586</v>
      </c>
      <c r="D1243" t="s">
        <v>126</v>
      </c>
      <c r="E1243" t="s">
        <v>2617</v>
      </c>
      <c r="F1243" t="s">
        <v>2626</v>
      </c>
      <c r="G1243" t="s">
        <v>74</v>
      </c>
      <c r="H1243" t="s">
        <v>2647</v>
      </c>
      <c r="I1243" t="s">
        <v>84</v>
      </c>
      <c r="J1243">
        <v>37</v>
      </c>
      <c r="K1243">
        <v>95.56</v>
      </c>
      <c r="L1243">
        <v>53.79</v>
      </c>
      <c r="M1243">
        <v>0.05</v>
      </c>
      <c r="N1243" t="s">
        <v>129</v>
      </c>
    </row>
    <row r="1244" spans="1:14" x14ac:dyDescent="0.25">
      <c r="A1244" t="s">
        <v>1764</v>
      </c>
      <c r="B1244" s="2">
        <v>45570</v>
      </c>
      <c r="C1244" t="s">
        <v>124</v>
      </c>
      <c r="D1244" t="s">
        <v>187</v>
      </c>
      <c r="E1244" t="s">
        <v>2616</v>
      </c>
      <c r="F1244" t="s">
        <v>2633</v>
      </c>
      <c r="G1244" t="s">
        <v>261</v>
      </c>
      <c r="H1244" t="s">
        <v>2645</v>
      </c>
      <c r="I1244" t="s">
        <v>70</v>
      </c>
      <c r="J1244">
        <v>61</v>
      </c>
      <c r="K1244">
        <v>50.86</v>
      </c>
      <c r="L1244">
        <v>30.08</v>
      </c>
      <c r="M1244">
        <v>0.02</v>
      </c>
      <c r="N1244" t="s">
        <v>45</v>
      </c>
    </row>
    <row r="1245" spans="1:14" x14ac:dyDescent="0.25">
      <c r="A1245" t="s">
        <v>1765</v>
      </c>
      <c r="B1245" s="2">
        <v>45584</v>
      </c>
      <c r="C1245" t="s">
        <v>1476</v>
      </c>
      <c r="D1245" t="s">
        <v>150</v>
      </c>
      <c r="E1245" t="s">
        <v>2616</v>
      </c>
      <c r="F1245" t="s">
        <v>2631</v>
      </c>
      <c r="G1245" t="s">
        <v>253</v>
      </c>
      <c r="H1245" t="s">
        <v>2647</v>
      </c>
      <c r="I1245" t="s">
        <v>70</v>
      </c>
      <c r="J1245">
        <v>29</v>
      </c>
      <c r="K1245">
        <v>89.05</v>
      </c>
      <c r="L1245">
        <v>50.47</v>
      </c>
      <c r="M1245">
        <v>0</v>
      </c>
      <c r="N1245" t="s">
        <v>45</v>
      </c>
    </row>
    <row r="1246" spans="1:14" x14ac:dyDescent="0.25">
      <c r="A1246" t="s">
        <v>1766</v>
      </c>
      <c r="B1246" s="2">
        <v>45513</v>
      </c>
      <c r="C1246" t="s">
        <v>287</v>
      </c>
      <c r="D1246" t="s">
        <v>209</v>
      </c>
      <c r="E1246" t="s">
        <v>2614</v>
      </c>
      <c r="F1246" t="s">
        <v>2637</v>
      </c>
      <c r="G1246" t="s">
        <v>265</v>
      </c>
      <c r="H1246" t="s">
        <v>2646</v>
      </c>
      <c r="I1246" t="s">
        <v>70</v>
      </c>
      <c r="J1246">
        <v>50</v>
      </c>
      <c r="K1246">
        <v>18.09</v>
      </c>
      <c r="L1246">
        <v>9.3699999999999992</v>
      </c>
      <c r="M1246">
        <v>0.1</v>
      </c>
      <c r="N1246" t="s">
        <v>129</v>
      </c>
    </row>
    <row r="1247" spans="1:14" x14ac:dyDescent="0.25">
      <c r="A1247" t="s">
        <v>1767</v>
      </c>
      <c r="B1247" s="2">
        <v>45296</v>
      </c>
      <c r="C1247" t="s">
        <v>975</v>
      </c>
      <c r="D1247" t="s">
        <v>99</v>
      </c>
      <c r="E1247" t="s">
        <v>2618</v>
      </c>
      <c r="F1247" t="s">
        <v>2635</v>
      </c>
      <c r="G1247" t="s">
        <v>83</v>
      </c>
      <c r="H1247" t="s">
        <v>2647</v>
      </c>
      <c r="I1247" t="s">
        <v>2578</v>
      </c>
      <c r="J1247">
        <v>64</v>
      </c>
      <c r="K1247">
        <v>69.44</v>
      </c>
      <c r="L1247">
        <v>39</v>
      </c>
      <c r="M1247">
        <v>0.2</v>
      </c>
      <c r="N1247" t="s">
        <v>45</v>
      </c>
    </row>
    <row r="1248" spans="1:14" x14ac:dyDescent="0.25">
      <c r="A1248" t="s">
        <v>1768</v>
      </c>
      <c r="B1248" s="2">
        <v>45302</v>
      </c>
      <c r="C1248" t="s">
        <v>169</v>
      </c>
      <c r="D1248" t="s">
        <v>176</v>
      </c>
      <c r="E1248" t="s">
        <v>2617</v>
      </c>
      <c r="F1248" t="s">
        <v>2625</v>
      </c>
      <c r="G1248" t="s">
        <v>118</v>
      </c>
      <c r="H1248" t="s">
        <v>2647</v>
      </c>
      <c r="I1248" t="s">
        <v>84</v>
      </c>
      <c r="J1248">
        <v>78</v>
      </c>
      <c r="K1248">
        <v>98.39</v>
      </c>
      <c r="L1248">
        <v>64.59</v>
      </c>
      <c r="M1248">
        <v>0</v>
      </c>
      <c r="N1248" t="s">
        <v>32</v>
      </c>
    </row>
    <row r="1249" spans="1:14" x14ac:dyDescent="0.25">
      <c r="A1249" t="s">
        <v>1769</v>
      </c>
      <c r="B1249" s="2">
        <v>45552</v>
      </c>
      <c r="C1249" t="s">
        <v>626</v>
      </c>
      <c r="D1249" t="s">
        <v>109</v>
      </c>
      <c r="E1249" t="s">
        <v>2618</v>
      </c>
      <c r="F1249" t="s">
        <v>2632</v>
      </c>
      <c r="G1249" t="s">
        <v>152</v>
      </c>
      <c r="H1249" t="s">
        <v>2646</v>
      </c>
      <c r="I1249" t="s">
        <v>75</v>
      </c>
      <c r="J1249">
        <v>13</v>
      </c>
      <c r="K1249">
        <v>119.37</v>
      </c>
      <c r="L1249">
        <v>79.33</v>
      </c>
      <c r="M1249">
        <v>0.05</v>
      </c>
      <c r="N1249" t="s">
        <v>45</v>
      </c>
    </row>
    <row r="1250" spans="1:14" x14ac:dyDescent="0.25">
      <c r="A1250" t="s">
        <v>1770</v>
      </c>
      <c r="B1250" s="2">
        <v>45372</v>
      </c>
      <c r="C1250" t="s">
        <v>735</v>
      </c>
      <c r="D1250" t="s">
        <v>216</v>
      </c>
      <c r="E1250" t="s">
        <v>2617</v>
      </c>
      <c r="F1250" t="s">
        <v>2641</v>
      </c>
      <c r="G1250" t="s">
        <v>218</v>
      </c>
      <c r="H1250" t="s">
        <v>2647</v>
      </c>
      <c r="I1250" t="s">
        <v>84</v>
      </c>
      <c r="J1250">
        <v>69</v>
      </c>
      <c r="K1250">
        <v>108.41</v>
      </c>
      <c r="L1250">
        <v>64.98</v>
      </c>
      <c r="M1250">
        <v>0.1</v>
      </c>
      <c r="N1250" t="s">
        <v>45</v>
      </c>
    </row>
    <row r="1251" spans="1:14" x14ac:dyDescent="0.25">
      <c r="A1251" t="s">
        <v>1771</v>
      </c>
      <c r="B1251" s="2">
        <v>45452</v>
      </c>
      <c r="C1251" t="s">
        <v>878</v>
      </c>
      <c r="D1251" t="s">
        <v>250</v>
      </c>
      <c r="E1251" t="s">
        <v>2616</v>
      </c>
      <c r="F1251" t="s">
        <v>2633</v>
      </c>
      <c r="G1251" t="s">
        <v>74</v>
      </c>
      <c r="H1251" t="s">
        <v>2650</v>
      </c>
      <c r="I1251" t="s">
        <v>2578</v>
      </c>
      <c r="J1251">
        <v>16</v>
      </c>
      <c r="K1251">
        <v>63.3</v>
      </c>
      <c r="L1251">
        <v>40</v>
      </c>
      <c r="M1251">
        <v>0.1</v>
      </c>
      <c r="N1251" t="s">
        <v>45</v>
      </c>
    </row>
    <row r="1252" spans="1:14" x14ac:dyDescent="0.25">
      <c r="A1252" t="s">
        <v>1772</v>
      </c>
      <c r="B1252" s="2">
        <v>45529</v>
      </c>
      <c r="C1252" t="s">
        <v>356</v>
      </c>
      <c r="D1252" t="s">
        <v>126</v>
      </c>
      <c r="E1252" t="s">
        <v>2616</v>
      </c>
      <c r="F1252" t="s">
        <v>2631</v>
      </c>
      <c r="G1252" t="s">
        <v>178</v>
      </c>
      <c r="H1252" t="s">
        <v>2647</v>
      </c>
      <c r="I1252" t="s">
        <v>44</v>
      </c>
      <c r="J1252">
        <v>47</v>
      </c>
      <c r="K1252">
        <v>84.27</v>
      </c>
      <c r="L1252">
        <v>53.05</v>
      </c>
      <c r="M1252">
        <v>0.05</v>
      </c>
      <c r="N1252" t="s">
        <v>45</v>
      </c>
    </row>
    <row r="1253" spans="1:14" x14ac:dyDescent="0.25">
      <c r="A1253" t="s">
        <v>1773</v>
      </c>
      <c r="B1253" s="2">
        <v>45418</v>
      </c>
      <c r="C1253" t="s">
        <v>832</v>
      </c>
      <c r="D1253" t="s">
        <v>150</v>
      </c>
      <c r="E1253" t="s">
        <v>2614</v>
      </c>
      <c r="F1253" t="s">
        <v>2629</v>
      </c>
      <c r="G1253" t="s">
        <v>184</v>
      </c>
      <c r="H1253" t="s">
        <v>2646</v>
      </c>
      <c r="I1253" t="s">
        <v>75</v>
      </c>
      <c r="J1253">
        <v>77</v>
      </c>
      <c r="K1253">
        <v>89.63</v>
      </c>
      <c r="L1253">
        <v>54.99</v>
      </c>
      <c r="M1253">
        <v>0.1</v>
      </c>
      <c r="N1253" t="s">
        <v>45</v>
      </c>
    </row>
    <row r="1254" spans="1:14" x14ac:dyDescent="0.25">
      <c r="A1254" t="s">
        <v>1774</v>
      </c>
      <c r="B1254" s="2">
        <v>45648</v>
      </c>
      <c r="C1254" t="s">
        <v>468</v>
      </c>
      <c r="D1254" t="s">
        <v>114</v>
      </c>
      <c r="E1254" t="s">
        <v>2616</v>
      </c>
      <c r="F1254" t="s">
        <v>2631</v>
      </c>
      <c r="G1254" t="s">
        <v>253</v>
      </c>
      <c r="H1254" t="s">
        <v>2647</v>
      </c>
      <c r="I1254" t="s">
        <v>70</v>
      </c>
      <c r="J1254">
        <v>17</v>
      </c>
      <c r="K1254">
        <v>35.619999999999997</v>
      </c>
      <c r="L1254">
        <v>20.260000000000002</v>
      </c>
      <c r="M1254">
        <v>0.1</v>
      </c>
      <c r="N1254" t="s">
        <v>45</v>
      </c>
    </row>
    <row r="1255" spans="1:14" x14ac:dyDescent="0.25">
      <c r="A1255" t="s">
        <v>1775</v>
      </c>
      <c r="B1255" s="2">
        <v>45383</v>
      </c>
      <c r="C1255" t="s">
        <v>1709</v>
      </c>
      <c r="D1255" t="s">
        <v>78</v>
      </c>
      <c r="E1255" t="s">
        <v>2614</v>
      </c>
      <c r="F1255" t="s">
        <v>2636</v>
      </c>
      <c r="G1255" t="s">
        <v>261</v>
      </c>
      <c r="H1255" t="s">
        <v>2645</v>
      </c>
      <c r="I1255" t="s">
        <v>75</v>
      </c>
      <c r="J1255">
        <v>59</v>
      </c>
      <c r="K1255">
        <v>146.86000000000001</v>
      </c>
      <c r="L1255">
        <v>81.47</v>
      </c>
      <c r="M1255">
        <v>0.05</v>
      </c>
      <c r="N1255" t="s">
        <v>45</v>
      </c>
    </row>
    <row r="1256" spans="1:14" x14ac:dyDescent="0.25">
      <c r="A1256" t="s">
        <v>1776</v>
      </c>
      <c r="B1256" s="2">
        <v>45578</v>
      </c>
      <c r="C1256" t="s">
        <v>414</v>
      </c>
      <c r="D1256" t="s">
        <v>176</v>
      </c>
      <c r="E1256" t="s">
        <v>2618</v>
      </c>
      <c r="F1256" t="s">
        <v>2635</v>
      </c>
      <c r="G1256" t="s">
        <v>265</v>
      </c>
      <c r="H1256" t="s">
        <v>2647</v>
      </c>
      <c r="I1256" t="s">
        <v>84</v>
      </c>
      <c r="J1256">
        <v>24</v>
      </c>
      <c r="K1256">
        <v>100.5</v>
      </c>
      <c r="L1256">
        <v>67.03</v>
      </c>
      <c r="M1256">
        <v>0.2</v>
      </c>
      <c r="N1256" t="s">
        <v>45</v>
      </c>
    </row>
    <row r="1257" spans="1:14" x14ac:dyDescent="0.25">
      <c r="A1257" t="s">
        <v>1777</v>
      </c>
      <c r="B1257" s="2">
        <v>45381</v>
      </c>
      <c r="C1257" t="s">
        <v>674</v>
      </c>
      <c r="D1257" t="s">
        <v>165</v>
      </c>
      <c r="E1257" t="s">
        <v>2617</v>
      </c>
      <c r="F1257" t="s">
        <v>2641</v>
      </c>
      <c r="G1257" t="s">
        <v>90</v>
      </c>
      <c r="H1257" t="s">
        <v>2646</v>
      </c>
      <c r="I1257" t="s">
        <v>84</v>
      </c>
      <c r="J1257">
        <v>20</v>
      </c>
      <c r="K1257">
        <v>45.19</v>
      </c>
      <c r="L1257">
        <v>25.6</v>
      </c>
      <c r="M1257">
        <v>0.02</v>
      </c>
      <c r="N1257" t="s">
        <v>32</v>
      </c>
    </row>
    <row r="1258" spans="1:14" x14ac:dyDescent="0.25">
      <c r="A1258" t="s">
        <v>1778</v>
      </c>
      <c r="B1258" s="2">
        <v>45419</v>
      </c>
      <c r="C1258" t="s">
        <v>373</v>
      </c>
      <c r="D1258" t="s">
        <v>126</v>
      </c>
      <c r="E1258" t="s">
        <v>2618</v>
      </c>
      <c r="F1258" t="s">
        <v>2634</v>
      </c>
      <c r="G1258" t="s">
        <v>118</v>
      </c>
      <c r="H1258" t="s">
        <v>2646</v>
      </c>
      <c r="I1258" t="s">
        <v>2578</v>
      </c>
      <c r="J1258">
        <v>21</v>
      </c>
      <c r="K1258">
        <v>96.5</v>
      </c>
      <c r="L1258">
        <v>55.87</v>
      </c>
      <c r="M1258">
        <v>0.2</v>
      </c>
      <c r="N1258" t="s">
        <v>45</v>
      </c>
    </row>
    <row r="1259" spans="1:14" x14ac:dyDescent="0.25">
      <c r="A1259" t="s">
        <v>1779</v>
      </c>
      <c r="B1259" s="2">
        <v>45535</v>
      </c>
      <c r="C1259" t="s">
        <v>1253</v>
      </c>
      <c r="D1259" t="s">
        <v>141</v>
      </c>
      <c r="E1259" t="s">
        <v>2618</v>
      </c>
      <c r="F1259" t="s">
        <v>2634</v>
      </c>
      <c r="G1259" t="s">
        <v>83</v>
      </c>
      <c r="H1259" t="s">
        <v>2648</v>
      </c>
      <c r="I1259" t="s">
        <v>84</v>
      </c>
      <c r="J1259">
        <v>35</v>
      </c>
      <c r="K1259">
        <v>92.7</v>
      </c>
      <c r="L1259">
        <v>61.99</v>
      </c>
      <c r="M1259">
        <v>0.05</v>
      </c>
      <c r="N1259" t="s">
        <v>45</v>
      </c>
    </row>
    <row r="1260" spans="1:14" x14ac:dyDescent="0.25">
      <c r="A1260" t="s">
        <v>1780</v>
      </c>
      <c r="B1260" s="2">
        <v>45512</v>
      </c>
      <c r="C1260" t="s">
        <v>213</v>
      </c>
      <c r="D1260" t="s">
        <v>78</v>
      </c>
      <c r="E1260" t="s">
        <v>2614</v>
      </c>
      <c r="F1260" t="s">
        <v>2636</v>
      </c>
      <c r="G1260" t="s">
        <v>74</v>
      </c>
      <c r="H1260" t="s">
        <v>2647</v>
      </c>
      <c r="I1260" t="s">
        <v>2578</v>
      </c>
      <c r="J1260">
        <v>63</v>
      </c>
      <c r="K1260">
        <v>143.94999999999999</v>
      </c>
      <c r="L1260">
        <v>86</v>
      </c>
      <c r="M1260">
        <v>0.02</v>
      </c>
      <c r="N1260" t="s">
        <v>45</v>
      </c>
    </row>
    <row r="1261" spans="1:14" x14ac:dyDescent="0.25">
      <c r="A1261" t="s">
        <v>1781</v>
      </c>
      <c r="B1261" s="2">
        <v>45653</v>
      </c>
      <c r="C1261" t="s">
        <v>900</v>
      </c>
      <c r="D1261" t="s">
        <v>36</v>
      </c>
      <c r="E1261" t="s">
        <v>2615</v>
      </c>
      <c r="F1261" t="s">
        <v>2630</v>
      </c>
      <c r="G1261" t="s">
        <v>90</v>
      </c>
      <c r="H1261" t="s">
        <v>2646</v>
      </c>
      <c r="I1261" t="s">
        <v>44</v>
      </c>
      <c r="J1261">
        <v>7</v>
      </c>
      <c r="K1261">
        <v>169.42</v>
      </c>
      <c r="L1261">
        <v>92.59</v>
      </c>
      <c r="M1261">
        <v>0.1</v>
      </c>
      <c r="N1261" t="s">
        <v>32</v>
      </c>
    </row>
    <row r="1262" spans="1:14" x14ac:dyDescent="0.25">
      <c r="A1262" t="s">
        <v>1782</v>
      </c>
      <c r="B1262" s="2">
        <v>45600</v>
      </c>
      <c r="C1262" t="s">
        <v>1783</v>
      </c>
      <c r="D1262" t="s">
        <v>222</v>
      </c>
      <c r="E1262" t="s">
        <v>2617</v>
      </c>
      <c r="F1262" t="s">
        <v>2626</v>
      </c>
      <c r="G1262" t="s">
        <v>248</v>
      </c>
      <c r="H1262" t="s">
        <v>2646</v>
      </c>
      <c r="I1262" t="s">
        <v>70</v>
      </c>
      <c r="J1262">
        <v>71</v>
      </c>
      <c r="K1262">
        <v>121.29</v>
      </c>
      <c r="L1262">
        <v>80.98</v>
      </c>
      <c r="M1262">
        <v>0.2</v>
      </c>
      <c r="N1262" t="s">
        <v>129</v>
      </c>
    </row>
    <row r="1263" spans="1:14" x14ac:dyDescent="0.25">
      <c r="A1263" t="s">
        <v>1784</v>
      </c>
      <c r="B1263" s="2">
        <v>45406</v>
      </c>
      <c r="C1263" t="s">
        <v>303</v>
      </c>
      <c r="D1263" t="s">
        <v>99</v>
      </c>
      <c r="E1263" t="s">
        <v>2616</v>
      </c>
      <c r="F1263" t="s">
        <v>2633</v>
      </c>
      <c r="G1263" t="s">
        <v>265</v>
      </c>
      <c r="H1263" t="s">
        <v>2648</v>
      </c>
      <c r="I1263" t="s">
        <v>2578</v>
      </c>
      <c r="J1263">
        <v>50</v>
      </c>
      <c r="K1263">
        <v>72.88</v>
      </c>
      <c r="L1263">
        <v>41.13</v>
      </c>
      <c r="M1263">
        <v>0.1</v>
      </c>
      <c r="N1263" t="s">
        <v>45</v>
      </c>
    </row>
    <row r="1264" spans="1:14" x14ac:dyDescent="0.25">
      <c r="A1264" t="s">
        <v>1785</v>
      </c>
      <c r="B1264" s="2">
        <v>45655</v>
      </c>
      <c r="C1264" t="s">
        <v>811</v>
      </c>
      <c r="D1264" t="s">
        <v>49</v>
      </c>
      <c r="E1264" t="s">
        <v>2614</v>
      </c>
      <c r="F1264" t="s">
        <v>2629</v>
      </c>
      <c r="G1264" t="s">
        <v>218</v>
      </c>
      <c r="H1264" t="s">
        <v>2646</v>
      </c>
      <c r="I1264" t="s">
        <v>75</v>
      </c>
      <c r="J1264">
        <v>26</v>
      </c>
      <c r="K1264">
        <v>23.23</v>
      </c>
      <c r="L1264">
        <v>12.66</v>
      </c>
      <c r="M1264">
        <v>0</v>
      </c>
      <c r="N1264" t="s">
        <v>45</v>
      </c>
    </row>
    <row r="1265" spans="1:14" x14ac:dyDescent="0.25">
      <c r="A1265" t="s">
        <v>1786</v>
      </c>
      <c r="B1265" s="2">
        <v>45359</v>
      </c>
      <c r="C1265" t="s">
        <v>495</v>
      </c>
      <c r="D1265" t="s">
        <v>114</v>
      </c>
      <c r="E1265" t="s">
        <v>2616</v>
      </c>
      <c r="F1265" t="s">
        <v>2638</v>
      </c>
      <c r="G1265" t="s">
        <v>42</v>
      </c>
      <c r="H1265" t="s">
        <v>2648</v>
      </c>
      <c r="I1265" t="s">
        <v>2578</v>
      </c>
      <c r="J1265">
        <v>31</v>
      </c>
      <c r="K1265">
        <v>35.97</v>
      </c>
      <c r="L1265">
        <v>19.59</v>
      </c>
      <c r="M1265">
        <v>0.15</v>
      </c>
      <c r="N1265" t="s">
        <v>45</v>
      </c>
    </row>
    <row r="1266" spans="1:14" x14ac:dyDescent="0.25">
      <c r="A1266" t="s">
        <v>1787</v>
      </c>
      <c r="B1266" s="2">
        <v>45367</v>
      </c>
      <c r="C1266" t="s">
        <v>941</v>
      </c>
      <c r="D1266" t="s">
        <v>114</v>
      </c>
      <c r="E1266" t="s">
        <v>2618</v>
      </c>
      <c r="F1266" t="s">
        <v>2628</v>
      </c>
      <c r="G1266" t="s">
        <v>170</v>
      </c>
      <c r="H1266" t="s">
        <v>2648</v>
      </c>
      <c r="I1266" t="s">
        <v>70</v>
      </c>
      <c r="J1266">
        <v>39</v>
      </c>
      <c r="K1266">
        <v>33.35</v>
      </c>
      <c r="L1266">
        <v>20.94</v>
      </c>
      <c r="M1266">
        <v>0.02</v>
      </c>
      <c r="N1266" t="s">
        <v>32</v>
      </c>
    </row>
    <row r="1267" spans="1:14" x14ac:dyDescent="0.25">
      <c r="A1267" t="s">
        <v>1788</v>
      </c>
      <c r="B1267" s="2">
        <v>45554</v>
      </c>
      <c r="C1267" t="s">
        <v>565</v>
      </c>
      <c r="D1267" t="s">
        <v>141</v>
      </c>
      <c r="E1267" t="s">
        <v>2618</v>
      </c>
      <c r="F1267" t="s">
        <v>2635</v>
      </c>
      <c r="G1267" t="s">
        <v>118</v>
      </c>
      <c r="H1267" t="s">
        <v>2645</v>
      </c>
      <c r="I1267" t="s">
        <v>75</v>
      </c>
      <c r="J1267">
        <v>3</v>
      </c>
      <c r="K1267">
        <v>98.54</v>
      </c>
      <c r="L1267">
        <v>58.99</v>
      </c>
      <c r="M1267">
        <v>0.15</v>
      </c>
      <c r="N1267" t="s">
        <v>45</v>
      </c>
    </row>
    <row r="1268" spans="1:14" x14ac:dyDescent="0.25">
      <c r="A1268" t="s">
        <v>1789</v>
      </c>
      <c r="B1268" s="2">
        <v>45420</v>
      </c>
      <c r="C1268" t="s">
        <v>404</v>
      </c>
      <c r="D1268" t="s">
        <v>49</v>
      </c>
      <c r="E1268" t="s">
        <v>2618</v>
      </c>
      <c r="F1268" t="s">
        <v>2628</v>
      </c>
      <c r="G1268" t="s">
        <v>261</v>
      </c>
      <c r="H1268" t="s">
        <v>2645</v>
      </c>
      <c r="I1268" t="s">
        <v>2578</v>
      </c>
      <c r="J1268">
        <v>62</v>
      </c>
      <c r="K1268">
        <v>25.69</v>
      </c>
      <c r="L1268">
        <v>12.42</v>
      </c>
      <c r="M1268">
        <v>0</v>
      </c>
      <c r="N1268" t="s">
        <v>45</v>
      </c>
    </row>
    <row r="1269" spans="1:14" x14ac:dyDescent="0.25">
      <c r="A1269" t="s">
        <v>1790</v>
      </c>
      <c r="B1269" s="2">
        <v>45366</v>
      </c>
      <c r="C1269" t="s">
        <v>220</v>
      </c>
      <c r="D1269" t="s">
        <v>150</v>
      </c>
      <c r="E1269" t="s">
        <v>2614</v>
      </c>
      <c r="F1269" t="s">
        <v>2636</v>
      </c>
      <c r="G1269" t="s">
        <v>170</v>
      </c>
      <c r="H1269" t="s">
        <v>2647</v>
      </c>
      <c r="I1269" t="s">
        <v>44</v>
      </c>
      <c r="J1269">
        <v>72</v>
      </c>
      <c r="K1269">
        <v>90.38</v>
      </c>
      <c r="L1269">
        <v>52.36</v>
      </c>
      <c r="M1269">
        <v>0.05</v>
      </c>
      <c r="N1269" t="s">
        <v>45</v>
      </c>
    </row>
    <row r="1270" spans="1:14" x14ac:dyDescent="0.25">
      <c r="A1270" t="s">
        <v>1791</v>
      </c>
      <c r="B1270" s="2">
        <v>45313</v>
      </c>
      <c r="C1270" t="s">
        <v>1253</v>
      </c>
      <c r="D1270" t="s">
        <v>36</v>
      </c>
      <c r="E1270" t="s">
        <v>2615</v>
      </c>
      <c r="F1270" t="s">
        <v>2627</v>
      </c>
      <c r="G1270" t="s">
        <v>83</v>
      </c>
      <c r="H1270" t="s">
        <v>2647</v>
      </c>
      <c r="I1270" t="s">
        <v>2578</v>
      </c>
      <c r="J1270">
        <v>47</v>
      </c>
      <c r="K1270">
        <v>175.59</v>
      </c>
      <c r="L1270">
        <v>106.86</v>
      </c>
      <c r="M1270">
        <v>0.2</v>
      </c>
      <c r="N1270" t="s">
        <v>45</v>
      </c>
    </row>
    <row r="1271" spans="1:14" x14ac:dyDescent="0.25">
      <c r="A1271" t="s">
        <v>1792</v>
      </c>
      <c r="B1271" s="2">
        <v>45338</v>
      </c>
      <c r="C1271" t="s">
        <v>1380</v>
      </c>
      <c r="D1271" t="s">
        <v>93</v>
      </c>
      <c r="E1271" t="s">
        <v>2617</v>
      </c>
      <c r="F1271" t="s">
        <v>2642</v>
      </c>
      <c r="G1271" t="s">
        <v>248</v>
      </c>
      <c r="H1271" t="s">
        <v>2645</v>
      </c>
      <c r="I1271" t="s">
        <v>75</v>
      </c>
      <c r="J1271">
        <v>40</v>
      </c>
      <c r="K1271">
        <v>52.36</v>
      </c>
      <c r="L1271">
        <v>30</v>
      </c>
      <c r="M1271">
        <v>0.02</v>
      </c>
      <c r="N1271" t="s">
        <v>45</v>
      </c>
    </row>
    <row r="1272" spans="1:14" x14ac:dyDescent="0.25">
      <c r="A1272" t="s">
        <v>1793</v>
      </c>
      <c r="B1272" s="2">
        <v>45524</v>
      </c>
      <c r="C1272" t="s">
        <v>509</v>
      </c>
      <c r="D1272" t="s">
        <v>49</v>
      </c>
      <c r="E1272" t="s">
        <v>2616</v>
      </c>
      <c r="F1272" t="s">
        <v>2633</v>
      </c>
      <c r="G1272" t="s">
        <v>178</v>
      </c>
      <c r="H1272" t="s">
        <v>2645</v>
      </c>
      <c r="I1272" t="s">
        <v>75</v>
      </c>
      <c r="J1272">
        <v>62</v>
      </c>
      <c r="K1272">
        <v>25.44</v>
      </c>
      <c r="L1272">
        <v>13.42</v>
      </c>
      <c r="M1272">
        <v>0.2</v>
      </c>
      <c r="N1272" t="s">
        <v>45</v>
      </c>
    </row>
    <row r="1273" spans="1:14" x14ac:dyDescent="0.25">
      <c r="A1273" t="s">
        <v>1794</v>
      </c>
      <c r="B1273" s="2">
        <v>45429</v>
      </c>
      <c r="C1273" t="s">
        <v>120</v>
      </c>
      <c r="D1273" t="s">
        <v>141</v>
      </c>
      <c r="E1273" t="s">
        <v>2615</v>
      </c>
      <c r="F1273" t="s">
        <v>2623</v>
      </c>
      <c r="G1273" t="s">
        <v>69</v>
      </c>
      <c r="H1273" t="s">
        <v>2645</v>
      </c>
      <c r="I1273" t="s">
        <v>84</v>
      </c>
      <c r="J1273">
        <v>5</v>
      </c>
      <c r="K1273">
        <v>88.69</v>
      </c>
      <c r="L1273">
        <v>56.94</v>
      </c>
      <c r="M1273">
        <v>0</v>
      </c>
      <c r="N1273" t="s">
        <v>45</v>
      </c>
    </row>
    <row r="1274" spans="1:14" x14ac:dyDescent="0.25">
      <c r="A1274" t="s">
        <v>1795</v>
      </c>
      <c r="B1274" s="2">
        <v>45325</v>
      </c>
      <c r="C1274" t="s">
        <v>666</v>
      </c>
      <c r="D1274" t="s">
        <v>109</v>
      </c>
      <c r="E1274" t="s">
        <v>2616</v>
      </c>
      <c r="F1274" t="s">
        <v>2633</v>
      </c>
      <c r="G1274" t="s">
        <v>261</v>
      </c>
      <c r="H1274" t="s">
        <v>2646</v>
      </c>
      <c r="I1274" t="s">
        <v>75</v>
      </c>
      <c r="J1274">
        <v>25</v>
      </c>
      <c r="K1274">
        <v>133.19</v>
      </c>
      <c r="L1274">
        <v>76.63</v>
      </c>
      <c r="M1274">
        <v>0.15</v>
      </c>
      <c r="N1274" t="s">
        <v>45</v>
      </c>
    </row>
    <row r="1275" spans="1:14" x14ac:dyDescent="0.25">
      <c r="A1275" t="s">
        <v>1796</v>
      </c>
      <c r="B1275" s="2">
        <v>45517</v>
      </c>
      <c r="C1275" t="s">
        <v>1488</v>
      </c>
      <c r="D1275" t="s">
        <v>209</v>
      </c>
      <c r="E1275" t="s">
        <v>2617</v>
      </c>
      <c r="F1275" t="s">
        <v>2641</v>
      </c>
      <c r="G1275" t="s">
        <v>118</v>
      </c>
      <c r="H1275" t="s">
        <v>2647</v>
      </c>
      <c r="I1275" t="s">
        <v>2578</v>
      </c>
      <c r="J1275">
        <v>46</v>
      </c>
      <c r="K1275">
        <v>17.88</v>
      </c>
      <c r="L1275">
        <v>10.46</v>
      </c>
      <c r="M1275">
        <v>0.02</v>
      </c>
      <c r="N1275" t="s">
        <v>129</v>
      </c>
    </row>
    <row r="1276" spans="1:14" x14ac:dyDescent="0.25">
      <c r="A1276" t="s">
        <v>1797</v>
      </c>
      <c r="B1276" s="2">
        <v>45328</v>
      </c>
      <c r="C1276" t="s">
        <v>717</v>
      </c>
      <c r="D1276" t="s">
        <v>23</v>
      </c>
      <c r="E1276" t="s">
        <v>2617</v>
      </c>
      <c r="F1276" t="s">
        <v>2626</v>
      </c>
      <c r="G1276" t="s">
        <v>42</v>
      </c>
      <c r="H1276" t="s">
        <v>2647</v>
      </c>
      <c r="I1276" t="s">
        <v>2578</v>
      </c>
      <c r="J1276">
        <v>30</v>
      </c>
      <c r="K1276">
        <v>71.849999999999994</v>
      </c>
      <c r="L1276">
        <v>45.61</v>
      </c>
      <c r="M1276">
        <v>0.05</v>
      </c>
      <c r="N1276" t="s">
        <v>45</v>
      </c>
    </row>
    <row r="1277" spans="1:14" x14ac:dyDescent="0.25">
      <c r="A1277" t="s">
        <v>1798</v>
      </c>
      <c r="B1277" s="2">
        <v>45501</v>
      </c>
      <c r="C1277" t="s">
        <v>77</v>
      </c>
      <c r="D1277" t="s">
        <v>66</v>
      </c>
      <c r="E1277" t="s">
        <v>2618</v>
      </c>
      <c r="F1277" t="s">
        <v>2632</v>
      </c>
      <c r="G1277" t="s">
        <v>253</v>
      </c>
      <c r="H1277" t="s">
        <v>2646</v>
      </c>
      <c r="I1277" t="s">
        <v>84</v>
      </c>
      <c r="J1277">
        <v>47</v>
      </c>
      <c r="K1277">
        <v>171.31</v>
      </c>
      <c r="L1277">
        <v>106.81</v>
      </c>
      <c r="M1277">
        <v>0</v>
      </c>
      <c r="N1277" t="s">
        <v>129</v>
      </c>
    </row>
    <row r="1278" spans="1:14" x14ac:dyDescent="0.25">
      <c r="A1278" t="s">
        <v>1799</v>
      </c>
      <c r="B1278" s="2">
        <v>45384</v>
      </c>
      <c r="C1278" t="s">
        <v>1302</v>
      </c>
      <c r="D1278" t="s">
        <v>150</v>
      </c>
      <c r="E1278" t="s">
        <v>2614</v>
      </c>
      <c r="F1278" t="s">
        <v>2629</v>
      </c>
      <c r="G1278" t="s">
        <v>218</v>
      </c>
      <c r="H1278" t="s">
        <v>2645</v>
      </c>
      <c r="I1278" t="s">
        <v>70</v>
      </c>
      <c r="J1278">
        <v>4</v>
      </c>
      <c r="K1278">
        <v>79.510000000000005</v>
      </c>
      <c r="L1278">
        <v>50.6</v>
      </c>
      <c r="M1278">
        <v>0.2</v>
      </c>
      <c r="N1278" t="s">
        <v>45</v>
      </c>
    </row>
    <row r="1279" spans="1:14" x14ac:dyDescent="0.25">
      <c r="A1279" t="s">
        <v>1800</v>
      </c>
      <c r="B1279" s="2">
        <v>45505</v>
      </c>
      <c r="C1279" t="s">
        <v>237</v>
      </c>
      <c r="D1279" t="s">
        <v>49</v>
      </c>
      <c r="E1279" t="s">
        <v>2615</v>
      </c>
      <c r="F1279" t="s">
        <v>2627</v>
      </c>
      <c r="G1279" t="s">
        <v>111</v>
      </c>
      <c r="H1279" t="s">
        <v>2648</v>
      </c>
      <c r="I1279" t="s">
        <v>75</v>
      </c>
      <c r="J1279">
        <v>1</v>
      </c>
      <c r="K1279">
        <v>23.02</v>
      </c>
      <c r="L1279">
        <v>12.31</v>
      </c>
      <c r="M1279">
        <v>0.1</v>
      </c>
      <c r="N1279" t="s">
        <v>45</v>
      </c>
    </row>
    <row r="1280" spans="1:14" x14ac:dyDescent="0.25">
      <c r="A1280" t="s">
        <v>1801</v>
      </c>
      <c r="B1280" s="2">
        <v>45465</v>
      </c>
      <c r="C1280" t="s">
        <v>247</v>
      </c>
      <c r="D1280" t="s">
        <v>93</v>
      </c>
      <c r="E1280" t="s">
        <v>2615</v>
      </c>
      <c r="F1280" t="s">
        <v>2627</v>
      </c>
      <c r="G1280" t="s">
        <v>118</v>
      </c>
      <c r="H1280" t="s">
        <v>2647</v>
      </c>
      <c r="I1280" t="s">
        <v>44</v>
      </c>
      <c r="J1280">
        <v>15</v>
      </c>
      <c r="K1280">
        <v>58.24</v>
      </c>
      <c r="L1280">
        <v>33.159999999999997</v>
      </c>
      <c r="M1280">
        <v>0.2</v>
      </c>
      <c r="N1280" t="s">
        <v>45</v>
      </c>
    </row>
    <row r="1281" spans="1:14" x14ac:dyDescent="0.25">
      <c r="A1281" t="s">
        <v>1802</v>
      </c>
      <c r="B1281" s="2">
        <v>45448</v>
      </c>
      <c r="C1281" t="s">
        <v>864</v>
      </c>
      <c r="D1281" t="s">
        <v>250</v>
      </c>
      <c r="E1281" t="s">
        <v>2617</v>
      </c>
      <c r="F1281" t="s">
        <v>2641</v>
      </c>
      <c r="G1281" t="s">
        <v>2619</v>
      </c>
      <c r="H1281" t="s">
        <v>2646</v>
      </c>
      <c r="I1281" t="s">
        <v>2578</v>
      </c>
      <c r="J1281">
        <v>2</v>
      </c>
      <c r="K1281">
        <v>65.33</v>
      </c>
      <c r="L1281">
        <v>36.71</v>
      </c>
      <c r="M1281">
        <v>0</v>
      </c>
      <c r="N1281" t="s">
        <v>45</v>
      </c>
    </row>
    <row r="1282" spans="1:14" x14ac:dyDescent="0.25">
      <c r="A1282" t="s">
        <v>1803</v>
      </c>
      <c r="B1282" s="2">
        <v>45425</v>
      </c>
      <c r="C1282" t="s">
        <v>172</v>
      </c>
      <c r="D1282" t="s">
        <v>126</v>
      </c>
      <c r="E1282" t="s">
        <v>2618</v>
      </c>
      <c r="F1282" t="s">
        <v>2634</v>
      </c>
      <c r="G1282" t="s">
        <v>248</v>
      </c>
      <c r="H1282" t="s">
        <v>2648</v>
      </c>
      <c r="I1282" t="s">
        <v>84</v>
      </c>
      <c r="J1282">
        <v>49</v>
      </c>
      <c r="K1282">
        <v>91.92</v>
      </c>
      <c r="L1282">
        <v>56.15</v>
      </c>
      <c r="M1282">
        <v>0.05</v>
      </c>
      <c r="N1282" t="s">
        <v>45</v>
      </c>
    </row>
    <row r="1283" spans="1:14" x14ac:dyDescent="0.25">
      <c r="A1283" t="s">
        <v>1804</v>
      </c>
      <c r="B1283" s="2">
        <v>45459</v>
      </c>
      <c r="C1283" t="s">
        <v>1805</v>
      </c>
      <c r="D1283" t="s">
        <v>93</v>
      </c>
      <c r="E1283" t="s">
        <v>2617</v>
      </c>
      <c r="F1283" t="s">
        <v>2625</v>
      </c>
      <c r="G1283" t="s">
        <v>111</v>
      </c>
      <c r="H1283" t="s">
        <v>2647</v>
      </c>
      <c r="I1283" t="s">
        <v>75</v>
      </c>
      <c r="J1283">
        <v>16</v>
      </c>
      <c r="K1283">
        <v>56.73</v>
      </c>
      <c r="L1283">
        <v>33.04</v>
      </c>
      <c r="M1283">
        <v>0</v>
      </c>
      <c r="N1283" t="s">
        <v>45</v>
      </c>
    </row>
    <row r="1284" spans="1:14" x14ac:dyDescent="0.25">
      <c r="A1284" t="s">
        <v>1806</v>
      </c>
      <c r="B1284" s="2">
        <v>45426</v>
      </c>
      <c r="C1284" t="s">
        <v>707</v>
      </c>
      <c r="D1284" t="s">
        <v>66</v>
      </c>
      <c r="E1284" t="s">
        <v>2615</v>
      </c>
      <c r="F1284" t="s">
        <v>2627</v>
      </c>
      <c r="G1284" t="s">
        <v>111</v>
      </c>
      <c r="H1284" t="s">
        <v>2648</v>
      </c>
      <c r="I1284" t="s">
        <v>75</v>
      </c>
      <c r="J1284">
        <v>4</v>
      </c>
      <c r="K1284">
        <v>153.71</v>
      </c>
      <c r="L1284">
        <v>101.7</v>
      </c>
      <c r="M1284">
        <v>0</v>
      </c>
      <c r="N1284" t="s">
        <v>45</v>
      </c>
    </row>
    <row r="1285" spans="1:14" x14ac:dyDescent="0.25">
      <c r="A1285" t="s">
        <v>1807</v>
      </c>
      <c r="B1285" s="2">
        <v>45492</v>
      </c>
      <c r="C1285" t="s">
        <v>137</v>
      </c>
      <c r="D1285" t="s">
        <v>114</v>
      </c>
      <c r="E1285" t="s">
        <v>2618</v>
      </c>
      <c r="F1285" t="s">
        <v>2632</v>
      </c>
      <c r="G1285" t="s">
        <v>170</v>
      </c>
      <c r="H1285" t="s">
        <v>2645</v>
      </c>
      <c r="I1285" t="s">
        <v>84</v>
      </c>
      <c r="J1285">
        <v>39</v>
      </c>
      <c r="K1285">
        <v>32.44</v>
      </c>
      <c r="L1285">
        <v>19.87</v>
      </c>
      <c r="M1285">
        <v>0.2</v>
      </c>
      <c r="N1285" t="s">
        <v>45</v>
      </c>
    </row>
    <row r="1286" spans="1:14" x14ac:dyDescent="0.25">
      <c r="A1286" t="s">
        <v>1808</v>
      </c>
      <c r="B1286" s="2">
        <v>45332</v>
      </c>
      <c r="C1286" t="s">
        <v>255</v>
      </c>
      <c r="D1286" t="s">
        <v>216</v>
      </c>
      <c r="E1286" t="s">
        <v>2618</v>
      </c>
      <c r="F1286" t="s">
        <v>2634</v>
      </c>
      <c r="G1286" t="s">
        <v>178</v>
      </c>
      <c r="H1286" t="s">
        <v>2646</v>
      </c>
      <c r="I1286" t="s">
        <v>75</v>
      </c>
      <c r="J1286">
        <v>78</v>
      </c>
      <c r="K1286">
        <v>117.77</v>
      </c>
      <c r="L1286">
        <v>63.43</v>
      </c>
      <c r="M1286">
        <v>0.02</v>
      </c>
      <c r="N1286" t="s">
        <v>45</v>
      </c>
    </row>
    <row r="1287" spans="1:14" x14ac:dyDescent="0.25">
      <c r="A1287" t="s">
        <v>1809</v>
      </c>
      <c r="B1287" s="2">
        <v>45399</v>
      </c>
      <c r="C1287" t="s">
        <v>318</v>
      </c>
      <c r="D1287" t="s">
        <v>250</v>
      </c>
      <c r="E1287" t="s">
        <v>2617</v>
      </c>
      <c r="F1287" t="s">
        <v>2625</v>
      </c>
      <c r="G1287" t="s">
        <v>170</v>
      </c>
      <c r="H1287" t="s">
        <v>2647</v>
      </c>
      <c r="I1287" t="s">
        <v>70</v>
      </c>
      <c r="J1287">
        <v>59</v>
      </c>
      <c r="K1287">
        <v>61.13</v>
      </c>
      <c r="L1287">
        <v>39.979999999999997</v>
      </c>
      <c r="M1287">
        <v>0.15</v>
      </c>
      <c r="N1287" t="s">
        <v>32</v>
      </c>
    </row>
    <row r="1288" spans="1:14" x14ac:dyDescent="0.25">
      <c r="A1288" t="s">
        <v>1810</v>
      </c>
      <c r="B1288" s="2">
        <v>45298</v>
      </c>
      <c r="C1288" t="s">
        <v>371</v>
      </c>
      <c r="D1288" t="s">
        <v>222</v>
      </c>
      <c r="E1288" t="s">
        <v>2616</v>
      </c>
      <c r="F1288" t="s">
        <v>2638</v>
      </c>
      <c r="G1288" t="s">
        <v>144</v>
      </c>
      <c r="H1288" t="s">
        <v>2647</v>
      </c>
      <c r="I1288" t="s">
        <v>2578</v>
      </c>
      <c r="J1288">
        <v>21</v>
      </c>
      <c r="K1288">
        <v>116.43</v>
      </c>
      <c r="L1288">
        <v>82.85</v>
      </c>
      <c r="M1288">
        <v>0.15</v>
      </c>
      <c r="N1288" t="s">
        <v>45</v>
      </c>
    </row>
    <row r="1289" spans="1:14" x14ac:dyDescent="0.25">
      <c r="A1289" t="s">
        <v>1811</v>
      </c>
      <c r="B1289" s="2">
        <v>45318</v>
      </c>
      <c r="C1289" t="s">
        <v>276</v>
      </c>
      <c r="D1289" t="s">
        <v>23</v>
      </c>
      <c r="E1289" t="s">
        <v>2618</v>
      </c>
      <c r="F1289" t="s">
        <v>2635</v>
      </c>
      <c r="G1289" t="s">
        <v>111</v>
      </c>
      <c r="H1289" t="s">
        <v>2648</v>
      </c>
      <c r="I1289" t="s">
        <v>70</v>
      </c>
      <c r="J1289">
        <v>28</v>
      </c>
      <c r="K1289">
        <v>72</v>
      </c>
      <c r="L1289">
        <v>43.93</v>
      </c>
      <c r="M1289">
        <v>0</v>
      </c>
      <c r="N1289" t="s">
        <v>32</v>
      </c>
    </row>
    <row r="1290" spans="1:14" x14ac:dyDescent="0.25">
      <c r="A1290" t="s">
        <v>1812</v>
      </c>
      <c r="B1290" s="2">
        <v>45308</v>
      </c>
      <c r="C1290" t="s">
        <v>526</v>
      </c>
      <c r="D1290" t="s">
        <v>93</v>
      </c>
      <c r="E1290" t="s">
        <v>2616</v>
      </c>
      <c r="F1290" t="s">
        <v>2633</v>
      </c>
      <c r="G1290" t="s">
        <v>111</v>
      </c>
      <c r="H1290" t="s">
        <v>2645</v>
      </c>
      <c r="I1290" t="s">
        <v>70</v>
      </c>
      <c r="J1290">
        <v>8</v>
      </c>
      <c r="K1290">
        <v>52.7</v>
      </c>
      <c r="L1290">
        <v>34.090000000000003</v>
      </c>
      <c r="M1290">
        <v>0.05</v>
      </c>
      <c r="N1290" t="s">
        <v>45</v>
      </c>
    </row>
    <row r="1291" spans="1:14" x14ac:dyDescent="0.25">
      <c r="A1291" t="s">
        <v>1813</v>
      </c>
      <c r="B1291" s="2">
        <v>45630</v>
      </c>
      <c r="C1291" t="s">
        <v>47</v>
      </c>
      <c r="D1291" t="s">
        <v>109</v>
      </c>
      <c r="E1291" t="s">
        <v>2616</v>
      </c>
      <c r="F1291" t="s">
        <v>2631</v>
      </c>
      <c r="G1291" t="s">
        <v>253</v>
      </c>
      <c r="H1291" t="s">
        <v>2645</v>
      </c>
      <c r="I1291" t="s">
        <v>75</v>
      </c>
      <c r="J1291">
        <v>34</v>
      </c>
      <c r="K1291">
        <v>117.3</v>
      </c>
      <c r="L1291">
        <v>75.31</v>
      </c>
      <c r="M1291">
        <v>0</v>
      </c>
      <c r="N1291" t="s">
        <v>45</v>
      </c>
    </row>
    <row r="1292" spans="1:14" x14ac:dyDescent="0.25">
      <c r="A1292" t="s">
        <v>1814</v>
      </c>
      <c r="B1292" s="2">
        <v>45350</v>
      </c>
      <c r="C1292" t="s">
        <v>410</v>
      </c>
      <c r="D1292" t="s">
        <v>132</v>
      </c>
      <c r="E1292" t="s">
        <v>2614</v>
      </c>
      <c r="F1292" t="s">
        <v>2629</v>
      </c>
      <c r="G1292" t="s">
        <v>152</v>
      </c>
      <c r="H1292" t="s">
        <v>2647</v>
      </c>
      <c r="I1292" t="s">
        <v>84</v>
      </c>
      <c r="J1292">
        <v>14</v>
      </c>
      <c r="K1292">
        <v>56.42</v>
      </c>
      <c r="L1292">
        <v>33.44</v>
      </c>
      <c r="M1292">
        <v>0.1</v>
      </c>
      <c r="N1292" t="s">
        <v>32</v>
      </c>
    </row>
    <row r="1293" spans="1:14" x14ac:dyDescent="0.25">
      <c r="A1293" t="s">
        <v>1815</v>
      </c>
      <c r="B1293" s="2">
        <v>45296</v>
      </c>
      <c r="C1293" t="s">
        <v>1171</v>
      </c>
      <c r="D1293" t="s">
        <v>141</v>
      </c>
      <c r="E1293" t="s">
        <v>2614</v>
      </c>
      <c r="F1293" t="s">
        <v>2629</v>
      </c>
      <c r="G1293" t="s">
        <v>74</v>
      </c>
      <c r="H1293" t="s">
        <v>2647</v>
      </c>
      <c r="I1293" t="s">
        <v>84</v>
      </c>
      <c r="J1293">
        <v>46</v>
      </c>
      <c r="K1293">
        <v>95.66</v>
      </c>
      <c r="L1293">
        <v>54.12</v>
      </c>
      <c r="M1293">
        <v>0.05</v>
      </c>
      <c r="N1293" t="s">
        <v>45</v>
      </c>
    </row>
    <row r="1294" spans="1:14" x14ac:dyDescent="0.25">
      <c r="A1294" t="s">
        <v>1816</v>
      </c>
      <c r="B1294" s="2">
        <v>45553</v>
      </c>
      <c r="C1294" t="s">
        <v>466</v>
      </c>
      <c r="D1294" t="s">
        <v>99</v>
      </c>
      <c r="E1294" t="s">
        <v>2616</v>
      </c>
      <c r="F1294" t="s">
        <v>2631</v>
      </c>
      <c r="G1294" t="s">
        <v>170</v>
      </c>
      <c r="H1294" t="s">
        <v>2647</v>
      </c>
      <c r="I1294" t="s">
        <v>70</v>
      </c>
      <c r="J1294">
        <v>30</v>
      </c>
      <c r="K1294">
        <v>65.150000000000006</v>
      </c>
      <c r="L1294">
        <v>41.12</v>
      </c>
      <c r="M1294">
        <v>0.15</v>
      </c>
      <c r="N1294" t="s">
        <v>32</v>
      </c>
    </row>
    <row r="1295" spans="1:14" x14ac:dyDescent="0.25">
      <c r="A1295" t="s">
        <v>1817</v>
      </c>
      <c r="B1295" s="2">
        <v>45544</v>
      </c>
      <c r="C1295" t="s">
        <v>859</v>
      </c>
      <c r="D1295" t="s">
        <v>78</v>
      </c>
      <c r="E1295" t="s">
        <v>2614</v>
      </c>
      <c r="F1295" t="s">
        <v>2629</v>
      </c>
      <c r="G1295" t="s">
        <v>69</v>
      </c>
      <c r="H1295" t="s">
        <v>2645</v>
      </c>
      <c r="I1295" t="s">
        <v>70</v>
      </c>
      <c r="J1295">
        <v>78</v>
      </c>
      <c r="K1295">
        <v>141.21</v>
      </c>
      <c r="L1295">
        <v>79.45</v>
      </c>
      <c r="M1295">
        <v>0.02</v>
      </c>
      <c r="N1295" t="s">
        <v>45</v>
      </c>
    </row>
    <row r="1296" spans="1:14" x14ac:dyDescent="0.25">
      <c r="A1296" t="s">
        <v>1818</v>
      </c>
      <c r="B1296" s="2">
        <v>45621</v>
      </c>
      <c r="C1296" t="s">
        <v>1265</v>
      </c>
      <c r="D1296" t="s">
        <v>176</v>
      </c>
      <c r="E1296" t="s">
        <v>2615</v>
      </c>
      <c r="F1296" t="s">
        <v>2630</v>
      </c>
      <c r="G1296" t="s">
        <v>111</v>
      </c>
      <c r="H1296" t="s">
        <v>2646</v>
      </c>
      <c r="I1296" t="s">
        <v>70</v>
      </c>
      <c r="J1296">
        <v>3</v>
      </c>
      <c r="K1296">
        <v>111.49</v>
      </c>
      <c r="L1296">
        <v>67.38</v>
      </c>
      <c r="M1296">
        <v>0.1</v>
      </c>
      <c r="N1296" t="s">
        <v>32</v>
      </c>
    </row>
    <row r="1297" spans="1:14" x14ac:dyDescent="0.25">
      <c r="A1297" t="s">
        <v>1819</v>
      </c>
      <c r="B1297" s="2">
        <v>45536</v>
      </c>
      <c r="C1297" t="s">
        <v>180</v>
      </c>
      <c r="D1297" t="s">
        <v>114</v>
      </c>
      <c r="E1297" t="s">
        <v>2615</v>
      </c>
      <c r="F1297" t="s">
        <v>2627</v>
      </c>
      <c r="G1297" t="s">
        <v>29</v>
      </c>
      <c r="H1297" t="s">
        <v>2645</v>
      </c>
      <c r="I1297" t="s">
        <v>75</v>
      </c>
      <c r="J1297">
        <v>70</v>
      </c>
      <c r="K1297">
        <v>35.56</v>
      </c>
      <c r="L1297">
        <v>21.55</v>
      </c>
      <c r="M1297">
        <v>0</v>
      </c>
      <c r="N1297" t="s">
        <v>45</v>
      </c>
    </row>
    <row r="1298" spans="1:14" x14ac:dyDescent="0.25">
      <c r="A1298" t="s">
        <v>1820</v>
      </c>
      <c r="B1298" s="2">
        <v>45546</v>
      </c>
      <c r="C1298" t="s">
        <v>64</v>
      </c>
      <c r="D1298" t="s">
        <v>176</v>
      </c>
      <c r="E1298" t="s">
        <v>2614</v>
      </c>
      <c r="F1298" t="s">
        <v>2636</v>
      </c>
      <c r="G1298" t="s">
        <v>170</v>
      </c>
      <c r="H1298" t="s">
        <v>2645</v>
      </c>
      <c r="I1298" t="s">
        <v>84</v>
      </c>
      <c r="J1298">
        <v>25</v>
      </c>
      <c r="K1298">
        <v>98.2</v>
      </c>
      <c r="L1298">
        <v>62.5</v>
      </c>
      <c r="M1298">
        <v>0.2</v>
      </c>
      <c r="N1298" t="s">
        <v>129</v>
      </c>
    </row>
    <row r="1299" spans="1:14" x14ac:dyDescent="0.25">
      <c r="A1299" t="s">
        <v>1821</v>
      </c>
      <c r="B1299" s="2">
        <v>45313</v>
      </c>
      <c r="C1299" t="s">
        <v>519</v>
      </c>
      <c r="D1299" t="s">
        <v>250</v>
      </c>
      <c r="E1299" t="s">
        <v>2616</v>
      </c>
      <c r="F1299" t="s">
        <v>2633</v>
      </c>
      <c r="G1299" t="s">
        <v>60</v>
      </c>
      <c r="H1299" t="s">
        <v>2648</v>
      </c>
      <c r="I1299" t="s">
        <v>84</v>
      </c>
      <c r="J1299">
        <v>29</v>
      </c>
      <c r="K1299">
        <v>67.36</v>
      </c>
      <c r="L1299">
        <v>38.380000000000003</v>
      </c>
      <c r="M1299">
        <v>0.02</v>
      </c>
      <c r="N1299" t="s">
        <v>45</v>
      </c>
    </row>
    <row r="1300" spans="1:14" x14ac:dyDescent="0.25">
      <c r="A1300" t="s">
        <v>1822</v>
      </c>
      <c r="B1300" s="2">
        <v>45582</v>
      </c>
      <c r="C1300" t="s">
        <v>1744</v>
      </c>
      <c r="D1300" t="s">
        <v>209</v>
      </c>
      <c r="E1300" t="s">
        <v>2618</v>
      </c>
      <c r="F1300" t="s">
        <v>2632</v>
      </c>
      <c r="G1300" t="s">
        <v>42</v>
      </c>
      <c r="H1300" t="s">
        <v>2647</v>
      </c>
      <c r="I1300" t="s">
        <v>2578</v>
      </c>
      <c r="J1300">
        <v>23</v>
      </c>
      <c r="K1300">
        <v>19.3</v>
      </c>
      <c r="L1300">
        <v>10.130000000000001</v>
      </c>
      <c r="M1300">
        <v>0.05</v>
      </c>
      <c r="N1300" t="s">
        <v>32</v>
      </c>
    </row>
    <row r="1301" spans="1:14" x14ac:dyDescent="0.25">
      <c r="A1301" t="s">
        <v>1823</v>
      </c>
      <c r="B1301" s="2">
        <v>45415</v>
      </c>
      <c r="C1301" t="s">
        <v>693</v>
      </c>
      <c r="D1301" t="s">
        <v>66</v>
      </c>
      <c r="E1301" t="s">
        <v>2616</v>
      </c>
      <c r="F1301" t="s">
        <v>2631</v>
      </c>
      <c r="G1301" t="s">
        <v>111</v>
      </c>
      <c r="H1301" t="s">
        <v>2647</v>
      </c>
      <c r="I1301" t="s">
        <v>75</v>
      </c>
      <c r="J1301">
        <v>11</v>
      </c>
      <c r="K1301">
        <v>165.35</v>
      </c>
      <c r="L1301">
        <v>110.17</v>
      </c>
      <c r="M1301">
        <v>0.15</v>
      </c>
      <c r="N1301" t="s">
        <v>45</v>
      </c>
    </row>
    <row r="1302" spans="1:14" x14ac:dyDescent="0.25">
      <c r="A1302" t="s">
        <v>1824</v>
      </c>
      <c r="B1302" s="2">
        <v>45601</v>
      </c>
      <c r="C1302" t="s">
        <v>280</v>
      </c>
      <c r="D1302" t="s">
        <v>109</v>
      </c>
      <c r="E1302" t="s">
        <v>2615</v>
      </c>
      <c r="F1302" t="s">
        <v>2630</v>
      </c>
      <c r="G1302" t="s">
        <v>29</v>
      </c>
      <c r="H1302" t="s">
        <v>2648</v>
      </c>
      <c r="I1302" t="s">
        <v>2578</v>
      </c>
      <c r="J1302">
        <v>20</v>
      </c>
      <c r="K1302">
        <v>122.97</v>
      </c>
      <c r="L1302">
        <v>75.37</v>
      </c>
      <c r="M1302">
        <v>0.2</v>
      </c>
      <c r="N1302" t="s">
        <v>45</v>
      </c>
    </row>
    <row r="1303" spans="1:14" x14ac:dyDescent="0.25">
      <c r="A1303" t="s">
        <v>1825</v>
      </c>
      <c r="B1303" s="2">
        <v>45628</v>
      </c>
      <c r="C1303" t="s">
        <v>339</v>
      </c>
      <c r="D1303" t="s">
        <v>132</v>
      </c>
      <c r="E1303" t="s">
        <v>2616</v>
      </c>
      <c r="F1303" t="s">
        <v>2631</v>
      </c>
      <c r="G1303" t="s">
        <v>265</v>
      </c>
      <c r="H1303" t="s">
        <v>2648</v>
      </c>
      <c r="I1303" t="s">
        <v>44</v>
      </c>
      <c r="J1303">
        <v>16</v>
      </c>
      <c r="K1303">
        <v>56.24</v>
      </c>
      <c r="L1303">
        <v>33.119999999999997</v>
      </c>
      <c r="M1303">
        <v>0.2</v>
      </c>
      <c r="N1303" t="s">
        <v>45</v>
      </c>
    </row>
    <row r="1304" spans="1:14" x14ac:dyDescent="0.25">
      <c r="A1304" t="s">
        <v>1826</v>
      </c>
      <c r="B1304" s="2">
        <v>45471</v>
      </c>
      <c r="C1304" t="s">
        <v>572</v>
      </c>
      <c r="D1304" t="s">
        <v>250</v>
      </c>
      <c r="E1304" t="s">
        <v>2618</v>
      </c>
      <c r="F1304" t="s">
        <v>2632</v>
      </c>
      <c r="G1304" t="s">
        <v>170</v>
      </c>
      <c r="H1304" t="s">
        <v>2647</v>
      </c>
      <c r="I1304" t="s">
        <v>2578</v>
      </c>
      <c r="J1304">
        <v>40</v>
      </c>
      <c r="K1304">
        <v>67.819999999999993</v>
      </c>
      <c r="L1304">
        <v>35.409999999999997</v>
      </c>
      <c r="M1304">
        <v>0.02</v>
      </c>
      <c r="N1304" t="s">
        <v>45</v>
      </c>
    </row>
    <row r="1305" spans="1:14" x14ac:dyDescent="0.25">
      <c r="A1305" t="s">
        <v>1827</v>
      </c>
      <c r="B1305" s="2">
        <v>45644</v>
      </c>
      <c r="C1305" t="s">
        <v>739</v>
      </c>
      <c r="D1305" t="s">
        <v>23</v>
      </c>
      <c r="E1305" t="s">
        <v>2615</v>
      </c>
      <c r="F1305" t="s">
        <v>2630</v>
      </c>
      <c r="G1305" t="s">
        <v>83</v>
      </c>
      <c r="H1305" t="s">
        <v>2647</v>
      </c>
      <c r="I1305" t="s">
        <v>70</v>
      </c>
      <c r="J1305">
        <v>9</v>
      </c>
      <c r="K1305">
        <v>69.06</v>
      </c>
      <c r="L1305">
        <v>47.18</v>
      </c>
      <c r="M1305">
        <v>0.05</v>
      </c>
      <c r="N1305" t="s">
        <v>32</v>
      </c>
    </row>
    <row r="1306" spans="1:14" x14ac:dyDescent="0.25">
      <c r="A1306" t="s">
        <v>1828</v>
      </c>
      <c r="B1306" s="2">
        <v>45504</v>
      </c>
      <c r="C1306" t="s">
        <v>231</v>
      </c>
      <c r="D1306" t="s">
        <v>23</v>
      </c>
      <c r="E1306" t="s">
        <v>2615</v>
      </c>
      <c r="F1306" t="s">
        <v>2640</v>
      </c>
      <c r="G1306" t="s">
        <v>248</v>
      </c>
      <c r="H1306" t="s">
        <v>2647</v>
      </c>
      <c r="I1306" t="s">
        <v>2578</v>
      </c>
      <c r="J1306">
        <v>62</v>
      </c>
      <c r="K1306">
        <v>73.09</v>
      </c>
      <c r="L1306">
        <v>41.28</v>
      </c>
      <c r="M1306">
        <v>0.1</v>
      </c>
      <c r="N1306" t="s">
        <v>45</v>
      </c>
    </row>
    <row r="1307" spans="1:14" x14ac:dyDescent="0.25">
      <c r="A1307" t="s">
        <v>1829</v>
      </c>
      <c r="B1307" s="2">
        <v>45633</v>
      </c>
      <c r="C1307" t="s">
        <v>664</v>
      </c>
      <c r="D1307" t="s">
        <v>66</v>
      </c>
      <c r="E1307" t="s">
        <v>2617</v>
      </c>
      <c r="F1307" t="s">
        <v>2642</v>
      </c>
      <c r="G1307" t="s">
        <v>42</v>
      </c>
      <c r="H1307" t="s">
        <v>2647</v>
      </c>
      <c r="I1307" t="s">
        <v>75</v>
      </c>
      <c r="J1307">
        <v>34</v>
      </c>
      <c r="K1307">
        <v>156.79</v>
      </c>
      <c r="L1307">
        <v>104.83</v>
      </c>
      <c r="M1307">
        <v>0.2</v>
      </c>
      <c r="N1307" t="s">
        <v>45</v>
      </c>
    </row>
    <row r="1308" spans="1:14" x14ac:dyDescent="0.25">
      <c r="A1308" t="s">
        <v>1830</v>
      </c>
      <c r="B1308" s="2">
        <v>45340</v>
      </c>
      <c r="C1308" t="s">
        <v>1831</v>
      </c>
      <c r="D1308" t="s">
        <v>165</v>
      </c>
      <c r="E1308" t="s">
        <v>2615</v>
      </c>
      <c r="F1308" t="s">
        <v>2623</v>
      </c>
      <c r="G1308" t="s">
        <v>152</v>
      </c>
      <c r="H1308" t="s">
        <v>2648</v>
      </c>
      <c r="I1308" t="s">
        <v>84</v>
      </c>
      <c r="J1308">
        <v>76</v>
      </c>
      <c r="K1308">
        <v>43.27</v>
      </c>
      <c r="L1308">
        <v>23.56</v>
      </c>
      <c r="M1308">
        <v>0.1</v>
      </c>
      <c r="N1308" t="s">
        <v>45</v>
      </c>
    </row>
    <row r="1309" spans="1:14" x14ac:dyDescent="0.25">
      <c r="A1309" t="s">
        <v>1832</v>
      </c>
      <c r="B1309" s="2">
        <v>45373</v>
      </c>
      <c r="C1309" t="s">
        <v>517</v>
      </c>
      <c r="D1309" t="s">
        <v>23</v>
      </c>
      <c r="E1309" t="s">
        <v>2616</v>
      </c>
      <c r="F1309" t="s">
        <v>2631</v>
      </c>
      <c r="G1309" t="s">
        <v>42</v>
      </c>
      <c r="H1309" t="s">
        <v>2647</v>
      </c>
      <c r="I1309" t="s">
        <v>44</v>
      </c>
      <c r="J1309">
        <v>78</v>
      </c>
      <c r="K1309">
        <v>75.42</v>
      </c>
      <c r="L1309">
        <v>42</v>
      </c>
      <c r="M1309">
        <v>0.15</v>
      </c>
      <c r="N1309" t="s">
        <v>129</v>
      </c>
    </row>
    <row r="1310" spans="1:14" x14ac:dyDescent="0.25">
      <c r="A1310" t="s">
        <v>1833</v>
      </c>
      <c r="B1310" s="2">
        <v>45481</v>
      </c>
      <c r="C1310" t="s">
        <v>679</v>
      </c>
      <c r="D1310" t="s">
        <v>78</v>
      </c>
      <c r="E1310" t="s">
        <v>2617</v>
      </c>
      <c r="F1310" t="s">
        <v>2626</v>
      </c>
      <c r="G1310" t="s">
        <v>253</v>
      </c>
      <c r="H1310" t="s">
        <v>2648</v>
      </c>
      <c r="I1310" t="s">
        <v>70</v>
      </c>
      <c r="J1310">
        <v>47</v>
      </c>
      <c r="K1310">
        <v>140.66</v>
      </c>
      <c r="L1310">
        <v>78.61</v>
      </c>
      <c r="M1310">
        <v>0.02</v>
      </c>
      <c r="N1310" t="s">
        <v>129</v>
      </c>
    </row>
    <row r="1311" spans="1:14" x14ac:dyDescent="0.25">
      <c r="A1311" t="s">
        <v>1834</v>
      </c>
      <c r="B1311" s="2">
        <v>45511</v>
      </c>
      <c r="C1311" t="s">
        <v>499</v>
      </c>
      <c r="D1311" t="s">
        <v>93</v>
      </c>
      <c r="E1311" t="s">
        <v>2614</v>
      </c>
      <c r="F1311" t="s">
        <v>2622</v>
      </c>
      <c r="G1311" t="s">
        <v>218</v>
      </c>
      <c r="H1311" t="s">
        <v>2646</v>
      </c>
      <c r="I1311" t="s">
        <v>70</v>
      </c>
      <c r="J1311">
        <v>6</v>
      </c>
      <c r="K1311">
        <v>55.5</v>
      </c>
      <c r="L1311">
        <v>30.62</v>
      </c>
      <c r="M1311">
        <v>0.15</v>
      </c>
      <c r="N1311" t="s">
        <v>32</v>
      </c>
    </row>
    <row r="1312" spans="1:14" x14ac:dyDescent="0.25">
      <c r="A1312" t="s">
        <v>1835</v>
      </c>
      <c r="B1312" s="2">
        <v>45404</v>
      </c>
      <c r="C1312" t="s">
        <v>382</v>
      </c>
      <c r="D1312" t="s">
        <v>114</v>
      </c>
      <c r="E1312" t="s">
        <v>2618</v>
      </c>
      <c r="F1312" t="s">
        <v>2634</v>
      </c>
      <c r="G1312" t="s">
        <v>42</v>
      </c>
      <c r="H1312" t="s">
        <v>2646</v>
      </c>
      <c r="I1312" t="s">
        <v>75</v>
      </c>
      <c r="J1312">
        <v>15</v>
      </c>
      <c r="K1312">
        <v>37.08</v>
      </c>
      <c r="L1312">
        <v>21.89</v>
      </c>
      <c r="M1312">
        <v>0</v>
      </c>
      <c r="N1312" t="s">
        <v>45</v>
      </c>
    </row>
    <row r="1313" spans="1:14" x14ac:dyDescent="0.25">
      <c r="A1313" t="s">
        <v>1836</v>
      </c>
      <c r="B1313" s="2">
        <v>45564</v>
      </c>
      <c r="C1313" t="s">
        <v>186</v>
      </c>
      <c r="D1313" t="s">
        <v>109</v>
      </c>
      <c r="E1313" t="s">
        <v>2618</v>
      </c>
      <c r="F1313" t="s">
        <v>2632</v>
      </c>
      <c r="G1313" t="s">
        <v>118</v>
      </c>
      <c r="H1313" t="s">
        <v>2648</v>
      </c>
      <c r="I1313" t="s">
        <v>70</v>
      </c>
      <c r="J1313">
        <v>7</v>
      </c>
      <c r="K1313">
        <v>125.15</v>
      </c>
      <c r="L1313">
        <v>78.430000000000007</v>
      </c>
      <c r="M1313">
        <v>0.2</v>
      </c>
      <c r="N1313" t="s">
        <v>32</v>
      </c>
    </row>
    <row r="1314" spans="1:14" x14ac:dyDescent="0.25">
      <c r="A1314" t="s">
        <v>1837</v>
      </c>
      <c r="B1314" s="2">
        <v>45462</v>
      </c>
      <c r="C1314" t="s">
        <v>201</v>
      </c>
      <c r="D1314" t="s">
        <v>250</v>
      </c>
      <c r="E1314" t="s">
        <v>2616</v>
      </c>
      <c r="F1314" t="s">
        <v>2624</v>
      </c>
      <c r="G1314" t="s">
        <v>261</v>
      </c>
      <c r="H1314" t="s">
        <v>2646</v>
      </c>
      <c r="I1314" t="s">
        <v>75</v>
      </c>
      <c r="J1314">
        <v>26</v>
      </c>
      <c r="K1314">
        <v>64.3</v>
      </c>
      <c r="L1314">
        <v>37.74</v>
      </c>
      <c r="M1314">
        <v>0.2</v>
      </c>
      <c r="N1314" t="s">
        <v>45</v>
      </c>
    </row>
    <row r="1315" spans="1:14" x14ac:dyDescent="0.25">
      <c r="A1315" t="s">
        <v>1838</v>
      </c>
      <c r="B1315" s="2">
        <v>45353</v>
      </c>
      <c r="C1315" t="s">
        <v>1706</v>
      </c>
      <c r="D1315" t="s">
        <v>165</v>
      </c>
      <c r="E1315" t="s">
        <v>2615</v>
      </c>
      <c r="F1315" t="s">
        <v>2640</v>
      </c>
      <c r="G1315" t="s">
        <v>83</v>
      </c>
      <c r="H1315" t="s">
        <v>2647</v>
      </c>
      <c r="I1315" t="s">
        <v>2619</v>
      </c>
      <c r="J1315">
        <v>80</v>
      </c>
      <c r="K1315">
        <v>41.43</v>
      </c>
      <c r="L1315">
        <v>24.72</v>
      </c>
      <c r="M1315">
        <v>0</v>
      </c>
      <c r="N1315" t="s">
        <v>32</v>
      </c>
    </row>
    <row r="1316" spans="1:14" x14ac:dyDescent="0.25">
      <c r="A1316" t="s">
        <v>1839</v>
      </c>
      <c r="B1316" s="2">
        <v>45516</v>
      </c>
      <c r="C1316" t="s">
        <v>1033</v>
      </c>
      <c r="D1316" t="s">
        <v>23</v>
      </c>
      <c r="E1316" t="s">
        <v>2617</v>
      </c>
      <c r="F1316" t="s">
        <v>2641</v>
      </c>
      <c r="G1316" t="s">
        <v>60</v>
      </c>
      <c r="H1316" t="s">
        <v>2646</v>
      </c>
      <c r="I1316" t="s">
        <v>2578</v>
      </c>
      <c r="J1316">
        <v>2</v>
      </c>
      <c r="K1316">
        <v>80.400000000000006</v>
      </c>
      <c r="L1316">
        <v>43.62</v>
      </c>
      <c r="M1316">
        <v>0.02</v>
      </c>
      <c r="N1316" t="s">
        <v>45</v>
      </c>
    </row>
    <row r="1317" spans="1:14" x14ac:dyDescent="0.25">
      <c r="A1317" t="s">
        <v>1840</v>
      </c>
      <c r="B1317" s="2">
        <v>45455</v>
      </c>
      <c r="C1317" t="s">
        <v>350</v>
      </c>
      <c r="D1317" t="s">
        <v>222</v>
      </c>
      <c r="E1317" t="s">
        <v>2618</v>
      </c>
      <c r="F1317" t="s">
        <v>2635</v>
      </c>
      <c r="G1317" t="s">
        <v>83</v>
      </c>
      <c r="H1317" t="s">
        <v>2645</v>
      </c>
      <c r="I1317" t="s">
        <v>70</v>
      </c>
      <c r="J1317">
        <v>22</v>
      </c>
      <c r="K1317">
        <v>112.55</v>
      </c>
      <c r="L1317">
        <v>76.73</v>
      </c>
      <c r="M1317">
        <v>0.2</v>
      </c>
      <c r="N1317" t="s">
        <v>45</v>
      </c>
    </row>
    <row r="1318" spans="1:14" x14ac:dyDescent="0.25">
      <c r="A1318" t="s">
        <v>1841</v>
      </c>
      <c r="B1318" s="2">
        <v>45459</v>
      </c>
      <c r="C1318" t="s">
        <v>414</v>
      </c>
      <c r="D1318" t="s">
        <v>222</v>
      </c>
      <c r="E1318" t="s">
        <v>2618</v>
      </c>
      <c r="F1318" t="s">
        <v>2634</v>
      </c>
      <c r="G1318" t="s">
        <v>261</v>
      </c>
      <c r="H1318" t="s">
        <v>2645</v>
      </c>
      <c r="I1318" t="s">
        <v>44</v>
      </c>
      <c r="J1318">
        <v>21</v>
      </c>
      <c r="K1318">
        <v>116.28</v>
      </c>
      <c r="L1318">
        <v>81.61</v>
      </c>
      <c r="M1318">
        <v>0.15</v>
      </c>
      <c r="N1318" t="s">
        <v>129</v>
      </c>
    </row>
    <row r="1319" spans="1:14" x14ac:dyDescent="0.25">
      <c r="A1319" t="s">
        <v>1842</v>
      </c>
      <c r="B1319" s="2">
        <v>45494</v>
      </c>
      <c r="C1319" t="s">
        <v>1028</v>
      </c>
      <c r="D1319" t="s">
        <v>141</v>
      </c>
      <c r="E1319" t="s">
        <v>2618</v>
      </c>
      <c r="F1319" t="s">
        <v>2635</v>
      </c>
      <c r="G1319" t="s">
        <v>218</v>
      </c>
      <c r="H1319" t="s">
        <v>2645</v>
      </c>
      <c r="I1319" t="s">
        <v>84</v>
      </c>
      <c r="J1319">
        <v>17</v>
      </c>
      <c r="K1319">
        <v>88.75</v>
      </c>
      <c r="L1319">
        <v>55.18</v>
      </c>
      <c r="M1319">
        <v>0.2</v>
      </c>
      <c r="N1319" t="s">
        <v>45</v>
      </c>
    </row>
    <row r="1320" spans="1:14" x14ac:dyDescent="0.25">
      <c r="A1320" t="s">
        <v>1843</v>
      </c>
      <c r="B1320" s="2">
        <v>45559</v>
      </c>
      <c r="C1320" t="s">
        <v>146</v>
      </c>
      <c r="D1320" t="s">
        <v>150</v>
      </c>
      <c r="E1320" t="s">
        <v>2618</v>
      </c>
      <c r="F1320" t="s">
        <v>2635</v>
      </c>
      <c r="G1320" t="s">
        <v>74</v>
      </c>
      <c r="H1320" t="s">
        <v>2648</v>
      </c>
      <c r="I1320" t="s">
        <v>2578</v>
      </c>
      <c r="J1320">
        <v>27</v>
      </c>
      <c r="K1320">
        <v>91.27</v>
      </c>
      <c r="L1320">
        <v>50.1</v>
      </c>
      <c r="M1320">
        <v>0.15</v>
      </c>
      <c r="N1320" t="s">
        <v>45</v>
      </c>
    </row>
    <row r="1321" spans="1:14" x14ac:dyDescent="0.25">
      <c r="A1321" t="s">
        <v>1844</v>
      </c>
      <c r="B1321" s="2">
        <v>45483</v>
      </c>
      <c r="C1321" t="s">
        <v>1744</v>
      </c>
      <c r="D1321" t="s">
        <v>165</v>
      </c>
      <c r="E1321" t="s">
        <v>2618</v>
      </c>
      <c r="F1321" t="s">
        <v>2628</v>
      </c>
      <c r="G1321" t="s">
        <v>144</v>
      </c>
      <c r="H1321" t="s">
        <v>2647</v>
      </c>
      <c r="I1321" t="s">
        <v>75</v>
      </c>
      <c r="J1321">
        <v>21</v>
      </c>
      <c r="K1321">
        <v>38.65</v>
      </c>
      <c r="L1321">
        <v>24.2</v>
      </c>
      <c r="M1321">
        <v>0</v>
      </c>
      <c r="N1321" t="s">
        <v>32</v>
      </c>
    </row>
    <row r="1322" spans="1:14" x14ac:dyDescent="0.25">
      <c r="A1322" t="s">
        <v>1845</v>
      </c>
      <c r="B1322" s="2">
        <v>45332</v>
      </c>
      <c r="C1322" t="s">
        <v>917</v>
      </c>
      <c r="D1322" t="s">
        <v>109</v>
      </c>
      <c r="E1322" t="s">
        <v>2614</v>
      </c>
      <c r="F1322" t="s">
        <v>2636</v>
      </c>
      <c r="G1322" t="s">
        <v>265</v>
      </c>
      <c r="H1322" t="s">
        <v>2648</v>
      </c>
      <c r="I1322" t="s">
        <v>44</v>
      </c>
      <c r="J1322">
        <v>23</v>
      </c>
      <c r="K1322">
        <v>128.24</v>
      </c>
      <c r="L1322">
        <v>76.97</v>
      </c>
      <c r="M1322">
        <v>0.05</v>
      </c>
      <c r="N1322" t="s">
        <v>45</v>
      </c>
    </row>
    <row r="1323" spans="1:14" x14ac:dyDescent="0.25">
      <c r="A1323" t="s">
        <v>1846</v>
      </c>
      <c r="B1323" s="2">
        <v>45579</v>
      </c>
      <c r="C1323" t="s">
        <v>213</v>
      </c>
      <c r="D1323" t="s">
        <v>216</v>
      </c>
      <c r="E1323" t="s">
        <v>2618</v>
      </c>
      <c r="F1323" t="s">
        <v>2634</v>
      </c>
      <c r="G1323" t="s">
        <v>90</v>
      </c>
      <c r="H1323" t="s">
        <v>2648</v>
      </c>
      <c r="I1323" t="s">
        <v>84</v>
      </c>
      <c r="J1323">
        <v>33</v>
      </c>
      <c r="K1323">
        <v>102.95</v>
      </c>
      <c r="L1323">
        <v>65.94</v>
      </c>
      <c r="M1323">
        <v>0</v>
      </c>
      <c r="N1323" t="s">
        <v>32</v>
      </c>
    </row>
    <row r="1324" spans="1:14" x14ac:dyDescent="0.25">
      <c r="A1324" t="s">
        <v>1847</v>
      </c>
      <c r="B1324" s="2">
        <v>45448</v>
      </c>
      <c r="C1324" t="s">
        <v>468</v>
      </c>
      <c r="D1324" t="s">
        <v>222</v>
      </c>
      <c r="E1324" t="s">
        <v>2617</v>
      </c>
      <c r="F1324" t="s">
        <v>2625</v>
      </c>
      <c r="G1324" t="s">
        <v>144</v>
      </c>
      <c r="H1324" t="s">
        <v>2645</v>
      </c>
      <c r="I1324" t="s">
        <v>84</v>
      </c>
      <c r="J1324">
        <v>58</v>
      </c>
      <c r="K1324">
        <v>119.5</v>
      </c>
      <c r="L1324">
        <v>72.98</v>
      </c>
      <c r="M1324">
        <v>0.15</v>
      </c>
      <c r="N1324" t="s">
        <v>45</v>
      </c>
    </row>
    <row r="1325" spans="1:14" x14ac:dyDescent="0.25">
      <c r="A1325" t="s">
        <v>1848</v>
      </c>
      <c r="B1325" s="2">
        <v>45326</v>
      </c>
      <c r="C1325" t="s">
        <v>387</v>
      </c>
      <c r="D1325" t="s">
        <v>209</v>
      </c>
      <c r="E1325" t="s">
        <v>2615</v>
      </c>
      <c r="F1325" t="s">
        <v>2630</v>
      </c>
      <c r="G1325" t="s">
        <v>118</v>
      </c>
      <c r="H1325" t="s">
        <v>2648</v>
      </c>
      <c r="I1325" t="s">
        <v>84</v>
      </c>
      <c r="J1325">
        <v>78</v>
      </c>
      <c r="K1325">
        <v>17.8</v>
      </c>
      <c r="L1325">
        <v>10.53</v>
      </c>
      <c r="M1325">
        <v>0.1</v>
      </c>
      <c r="N1325" t="s">
        <v>129</v>
      </c>
    </row>
    <row r="1326" spans="1:14" x14ac:dyDescent="0.25">
      <c r="A1326" t="s">
        <v>1849</v>
      </c>
      <c r="B1326" s="2">
        <v>45579</v>
      </c>
      <c r="C1326" t="s">
        <v>1394</v>
      </c>
      <c r="D1326" t="s">
        <v>216</v>
      </c>
      <c r="E1326" t="s">
        <v>2616</v>
      </c>
      <c r="F1326" t="s">
        <v>2633</v>
      </c>
      <c r="G1326" t="s">
        <v>83</v>
      </c>
      <c r="H1326" t="s">
        <v>2645</v>
      </c>
      <c r="I1326" t="s">
        <v>2578</v>
      </c>
      <c r="J1326">
        <v>42</v>
      </c>
      <c r="K1326">
        <v>116.87</v>
      </c>
      <c r="L1326">
        <v>65.349999999999994</v>
      </c>
      <c r="M1326">
        <v>0.05</v>
      </c>
      <c r="N1326" t="s">
        <v>45</v>
      </c>
    </row>
    <row r="1327" spans="1:14" x14ac:dyDescent="0.25">
      <c r="A1327" t="s">
        <v>1850</v>
      </c>
      <c r="B1327" s="2">
        <v>45380</v>
      </c>
      <c r="C1327" t="s">
        <v>497</v>
      </c>
      <c r="D1327" t="s">
        <v>209</v>
      </c>
      <c r="E1327" t="s">
        <v>2618</v>
      </c>
      <c r="F1327" t="s">
        <v>2628</v>
      </c>
      <c r="G1327" t="s">
        <v>144</v>
      </c>
      <c r="H1327" t="s">
        <v>2647</v>
      </c>
      <c r="I1327" t="s">
        <v>75</v>
      </c>
      <c r="J1327">
        <v>39</v>
      </c>
      <c r="K1327">
        <v>19.02</v>
      </c>
      <c r="L1327">
        <v>9.9</v>
      </c>
      <c r="M1327" t="e">
        <f>ROUND(#REF!/#REF!,2)</f>
        <v>#REF!</v>
      </c>
      <c r="N1327" t="s">
        <v>45</v>
      </c>
    </row>
    <row r="1328" spans="1:14" x14ac:dyDescent="0.25">
      <c r="A1328" t="s">
        <v>1851</v>
      </c>
      <c r="B1328" s="2">
        <v>45325</v>
      </c>
      <c r="C1328" t="s">
        <v>263</v>
      </c>
      <c r="D1328" t="s">
        <v>36</v>
      </c>
      <c r="E1328" t="s">
        <v>2614</v>
      </c>
      <c r="F1328" t="s">
        <v>2636</v>
      </c>
      <c r="G1328" t="s">
        <v>118</v>
      </c>
      <c r="H1328" t="s">
        <v>2648</v>
      </c>
      <c r="I1328" t="s">
        <v>70</v>
      </c>
      <c r="J1328">
        <v>11</v>
      </c>
      <c r="K1328" s="3" t="e">
        <f>#REF!/Sales12[[#This Row],[Quantity]]</f>
        <v>#REF!</v>
      </c>
      <c r="L1328">
        <v>103.1</v>
      </c>
      <c r="M1328">
        <v>0</v>
      </c>
      <c r="N1328" t="s">
        <v>45</v>
      </c>
    </row>
    <row r="1329" spans="1:14" x14ac:dyDescent="0.25">
      <c r="A1329" t="s">
        <v>1852</v>
      </c>
      <c r="B1329" s="2">
        <v>45295</v>
      </c>
      <c r="C1329" t="s">
        <v>255</v>
      </c>
      <c r="D1329" t="s">
        <v>216</v>
      </c>
      <c r="E1329" t="s">
        <v>2616</v>
      </c>
      <c r="F1329" t="s">
        <v>2624</v>
      </c>
      <c r="G1329" t="s">
        <v>90</v>
      </c>
      <c r="H1329" t="s">
        <v>2646</v>
      </c>
      <c r="I1329" t="s">
        <v>2619</v>
      </c>
      <c r="J1329">
        <v>22</v>
      </c>
      <c r="K1329">
        <v>112.53</v>
      </c>
      <c r="L1329">
        <v>67.319999999999993</v>
      </c>
      <c r="M1329">
        <v>0.1</v>
      </c>
      <c r="N1329" t="s">
        <v>32</v>
      </c>
    </row>
    <row r="1330" spans="1:14" x14ac:dyDescent="0.25">
      <c r="A1330" t="s">
        <v>1853</v>
      </c>
      <c r="B1330" s="2">
        <v>45361</v>
      </c>
      <c r="C1330" t="s">
        <v>325</v>
      </c>
      <c r="D1330" t="s">
        <v>187</v>
      </c>
      <c r="E1330" t="s">
        <v>2615</v>
      </c>
      <c r="F1330" t="s">
        <v>2627</v>
      </c>
      <c r="G1330" t="s">
        <v>152</v>
      </c>
      <c r="H1330" t="s">
        <v>2645</v>
      </c>
      <c r="I1330" t="s">
        <v>44</v>
      </c>
      <c r="J1330">
        <v>70</v>
      </c>
      <c r="K1330">
        <v>44.98</v>
      </c>
      <c r="L1330">
        <v>27.03</v>
      </c>
      <c r="M1330">
        <v>0.02</v>
      </c>
      <c r="N1330" t="s">
        <v>45</v>
      </c>
    </row>
    <row r="1331" spans="1:14" x14ac:dyDescent="0.25">
      <c r="A1331" t="s">
        <v>1854</v>
      </c>
      <c r="B1331" s="2">
        <v>45431</v>
      </c>
      <c r="C1331" t="s">
        <v>1334</v>
      </c>
      <c r="D1331" t="s">
        <v>222</v>
      </c>
      <c r="E1331" t="s">
        <v>2617</v>
      </c>
      <c r="F1331" t="s">
        <v>2625</v>
      </c>
      <c r="G1331" t="s">
        <v>170</v>
      </c>
      <c r="H1331" t="s">
        <v>2646</v>
      </c>
      <c r="I1331" t="s">
        <v>2578</v>
      </c>
      <c r="J1331">
        <v>19</v>
      </c>
      <c r="K1331">
        <v>128.80000000000001</v>
      </c>
      <c r="L1331">
        <v>76.349999999999994</v>
      </c>
      <c r="M1331">
        <v>0.02</v>
      </c>
      <c r="N1331" t="s">
        <v>45</v>
      </c>
    </row>
    <row r="1332" spans="1:14" x14ac:dyDescent="0.25">
      <c r="A1332" t="s">
        <v>1855</v>
      </c>
      <c r="B1332" s="2">
        <v>45633</v>
      </c>
      <c r="C1332" t="s">
        <v>414</v>
      </c>
      <c r="D1332" t="s">
        <v>126</v>
      </c>
      <c r="E1332" t="s">
        <v>2618</v>
      </c>
      <c r="F1332" t="s">
        <v>2634</v>
      </c>
      <c r="G1332" t="s">
        <v>170</v>
      </c>
      <c r="H1332" t="s">
        <v>2647</v>
      </c>
      <c r="I1332" t="s">
        <v>84</v>
      </c>
      <c r="J1332">
        <v>61</v>
      </c>
      <c r="K1332">
        <v>84.4</v>
      </c>
      <c r="L1332">
        <v>52.55</v>
      </c>
      <c r="M1332">
        <v>0.1</v>
      </c>
      <c r="N1332" t="s">
        <v>45</v>
      </c>
    </row>
    <row r="1333" spans="1:14" x14ac:dyDescent="0.25">
      <c r="A1333" t="s">
        <v>1856</v>
      </c>
      <c r="B1333" s="2">
        <v>45478</v>
      </c>
      <c r="C1333" t="s">
        <v>1025</v>
      </c>
      <c r="D1333" t="s">
        <v>99</v>
      </c>
      <c r="E1333" t="s">
        <v>2616</v>
      </c>
      <c r="F1333" t="s">
        <v>2633</v>
      </c>
      <c r="G1333" t="s">
        <v>152</v>
      </c>
      <c r="H1333" t="s">
        <v>2647</v>
      </c>
      <c r="I1333" t="s">
        <v>2578</v>
      </c>
      <c r="J1333">
        <v>0</v>
      </c>
      <c r="K1333">
        <v>64.98</v>
      </c>
      <c r="L1333">
        <v>42.88</v>
      </c>
      <c r="M1333">
        <v>0.1</v>
      </c>
      <c r="N1333" t="s">
        <v>45</v>
      </c>
    </row>
    <row r="1334" spans="1:14" x14ac:dyDescent="0.25">
      <c r="A1334" t="s">
        <v>1857</v>
      </c>
      <c r="B1334" s="2">
        <v>45478</v>
      </c>
      <c r="C1334" t="s">
        <v>1858</v>
      </c>
      <c r="D1334" t="s">
        <v>93</v>
      </c>
      <c r="E1334" t="s">
        <v>2615</v>
      </c>
      <c r="F1334" t="s">
        <v>2640</v>
      </c>
      <c r="G1334" t="s">
        <v>83</v>
      </c>
      <c r="H1334" t="s">
        <v>2648</v>
      </c>
      <c r="I1334" t="s">
        <v>2578</v>
      </c>
      <c r="J1334">
        <v>51</v>
      </c>
      <c r="K1334">
        <v>56.18</v>
      </c>
      <c r="L1334">
        <v>32.200000000000003</v>
      </c>
      <c r="M1334">
        <v>0.02</v>
      </c>
      <c r="N1334" t="s">
        <v>45</v>
      </c>
    </row>
    <row r="1335" spans="1:14" x14ac:dyDescent="0.25">
      <c r="A1335" t="s">
        <v>1859</v>
      </c>
      <c r="B1335" s="2">
        <v>45515</v>
      </c>
      <c r="C1335" t="s">
        <v>197</v>
      </c>
      <c r="D1335" t="s">
        <v>187</v>
      </c>
      <c r="E1335" t="s">
        <v>2615</v>
      </c>
      <c r="F1335" t="s">
        <v>2640</v>
      </c>
      <c r="G1335" t="s">
        <v>60</v>
      </c>
      <c r="H1335" t="s">
        <v>2645</v>
      </c>
      <c r="I1335" t="s">
        <v>70</v>
      </c>
      <c r="J1335">
        <v>22</v>
      </c>
      <c r="K1335">
        <v>48.15</v>
      </c>
      <c r="L1335">
        <v>28.9</v>
      </c>
      <c r="M1335">
        <v>0.05</v>
      </c>
      <c r="N1335" t="s">
        <v>45</v>
      </c>
    </row>
    <row r="1336" spans="1:14" x14ac:dyDescent="0.25">
      <c r="A1336" t="s">
        <v>1860</v>
      </c>
      <c r="B1336" s="2">
        <v>45608</v>
      </c>
      <c r="C1336" t="s">
        <v>1620</v>
      </c>
      <c r="D1336" t="s">
        <v>109</v>
      </c>
      <c r="E1336" t="s">
        <v>2617</v>
      </c>
      <c r="F1336" t="s">
        <v>2626</v>
      </c>
      <c r="G1336" t="s">
        <v>144</v>
      </c>
      <c r="H1336" t="s">
        <v>2646</v>
      </c>
      <c r="I1336" t="s">
        <v>44</v>
      </c>
      <c r="J1336">
        <v>6</v>
      </c>
      <c r="K1336">
        <v>124.05</v>
      </c>
      <c r="L1336">
        <v>75.7</v>
      </c>
      <c r="M1336">
        <v>0.05</v>
      </c>
      <c r="N1336" t="s">
        <v>129</v>
      </c>
    </row>
    <row r="1337" spans="1:14" x14ac:dyDescent="0.25">
      <c r="A1337" t="s">
        <v>1026</v>
      </c>
      <c r="B1337" s="2">
        <v>45648</v>
      </c>
      <c r="C1337" t="s">
        <v>361</v>
      </c>
      <c r="D1337" t="s">
        <v>66</v>
      </c>
      <c r="E1337" t="s">
        <v>2616</v>
      </c>
      <c r="F1337" t="s">
        <v>2638</v>
      </c>
      <c r="G1337" t="s">
        <v>178</v>
      </c>
      <c r="H1337" t="s">
        <v>2647</v>
      </c>
      <c r="I1337" t="s">
        <v>2578</v>
      </c>
      <c r="J1337">
        <v>78</v>
      </c>
      <c r="K1337">
        <v>152.91999999999999</v>
      </c>
      <c r="L1337">
        <v>111.71</v>
      </c>
      <c r="M1337">
        <v>0.2</v>
      </c>
      <c r="N1337" t="s">
        <v>45</v>
      </c>
    </row>
    <row r="1338" spans="1:14" x14ac:dyDescent="0.25">
      <c r="A1338" t="s">
        <v>1861</v>
      </c>
      <c r="B1338" s="2">
        <v>45642</v>
      </c>
      <c r="C1338" t="s">
        <v>674</v>
      </c>
      <c r="D1338" t="s">
        <v>109</v>
      </c>
      <c r="E1338" t="s">
        <v>2617</v>
      </c>
      <c r="F1338" t="s">
        <v>2625</v>
      </c>
      <c r="G1338" t="s">
        <v>248</v>
      </c>
      <c r="H1338" t="s">
        <v>2645</v>
      </c>
      <c r="I1338" t="s">
        <v>70</v>
      </c>
      <c r="J1338">
        <v>16</v>
      </c>
      <c r="K1338">
        <v>134.99</v>
      </c>
      <c r="L1338">
        <v>68.650000000000006</v>
      </c>
      <c r="M1338">
        <v>0.15</v>
      </c>
      <c r="N1338" t="s">
        <v>45</v>
      </c>
    </row>
    <row r="1339" spans="1:14" x14ac:dyDescent="0.25">
      <c r="A1339" t="s">
        <v>1862</v>
      </c>
      <c r="B1339" s="2">
        <v>45630</v>
      </c>
      <c r="C1339" t="s">
        <v>399</v>
      </c>
      <c r="D1339" t="s">
        <v>132</v>
      </c>
      <c r="E1339" t="s">
        <v>2614</v>
      </c>
      <c r="F1339" t="s">
        <v>2636</v>
      </c>
      <c r="G1339" t="s">
        <v>29</v>
      </c>
      <c r="H1339" t="s">
        <v>2648</v>
      </c>
      <c r="I1339" t="s">
        <v>70</v>
      </c>
      <c r="J1339">
        <v>34</v>
      </c>
      <c r="K1339">
        <v>59.75</v>
      </c>
      <c r="L1339">
        <v>35.18</v>
      </c>
      <c r="M1339">
        <v>0.02</v>
      </c>
      <c r="N1339" t="s">
        <v>45</v>
      </c>
    </row>
    <row r="1340" spans="1:14" x14ac:dyDescent="0.25">
      <c r="A1340" t="s">
        <v>1863</v>
      </c>
      <c r="B1340" s="2">
        <v>45306</v>
      </c>
      <c r="C1340" t="s">
        <v>688</v>
      </c>
      <c r="D1340" t="s">
        <v>141</v>
      </c>
      <c r="E1340" t="s">
        <v>2617</v>
      </c>
      <c r="F1340" t="s">
        <v>2641</v>
      </c>
      <c r="G1340" t="s">
        <v>111</v>
      </c>
      <c r="H1340" t="s">
        <v>2645</v>
      </c>
      <c r="I1340" t="s">
        <v>2619</v>
      </c>
      <c r="J1340">
        <v>44</v>
      </c>
      <c r="K1340">
        <v>94.9</v>
      </c>
      <c r="L1340">
        <v>59.88</v>
      </c>
      <c r="M1340">
        <v>0.2</v>
      </c>
      <c r="N1340" t="s">
        <v>45</v>
      </c>
    </row>
    <row r="1341" spans="1:14" x14ac:dyDescent="0.25">
      <c r="A1341" t="s">
        <v>1864</v>
      </c>
      <c r="B1341" s="2">
        <v>45559</v>
      </c>
      <c r="C1341" t="s">
        <v>721</v>
      </c>
      <c r="D1341" t="s">
        <v>78</v>
      </c>
      <c r="E1341" t="s">
        <v>2615</v>
      </c>
      <c r="F1341" t="s">
        <v>2627</v>
      </c>
      <c r="G1341" t="s">
        <v>29</v>
      </c>
      <c r="H1341" t="s">
        <v>2645</v>
      </c>
      <c r="I1341" t="s">
        <v>70</v>
      </c>
      <c r="J1341">
        <v>51</v>
      </c>
      <c r="K1341">
        <v>142.72</v>
      </c>
      <c r="L1341">
        <v>79.819999999999993</v>
      </c>
      <c r="M1341">
        <v>0.02</v>
      </c>
      <c r="N1341" t="s">
        <v>45</v>
      </c>
    </row>
    <row r="1342" spans="1:14" x14ac:dyDescent="0.25">
      <c r="A1342" t="s">
        <v>1865</v>
      </c>
      <c r="B1342" s="2">
        <v>45299</v>
      </c>
      <c r="C1342" t="s">
        <v>537</v>
      </c>
      <c r="D1342" t="s">
        <v>93</v>
      </c>
      <c r="E1342" t="s">
        <v>2616</v>
      </c>
      <c r="F1342" t="s">
        <v>2624</v>
      </c>
      <c r="G1342" t="s">
        <v>60</v>
      </c>
      <c r="H1342" t="s">
        <v>2647</v>
      </c>
      <c r="I1342" t="s">
        <v>75</v>
      </c>
      <c r="J1342">
        <v>56</v>
      </c>
      <c r="K1342">
        <v>53.46</v>
      </c>
      <c r="L1342">
        <v>33.090000000000003</v>
      </c>
      <c r="M1342">
        <v>0.2</v>
      </c>
      <c r="N1342" t="s">
        <v>45</v>
      </c>
    </row>
    <row r="1343" spans="1:14" x14ac:dyDescent="0.25">
      <c r="A1343" t="s">
        <v>1866</v>
      </c>
      <c r="B1343" s="2">
        <v>45334</v>
      </c>
      <c r="C1343" t="s">
        <v>1706</v>
      </c>
      <c r="D1343" t="s">
        <v>209</v>
      </c>
      <c r="E1343" t="s">
        <v>2614</v>
      </c>
      <c r="F1343" t="s">
        <v>2636</v>
      </c>
      <c r="G1343" t="s">
        <v>42</v>
      </c>
      <c r="H1343" t="s">
        <v>2646</v>
      </c>
      <c r="I1343" t="s">
        <v>70</v>
      </c>
      <c r="J1343">
        <v>42</v>
      </c>
      <c r="K1343">
        <v>19.12</v>
      </c>
      <c r="L1343">
        <v>10.4</v>
      </c>
      <c r="M1343">
        <v>0.02</v>
      </c>
      <c r="N1343" t="s">
        <v>129</v>
      </c>
    </row>
    <row r="1344" spans="1:14" x14ac:dyDescent="0.25">
      <c r="A1344" t="s">
        <v>1867</v>
      </c>
      <c r="B1344" s="2">
        <v>45580</v>
      </c>
      <c r="C1344" t="s">
        <v>1362</v>
      </c>
      <c r="D1344" t="s">
        <v>126</v>
      </c>
      <c r="E1344" t="s">
        <v>2617</v>
      </c>
      <c r="F1344" t="s">
        <v>2626</v>
      </c>
      <c r="G1344" t="s">
        <v>83</v>
      </c>
      <c r="H1344" t="s">
        <v>2647</v>
      </c>
      <c r="I1344" t="s">
        <v>70</v>
      </c>
      <c r="J1344">
        <v>14</v>
      </c>
      <c r="K1344">
        <v>83.25</v>
      </c>
      <c r="L1344">
        <v>52.05</v>
      </c>
      <c r="M1344">
        <v>0.2</v>
      </c>
      <c r="N1344" t="s">
        <v>45</v>
      </c>
    </row>
    <row r="1345" spans="1:14" x14ac:dyDescent="0.25">
      <c r="A1345" t="s">
        <v>1868</v>
      </c>
      <c r="B1345" s="2">
        <v>45402</v>
      </c>
      <c r="C1345" t="s">
        <v>375</v>
      </c>
      <c r="D1345" t="s">
        <v>165</v>
      </c>
      <c r="E1345" t="s">
        <v>2614</v>
      </c>
      <c r="F1345" t="s">
        <v>2622</v>
      </c>
      <c r="G1345" t="s">
        <v>170</v>
      </c>
      <c r="H1345" t="s">
        <v>2648</v>
      </c>
      <c r="I1345" t="s">
        <v>75</v>
      </c>
      <c r="J1345">
        <v>47</v>
      </c>
      <c r="K1345">
        <v>39.729999999999997</v>
      </c>
      <c r="L1345">
        <v>23.05</v>
      </c>
      <c r="M1345">
        <v>0</v>
      </c>
      <c r="N1345" t="s">
        <v>45</v>
      </c>
    </row>
    <row r="1346" spans="1:14" x14ac:dyDescent="0.25">
      <c r="A1346" t="s">
        <v>1869</v>
      </c>
      <c r="B1346" s="2">
        <v>45427</v>
      </c>
      <c r="C1346" t="s">
        <v>337</v>
      </c>
      <c r="D1346" t="s">
        <v>222</v>
      </c>
      <c r="E1346" t="s">
        <v>2616</v>
      </c>
      <c r="F1346" t="s">
        <v>2633</v>
      </c>
      <c r="G1346" t="s">
        <v>29</v>
      </c>
      <c r="H1346" t="s">
        <v>2648</v>
      </c>
      <c r="I1346" t="s">
        <v>44</v>
      </c>
      <c r="J1346">
        <v>69</v>
      </c>
      <c r="K1346">
        <v>116.65</v>
      </c>
      <c r="L1346">
        <v>-10</v>
      </c>
      <c r="M1346">
        <v>0</v>
      </c>
      <c r="N1346" t="s">
        <v>45</v>
      </c>
    </row>
    <row r="1347" spans="1:14" x14ac:dyDescent="0.25">
      <c r="A1347" t="s">
        <v>1870</v>
      </c>
      <c r="B1347" s="2">
        <v>45407</v>
      </c>
      <c r="C1347" t="s">
        <v>278</v>
      </c>
      <c r="D1347" t="s">
        <v>187</v>
      </c>
      <c r="E1347" t="s">
        <v>2615</v>
      </c>
      <c r="F1347" t="s">
        <v>2623</v>
      </c>
      <c r="G1347" t="s">
        <v>261</v>
      </c>
      <c r="H1347" t="s">
        <v>2648</v>
      </c>
      <c r="I1347" t="s">
        <v>44</v>
      </c>
      <c r="J1347">
        <v>3</v>
      </c>
      <c r="K1347">
        <v>46.47</v>
      </c>
      <c r="L1347">
        <v>29.01</v>
      </c>
      <c r="M1347">
        <v>0.1</v>
      </c>
      <c r="N1347" t="s">
        <v>45</v>
      </c>
    </row>
    <row r="1348" spans="1:14" x14ac:dyDescent="0.25">
      <c r="A1348" t="s">
        <v>1871</v>
      </c>
      <c r="B1348" s="2">
        <v>45544</v>
      </c>
      <c r="C1348" t="s">
        <v>1142</v>
      </c>
      <c r="D1348" t="s">
        <v>99</v>
      </c>
      <c r="E1348" t="s">
        <v>2616</v>
      </c>
      <c r="F1348" t="s">
        <v>2631</v>
      </c>
      <c r="G1348" t="s">
        <v>218</v>
      </c>
      <c r="H1348" t="s">
        <v>2647</v>
      </c>
      <c r="I1348" t="s">
        <v>70</v>
      </c>
      <c r="J1348">
        <v>24</v>
      </c>
      <c r="K1348">
        <v>73.930000000000007</v>
      </c>
      <c r="L1348">
        <v>40.97</v>
      </c>
      <c r="M1348">
        <v>0.15</v>
      </c>
      <c r="N1348" t="s">
        <v>45</v>
      </c>
    </row>
    <row r="1349" spans="1:14" x14ac:dyDescent="0.25">
      <c r="A1349" t="s">
        <v>1872</v>
      </c>
      <c r="B1349" s="2">
        <v>45532</v>
      </c>
      <c r="C1349" t="s">
        <v>436</v>
      </c>
      <c r="D1349" t="s">
        <v>141</v>
      </c>
      <c r="E1349" t="s">
        <v>2616</v>
      </c>
      <c r="F1349" t="s">
        <v>2624</v>
      </c>
      <c r="G1349" t="s">
        <v>144</v>
      </c>
      <c r="H1349" t="s">
        <v>2648</v>
      </c>
      <c r="I1349" t="s">
        <v>70</v>
      </c>
      <c r="J1349" t="e">
        <f>ROUND(#REF!/Sales12[[#This Row],[Unit_Price]],0)</f>
        <v>#REF!</v>
      </c>
      <c r="K1349">
        <v>89.14</v>
      </c>
      <c r="L1349">
        <v>56.92</v>
      </c>
      <c r="M1349">
        <v>0.15</v>
      </c>
      <c r="N1349" t="s">
        <v>45</v>
      </c>
    </row>
    <row r="1350" spans="1:14" x14ac:dyDescent="0.25">
      <c r="A1350" t="s">
        <v>1873</v>
      </c>
      <c r="B1350" s="2">
        <v>45438</v>
      </c>
      <c r="C1350" t="s">
        <v>384</v>
      </c>
      <c r="D1350" t="s">
        <v>99</v>
      </c>
      <c r="E1350" t="s">
        <v>2618</v>
      </c>
      <c r="F1350" t="s">
        <v>2635</v>
      </c>
      <c r="G1350" t="s">
        <v>265</v>
      </c>
      <c r="H1350" t="s">
        <v>2645</v>
      </c>
      <c r="I1350" t="s">
        <v>2578</v>
      </c>
      <c r="J1350">
        <v>44</v>
      </c>
      <c r="K1350">
        <v>71.05</v>
      </c>
      <c r="L1350">
        <v>37.79</v>
      </c>
      <c r="M1350">
        <v>0.05</v>
      </c>
      <c r="N1350" t="s">
        <v>32</v>
      </c>
    </row>
    <row r="1351" spans="1:14" x14ac:dyDescent="0.25">
      <c r="A1351" t="s">
        <v>1874</v>
      </c>
      <c r="B1351" s="2">
        <v>45380</v>
      </c>
      <c r="C1351" t="s">
        <v>915</v>
      </c>
      <c r="D1351" t="s">
        <v>66</v>
      </c>
      <c r="E1351" t="s">
        <v>2617</v>
      </c>
      <c r="F1351" t="s">
        <v>2625</v>
      </c>
      <c r="G1351" t="s">
        <v>83</v>
      </c>
      <c r="H1351" t="s">
        <v>2646</v>
      </c>
      <c r="I1351" t="s">
        <v>2578</v>
      </c>
      <c r="J1351">
        <v>2</v>
      </c>
      <c r="K1351">
        <v>148.18</v>
      </c>
      <c r="L1351">
        <v>110.69</v>
      </c>
      <c r="M1351">
        <v>0.1</v>
      </c>
      <c r="N1351" t="s">
        <v>45</v>
      </c>
    </row>
    <row r="1352" spans="1:14" x14ac:dyDescent="0.25">
      <c r="A1352" t="s">
        <v>1875</v>
      </c>
      <c r="B1352" s="2">
        <v>45602</v>
      </c>
      <c r="C1352" t="s">
        <v>1122</v>
      </c>
      <c r="D1352" t="s">
        <v>176</v>
      </c>
      <c r="E1352" t="s">
        <v>2617</v>
      </c>
      <c r="F1352" t="s">
        <v>2625</v>
      </c>
      <c r="G1352" t="s">
        <v>90</v>
      </c>
      <c r="H1352" t="s">
        <v>2646</v>
      </c>
      <c r="I1352" t="s">
        <v>75</v>
      </c>
      <c r="J1352">
        <v>69</v>
      </c>
      <c r="K1352">
        <v>105.93</v>
      </c>
      <c r="L1352">
        <v>65.349999999999994</v>
      </c>
      <c r="M1352">
        <v>0.15</v>
      </c>
      <c r="N1352" t="s">
        <v>45</v>
      </c>
    </row>
    <row r="1353" spans="1:14" x14ac:dyDescent="0.25">
      <c r="A1353" t="s">
        <v>1876</v>
      </c>
      <c r="B1353" s="2">
        <v>45382</v>
      </c>
      <c r="C1353" t="s">
        <v>293</v>
      </c>
      <c r="D1353" t="s">
        <v>36</v>
      </c>
      <c r="E1353" t="s">
        <v>2617</v>
      </c>
      <c r="F1353" t="s">
        <v>2642</v>
      </c>
      <c r="G1353" t="s">
        <v>144</v>
      </c>
      <c r="H1353" t="s">
        <v>2647</v>
      </c>
      <c r="I1353" t="s">
        <v>44</v>
      </c>
      <c r="J1353">
        <v>59</v>
      </c>
      <c r="K1353">
        <v>167.05</v>
      </c>
      <c r="L1353">
        <v>101.13</v>
      </c>
      <c r="M1353">
        <v>0.1</v>
      </c>
      <c r="N1353" t="s">
        <v>45</v>
      </c>
    </row>
    <row r="1354" spans="1:14" x14ac:dyDescent="0.25">
      <c r="A1354" t="s">
        <v>1877</v>
      </c>
      <c r="B1354" s="2">
        <v>45567</v>
      </c>
      <c r="C1354" t="s">
        <v>715</v>
      </c>
      <c r="D1354" t="s">
        <v>93</v>
      </c>
      <c r="E1354" t="s">
        <v>2617</v>
      </c>
      <c r="F1354" t="s">
        <v>2641</v>
      </c>
      <c r="G1354" t="s">
        <v>74</v>
      </c>
      <c r="H1354" t="s">
        <v>2645</v>
      </c>
      <c r="I1354" t="s">
        <v>44</v>
      </c>
      <c r="J1354">
        <v>75</v>
      </c>
      <c r="K1354">
        <v>55.01</v>
      </c>
      <c r="L1354">
        <v>32.92</v>
      </c>
      <c r="M1354">
        <v>0.02</v>
      </c>
      <c r="N1354" t="s">
        <v>45</v>
      </c>
    </row>
    <row r="1355" spans="1:14" x14ac:dyDescent="0.25">
      <c r="A1355" t="s">
        <v>1878</v>
      </c>
      <c r="B1355" s="2">
        <v>45620</v>
      </c>
      <c r="C1355" t="s">
        <v>1879</v>
      </c>
      <c r="D1355" t="s">
        <v>23</v>
      </c>
      <c r="E1355" t="s">
        <v>2615</v>
      </c>
      <c r="F1355" t="s">
        <v>2623</v>
      </c>
      <c r="G1355" t="s">
        <v>253</v>
      </c>
      <c r="H1355" t="s">
        <v>2646</v>
      </c>
      <c r="I1355" t="s">
        <v>70</v>
      </c>
      <c r="J1355">
        <v>41</v>
      </c>
      <c r="K1355">
        <v>71.97</v>
      </c>
      <c r="L1355">
        <v>44.99</v>
      </c>
      <c r="M1355">
        <v>0.2</v>
      </c>
      <c r="N1355" t="s">
        <v>45</v>
      </c>
    </row>
    <row r="1356" spans="1:14" x14ac:dyDescent="0.25">
      <c r="A1356" t="s">
        <v>1880</v>
      </c>
      <c r="B1356" s="2">
        <v>45518</v>
      </c>
      <c r="C1356" t="s">
        <v>1881</v>
      </c>
      <c r="D1356" t="s">
        <v>126</v>
      </c>
      <c r="E1356" t="s">
        <v>2618</v>
      </c>
      <c r="F1356" t="s">
        <v>2634</v>
      </c>
      <c r="G1356" t="s">
        <v>253</v>
      </c>
      <c r="H1356" t="s">
        <v>2646</v>
      </c>
      <c r="I1356" t="s">
        <v>70</v>
      </c>
      <c r="J1356">
        <v>71</v>
      </c>
      <c r="K1356">
        <v>86.53</v>
      </c>
      <c r="L1356">
        <v>54.38</v>
      </c>
      <c r="M1356">
        <v>0</v>
      </c>
      <c r="N1356" t="s">
        <v>45</v>
      </c>
    </row>
    <row r="1357" spans="1:14" x14ac:dyDescent="0.25">
      <c r="A1357" t="s">
        <v>1882</v>
      </c>
      <c r="B1357" s="2">
        <v>45382</v>
      </c>
      <c r="C1357" t="s">
        <v>623</v>
      </c>
      <c r="D1357" t="s">
        <v>150</v>
      </c>
      <c r="E1357" t="s">
        <v>2614</v>
      </c>
      <c r="F1357" t="s">
        <v>2636</v>
      </c>
      <c r="G1357" t="s">
        <v>178</v>
      </c>
      <c r="H1357" t="s">
        <v>2647</v>
      </c>
      <c r="I1357" t="s">
        <v>70</v>
      </c>
      <c r="J1357">
        <v>38</v>
      </c>
      <c r="K1357">
        <v>83.31</v>
      </c>
      <c r="L1357">
        <v>50.14</v>
      </c>
      <c r="M1357">
        <v>0</v>
      </c>
      <c r="N1357" t="s">
        <v>129</v>
      </c>
    </row>
    <row r="1358" spans="1:14" x14ac:dyDescent="0.25">
      <c r="A1358" t="s">
        <v>1883</v>
      </c>
      <c r="B1358" s="2">
        <v>45339</v>
      </c>
      <c r="C1358" t="s">
        <v>267</v>
      </c>
      <c r="D1358" t="s">
        <v>216</v>
      </c>
      <c r="E1358" t="s">
        <v>2615</v>
      </c>
      <c r="F1358" t="s">
        <v>2627</v>
      </c>
      <c r="G1358" t="s">
        <v>178</v>
      </c>
      <c r="H1358" t="s">
        <v>2646</v>
      </c>
      <c r="I1358" t="s">
        <v>75</v>
      </c>
      <c r="J1358">
        <v>78</v>
      </c>
      <c r="K1358">
        <v>103.42</v>
      </c>
      <c r="L1358">
        <v>63.75</v>
      </c>
      <c r="M1358">
        <v>0</v>
      </c>
      <c r="N1358" t="s">
        <v>129</v>
      </c>
    </row>
    <row r="1359" spans="1:14" x14ac:dyDescent="0.25">
      <c r="A1359" t="s">
        <v>1884</v>
      </c>
      <c r="B1359" s="2">
        <v>45393</v>
      </c>
      <c r="C1359" t="s">
        <v>531</v>
      </c>
      <c r="D1359" t="s">
        <v>114</v>
      </c>
      <c r="E1359" t="s">
        <v>2614</v>
      </c>
      <c r="F1359" t="s">
        <v>2622</v>
      </c>
      <c r="G1359" t="s">
        <v>261</v>
      </c>
      <c r="H1359" t="s">
        <v>2647</v>
      </c>
      <c r="I1359" t="s">
        <v>84</v>
      </c>
      <c r="J1359">
        <v>37</v>
      </c>
      <c r="K1359">
        <v>37.61</v>
      </c>
      <c r="L1359">
        <v>20.77</v>
      </c>
      <c r="M1359">
        <v>0.02</v>
      </c>
      <c r="N1359" t="s">
        <v>32</v>
      </c>
    </row>
    <row r="1360" spans="1:14" x14ac:dyDescent="0.25">
      <c r="A1360" t="s">
        <v>1885</v>
      </c>
      <c r="B1360" s="2">
        <v>45533</v>
      </c>
      <c r="C1360" t="s">
        <v>480</v>
      </c>
      <c r="D1360" t="s">
        <v>187</v>
      </c>
      <c r="E1360" t="s">
        <v>2614</v>
      </c>
      <c r="F1360" t="s">
        <v>2637</v>
      </c>
      <c r="G1360" t="s">
        <v>90</v>
      </c>
      <c r="H1360" t="s">
        <v>2647</v>
      </c>
      <c r="I1360" t="s">
        <v>84</v>
      </c>
      <c r="J1360">
        <v>53</v>
      </c>
      <c r="K1360">
        <v>50.85</v>
      </c>
      <c r="L1360">
        <v>30.31</v>
      </c>
      <c r="M1360">
        <v>0.05</v>
      </c>
      <c r="N1360" t="s">
        <v>32</v>
      </c>
    </row>
    <row r="1361" spans="1:14" x14ac:dyDescent="0.25">
      <c r="A1361" t="s">
        <v>1886</v>
      </c>
      <c r="B1361" s="2">
        <v>45439</v>
      </c>
      <c r="C1361" t="s">
        <v>1887</v>
      </c>
      <c r="D1361" t="s">
        <v>176</v>
      </c>
      <c r="E1361" t="s">
        <v>2614</v>
      </c>
      <c r="F1361" t="s">
        <v>2622</v>
      </c>
      <c r="G1361" t="s">
        <v>42</v>
      </c>
      <c r="H1361" t="s">
        <v>2645</v>
      </c>
      <c r="I1361" t="s">
        <v>75</v>
      </c>
      <c r="J1361">
        <v>34</v>
      </c>
      <c r="K1361">
        <v>98.95</v>
      </c>
      <c r="L1361">
        <v>58.26</v>
      </c>
      <c r="M1361">
        <v>0</v>
      </c>
      <c r="N1361" t="s">
        <v>32</v>
      </c>
    </row>
    <row r="1362" spans="1:14" x14ac:dyDescent="0.25">
      <c r="A1362" t="s">
        <v>1888</v>
      </c>
      <c r="B1362" s="2">
        <v>45481</v>
      </c>
      <c r="C1362" t="s">
        <v>545</v>
      </c>
      <c r="D1362" t="s">
        <v>209</v>
      </c>
      <c r="E1362" t="s">
        <v>2616</v>
      </c>
      <c r="F1362" t="s">
        <v>2631</v>
      </c>
      <c r="G1362" t="s">
        <v>111</v>
      </c>
      <c r="H1362" t="s">
        <v>2647</v>
      </c>
      <c r="I1362" t="s">
        <v>2578</v>
      </c>
      <c r="J1362">
        <v>6</v>
      </c>
      <c r="K1362">
        <v>17.309999999999999</v>
      </c>
      <c r="L1362">
        <v>9.81</v>
      </c>
      <c r="M1362">
        <v>0.2</v>
      </c>
      <c r="N1362" t="s">
        <v>45</v>
      </c>
    </row>
    <row r="1363" spans="1:14" x14ac:dyDescent="0.25">
      <c r="A1363" t="s">
        <v>1889</v>
      </c>
      <c r="B1363" s="2">
        <v>45347</v>
      </c>
      <c r="C1363" t="s">
        <v>1858</v>
      </c>
      <c r="D1363" t="s">
        <v>165</v>
      </c>
      <c r="E1363" t="s">
        <v>2615</v>
      </c>
      <c r="F1363" t="s">
        <v>2630</v>
      </c>
      <c r="G1363" t="s">
        <v>29</v>
      </c>
      <c r="H1363" t="s">
        <v>2647</v>
      </c>
      <c r="I1363" t="s">
        <v>44</v>
      </c>
      <c r="J1363">
        <v>32</v>
      </c>
      <c r="K1363">
        <v>39.020000000000003</v>
      </c>
      <c r="L1363">
        <v>26.46</v>
      </c>
      <c r="M1363">
        <v>0.2</v>
      </c>
      <c r="N1363" t="s">
        <v>45</v>
      </c>
    </row>
    <row r="1364" spans="1:14" x14ac:dyDescent="0.25">
      <c r="A1364" t="s">
        <v>1890</v>
      </c>
      <c r="B1364" s="2">
        <v>45368</v>
      </c>
      <c r="C1364" t="s">
        <v>213</v>
      </c>
      <c r="D1364" t="s">
        <v>99</v>
      </c>
      <c r="E1364" t="s">
        <v>2614</v>
      </c>
      <c r="F1364" t="s">
        <v>2622</v>
      </c>
      <c r="G1364" t="s">
        <v>195</v>
      </c>
      <c r="H1364" t="s">
        <v>2646</v>
      </c>
      <c r="I1364" t="s">
        <v>44</v>
      </c>
      <c r="J1364">
        <v>73</v>
      </c>
      <c r="K1364">
        <v>74.569999999999993</v>
      </c>
      <c r="L1364">
        <v>39.29</v>
      </c>
      <c r="M1364">
        <v>0.05</v>
      </c>
      <c r="N1364" t="s">
        <v>45</v>
      </c>
    </row>
    <row r="1365" spans="1:14" x14ac:dyDescent="0.25">
      <c r="A1365" t="s">
        <v>1891</v>
      </c>
      <c r="B1365" s="2">
        <v>45476</v>
      </c>
      <c r="C1365" t="s">
        <v>904</v>
      </c>
      <c r="D1365" t="s">
        <v>114</v>
      </c>
      <c r="E1365" t="s">
        <v>2615</v>
      </c>
      <c r="F1365" t="s">
        <v>2623</v>
      </c>
      <c r="G1365" t="s">
        <v>265</v>
      </c>
      <c r="H1365" t="s">
        <v>2646</v>
      </c>
      <c r="I1365" t="s">
        <v>2578</v>
      </c>
      <c r="J1365">
        <v>50</v>
      </c>
      <c r="K1365">
        <v>33.590000000000003</v>
      </c>
      <c r="L1365">
        <v>21.26</v>
      </c>
      <c r="M1365">
        <v>0.1</v>
      </c>
      <c r="N1365" t="s">
        <v>45</v>
      </c>
    </row>
    <row r="1366" spans="1:14" x14ac:dyDescent="0.25">
      <c r="A1366" t="s">
        <v>1892</v>
      </c>
      <c r="B1366" s="2">
        <v>45626</v>
      </c>
      <c r="C1366" t="s">
        <v>2619</v>
      </c>
      <c r="D1366" t="s">
        <v>99</v>
      </c>
      <c r="E1366" t="s">
        <v>2618</v>
      </c>
      <c r="F1366" t="s">
        <v>2632</v>
      </c>
      <c r="G1366" t="s">
        <v>2619</v>
      </c>
      <c r="H1366" t="s">
        <v>2648</v>
      </c>
      <c r="I1366" t="s">
        <v>2578</v>
      </c>
      <c r="J1366">
        <v>49</v>
      </c>
      <c r="K1366">
        <v>65.510000000000005</v>
      </c>
      <c r="L1366">
        <v>39.32</v>
      </c>
      <c r="M1366">
        <v>0.05</v>
      </c>
      <c r="N1366" t="s">
        <v>45</v>
      </c>
    </row>
    <row r="1367" spans="1:14" x14ac:dyDescent="0.25">
      <c r="A1367" t="s">
        <v>1893</v>
      </c>
      <c r="B1367" s="2">
        <v>45298</v>
      </c>
      <c r="C1367" t="s">
        <v>721</v>
      </c>
      <c r="D1367" t="s">
        <v>222</v>
      </c>
      <c r="E1367" t="s">
        <v>2617</v>
      </c>
      <c r="F1367" t="s">
        <v>2625</v>
      </c>
      <c r="G1367" t="s">
        <v>42</v>
      </c>
      <c r="H1367" t="s">
        <v>2647</v>
      </c>
      <c r="I1367" t="s">
        <v>84</v>
      </c>
      <c r="J1367">
        <v>68</v>
      </c>
      <c r="K1367">
        <v>113.34</v>
      </c>
      <c r="L1367">
        <v>79.08</v>
      </c>
      <c r="M1367">
        <v>0.2</v>
      </c>
      <c r="N1367" t="s">
        <v>32</v>
      </c>
    </row>
    <row r="1368" spans="1:14" x14ac:dyDescent="0.25">
      <c r="A1368" t="s">
        <v>1894</v>
      </c>
      <c r="B1368" s="2">
        <v>45445</v>
      </c>
      <c r="C1368" t="s">
        <v>1706</v>
      </c>
      <c r="D1368" t="s">
        <v>78</v>
      </c>
      <c r="E1368" t="s">
        <v>2614</v>
      </c>
      <c r="F1368" t="s">
        <v>2629</v>
      </c>
      <c r="G1368" t="s">
        <v>144</v>
      </c>
      <c r="H1368" t="s">
        <v>2648</v>
      </c>
      <c r="I1368" t="s">
        <v>44</v>
      </c>
      <c r="J1368">
        <v>21</v>
      </c>
      <c r="K1368">
        <v>143.55000000000001</v>
      </c>
      <c r="L1368">
        <v>77.58</v>
      </c>
      <c r="M1368">
        <v>0.2</v>
      </c>
      <c r="N1368" t="s">
        <v>45</v>
      </c>
    </row>
    <row r="1369" spans="1:14" x14ac:dyDescent="0.25">
      <c r="A1369" t="s">
        <v>1895</v>
      </c>
      <c r="B1369" s="2">
        <v>45566</v>
      </c>
      <c r="C1369" t="s">
        <v>961</v>
      </c>
      <c r="D1369" t="s">
        <v>49</v>
      </c>
      <c r="E1369" t="s">
        <v>2616</v>
      </c>
      <c r="F1369" t="s">
        <v>2631</v>
      </c>
      <c r="G1369" t="s">
        <v>29</v>
      </c>
      <c r="H1369" t="s">
        <v>2645</v>
      </c>
      <c r="I1369" t="s">
        <v>70</v>
      </c>
      <c r="J1369">
        <v>21</v>
      </c>
      <c r="K1369">
        <v>25.15</v>
      </c>
      <c r="L1369">
        <v>13</v>
      </c>
      <c r="M1369">
        <v>0.2</v>
      </c>
      <c r="N1369" t="s">
        <v>32</v>
      </c>
    </row>
    <row r="1370" spans="1:14" x14ac:dyDescent="0.25">
      <c r="A1370" t="s">
        <v>1896</v>
      </c>
      <c r="B1370" s="2">
        <v>45458</v>
      </c>
      <c r="C1370" t="s">
        <v>636</v>
      </c>
      <c r="D1370" t="s">
        <v>99</v>
      </c>
      <c r="E1370" t="s">
        <v>2618</v>
      </c>
      <c r="F1370" t="s">
        <v>2634</v>
      </c>
      <c r="G1370" t="s">
        <v>42</v>
      </c>
      <c r="H1370" t="s">
        <v>2647</v>
      </c>
      <c r="I1370" t="s">
        <v>2578</v>
      </c>
      <c r="J1370">
        <v>24</v>
      </c>
      <c r="K1370">
        <v>67.83</v>
      </c>
      <c r="L1370">
        <v>43.11</v>
      </c>
      <c r="M1370">
        <v>0.02</v>
      </c>
      <c r="N1370" t="s">
        <v>45</v>
      </c>
    </row>
    <row r="1371" spans="1:14" x14ac:dyDescent="0.25">
      <c r="A1371" t="s">
        <v>1897</v>
      </c>
      <c r="B1371" s="2">
        <v>45373</v>
      </c>
      <c r="C1371" t="s">
        <v>428</v>
      </c>
      <c r="D1371" t="s">
        <v>66</v>
      </c>
      <c r="E1371" t="s">
        <v>2615</v>
      </c>
      <c r="F1371" t="s">
        <v>2627</v>
      </c>
      <c r="G1371" t="s">
        <v>184</v>
      </c>
      <c r="H1371" t="s">
        <v>2648</v>
      </c>
      <c r="I1371" t="s">
        <v>75</v>
      </c>
      <c r="J1371">
        <v>72</v>
      </c>
      <c r="K1371">
        <v>170.05</v>
      </c>
      <c r="L1371">
        <v>102.66</v>
      </c>
      <c r="M1371">
        <v>0.15</v>
      </c>
      <c r="N1371" t="s">
        <v>45</v>
      </c>
    </row>
    <row r="1372" spans="1:14" x14ac:dyDescent="0.25">
      <c r="A1372" t="s">
        <v>1898</v>
      </c>
      <c r="B1372" s="2">
        <v>45514</v>
      </c>
      <c r="C1372" t="s">
        <v>282</v>
      </c>
      <c r="D1372" t="s">
        <v>209</v>
      </c>
      <c r="E1372" t="s">
        <v>2618</v>
      </c>
      <c r="F1372" t="s">
        <v>2635</v>
      </c>
      <c r="G1372" t="s">
        <v>248</v>
      </c>
      <c r="H1372" t="s">
        <v>2647</v>
      </c>
      <c r="I1372" t="s">
        <v>75</v>
      </c>
      <c r="J1372">
        <v>75</v>
      </c>
      <c r="K1372">
        <v>16.579999999999998</v>
      </c>
      <c r="L1372">
        <v>9.89</v>
      </c>
      <c r="M1372">
        <v>0.15</v>
      </c>
      <c r="N1372" t="s">
        <v>45</v>
      </c>
    </row>
    <row r="1373" spans="1:14" x14ac:dyDescent="0.25">
      <c r="A1373" t="s">
        <v>1899</v>
      </c>
      <c r="B1373" s="2">
        <v>45395</v>
      </c>
      <c r="C1373" t="s">
        <v>1805</v>
      </c>
      <c r="D1373" t="s">
        <v>66</v>
      </c>
      <c r="E1373" t="s">
        <v>2614</v>
      </c>
      <c r="F1373" t="s">
        <v>2637</v>
      </c>
      <c r="G1373" t="s">
        <v>69</v>
      </c>
      <c r="H1373" t="s">
        <v>2647</v>
      </c>
      <c r="I1373" t="s">
        <v>44</v>
      </c>
      <c r="J1373">
        <v>12</v>
      </c>
      <c r="K1373">
        <v>158.16999999999999</v>
      </c>
      <c r="L1373">
        <v>96.17</v>
      </c>
      <c r="M1373">
        <v>0.15</v>
      </c>
      <c r="N1373" t="s">
        <v>45</v>
      </c>
    </row>
    <row r="1374" spans="1:14" x14ac:dyDescent="0.25">
      <c r="A1374" t="s">
        <v>1900</v>
      </c>
      <c r="B1374" s="2">
        <v>45392</v>
      </c>
      <c r="C1374" t="s">
        <v>485</v>
      </c>
      <c r="D1374" t="s">
        <v>23</v>
      </c>
      <c r="E1374" t="s">
        <v>2616</v>
      </c>
      <c r="F1374" t="s">
        <v>2631</v>
      </c>
      <c r="G1374" t="s">
        <v>218</v>
      </c>
      <c r="H1374" t="s">
        <v>2648</v>
      </c>
      <c r="I1374" t="s">
        <v>2578</v>
      </c>
      <c r="J1374">
        <v>27</v>
      </c>
      <c r="K1374">
        <v>69.81</v>
      </c>
      <c r="L1374">
        <v>44.58</v>
      </c>
      <c r="M1374">
        <v>0.2</v>
      </c>
      <c r="N1374" t="s">
        <v>129</v>
      </c>
    </row>
    <row r="1375" spans="1:14" x14ac:dyDescent="0.25">
      <c r="A1375" t="s">
        <v>1901</v>
      </c>
      <c r="B1375" s="2">
        <v>45451</v>
      </c>
      <c r="C1375" t="s">
        <v>1047</v>
      </c>
      <c r="D1375" t="s">
        <v>66</v>
      </c>
      <c r="E1375" t="s">
        <v>2615</v>
      </c>
      <c r="F1375" t="s">
        <v>2630</v>
      </c>
      <c r="G1375" t="s">
        <v>178</v>
      </c>
      <c r="H1375" t="s">
        <v>2647</v>
      </c>
      <c r="I1375" t="s">
        <v>70</v>
      </c>
      <c r="J1375">
        <v>74</v>
      </c>
      <c r="K1375">
        <v>155.34</v>
      </c>
      <c r="L1375">
        <v>97.51</v>
      </c>
      <c r="M1375">
        <v>0.2</v>
      </c>
      <c r="N1375" t="s">
        <v>32</v>
      </c>
    </row>
    <row r="1376" spans="1:14" x14ac:dyDescent="0.25">
      <c r="A1376" t="s">
        <v>1902</v>
      </c>
      <c r="B1376" s="2">
        <v>45373</v>
      </c>
      <c r="C1376" t="s">
        <v>186</v>
      </c>
      <c r="D1376" t="s">
        <v>78</v>
      </c>
      <c r="E1376" t="s">
        <v>2617</v>
      </c>
      <c r="F1376" t="s">
        <v>2625</v>
      </c>
      <c r="G1376" t="s">
        <v>184</v>
      </c>
      <c r="H1376" t="s">
        <v>2645</v>
      </c>
      <c r="I1376" t="s">
        <v>84</v>
      </c>
      <c r="J1376">
        <v>73</v>
      </c>
      <c r="K1376">
        <v>141.18</v>
      </c>
      <c r="L1376">
        <v>82.26</v>
      </c>
      <c r="M1376">
        <v>0.2</v>
      </c>
      <c r="N1376" t="s">
        <v>45</v>
      </c>
    </row>
    <row r="1377" spans="1:14" x14ac:dyDescent="0.25">
      <c r="A1377" t="s">
        <v>1903</v>
      </c>
      <c r="B1377" s="2">
        <v>45387</v>
      </c>
      <c r="C1377" t="s">
        <v>282</v>
      </c>
      <c r="D1377" t="s">
        <v>132</v>
      </c>
      <c r="E1377" t="s">
        <v>2616</v>
      </c>
      <c r="F1377" t="s">
        <v>2633</v>
      </c>
      <c r="G1377" t="s">
        <v>218</v>
      </c>
      <c r="H1377" t="s">
        <v>2647</v>
      </c>
      <c r="I1377" t="s">
        <v>75</v>
      </c>
      <c r="J1377">
        <v>26</v>
      </c>
      <c r="K1377">
        <v>59.2</v>
      </c>
      <c r="L1377">
        <v>33.9</v>
      </c>
      <c r="M1377">
        <v>0</v>
      </c>
      <c r="N1377" t="s">
        <v>45</v>
      </c>
    </row>
    <row r="1378" spans="1:14" x14ac:dyDescent="0.25">
      <c r="A1378" t="s">
        <v>1904</v>
      </c>
      <c r="B1378" s="2">
        <v>45293</v>
      </c>
      <c r="C1378" t="s">
        <v>509</v>
      </c>
      <c r="D1378" t="s">
        <v>216</v>
      </c>
      <c r="E1378" t="s">
        <v>2618</v>
      </c>
      <c r="F1378" t="s">
        <v>2632</v>
      </c>
      <c r="G1378" t="s">
        <v>118</v>
      </c>
      <c r="H1378" t="s">
        <v>2648</v>
      </c>
      <c r="I1378" t="s">
        <v>75</v>
      </c>
      <c r="J1378">
        <v>15</v>
      </c>
      <c r="K1378">
        <v>102.67</v>
      </c>
      <c r="L1378">
        <v>63.9</v>
      </c>
      <c r="M1378">
        <v>0.05</v>
      </c>
      <c r="N1378" t="s">
        <v>45</v>
      </c>
    </row>
    <row r="1379" spans="1:14" x14ac:dyDescent="0.25">
      <c r="A1379" t="s">
        <v>1905</v>
      </c>
      <c r="B1379" s="2">
        <v>45319</v>
      </c>
      <c r="C1379" t="s">
        <v>426</v>
      </c>
      <c r="D1379" t="s">
        <v>114</v>
      </c>
      <c r="E1379" t="s">
        <v>2617</v>
      </c>
      <c r="F1379" t="s">
        <v>2625</v>
      </c>
      <c r="G1379" t="s">
        <v>118</v>
      </c>
      <c r="H1379" t="s">
        <v>2645</v>
      </c>
      <c r="I1379" t="s">
        <v>2619</v>
      </c>
      <c r="J1379">
        <v>58</v>
      </c>
      <c r="K1379">
        <v>34.19</v>
      </c>
      <c r="L1379">
        <v>21.17</v>
      </c>
      <c r="M1379">
        <v>0.1</v>
      </c>
      <c r="N1379" t="s">
        <v>45</v>
      </c>
    </row>
    <row r="1380" spans="1:14" x14ac:dyDescent="0.25">
      <c r="A1380" t="s">
        <v>1906</v>
      </c>
      <c r="B1380" s="2">
        <v>45579</v>
      </c>
      <c r="C1380" t="s">
        <v>651</v>
      </c>
      <c r="D1380" t="s">
        <v>93</v>
      </c>
      <c r="E1380" t="s">
        <v>2618</v>
      </c>
      <c r="F1380" t="s">
        <v>2632</v>
      </c>
      <c r="G1380" t="s">
        <v>111</v>
      </c>
      <c r="H1380" t="s">
        <v>2645</v>
      </c>
      <c r="I1380" t="s">
        <v>2578</v>
      </c>
      <c r="J1380">
        <v>65</v>
      </c>
      <c r="K1380">
        <v>51.78</v>
      </c>
      <c r="L1380">
        <v>29.59</v>
      </c>
      <c r="M1380">
        <v>0.2</v>
      </c>
      <c r="N1380" t="s">
        <v>129</v>
      </c>
    </row>
    <row r="1381" spans="1:14" x14ac:dyDescent="0.25">
      <c r="A1381" t="s">
        <v>1907</v>
      </c>
      <c r="B1381" s="2">
        <v>45385</v>
      </c>
      <c r="C1381" t="s">
        <v>975</v>
      </c>
      <c r="D1381" t="s">
        <v>176</v>
      </c>
      <c r="E1381" t="s">
        <v>2618</v>
      </c>
      <c r="F1381" t="s">
        <v>2635</v>
      </c>
      <c r="G1381" t="s">
        <v>144</v>
      </c>
      <c r="H1381" t="s">
        <v>2645</v>
      </c>
      <c r="I1381" t="s">
        <v>84</v>
      </c>
      <c r="J1381">
        <v>13</v>
      </c>
      <c r="K1381">
        <v>110.94</v>
      </c>
      <c r="L1381">
        <v>60.4</v>
      </c>
      <c r="M1381">
        <v>0.05</v>
      </c>
      <c r="N1381" t="s">
        <v>45</v>
      </c>
    </row>
    <row r="1382" spans="1:14" x14ac:dyDescent="0.25">
      <c r="A1382" t="s">
        <v>1908</v>
      </c>
      <c r="B1382" s="2">
        <v>45578</v>
      </c>
      <c r="C1382" t="s">
        <v>636</v>
      </c>
      <c r="D1382" t="s">
        <v>250</v>
      </c>
      <c r="E1382" t="s">
        <v>2614</v>
      </c>
      <c r="F1382" t="s">
        <v>2629</v>
      </c>
      <c r="G1382" t="s">
        <v>195</v>
      </c>
      <c r="H1382" t="s">
        <v>2647</v>
      </c>
      <c r="I1382" t="s">
        <v>75</v>
      </c>
      <c r="J1382">
        <v>53</v>
      </c>
      <c r="K1382">
        <v>59.86</v>
      </c>
      <c r="L1382">
        <v>39.92</v>
      </c>
      <c r="M1382">
        <v>0.15</v>
      </c>
      <c r="N1382" t="s">
        <v>45</v>
      </c>
    </row>
    <row r="1383" spans="1:14" x14ac:dyDescent="0.25">
      <c r="A1383" t="s">
        <v>1909</v>
      </c>
      <c r="B1383" s="2">
        <v>45622</v>
      </c>
      <c r="C1383" t="s">
        <v>1476</v>
      </c>
      <c r="D1383" t="s">
        <v>176</v>
      </c>
      <c r="E1383" t="s">
        <v>2614</v>
      </c>
      <c r="F1383" t="s">
        <v>2622</v>
      </c>
      <c r="G1383" t="s">
        <v>178</v>
      </c>
      <c r="H1383" t="s">
        <v>2648</v>
      </c>
      <c r="I1383" t="s">
        <v>84</v>
      </c>
      <c r="J1383">
        <v>9</v>
      </c>
      <c r="K1383">
        <v>106.5</v>
      </c>
      <c r="L1383">
        <v>64.14</v>
      </c>
      <c r="M1383">
        <v>0.1</v>
      </c>
      <c r="N1383" t="s">
        <v>45</v>
      </c>
    </row>
    <row r="1384" spans="1:14" x14ac:dyDescent="0.25">
      <c r="A1384" t="s">
        <v>1910</v>
      </c>
      <c r="B1384" s="2">
        <v>45546</v>
      </c>
      <c r="C1384" t="s">
        <v>757</v>
      </c>
      <c r="D1384" t="s">
        <v>187</v>
      </c>
      <c r="E1384" t="s">
        <v>2614</v>
      </c>
      <c r="F1384" t="s">
        <v>2622</v>
      </c>
      <c r="G1384" t="s">
        <v>170</v>
      </c>
      <c r="H1384" t="s">
        <v>2648</v>
      </c>
      <c r="I1384" t="s">
        <v>2578</v>
      </c>
      <c r="J1384">
        <v>20</v>
      </c>
      <c r="K1384">
        <v>51.65</v>
      </c>
      <c r="L1384">
        <v>28.24</v>
      </c>
      <c r="M1384">
        <v>0.02</v>
      </c>
      <c r="N1384" t="s">
        <v>129</v>
      </c>
    </row>
    <row r="1385" spans="1:14" x14ac:dyDescent="0.25">
      <c r="A1385" t="s">
        <v>1911</v>
      </c>
      <c r="B1385" s="2">
        <v>45427</v>
      </c>
      <c r="C1385" t="s">
        <v>21</v>
      </c>
      <c r="D1385" t="s">
        <v>150</v>
      </c>
      <c r="E1385" t="s">
        <v>2616</v>
      </c>
      <c r="F1385" t="s">
        <v>2631</v>
      </c>
      <c r="G1385" t="s">
        <v>253</v>
      </c>
      <c r="H1385" t="s">
        <v>2647</v>
      </c>
      <c r="I1385" t="s">
        <v>44</v>
      </c>
      <c r="J1385">
        <v>70</v>
      </c>
      <c r="K1385">
        <v>82.03</v>
      </c>
      <c r="L1385">
        <v>54.78</v>
      </c>
      <c r="M1385">
        <v>0.1</v>
      </c>
      <c r="N1385" t="s">
        <v>45</v>
      </c>
    </row>
    <row r="1386" spans="1:14" x14ac:dyDescent="0.25">
      <c r="A1386" t="s">
        <v>1912</v>
      </c>
      <c r="B1386" s="2">
        <v>45476</v>
      </c>
      <c r="C1386" t="s">
        <v>497</v>
      </c>
      <c r="D1386" t="s">
        <v>150</v>
      </c>
      <c r="E1386" t="s">
        <v>2618</v>
      </c>
      <c r="F1386" t="s">
        <v>2634</v>
      </c>
      <c r="G1386" t="s">
        <v>111</v>
      </c>
      <c r="H1386" t="s">
        <v>2648</v>
      </c>
      <c r="I1386" t="s">
        <v>70</v>
      </c>
      <c r="J1386">
        <v>46</v>
      </c>
      <c r="K1386">
        <v>80.86</v>
      </c>
      <c r="L1386">
        <v>49.74</v>
      </c>
      <c r="M1386">
        <v>0.05</v>
      </c>
      <c r="N1386" t="s">
        <v>45</v>
      </c>
    </row>
    <row r="1387" spans="1:14" x14ac:dyDescent="0.25">
      <c r="A1387" t="s">
        <v>1913</v>
      </c>
      <c r="B1387" s="2">
        <v>45390</v>
      </c>
      <c r="C1387" t="s">
        <v>529</v>
      </c>
      <c r="D1387" t="s">
        <v>109</v>
      </c>
      <c r="E1387" t="s">
        <v>2614</v>
      </c>
      <c r="F1387" t="s">
        <v>2629</v>
      </c>
      <c r="G1387" t="s">
        <v>152</v>
      </c>
      <c r="H1387" t="s">
        <v>2647</v>
      </c>
      <c r="I1387" t="s">
        <v>70</v>
      </c>
      <c r="J1387">
        <v>19</v>
      </c>
      <c r="K1387">
        <v>134.97</v>
      </c>
      <c r="L1387">
        <v>79.13</v>
      </c>
      <c r="M1387">
        <v>0.1</v>
      </c>
      <c r="N1387" t="s">
        <v>45</v>
      </c>
    </row>
    <row r="1388" spans="1:14" x14ac:dyDescent="0.25">
      <c r="A1388" t="s">
        <v>1914</v>
      </c>
      <c r="B1388" s="2">
        <v>45342</v>
      </c>
      <c r="C1388" t="s">
        <v>201</v>
      </c>
      <c r="D1388" t="s">
        <v>250</v>
      </c>
      <c r="E1388" t="s">
        <v>2616</v>
      </c>
      <c r="F1388" t="s">
        <v>2633</v>
      </c>
      <c r="G1388" t="s">
        <v>144</v>
      </c>
      <c r="H1388" t="s">
        <v>2648</v>
      </c>
      <c r="I1388" t="s">
        <v>84</v>
      </c>
      <c r="J1388">
        <v>17</v>
      </c>
      <c r="K1388">
        <v>65.16</v>
      </c>
      <c r="L1388">
        <v>35.94</v>
      </c>
      <c r="M1388">
        <v>0.2</v>
      </c>
      <c r="N1388" t="s">
        <v>45</v>
      </c>
    </row>
    <row r="1389" spans="1:14" x14ac:dyDescent="0.25">
      <c r="A1389" t="s">
        <v>1915</v>
      </c>
      <c r="B1389" s="2">
        <v>45643</v>
      </c>
      <c r="C1389" t="s">
        <v>1426</v>
      </c>
      <c r="D1389" t="s">
        <v>93</v>
      </c>
      <c r="E1389" t="s">
        <v>2617</v>
      </c>
      <c r="F1389" t="s">
        <v>2641</v>
      </c>
      <c r="G1389" t="s">
        <v>69</v>
      </c>
      <c r="H1389" t="s">
        <v>2646</v>
      </c>
      <c r="I1389" t="s">
        <v>2578</v>
      </c>
      <c r="J1389">
        <v>76</v>
      </c>
      <c r="K1389">
        <v>57.71</v>
      </c>
      <c r="L1389">
        <v>33.340000000000003</v>
      </c>
      <c r="M1389">
        <v>0.05</v>
      </c>
      <c r="N1389" t="s">
        <v>45</v>
      </c>
    </row>
    <row r="1390" spans="1:14" x14ac:dyDescent="0.25">
      <c r="A1390" t="s">
        <v>1916</v>
      </c>
      <c r="B1390" s="2">
        <v>45360</v>
      </c>
      <c r="C1390" t="s">
        <v>1620</v>
      </c>
      <c r="D1390" t="s">
        <v>209</v>
      </c>
      <c r="E1390" t="s">
        <v>2614</v>
      </c>
      <c r="F1390" t="s">
        <v>2637</v>
      </c>
      <c r="G1390" t="s">
        <v>178</v>
      </c>
      <c r="H1390" t="s">
        <v>2648</v>
      </c>
      <c r="I1390" t="s">
        <v>70</v>
      </c>
      <c r="J1390">
        <v>34</v>
      </c>
      <c r="K1390">
        <v>18.37</v>
      </c>
      <c r="L1390">
        <v>10.6</v>
      </c>
      <c r="M1390">
        <v>0.2</v>
      </c>
      <c r="N1390" t="s">
        <v>45</v>
      </c>
    </row>
    <row r="1391" spans="1:14" x14ac:dyDescent="0.25">
      <c r="A1391" t="s">
        <v>1917</v>
      </c>
      <c r="B1391" s="2">
        <v>45474</v>
      </c>
      <c r="C1391" t="s">
        <v>341</v>
      </c>
      <c r="D1391" t="s">
        <v>109</v>
      </c>
      <c r="E1391" t="s">
        <v>2616</v>
      </c>
      <c r="F1391" t="s">
        <v>2633</v>
      </c>
      <c r="G1391" t="s">
        <v>248</v>
      </c>
      <c r="H1391" t="s">
        <v>2645</v>
      </c>
      <c r="I1391" t="s">
        <v>75</v>
      </c>
      <c r="J1391">
        <v>43</v>
      </c>
      <c r="K1391">
        <v>133.56</v>
      </c>
      <c r="L1391">
        <v>70.739999999999995</v>
      </c>
      <c r="M1391">
        <v>0</v>
      </c>
      <c r="N1391" t="s">
        <v>45</v>
      </c>
    </row>
    <row r="1392" spans="1:14" x14ac:dyDescent="0.25">
      <c r="A1392" t="s">
        <v>1918</v>
      </c>
      <c r="B1392" s="2">
        <v>45388</v>
      </c>
      <c r="C1392" t="s">
        <v>859</v>
      </c>
      <c r="D1392" t="s">
        <v>165</v>
      </c>
      <c r="E1392" t="s">
        <v>2616</v>
      </c>
      <c r="F1392" t="s">
        <v>2624</v>
      </c>
      <c r="G1392" t="s">
        <v>42</v>
      </c>
      <c r="H1392" t="s">
        <v>2646</v>
      </c>
      <c r="I1392" t="s">
        <v>44</v>
      </c>
      <c r="J1392">
        <v>1</v>
      </c>
      <c r="K1392">
        <v>42.83</v>
      </c>
      <c r="L1392">
        <v>24.64</v>
      </c>
      <c r="M1392">
        <v>0.2</v>
      </c>
      <c r="N1392" t="s">
        <v>45</v>
      </c>
    </row>
    <row r="1393" spans="1:14" x14ac:dyDescent="0.25">
      <c r="A1393" t="s">
        <v>1919</v>
      </c>
      <c r="B1393" s="2">
        <v>45482</v>
      </c>
      <c r="C1393" t="s">
        <v>347</v>
      </c>
      <c r="D1393" t="s">
        <v>49</v>
      </c>
      <c r="E1393" t="s">
        <v>2617</v>
      </c>
      <c r="F1393" t="s">
        <v>2626</v>
      </c>
      <c r="G1393" t="s">
        <v>29</v>
      </c>
      <c r="H1393" t="s">
        <v>2648</v>
      </c>
      <c r="I1393" t="s">
        <v>2578</v>
      </c>
      <c r="J1393">
        <v>2</v>
      </c>
      <c r="K1393">
        <v>26.47</v>
      </c>
      <c r="L1393">
        <v>13.16</v>
      </c>
      <c r="M1393">
        <v>0.05</v>
      </c>
      <c r="N1393" t="s">
        <v>32</v>
      </c>
    </row>
    <row r="1394" spans="1:14" x14ac:dyDescent="0.25">
      <c r="A1394" t="s">
        <v>1920</v>
      </c>
      <c r="B1394" s="2">
        <v>45542</v>
      </c>
      <c r="C1394" t="s">
        <v>365</v>
      </c>
      <c r="D1394" t="s">
        <v>66</v>
      </c>
      <c r="E1394" t="s">
        <v>2617</v>
      </c>
      <c r="F1394" t="s">
        <v>2641</v>
      </c>
      <c r="G1394" t="s">
        <v>261</v>
      </c>
      <c r="H1394" t="s">
        <v>2645</v>
      </c>
      <c r="I1394" t="s">
        <v>70</v>
      </c>
      <c r="J1394">
        <v>58</v>
      </c>
      <c r="K1394">
        <v>148.74</v>
      </c>
      <c r="L1394">
        <v>111.23</v>
      </c>
      <c r="M1394">
        <v>0.1</v>
      </c>
      <c r="N1394" t="s">
        <v>45</v>
      </c>
    </row>
    <row r="1395" spans="1:14" x14ac:dyDescent="0.25">
      <c r="A1395" t="s">
        <v>1921</v>
      </c>
      <c r="B1395" s="2">
        <v>45451</v>
      </c>
      <c r="C1395" t="s">
        <v>2619</v>
      </c>
      <c r="D1395" t="s">
        <v>132</v>
      </c>
      <c r="E1395" t="s">
        <v>2615</v>
      </c>
      <c r="F1395" t="s">
        <v>2627</v>
      </c>
      <c r="G1395" t="s">
        <v>218</v>
      </c>
      <c r="H1395" t="s">
        <v>2646</v>
      </c>
      <c r="I1395" t="s">
        <v>84</v>
      </c>
      <c r="J1395">
        <v>65</v>
      </c>
      <c r="K1395">
        <v>55.3</v>
      </c>
      <c r="L1395">
        <v>35.18</v>
      </c>
      <c r="M1395">
        <v>0.1</v>
      </c>
      <c r="N1395" t="s">
        <v>45</v>
      </c>
    </row>
    <row r="1396" spans="1:14" x14ac:dyDescent="0.25">
      <c r="A1396" t="s">
        <v>1922</v>
      </c>
      <c r="B1396" s="2">
        <v>45645</v>
      </c>
      <c r="C1396" t="s">
        <v>98</v>
      </c>
      <c r="D1396" t="s">
        <v>78</v>
      </c>
      <c r="E1396" t="s">
        <v>2615</v>
      </c>
      <c r="F1396" t="s">
        <v>2640</v>
      </c>
      <c r="G1396" t="s">
        <v>74</v>
      </c>
      <c r="H1396" t="s">
        <v>2648</v>
      </c>
      <c r="I1396" t="s">
        <v>2578</v>
      </c>
      <c r="J1396">
        <v>13</v>
      </c>
      <c r="K1396">
        <v>139.25</v>
      </c>
      <c r="L1396">
        <v>76.430000000000007</v>
      </c>
      <c r="M1396">
        <v>0.05</v>
      </c>
      <c r="N1396" t="s">
        <v>45</v>
      </c>
    </row>
    <row r="1397" spans="1:14" x14ac:dyDescent="0.25">
      <c r="A1397" t="s">
        <v>1923</v>
      </c>
      <c r="B1397" s="2">
        <v>45452</v>
      </c>
      <c r="C1397" t="s">
        <v>258</v>
      </c>
      <c r="D1397" t="s">
        <v>250</v>
      </c>
      <c r="E1397" t="s">
        <v>2615</v>
      </c>
      <c r="F1397" t="s">
        <v>2630</v>
      </c>
      <c r="G1397" t="s">
        <v>195</v>
      </c>
      <c r="H1397" t="s">
        <v>2645</v>
      </c>
      <c r="I1397" t="s">
        <v>75</v>
      </c>
      <c r="J1397">
        <v>43</v>
      </c>
      <c r="K1397">
        <v>66.97</v>
      </c>
      <c r="L1397">
        <v>39.07</v>
      </c>
      <c r="M1397">
        <v>0.15</v>
      </c>
      <c r="N1397" t="s">
        <v>45</v>
      </c>
    </row>
    <row r="1398" spans="1:14" x14ac:dyDescent="0.25">
      <c r="A1398" t="s">
        <v>1924</v>
      </c>
      <c r="B1398" s="2">
        <v>45605</v>
      </c>
      <c r="C1398" t="s">
        <v>98</v>
      </c>
      <c r="D1398" t="s">
        <v>216</v>
      </c>
      <c r="E1398" t="s">
        <v>2615</v>
      </c>
      <c r="F1398" t="s">
        <v>2623</v>
      </c>
      <c r="G1398" t="s">
        <v>253</v>
      </c>
      <c r="H1398" t="s">
        <v>2645</v>
      </c>
      <c r="I1398" t="s">
        <v>2578</v>
      </c>
      <c r="J1398">
        <v>44</v>
      </c>
      <c r="K1398">
        <v>118.47</v>
      </c>
      <c r="L1398">
        <v>63.68</v>
      </c>
      <c r="M1398">
        <v>0.1</v>
      </c>
      <c r="N1398" t="s">
        <v>45</v>
      </c>
    </row>
    <row r="1399" spans="1:14" x14ac:dyDescent="0.25">
      <c r="A1399" t="s">
        <v>1925</v>
      </c>
      <c r="B1399" s="2">
        <v>45323</v>
      </c>
      <c r="C1399" t="s">
        <v>358</v>
      </c>
      <c r="D1399" t="s">
        <v>23</v>
      </c>
      <c r="E1399" t="s">
        <v>2617</v>
      </c>
      <c r="F1399" t="s">
        <v>2641</v>
      </c>
      <c r="G1399" t="s">
        <v>118</v>
      </c>
      <c r="H1399" t="s">
        <v>2648</v>
      </c>
      <c r="I1399" t="s">
        <v>2578</v>
      </c>
      <c r="J1399">
        <v>38</v>
      </c>
      <c r="K1399">
        <v>75.45</v>
      </c>
      <c r="L1399">
        <v>46.96</v>
      </c>
      <c r="M1399">
        <v>0.02</v>
      </c>
      <c r="N1399" t="s">
        <v>45</v>
      </c>
    </row>
    <row r="1400" spans="1:14" x14ac:dyDescent="0.25">
      <c r="A1400" t="s">
        <v>1926</v>
      </c>
      <c r="B1400" s="2">
        <v>45534</v>
      </c>
      <c r="C1400" t="s">
        <v>653</v>
      </c>
      <c r="D1400" t="s">
        <v>150</v>
      </c>
      <c r="E1400" t="s">
        <v>2614</v>
      </c>
      <c r="F1400" t="s">
        <v>2629</v>
      </c>
      <c r="G1400" t="s">
        <v>195</v>
      </c>
      <c r="H1400" t="s">
        <v>2645</v>
      </c>
      <c r="I1400" t="s">
        <v>70</v>
      </c>
      <c r="J1400">
        <v>75</v>
      </c>
      <c r="K1400">
        <v>84.46</v>
      </c>
      <c r="L1400">
        <v>53.97</v>
      </c>
      <c r="M1400">
        <v>0</v>
      </c>
      <c r="N1400" t="s">
        <v>45</v>
      </c>
    </row>
    <row r="1401" spans="1:14" x14ac:dyDescent="0.25">
      <c r="A1401" t="s">
        <v>1927</v>
      </c>
      <c r="B1401" s="2">
        <v>45635</v>
      </c>
      <c r="C1401" t="s">
        <v>205</v>
      </c>
      <c r="D1401" t="s">
        <v>222</v>
      </c>
      <c r="E1401" t="s">
        <v>2615</v>
      </c>
      <c r="F1401" t="s">
        <v>2630</v>
      </c>
      <c r="G1401" t="s">
        <v>29</v>
      </c>
      <c r="H1401" t="s">
        <v>2645</v>
      </c>
      <c r="I1401" t="s">
        <v>44</v>
      </c>
      <c r="J1401">
        <v>57</v>
      </c>
      <c r="K1401">
        <v>111.09</v>
      </c>
      <c r="L1401">
        <v>75.540000000000006</v>
      </c>
      <c r="M1401">
        <v>0.2</v>
      </c>
      <c r="N1401" t="s">
        <v>45</v>
      </c>
    </row>
    <row r="1402" spans="1:14" x14ac:dyDescent="0.25">
      <c r="A1402" t="s">
        <v>1928</v>
      </c>
      <c r="B1402" s="2">
        <v>45313</v>
      </c>
      <c r="C1402" t="s">
        <v>433</v>
      </c>
      <c r="D1402" t="s">
        <v>209</v>
      </c>
      <c r="E1402" t="s">
        <v>2614</v>
      </c>
      <c r="F1402" t="s">
        <v>2637</v>
      </c>
      <c r="G1402" t="s">
        <v>253</v>
      </c>
      <c r="H1402" t="s">
        <v>2646</v>
      </c>
      <c r="I1402" t="s">
        <v>84</v>
      </c>
      <c r="J1402">
        <v>61</v>
      </c>
      <c r="K1402">
        <v>17.53</v>
      </c>
      <c r="L1402">
        <v>9.43</v>
      </c>
      <c r="M1402">
        <v>0.05</v>
      </c>
      <c r="N1402" t="s">
        <v>45</v>
      </c>
    </row>
    <row r="1403" spans="1:14" x14ac:dyDescent="0.25">
      <c r="A1403" t="s">
        <v>1929</v>
      </c>
      <c r="B1403" s="2">
        <v>45558</v>
      </c>
      <c r="C1403" t="s">
        <v>744</v>
      </c>
      <c r="D1403" t="s">
        <v>250</v>
      </c>
      <c r="E1403" t="s">
        <v>2615</v>
      </c>
      <c r="F1403" t="s">
        <v>2623</v>
      </c>
      <c r="G1403" t="s">
        <v>83</v>
      </c>
      <c r="H1403" t="s">
        <v>2646</v>
      </c>
      <c r="I1403" t="s">
        <v>70</v>
      </c>
      <c r="J1403">
        <v>44</v>
      </c>
      <c r="K1403">
        <v>62.02</v>
      </c>
      <c r="L1403">
        <v>35.15</v>
      </c>
      <c r="M1403">
        <v>0.2</v>
      </c>
      <c r="N1403" t="s">
        <v>45</v>
      </c>
    </row>
    <row r="1404" spans="1:14" x14ac:dyDescent="0.25">
      <c r="A1404" t="s">
        <v>1930</v>
      </c>
      <c r="B1404" s="2">
        <v>45338</v>
      </c>
      <c r="C1404" t="s">
        <v>155</v>
      </c>
      <c r="D1404" t="s">
        <v>216</v>
      </c>
      <c r="E1404" t="s">
        <v>2614</v>
      </c>
      <c r="F1404" t="s">
        <v>2637</v>
      </c>
      <c r="G1404" t="s">
        <v>152</v>
      </c>
      <c r="H1404" t="s">
        <v>2646</v>
      </c>
      <c r="I1404" t="s">
        <v>70</v>
      </c>
      <c r="J1404">
        <v>28</v>
      </c>
      <c r="K1404">
        <v>116.9</v>
      </c>
      <c r="L1404">
        <v>68.41</v>
      </c>
      <c r="M1404">
        <v>0.2</v>
      </c>
      <c r="N1404" t="s">
        <v>45</v>
      </c>
    </row>
    <row r="1405" spans="1:14" x14ac:dyDescent="0.25">
      <c r="A1405" t="s">
        <v>1931</v>
      </c>
      <c r="B1405" s="2">
        <v>45530</v>
      </c>
      <c r="C1405" t="s">
        <v>519</v>
      </c>
      <c r="D1405" t="s">
        <v>187</v>
      </c>
      <c r="E1405" t="s">
        <v>2614</v>
      </c>
      <c r="F1405" t="s">
        <v>2629</v>
      </c>
      <c r="G1405" t="s">
        <v>83</v>
      </c>
      <c r="H1405" t="s">
        <v>2646</v>
      </c>
      <c r="I1405" t="s">
        <v>44</v>
      </c>
      <c r="J1405">
        <v>20</v>
      </c>
      <c r="K1405">
        <v>47.99</v>
      </c>
      <c r="L1405">
        <v>28.62</v>
      </c>
      <c r="M1405">
        <v>0</v>
      </c>
      <c r="N1405" t="s">
        <v>129</v>
      </c>
    </row>
    <row r="1406" spans="1:14" x14ac:dyDescent="0.25">
      <c r="A1406" t="s">
        <v>1932</v>
      </c>
      <c r="B1406" s="2">
        <v>45319</v>
      </c>
      <c r="C1406" t="s">
        <v>404</v>
      </c>
      <c r="D1406" t="s">
        <v>187</v>
      </c>
      <c r="E1406" t="s">
        <v>2617</v>
      </c>
      <c r="F1406" t="s">
        <v>2625</v>
      </c>
      <c r="G1406" t="s">
        <v>144</v>
      </c>
      <c r="H1406" t="s">
        <v>2645</v>
      </c>
      <c r="I1406" t="s">
        <v>75</v>
      </c>
      <c r="J1406">
        <v>13</v>
      </c>
      <c r="K1406">
        <v>51.43</v>
      </c>
      <c r="L1406">
        <v>28.54</v>
      </c>
      <c r="M1406">
        <v>0.15</v>
      </c>
      <c r="N1406" t="s">
        <v>45</v>
      </c>
    </row>
    <row r="1407" spans="1:14" x14ac:dyDescent="0.25">
      <c r="A1407" t="s">
        <v>1933</v>
      </c>
      <c r="B1407" s="2">
        <v>45347</v>
      </c>
      <c r="C1407" t="s">
        <v>418</v>
      </c>
      <c r="D1407" t="s">
        <v>49</v>
      </c>
      <c r="E1407" t="s">
        <v>2618</v>
      </c>
      <c r="F1407" t="s">
        <v>2635</v>
      </c>
      <c r="G1407" t="s">
        <v>144</v>
      </c>
      <c r="H1407" t="s">
        <v>2647</v>
      </c>
      <c r="I1407" t="s">
        <v>84</v>
      </c>
      <c r="J1407">
        <v>57</v>
      </c>
      <c r="K1407">
        <v>24.99</v>
      </c>
      <c r="L1407">
        <v>12.12</v>
      </c>
      <c r="M1407">
        <v>0.2</v>
      </c>
      <c r="N1407" t="s">
        <v>129</v>
      </c>
    </row>
    <row r="1408" spans="1:14" x14ac:dyDescent="0.25">
      <c r="A1408" t="s">
        <v>1934</v>
      </c>
      <c r="B1408" s="2">
        <v>45556</v>
      </c>
      <c r="C1408" t="s">
        <v>1575</v>
      </c>
      <c r="D1408" t="s">
        <v>36</v>
      </c>
      <c r="E1408" t="s">
        <v>2617</v>
      </c>
      <c r="F1408" t="s">
        <v>2626</v>
      </c>
      <c r="G1408" t="s">
        <v>2619</v>
      </c>
      <c r="H1408" t="s">
        <v>2647</v>
      </c>
      <c r="I1408" t="s">
        <v>2578</v>
      </c>
      <c r="J1408">
        <v>11</v>
      </c>
      <c r="K1408">
        <v>159.02000000000001</v>
      </c>
      <c r="L1408">
        <v>106.87</v>
      </c>
      <c r="M1408">
        <v>0.15</v>
      </c>
      <c r="N1408" t="s">
        <v>129</v>
      </c>
    </row>
    <row r="1409" spans="1:14" x14ac:dyDescent="0.25">
      <c r="A1409" t="s">
        <v>1935</v>
      </c>
      <c r="B1409" s="2">
        <v>45582</v>
      </c>
      <c r="C1409" t="s">
        <v>384</v>
      </c>
      <c r="D1409" t="s">
        <v>109</v>
      </c>
      <c r="E1409" t="s">
        <v>2618</v>
      </c>
      <c r="F1409" t="s">
        <v>2628</v>
      </c>
      <c r="G1409" t="s">
        <v>111</v>
      </c>
      <c r="H1409" t="s">
        <v>2645</v>
      </c>
      <c r="I1409" t="s">
        <v>70</v>
      </c>
      <c r="J1409">
        <v>11</v>
      </c>
      <c r="K1409">
        <v>130.15</v>
      </c>
      <c r="L1409">
        <v>78.709999999999994</v>
      </c>
      <c r="M1409">
        <v>0.02</v>
      </c>
      <c r="N1409" t="s">
        <v>32</v>
      </c>
    </row>
    <row r="1410" spans="1:14" x14ac:dyDescent="0.25">
      <c r="A1410" t="s">
        <v>1936</v>
      </c>
      <c r="B1410" s="2">
        <v>45339</v>
      </c>
      <c r="C1410" t="s">
        <v>794</v>
      </c>
      <c r="D1410" t="s">
        <v>165</v>
      </c>
      <c r="E1410" t="s">
        <v>2614</v>
      </c>
      <c r="F1410" t="s">
        <v>2637</v>
      </c>
      <c r="G1410" t="s">
        <v>90</v>
      </c>
      <c r="H1410" t="s">
        <v>2647</v>
      </c>
      <c r="I1410" t="s">
        <v>2578</v>
      </c>
      <c r="J1410">
        <v>29</v>
      </c>
      <c r="K1410">
        <v>44.93</v>
      </c>
      <c r="L1410">
        <v>23.55</v>
      </c>
      <c r="M1410">
        <v>0</v>
      </c>
      <c r="N1410" t="s">
        <v>129</v>
      </c>
    </row>
    <row r="1411" spans="1:14" x14ac:dyDescent="0.25">
      <c r="A1411" t="s">
        <v>1937</v>
      </c>
      <c r="B1411" s="2">
        <v>45461</v>
      </c>
      <c r="C1411" t="s">
        <v>291</v>
      </c>
      <c r="D1411" t="s">
        <v>216</v>
      </c>
      <c r="E1411" t="s">
        <v>2618</v>
      </c>
      <c r="F1411" t="s">
        <v>2632</v>
      </c>
      <c r="G1411" t="s">
        <v>144</v>
      </c>
      <c r="H1411" t="s">
        <v>2646</v>
      </c>
      <c r="I1411" t="s">
        <v>84</v>
      </c>
      <c r="J1411">
        <v>49</v>
      </c>
      <c r="K1411">
        <v>101.65</v>
      </c>
      <c r="L1411">
        <v>63.09</v>
      </c>
      <c r="M1411">
        <v>0.02</v>
      </c>
      <c r="N1411" t="s">
        <v>45</v>
      </c>
    </row>
    <row r="1412" spans="1:14" x14ac:dyDescent="0.25">
      <c r="A1412" t="s">
        <v>1938</v>
      </c>
      <c r="B1412" s="2">
        <v>45368</v>
      </c>
      <c r="C1412" t="s">
        <v>961</v>
      </c>
      <c r="D1412" t="s">
        <v>36</v>
      </c>
      <c r="E1412" t="s">
        <v>2617</v>
      </c>
      <c r="F1412" t="s">
        <v>2626</v>
      </c>
      <c r="G1412" t="s">
        <v>261</v>
      </c>
      <c r="H1412" t="s">
        <v>2647</v>
      </c>
      <c r="I1412" t="s">
        <v>75</v>
      </c>
      <c r="J1412">
        <v>38</v>
      </c>
      <c r="K1412">
        <v>171.3</v>
      </c>
      <c r="L1412">
        <v>91.3</v>
      </c>
      <c r="M1412">
        <v>0.02</v>
      </c>
      <c r="N1412" t="s">
        <v>45</v>
      </c>
    </row>
    <row r="1413" spans="1:14" x14ac:dyDescent="0.25">
      <c r="A1413" t="s">
        <v>1939</v>
      </c>
      <c r="B1413" s="2">
        <v>45504</v>
      </c>
      <c r="C1413" t="s">
        <v>1887</v>
      </c>
      <c r="D1413" t="s">
        <v>209</v>
      </c>
      <c r="E1413" t="s">
        <v>2618</v>
      </c>
      <c r="F1413" t="s">
        <v>2634</v>
      </c>
      <c r="G1413" t="s">
        <v>178</v>
      </c>
      <c r="H1413" t="s">
        <v>2646</v>
      </c>
      <c r="I1413" t="s">
        <v>75</v>
      </c>
      <c r="J1413">
        <v>10</v>
      </c>
      <c r="K1413">
        <v>17.760000000000002</v>
      </c>
      <c r="L1413">
        <v>9.4600000000000009</v>
      </c>
      <c r="M1413">
        <v>0.1</v>
      </c>
      <c r="N1413" t="s">
        <v>32</v>
      </c>
    </row>
    <row r="1414" spans="1:14" x14ac:dyDescent="0.25">
      <c r="A1414" t="s">
        <v>1940</v>
      </c>
      <c r="B1414" s="2">
        <v>45437</v>
      </c>
      <c r="C1414" t="s">
        <v>1134</v>
      </c>
      <c r="D1414" t="s">
        <v>78</v>
      </c>
      <c r="E1414" t="s">
        <v>2614</v>
      </c>
      <c r="F1414" t="s">
        <v>2622</v>
      </c>
      <c r="G1414" t="s">
        <v>261</v>
      </c>
      <c r="H1414" t="s">
        <v>2647</v>
      </c>
      <c r="I1414" t="s">
        <v>44</v>
      </c>
      <c r="J1414">
        <v>24</v>
      </c>
      <c r="K1414">
        <v>141.80000000000001</v>
      </c>
      <c r="L1414">
        <v>0</v>
      </c>
      <c r="M1414">
        <v>0.02</v>
      </c>
      <c r="N1414" t="s">
        <v>45</v>
      </c>
    </row>
    <row r="1415" spans="1:14" x14ac:dyDescent="0.25">
      <c r="A1415" t="s">
        <v>1941</v>
      </c>
      <c r="B1415" s="2">
        <v>45456</v>
      </c>
      <c r="C1415" t="s">
        <v>1881</v>
      </c>
      <c r="D1415" t="s">
        <v>132</v>
      </c>
      <c r="E1415" t="s">
        <v>2616</v>
      </c>
      <c r="F1415" t="s">
        <v>2638</v>
      </c>
      <c r="G1415" t="s">
        <v>253</v>
      </c>
      <c r="H1415" t="s">
        <v>2650</v>
      </c>
      <c r="I1415" t="s">
        <v>75</v>
      </c>
      <c r="J1415">
        <v>3</v>
      </c>
      <c r="K1415">
        <v>64.010000000000005</v>
      </c>
      <c r="L1415">
        <v>32.020000000000003</v>
      </c>
      <c r="M1415">
        <v>0.02</v>
      </c>
      <c r="N1415" t="s">
        <v>45</v>
      </c>
    </row>
    <row r="1416" spans="1:14" x14ac:dyDescent="0.25">
      <c r="A1416" t="s">
        <v>1942</v>
      </c>
      <c r="B1416" s="2">
        <v>45455</v>
      </c>
      <c r="C1416" t="s">
        <v>314</v>
      </c>
      <c r="D1416" t="s">
        <v>209</v>
      </c>
      <c r="E1416" t="s">
        <v>2617</v>
      </c>
      <c r="F1416" t="s">
        <v>2625</v>
      </c>
      <c r="G1416" t="s">
        <v>248</v>
      </c>
      <c r="H1416" t="s">
        <v>2645</v>
      </c>
      <c r="I1416" t="s">
        <v>75</v>
      </c>
      <c r="J1416">
        <v>45</v>
      </c>
      <c r="K1416">
        <v>18.89</v>
      </c>
      <c r="L1416">
        <v>10.72</v>
      </c>
      <c r="M1416">
        <v>0.1</v>
      </c>
      <c r="N1416" t="s">
        <v>32</v>
      </c>
    </row>
    <row r="1417" spans="1:14" x14ac:dyDescent="0.25">
      <c r="A1417" t="s">
        <v>1943</v>
      </c>
      <c r="B1417" s="2">
        <v>45541</v>
      </c>
      <c r="C1417" t="s">
        <v>220</v>
      </c>
      <c r="D1417" t="s">
        <v>49</v>
      </c>
      <c r="E1417" t="s">
        <v>2616</v>
      </c>
      <c r="F1417" t="s">
        <v>2631</v>
      </c>
      <c r="G1417" t="s">
        <v>74</v>
      </c>
      <c r="H1417" t="s">
        <v>2648</v>
      </c>
      <c r="I1417" t="s">
        <v>70</v>
      </c>
      <c r="J1417">
        <v>7</v>
      </c>
      <c r="K1417">
        <v>23.84</v>
      </c>
      <c r="L1417">
        <v>12.73</v>
      </c>
      <c r="M1417">
        <v>0.15</v>
      </c>
      <c r="N1417" t="s">
        <v>32</v>
      </c>
    </row>
    <row r="1418" spans="1:14" x14ac:dyDescent="0.25">
      <c r="A1418" t="s">
        <v>1944</v>
      </c>
      <c r="B1418" s="2">
        <v>45489</v>
      </c>
      <c r="C1418" t="s">
        <v>732</v>
      </c>
      <c r="D1418" t="s">
        <v>150</v>
      </c>
      <c r="E1418" t="s">
        <v>2616</v>
      </c>
      <c r="F1418" t="s">
        <v>2633</v>
      </c>
      <c r="G1418" t="s">
        <v>74</v>
      </c>
      <c r="H1418" t="s">
        <v>2648</v>
      </c>
      <c r="I1418" t="s">
        <v>44</v>
      </c>
      <c r="J1418">
        <v>49</v>
      </c>
      <c r="K1418">
        <v>82.17</v>
      </c>
      <c r="L1418">
        <v>49.91</v>
      </c>
      <c r="M1418">
        <v>0.15</v>
      </c>
      <c r="N1418" t="s">
        <v>45</v>
      </c>
    </row>
    <row r="1419" spans="1:14" x14ac:dyDescent="0.25">
      <c r="A1419" t="s">
        <v>1945</v>
      </c>
      <c r="B1419" s="2">
        <v>45513</v>
      </c>
      <c r="C1419" t="s">
        <v>1380</v>
      </c>
      <c r="D1419" t="s">
        <v>36</v>
      </c>
      <c r="E1419" t="s">
        <v>2615</v>
      </c>
      <c r="F1419" t="s">
        <v>2630</v>
      </c>
      <c r="G1419" t="s">
        <v>178</v>
      </c>
      <c r="H1419" t="s">
        <v>2647</v>
      </c>
      <c r="I1419" t="s">
        <v>44</v>
      </c>
      <c r="J1419">
        <v>32</v>
      </c>
      <c r="K1419">
        <v>165.16</v>
      </c>
      <c r="L1419">
        <v>100.77</v>
      </c>
      <c r="M1419">
        <v>0.1</v>
      </c>
      <c r="N1419" t="s">
        <v>32</v>
      </c>
    </row>
    <row r="1420" spans="1:14" x14ac:dyDescent="0.25">
      <c r="A1420" t="s">
        <v>1946</v>
      </c>
      <c r="B1420" s="2">
        <v>45457</v>
      </c>
      <c r="C1420" t="s">
        <v>354</v>
      </c>
      <c r="D1420" t="s">
        <v>165</v>
      </c>
      <c r="E1420" t="s">
        <v>2617</v>
      </c>
      <c r="F1420" t="s">
        <v>2641</v>
      </c>
      <c r="G1420" t="s">
        <v>261</v>
      </c>
      <c r="H1420" t="s">
        <v>2646</v>
      </c>
      <c r="I1420" t="s">
        <v>75</v>
      </c>
      <c r="J1420">
        <v>38</v>
      </c>
      <c r="K1420">
        <v>44.72</v>
      </c>
      <c r="L1420">
        <v>24.39</v>
      </c>
      <c r="M1420">
        <v>0.05</v>
      </c>
      <c r="N1420" t="s">
        <v>45</v>
      </c>
    </row>
    <row r="1421" spans="1:14" x14ac:dyDescent="0.25">
      <c r="A1421" t="s">
        <v>1947</v>
      </c>
      <c r="B1421" s="2">
        <v>45432</v>
      </c>
      <c r="C1421" t="s">
        <v>239</v>
      </c>
      <c r="D1421" t="s">
        <v>222</v>
      </c>
      <c r="E1421" t="s">
        <v>2618</v>
      </c>
      <c r="F1421" t="s">
        <v>2635</v>
      </c>
      <c r="G1421" t="s">
        <v>29</v>
      </c>
      <c r="H1421" t="s">
        <v>2648</v>
      </c>
      <c r="I1421" t="s">
        <v>2578</v>
      </c>
      <c r="J1421">
        <v>62</v>
      </c>
      <c r="K1421">
        <v>121.15</v>
      </c>
      <c r="L1421">
        <v>78.34</v>
      </c>
      <c r="M1421">
        <v>0.02</v>
      </c>
      <c r="N1421" t="s">
        <v>129</v>
      </c>
    </row>
    <row r="1422" spans="1:14" x14ac:dyDescent="0.25">
      <c r="A1422" t="s">
        <v>1948</v>
      </c>
      <c r="B1422" s="2">
        <v>45436</v>
      </c>
      <c r="C1422" t="s">
        <v>696</v>
      </c>
      <c r="D1422" t="s">
        <v>176</v>
      </c>
      <c r="E1422" t="s">
        <v>2618</v>
      </c>
      <c r="F1422" t="s">
        <v>2632</v>
      </c>
      <c r="G1422" t="s">
        <v>265</v>
      </c>
      <c r="H1422" t="s">
        <v>2647</v>
      </c>
      <c r="I1422" t="s">
        <v>70</v>
      </c>
      <c r="J1422">
        <v>17</v>
      </c>
      <c r="K1422">
        <v>112</v>
      </c>
      <c r="L1422">
        <v>62.3</v>
      </c>
      <c r="M1422">
        <v>0.02</v>
      </c>
      <c r="N1422" t="s">
        <v>45</v>
      </c>
    </row>
    <row r="1423" spans="1:14" x14ac:dyDescent="0.25">
      <c r="A1423" t="s">
        <v>1268</v>
      </c>
      <c r="B1423" s="2">
        <v>45656</v>
      </c>
      <c r="C1423" t="s">
        <v>1075</v>
      </c>
      <c r="D1423" t="s">
        <v>216</v>
      </c>
      <c r="E1423" t="s">
        <v>2617</v>
      </c>
      <c r="F1423" t="s">
        <v>2625</v>
      </c>
      <c r="G1423" t="s">
        <v>184</v>
      </c>
      <c r="H1423" t="s">
        <v>2646</v>
      </c>
      <c r="I1423" t="s">
        <v>2619</v>
      </c>
      <c r="J1423">
        <v>11</v>
      </c>
      <c r="K1423">
        <v>107.04</v>
      </c>
      <c r="L1423">
        <v>70.81</v>
      </c>
      <c r="M1423">
        <v>1.25</v>
      </c>
      <c r="N1423" t="s">
        <v>32</v>
      </c>
    </row>
    <row r="1424" spans="1:14" x14ac:dyDescent="0.25">
      <c r="A1424" t="s">
        <v>1949</v>
      </c>
      <c r="B1424" s="2">
        <v>45470</v>
      </c>
      <c r="C1424" t="s">
        <v>146</v>
      </c>
      <c r="D1424" t="s">
        <v>126</v>
      </c>
      <c r="E1424" t="s">
        <v>2615</v>
      </c>
      <c r="F1424" t="s">
        <v>2627</v>
      </c>
      <c r="G1424" t="s">
        <v>74</v>
      </c>
      <c r="H1424" t="s">
        <v>2648</v>
      </c>
      <c r="I1424" t="s">
        <v>75</v>
      </c>
      <c r="J1424">
        <v>27</v>
      </c>
      <c r="K1424">
        <v>93.48</v>
      </c>
      <c r="L1424">
        <v>52.94</v>
      </c>
      <c r="M1424">
        <v>0.2</v>
      </c>
      <c r="N1424" t="s">
        <v>45</v>
      </c>
    </row>
    <row r="1425" spans="1:14" x14ac:dyDescent="0.25">
      <c r="A1425" t="s">
        <v>1950</v>
      </c>
      <c r="B1425" s="2">
        <v>45399</v>
      </c>
      <c r="C1425" t="s">
        <v>594</v>
      </c>
      <c r="D1425" t="s">
        <v>250</v>
      </c>
      <c r="E1425" t="s">
        <v>2617</v>
      </c>
      <c r="F1425" t="s">
        <v>2641</v>
      </c>
      <c r="G1425" t="s">
        <v>90</v>
      </c>
      <c r="H1425" t="s">
        <v>2646</v>
      </c>
      <c r="I1425" t="s">
        <v>70</v>
      </c>
      <c r="J1425">
        <v>17</v>
      </c>
      <c r="K1425">
        <v>61.5</v>
      </c>
      <c r="L1425">
        <v>37.340000000000003</v>
      </c>
      <c r="M1425">
        <v>0</v>
      </c>
      <c r="N1425" t="s">
        <v>45</v>
      </c>
    </row>
    <row r="1426" spans="1:14" x14ac:dyDescent="0.25">
      <c r="A1426" t="s">
        <v>1951</v>
      </c>
      <c r="B1426" s="2">
        <v>45486</v>
      </c>
      <c r="C1426" t="s">
        <v>229</v>
      </c>
      <c r="D1426" t="s">
        <v>132</v>
      </c>
      <c r="E1426" t="s">
        <v>2614</v>
      </c>
      <c r="F1426" t="s">
        <v>2629</v>
      </c>
      <c r="G1426" t="s">
        <v>111</v>
      </c>
      <c r="H1426" t="s">
        <v>2645</v>
      </c>
      <c r="I1426" t="s">
        <v>70</v>
      </c>
      <c r="J1426">
        <v>61</v>
      </c>
      <c r="K1426">
        <v>61.27</v>
      </c>
      <c r="L1426">
        <v>32.130000000000003</v>
      </c>
      <c r="M1426">
        <v>0</v>
      </c>
      <c r="N1426" t="s">
        <v>45</v>
      </c>
    </row>
    <row r="1427" spans="1:14" x14ac:dyDescent="0.25">
      <c r="A1427" t="s">
        <v>1952</v>
      </c>
      <c r="B1427" s="2">
        <v>45464</v>
      </c>
      <c r="C1427" t="s">
        <v>545</v>
      </c>
      <c r="D1427" t="s">
        <v>187</v>
      </c>
      <c r="E1427" t="s">
        <v>2615</v>
      </c>
      <c r="F1427" t="s">
        <v>2623</v>
      </c>
      <c r="G1427" t="s">
        <v>118</v>
      </c>
      <c r="H1427" t="s">
        <v>2645</v>
      </c>
      <c r="I1427" t="s">
        <v>84</v>
      </c>
      <c r="J1427">
        <v>20</v>
      </c>
      <c r="K1427">
        <v>47.37</v>
      </c>
      <c r="L1427">
        <v>27.22</v>
      </c>
      <c r="M1427">
        <v>0.1</v>
      </c>
      <c r="N1427" t="s">
        <v>32</v>
      </c>
    </row>
    <row r="1428" spans="1:14" x14ac:dyDescent="0.25">
      <c r="A1428" t="s">
        <v>1953</v>
      </c>
      <c r="B1428" s="2">
        <v>45655</v>
      </c>
      <c r="C1428" t="s">
        <v>384</v>
      </c>
      <c r="D1428" t="s">
        <v>36</v>
      </c>
      <c r="E1428" t="s">
        <v>2617</v>
      </c>
      <c r="F1428" t="s">
        <v>2641</v>
      </c>
      <c r="G1428" t="s">
        <v>195</v>
      </c>
      <c r="H1428" t="s">
        <v>2647</v>
      </c>
      <c r="I1428" t="s">
        <v>75</v>
      </c>
      <c r="J1428">
        <v>39</v>
      </c>
      <c r="K1428">
        <v>161.28</v>
      </c>
      <c r="L1428">
        <v>100.47</v>
      </c>
      <c r="M1428">
        <v>0</v>
      </c>
      <c r="N1428" t="s">
        <v>129</v>
      </c>
    </row>
    <row r="1429" spans="1:14" x14ac:dyDescent="0.25">
      <c r="A1429" t="s">
        <v>1954</v>
      </c>
      <c r="B1429" s="2">
        <v>45303</v>
      </c>
      <c r="C1429" t="s">
        <v>917</v>
      </c>
      <c r="D1429" t="s">
        <v>250</v>
      </c>
      <c r="E1429" t="s">
        <v>2618</v>
      </c>
      <c r="F1429" t="s">
        <v>2628</v>
      </c>
      <c r="G1429" t="s">
        <v>170</v>
      </c>
      <c r="H1429" t="s">
        <v>2647</v>
      </c>
      <c r="I1429" t="s">
        <v>2578</v>
      </c>
      <c r="J1429">
        <v>23</v>
      </c>
      <c r="K1429">
        <v>63.04</v>
      </c>
      <c r="L1429">
        <v>38.04</v>
      </c>
      <c r="M1429">
        <v>0.05</v>
      </c>
      <c r="N1429" t="s">
        <v>129</v>
      </c>
    </row>
    <row r="1430" spans="1:14" x14ac:dyDescent="0.25">
      <c r="A1430" t="s">
        <v>1955</v>
      </c>
      <c r="B1430" s="2">
        <v>45316</v>
      </c>
      <c r="C1430" t="s">
        <v>155</v>
      </c>
      <c r="D1430" t="s">
        <v>250</v>
      </c>
      <c r="E1430" t="s">
        <v>2617</v>
      </c>
      <c r="F1430" t="s">
        <v>2642</v>
      </c>
      <c r="G1430" t="s">
        <v>152</v>
      </c>
      <c r="H1430" t="s">
        <v>2645</v>
      </c>
      <c r="I1430" t="s">
        <v>70</v>
      </c>
      <c r="J1430">
        <v>31</v>
      </c>
      <c r="K1430">
        <v>61.43</v>
      </c>
      <c r="L1430">
        <v>36.479999999999997</v>
      </c>
      <c r="M1430">
        <v>0.1</v>
      </c>
      <c r="N1430" t="s">
        <v>45</v>
      </c>
    </row>
    <row r="1431" spans="1:14" x14ac:dyDescent="0.25">
      <c r="A1431" t="s">
        <v>1956</v>
      </c>
      <c r="B1431" s="2">
        <v>45511</v>
      </c>
      <c r="C1431" t="s">
        <v>506</v>
      </c>
      <c r="D1431" t="s">
        <v>66</v>
      </c>
      <c r="E1431" t="s">
        <v>2617</v>
      </c>
      <c r="F1431" t="s">
        <v>2641</v>
      </c>
      <c r="G1431" t="s">
        <v>118</v>
      </c>
      <c r="H1431" t="s">
        <v>2647</v>
      </c>
      <c r="I1431" t="s">
        <v>84</v>
      </c>
      <c r="J1431">
        <v>32</v>
      </c>
      <c r="K1431">
        <v>151.04</v>
      </c>
      <c r="L1431">
        <v>107.95</v>
      </c>
      <c r="M1431">
        <v>25</v>
      </c>
      <c r="N1431" t="s">
        <v>45</v>
      </c>
    </row>
    <row r="1432" spans="1:14" x14ac:dyDescent="0.25">
      <c r="A1432" t="s">
        <v>1957</v>
      </c>
      <c r="B1432" s="2">
        <v>45301</v>
      </c>
      <c r="C1432" t="s">
        <v>208</v>
      </c>
      <c r="D1432" t="s">
        <v>109</v>
      </c>
      <c r="E1432" t="s">
        <v>2618</v>
      </c>
      <c r="F1432" t="s">
        <v>2635</v>
      </c>
      <c r="G1432" t="s">
        <v>144</v>
      </c>
      <c r="H1432" t="s">
        <v>2647</v>
      </c>
      <c r="I1432" t="s">
        <v>84</v>
      </c>
      <c r="J1432">
        <v>80</v>
      </c>
      <c r="K1432">
        <v>117.11</v>
      </c>
      <c r="L1432">
        <v>70.709999999999994</v>
      </c>
      <c r="M1432">
        <v>0</v>
      </c>
      <c r="N1432" t="s">
        <v>45</v>
      </c>
    </row>
    <row r="1433" spans="1:14" x14ac:dyDescent="0.25">
      <c r="A1433" t="s">
        <v>1958</v>
      </c>
      <c r="B1433" s="2">
        <v>45612</v>
      </c>
      <c r="C1433" t="s">
        <v>21</v>
      </c>
      <c r="D1433" t="s">
        <v>78</v>
      </c>
      <c r="E1433" t="s">
        <v>2617</v>
      </c>
      <c r="F1433" t="s">
        <v>2641</v>
      </c>
      <c r="G1433" t="s">
        <v>69</v>
      </c>
      <c r="H1433" t="s">
        <v>2645</v>
      </c>
      <c r="I1433" t="s">
        <v>70</v>
      </c>
      <c r="J1433">
        <v>64</v>
      </c>
      <c r="K1433">
        <v>129.81</v>
      </c>
      <c r="L1433">
        <v>75.790000000000006</v>
      </c>
      <c r="M1433">
        <v>0.15</v>
      </c>
      <c r="N1433" t="s">
        <v>45</v>
      </c>
    </row>
    <row r="1434" spans="1:14" x14ac:dyDescent="0.25">
      <c r="A1434" t="s">
        <v>1959</v>
      </c>
      <c r="B1434" s="2">
        <v>45624</v>
      </c>
      <c r="C1434" t="s">
        <v>524</v>
      </c>
      <c r="D1434" t="s">
        <v>150</v>
      </c>
      <c r="E1434" t="s">
        <v>2616</v>
      </c>
      <c r="F1434" t="s">
        <v>2631</v>
      </c>
      <c r="G1434" t="s">
        <v>152</v>
      </c>
      <c r="H1434" t="s">
        <v>2648</v>
      </c>
      <c r="I1434" t="s">
        <v>75</v>
      </c>
      <c r="J1434">
        <v>41</v>
      </c>
      <c r="K1434">
        <v>80.56</v>
      </c>
      <c r="L1434">
        <v>54.24</v>
      </c>
      <c r="M1434">
        <v>0.02</v>
      </c>
      <c r="N1434" t="s">
        <v>129</v>
      </c>
    </row>
    <row r="1435" spans="1:14" x14ac:dyDescent="0.25">
      <c r="A1435" t="s">
        <v>1960</v>
      </c>
      <c r="B1435" s="2">
        <v>45332</v>
      </c>
      <c r="C1435" t="s">
        <v>137</v>
      </c>
      <c r="D1435" t="s">
        <v>132</v>
      </c>
      <c r="E1435" t="s">
        <v>2617</v>
      </c>
      <c r="F1435" t="s">
        <v>2625</v>
      </c>
      <c r="G1435" t="s">
        <v>69</v>
      </c>
      <c r="H1435" t="s">
        <v>2647</v>
      </c>
      <c r="I1435" t="s">
        <v>70</v>
      </c>
      <c r="J1435">
        <v>47</v>
      </c>
      <c r="K1435">
        <v>59.07</v>
      </c>
      <c r="L1435">
        <v>35.82</v>
      </c>
      <c r="M1435">
        <v>0.1</v>
      </c>
      <c r="N1435" t="s">
        <v>32</v>
      </c>
    </row>
    <row r="1436" spans="1:14" x14ac:dyDescent="0.25">
      <c r="A1436" t="s">
        <v>1961</v>
      </c>
      <c r="B1436" s="2">
        <v>45534</v>
      </c>
      <c r="C1436" t="s">
        <v>172</v>
      </c>
      <c r="D1436" t="s">
        <v>114</v>
      </c>
      <c r="E1436" t="s">
        <v>2617</v>
      </c>
      <c r="F1436" t="s">
        <v>2626</v>
      </c>
      <c r="G1436" t="s">
        <v>170</v>
      </c>
      <c r="H1436" t="s">
        <v>2645</v>
      </c>
      <c r="I1436" t="s">
        <v>84</v>
      </c>
      <c r="J1436">
        <v>28</v>
      </c>
      <c r="K1436">
        <v>37.72</v>
      </c>
      <c r="L1436">
        <v>21.91</v>
      </c>
      <c r="M1436">
        <v>0</v>
      </c>
      <c r="N1436" t="s">
        <v>45</v>
      </c>
    </row>
    <row r="1437" spans="1:14" x14ac:dyDescent="0.25">
      <c r="A1437" t="s">
        <v>1962</v>
      </c>
      <c r="B1437" s="2">
        <v>45298</v>
      </c>
      <c r="C1437" t="s">
        <v>197</v>
      </c>
      <c r="D1437" t="s">
        <v>250</v>
      </c>
      <c r="E1437" t="s">
        <v>2615</v>
      </c>
      <c r="F1437" t="s">
        <v>2630</v>
      </c>
      <c r="G1437" t="s">
        <v>265</v>
      </c>
      <c r="H1437" t="s">
        <v>2645</v>
      </c>
      <c r="I1437" t="s">
        <v>70</v>
      </c>
      <c r="J1437">
        <v>27</v>
      </c>
      <c r="K1437">
        <v>60.18</v>
      </c>
      <c r="L1437">
        <v>38.590000000000003</v>
      </c>
      <c r="M1437">
        <v>0.2</v>
      </c>
      <c r="N1437" t="s">
        <v>45</v>
      </c>
    </row>
    <row r="1438" spans="1:14" x14ac:dyDescent="0.25">
      <c r="A1438" t="s">
        <v>1963</v>
      </c>
      <c r="B1438" s="2">
        <v>45419</v>
      </c>
      <c r="C1438" t="s">
        <v>701</v>
      </c>
      <c r="D1438" t="s">
        <v>109</v>
      </c>
      <c r="E1438" t="s">
        <v>2617</v>
      </c>
      <c r="F1438" t="s">
        <v>2642</v>
      </c>
      <c r="G1438" t="s">
        <v>218</v>
      </c>
      <c r="H1438" t="s">
        <v>2648</v>
      </c>
      <c r="I1438" t="s">
        <v>2578</v>
      </c>
      <c r="J1438">
        <v>29</v>
      </c>
      <c r="K1438">
        <v>128.55000000000001</v>
      </c>
      <c r="L1438">
        <v>71.77</v>
      </c>
      <c r="M1438">
        <v>0.05</v>
      </c>
      <c r="N1438" t="s">
        <v>129</v>
      </c>
    </row>
    <row r="1439" spans="1:14" x14ac:dyDescent="0.25">
      <c r="A1439" t="s">
        <v>1964</v>
      </c>
      <c r="B1439" s="2">
        <v>45364</v>
      </c>
      <c r="C1439" t="s">
        <v>339</v>
      </c>
      <c r="D1439" t="s">
        <v>209</v>
      </c>
      <c r="E1439" t="s">
        <v>2618</v>
      </c>
      <c r="F1439" t="s">
        <v>2635</v>
      </c>
      <c r="G1439" t="s">
        <v>170</v>
      </c>
      <c r="H1439" t="s">
        <v>2645</v>
      </c>
      <c r="I1439" t="s">
        <v>75</v>
      </c>
      <c r="J1439">
        <v>11</v>
      </c>
      <c r="K1439">
        <v>17.13</v>
      </c>
      <c r="L1439">
        <v>10.1</v>
      </c>
      <c r="M1439">
        <v>0.02</v>
      </c>
      <c r="N1439" t="s">
        <v>45</v>
      </c>
    </row>
    <row r="1440" spans="1:14" x14ac:dyDescent="0.25">
      <c r="A1440" t="s">
        <v>1965</v>
      </c>
      <c r="B1440" s="2">
        <v>45351</v>
      </c>
      <c r="C1440" t="s">
        <v>897</v>
      </c>
      <c r="D1440" t="s">
        <v>209</v>
      </c>
      <c r="E1440" t="s">
        <v>2614</v>
      </c>
      <c r="F1440" t="s">
        <v>2637</v>
      </c>
      <c r="G1440" t="s">
        <v>184</v>
      </c>
      <c r="H1440" t="s">
        <v>2645</v>
      </c>
      <c r="I1440" t="s">
        <v>2578</v>
      </c>
      <c r="J1440">
        <v>2</v>
      </c>
      <c r="K1440">
        <v>17.079999999999998</v>
      </c>
      <c r="L1440">
        <v>10.29</v>
      </c>
      <c r="M1440">
        <v>0.02</v>
      </c>
      <c r="N1440" t="s">
        <v>129</v>
      </c>
    </row>
    <row r="1441" spans="1:14" x14ac:dyDescent="0.25">
      <c r="A1441" t="s">
        <v>1966</v>
      </c>
      <c r="B1441" s="2">
        <v>45348</v>
      </c>
      <c r="C1441" t="s">
        <v>1380</v>
      </c>
      <c r="D1441" t="s">
        <v>222</v>
      </c>
      <c r="E1441" t="s">
        <v>2615</v>
      </c>
      <c r="F1441" t="s">
        <v>2640</v>
      </c>
      <c r="G1441" t="s">
        <v>144</v>
      </c>
      <c r="H1441" t="s">
        <v>2647</v>
      </c>
      <c r="I1441" t="s">
        <v>44</v>
      </c>
      <c r="J1441">
        <v>59</v>
      </c>
      <c r="K1441">
        <v>117.34</v>
      </c>
      <c r="L1441">
        <v>82.49</v>
      </c>
      <c r="M1441">
        <v>0</v>
      </c>
      <c r="N1441" t="s">
        <v>45</v>
      </c>
    </row>
    <row r="1442" spans="1:14" x14ac:dyDescent="0.25">
      <c r="A1442" t="s">
        <v>1967</v>
      </c>
      <c r="B1442" s="2">
        <v>45514</v>
      </c>
      <c r="C1442" t="s">
        <v>148</v>
      </c>
      <c r="D1442" t="s">
        <v>78</v>
      </c>
      <c r="E1442" t="s">
        <v>2615</v>
      </c>
      <c r="F1442" t="s">
        <v>2623</v>
      </c>
      <c r="G1442" t="s">
        <v>74</v>
      </c>
      <c r="H1442" t="s">
        <v>2648</v>
      </c>
      <c r="I1442" t="s">
        <v>2578</v>
      </c>
      <c r="J1442">
        <v>55</v>
      </c>
      <c r="K1442">
        <v>136.68</v>
      </c>
      <c r="L1442">
        <v>76.77</v>
      </c>
      <c r="M1442">
        <v>0</v>
      </c>
      <c r="N1442" t="s">
        <v>129</v>
      </c>
    </row>
    <row r="1443" spans="1:14" x14ac:dyDescent="0.25">
      <c r="A1443" t="s">
        <v>1968</v>
      </c>
      <c r="B1443" s="2">
        <v>45482</v>
      </c>
      <c r="C1443" t="s">
        <v>98</v>
      </c>
      <c r="D1443" t="s">
        <v>126</v>
      </c>
      <c r="E1443" t="s">
        <v>2615</v>
      </c>
      <c r="F1443" t="s">
        <v>2640</v>
      </c>
      <c r="G1443" t="s">
        <v>42</v>
      </c>
      <c r="H1443" t="s">
        <v>2646</v>
      </c>
      <c r="I1443" t="s">
        <v>2619</v>
      </c>
      <c r="J1443">
        <v>73</v>
      </c>
      <c r="K1443">
        <v>93.77</v>
      </c>
      <c r="L1443">
        <v>52.04</v>
      </c>
      <c r="M1443">
        <v>0.1</v>
      </c>
      <c r="N1443" t="s">
        <v>129</v>
      </c>
    </row>
    <row r="1444" spans="1:14" x14ac:dyDescent="0.25">
      <c r="A1444" t="s">
        <v>1969</v>
      </c>
      <c r="B1444" s="2">
        <v>45304</v>
      </c>
      <c r="C1444" t="s">
        <v>387</v>
      </c>
      <c r="D1444" t="s">
        <v>150</v>
      </c>
      <c r="E1444" t="s">
        <v>2617</v>
      </c>
      <c r="F1444" t="s">
        <v>2625</v>
      </c>
      <c r="G1444" t="s">
        <v>118</v>
      </c>
      <c r="H1444" t="s">
        <v>2648</v>
      </c>
      <c r="I1444" t="s">
        <v>70</v>
      </c>
      <c r="J1444">
        <v>30</v>
      </c>
      <c r="K1444">
        <v>83.16</v>
      </c>
      <c r="L1444">
        <v>48.7</v>
      </c>
      <c r="M1444">
        <v>0.2</v>
      </c>
      <c r="N1444" t="s">
        <v>45</v>
      </c>
    </row>
    <row r="1445" spans="1:14" x14ac:dyDescent="0.25">
      <c r="A1445" t="s">
        <v>1970</v>
      </c>
      <c r="B1445" s="2">
        <v>45397</v>
      </c>
      <c r="C1445" t="s">
        <v>363</v>
      </c>
      <c r="D1445" t="s">
        <v>150</v>
      </c>
      <c r="E1445" t="s">
        <v>2615</v>
      </c>
      <c r="F1445" t="s">
        <v>2623</v>
      </c>
      <c r="G1445" t="s">
        <v>90</v>
      </c>
      <c r="H1445" t="s">
        <v>2646</v>
      </c>
      <c r="I1445" t="s">
        <v>44</v>
      </c>
      <c r="J1445">
        <v>51</v>
      </c>
      <c r="K1445">
        <v>85.66</v>
      </c>
      <c r="L1445">
        <v>49.27</v>
      </c>
      <c r="M1445">
        <v>0</v>
      </c>
      <c r="N1445" t="s">
        <v>45</v>
      </c>
    </row>
    <row r="1446" spans="1:14" x14ac:dyDescent="0.25">
      <c r="A1446" t="s">
        <v>1971</v>
      </c>
      <c r="B1446" s="2">
        <v>45484</v>
      </c>
      <c r="C1446" t="s">
        <v>1310</v>
      </c>
      <c r="D1446" t="s">
        <v>99</v>
      </c>
      <c r="E1446" t="s">
        <v>2615</v>
      </c>
      <c r="F1446" t="s">
        <v>2623</v>
      </c>
      <c r="G1446" t="s">
        <v>29</v>
      </c>
      <c r="H1446" t="s">
        <v>2645</v>
      </c>
      <c r="I1446" t="s">
        <v>2578</v>
      </c>
      <c r="J1446">
        <v>71</v>
      </c>
      <c r="K1446">
        <v>67.97</v>
      </c>
      <c r="L1446">
        <v>41.83</v>
      </c>
      <c r="M1446">
        <v>0.2</v>
      </c>
      <c r="N1446" t="s">
        <v>45</v>
      </c>
    </row>
    <row r="1447" spans="1:14" x14ac:dyDescent="0.25">
      <c r="A1447" t="s">
        <v>1972</v>
      </c>
      <c r="B1447" s="2">
        <v>45311</v>
      </c>
      <c r="C1447" t="s">
        <v>526</v>
      </c>
      <c r="D1447" t="s">
        <v>109</v>
      </c>
      <c r="E1447" t="s">
        <v>2616</v>
      </c>
      <c r="F1447" t="s">
        <v>2631</v>
      </c>
      <c r="G1447" t="s">
        <v>60</v>
      </c>
      <c r="H1447" t="s">
        <v>2645</v>
      </c>
      <c r="I1447" t="s">
        <v>70</v>
      </c>
      <c r="J1447">
        <v>23</v>
      </c>
      <c r="K1447">
        <v>124.43</v>
      </c>
      <c r="L1447">
        <v>72.959999999999994</v>
      </c>
      <c r="M1447">
        <v>0.05</v>
      </c>
      <c r="N1447" t="s">
        <v>45</v>
      </c>
    </row>
    <row r="1448" spans="1:14" x14ac:dyDescent="0.25">
      <c r="A1448" t="s">
        <v>1973</v>
      </c>
      <c r="B1448" s="2">
        <v>45498</v>
      </c>
      <c r="C1448" t="s">
        <v>1265</v>
      </c>
      <c r="D1448" t="s">
        <v>150</v>
      </c>
      <c r="E1448" t="s">
        <v>2616</v>
      </c>
      <c r="F1448" t="s">
        <v>2624</v>
      </c>
      <c r="G1448" t="s">
        <v>265</v>
      </c>
      <c r="H1448" t="s">
        <v>2645</v>
      </c>
      <c r="I1448" t="s">
        <v>44</v>
      </c>
      <c r="J1448">
        <v>5</v>
      </c>
      <c r="K1448">
        <v>79.180000000000007</v>
      </c>
      <c r="L1448">
        <v>54.71</v>
      </c>
      <c r="M1448">
        <v>0.2</v>
      </c>
      <c r="N1448" t="s">
        <v>45</v>
      </c>
    </row>
    <row r="1449" spans="1:14" x14ac:dyDescent="0.25">
      <c r="A1449" t="s">
        <v>1974</v>
      </c>
      <c r="B1449" s="2">
        <v>45391</v>
      </c>
      <c r="C1449" t="s">
        <v>301</v>
      </c>
      <c r="D1449" t="s">
        <v>141</v>
      </c>
      <c r="E1449" t="s">
        <v>2615</v>
      </c>
      <c r="F1449" t="s">
        <v>2623</v>
      </c>
      <c r="G1449" t="s">
        <v>218</v>
      </c>
      <c r="H1449" t="s">
        <v>2648</v>
      </c>
      <c r="I1449" t="s">
        <v>84</v>
      </c>
      <c r="J1449">
        <v>14</v>
      </c>
      <c r="K1449">
        <v>93.14</v>
      </c>
      <c r="L1449">
        <v>62.31</v>
      </c>
      <c r="M1449">
        <v>0.02</v>
      </c>
      <c r="N1449" t="s">
        <v>32</v>
      </c>
    </row>
    <row r="1450" spans="1:14" x14ac:dyDescent="0.25">
      <c r="A1450" t="s">
        <v>1975</v>
      </c>
      <c r="B1450" s="2">
        <v>45621</v>
      </c>
      <c r="C1450" t="s">
        <v>378</v>
      </c>
      <c r="D1450" t="s">
        <v>114</v>
      </c>
      <c r="E1450" t="s">
        <v>2617</v>
      </c>
      <c r="F1450" t="s">
        <v>2625</v>
      </c>
      <c r="G1450" t="s">
        <v>265</v>
      </c>
      <c r="H1450" t="s">
        <v>2646</v>
      </c>
      <c r="I1450" t="s">
        <v>70</v>
      </c>
      <c r="J1450">
        <v>4</v>
      </c>
      <c r="K1450">
        <v>32.43</v>
      </c>
      <c r="L1450">
        <v>20.73</v>
      </c>
      <c r="M1450">
        <v>0.02</v>
      </c>
      <c r="N1450" t="s">
        <v>45</v>
      </c>
    </row>
    <row r="1451" spans="1:14" x14ac:dyDescent="0.25">
      <c r="A1451" t="s">
        <v>1976</v>
      </c>
      <c r="B1451" s="2">
        <v>45544</v>
      </c>
      <c r="C1451" t="s">
        <v>456</v>
      </c>
      <c r="D1451" t="s">
        <v>49</v>
      </c>
      <c r="E1451" t="s">
        <v>2618</v>
      </c>
      <c r="F1451" t="s">
        <v>2632</v>
      </c>
      <c r="G1451" t="s">
        <v>178</v>
      </c>
      <c r="H1451" t="s">
        <v>2646</v>
      </c>
      <c r="I1451" t="s">
        <v>2578</v>
      </c>
      <c r="J1451">
        <v>49</v>
      </c>
      <c r="K1451">
        <v>26.27</v>
      </c>
      <c r="L1451">
        <v>12.5</v>
      </c>
      <c r="M1451">
        <v>0.05</v>
      </c>
      <c r="N1451" t="s">
        <v>32</v>
      </c>
    </row>
    <row r="1452" spans="1:14" x14ac:dyDescent="0.25">
      <c r="A1452" t="s">
        <v>1977</v>
      </c>
      <c r="B1452" s="2">
        <v>45606</v>
      </c>
      <c r="C1452" t="s">
        <v>535</v>
      </c>
      <c r="D1452" t="s">
        <v>66</v>
      </c>
      <c r="E1452" t="s">
        <v>2614</v>
      </c>
      <c r="F1452" t="s">
        <v>2637</v>
      </c>
      <c r="G1452" t="s">
        <v>184</v>
      </c>
      <c r="H1452" t="s">
        <v>2648</v>
      </c>
      <c r="I1452" t="s">
        <v>44</v>
      </c>
      <c r="J1452">
        <v>1</v>
      </c>
      <c r="K1452">
        <v>150.69999999999999</v>
      </c>
      <c r="L1452">
        <v>110.66</v>
      </c>
      <c r="M1452">
        <v>0.15</v>
      </c>
      <c r="N1452" t="s">
        <v>45</v>
      </c>
    </row>
    <row r="1453" spans="1:14" x14ac:dyDescent="0.25">
      <c r="A1453" t="s">
        <v>1978</v>
      </c>
      <c r="B1453" s="2">
        <v>45562</v>
      </c>
      <c r="C1453" t="s">
        <v>1261</v>
      </c>
      <c r="D1453" t="s">
        <v>132</v>
      </c>
      <c r="E1453" t="s">
        <v>2614</v>
      </c>
      <c r="F1453" t="s">
        <v>2637</v>
      </c>
      <c r="G1453" t="s">
        <v>90</v>
      </c>
      <c r="H1453" t="s">
        <v>2646</v>
      </c>
      <c r="I1453" t="s">
        <v>44</v>
      </c>
      <c r="J1453">
        <v>47</v>
      </c>
      <c r="K1453">
        <v>56.01</v>
      </c>
      <c r="L1453">
        <v>35.090000000000003</v>
      </c>
      <c r="M1453">
        <v>0</v>
      </c>
      <c r="N1453" t="s">
        <v>32</v>
      </c>
    </row>
    <row r="1454" spans="1:14" x14ac:dyDescent="0.25">
      <c r="A1454" t="s">
        <v>1979</v>
      </c>
      <c r="B1454" s="2">
        <v>45502</v>
      </c>
      <c r="C1454" t="s">
        <v>696</v>
      </c>
      <c r="D1454" t="s">
        <v>165</v>
      </c>
      <c r="E1454" t="s">
        <v>2616</v>
      </c>
      <c r="F1454" t="s">
        <v>2624</v>
      </c>
      <c r="G1454" t="s">
        <v>42</v>
      </c>
      <c r="H1454" t="s">
        <v>2648</v>
      </c>
      <c r="I1454" t="s">
        <v>75</v>
      </c>
      <c r="J1454">
        <v>12</v>
      </c>
      <c r="K1454">
        <v>42.77</v>
      </c>
      <c r="L1454">
        <v>26.1</v>
      </c>
      <c r="M1454">
        <v>0</v>
      </c>
      <c r="N1454" t="s">
        <v>45</v>
      </c>
    </row>
    <row r="1455" spans="1:14" x14ac:dyDescent="0.25">
      <c r="A1455" t="s">
        <v>1980</v>
      </c>
      <c r="B1455" s="2">
        <v>45601</v>
      </c>
      <c r="C1455" t="s">
        <v>864</v>
      </c>
      <c r="D1455" t="s">
        <v>36</v>
      </c>
      <c r="E1455" t="s">
        <v>2617</v>
      </c>
      <c r="F1455" t="s">
        <v>2639</v>
      </c>
      <c r="G1455" t="s">
        <v>261</v>
      </c>
      <c r="H1455" t="s">
        <v>2647</v>
      </c>
      <c r="I1455" t="s">
        <v>2578</v>
      </c>
      <c r="J1455">
        <v>28</v>
      </c>
      <c r="K1455">
        <v>167.12</v>
      </c>
      <c r="L1455">
        <v>93.28</v>
      </c>
      <c r="M1455">
        <v>0.02</v>
      </c>
      <c r="N1455" t="s">
        <v>32</v>
      </c>
    </row>
    <row r="1456" spans="1:14" x14ac:dyDescent="0.25">
      <c r="A1456" t="s">
        <v>1981</v>
      </c>
      <c r="B1456" s="2">
        <v>45466</v>
      </c>
      <c r="C1456" t="s">
        <v>464</v>
      </c>
      <c r="D1456" t="s">
        <v>209</v>
      </c>
      <c r="E1456" t="s">
        <v>2616</v>
      </c>
      <c r="F1456" t="s">
        <v>2633</v>
      </c>
      <c r="G1456" t="s">
        <v>60</v>
      </c>
      <c r="H1456" t="s">
        <v>2646</v>
      </c>
      <c r="I1456" t="s">
        <v>70</v>
      </c>
      <c r="J1456">
        <v>27</v>
      </c>
      <c r="K1456">
        <v>17.29</v>
      </c>
      <c r="L1456">
        <v>9.2200000000000006</v>
      </c>
      <c r="M1456">
        <v>0.1</v>
      </c>
      <c r="N1456" t="s">
        <v>45</v>
      </c>
    </row>
    <row r="1457" spans="1:14" x14ac:dyDescent="0.25">
      <c r="A1457" t="s">
        <v>1982</v>
      </c>
      <c r="B1457" s="2">
        <v>45651</v>
      </c>
      <c r="C1457" t="s">
        <v>511</v>
      </c>
      <c r="D1457" t="s">
        <v>99</v>
      </c>
      <c r="E1457" t="s">
        <v>2616</v>
      </c>
      <c r="F1457" t="s">
        <v>2638</v>
      </c>
      <c r="G1457" t="s">
        <v>170</v>
      </c>
      <c r="H1457" t="s">
        <v>2647</v>
      </c>
      <c r="I1457" t="s">
        <v>70</v>
      </c>
      <c r="J1457">
        <v>12</v>
      </c>
      <c r="K1457">
        <v>74.89</v>
      </c>
      <c r="L1457">
        <v>38.06</v>
      </c>
      <c r="M1457">
        <v>0.02</v>
      </c>
      <c r="N1457" t="s">
        <v>45</v>
      </c>
    </row>
    <row r="1458" spans="1:14" x14ac:dyDescent="0.25">
      <c r="A1458" t="s">
        <v>1983</v>
      </c>
      <c r="B1458" s="2">
        <v>45388</v>
      </c>
      <c r="C1458" t="s">
        <v>643</v>
      </c>
      <c r="D1458" t="s">
        <v>109</v>
      </c>
      <c r="E1458" t="s">
        <v>2616</v>
      </c>
      <c r="F1458" t="s">
        <v>2624</v>
      </c>
      <c r="G1458" t="s">
        <v>195</v>
      </c>
      <c r="H1458" t="s">
        <v>2645</v>
      </c>
      <c r="I1458" t="s">
        <v>70</v>
      </c>
      <c r="J1458">
        <v>31</v>
      </c>
      <c r="K1458">
        <v>131.34</v>
      </c>
      <c r="L1458">
        <v>74.650000000000006</v>
      </c>
      <c r="M1458">
        <v>0.15</v>
      </c>
      <c r="N1458" t="s">
        <v>45</v>
      </c>
    </row>
    <row r="1459" spans="1:14" x14ac:dyDescent="0.25">
      <c r="A1459" t="s">
        <v>1984</v>
      </c>
      <c r="B1459" s="2">
        <v>45587</v>
      </c>
      <c r="C1459" t="s">
        <v>344</v>
      </c>
      <c r="D1459" t="s">
        <v>176</v>
      </c>
      <c r="E1459" t="s">
        <v>2614</v>
      </c>
      <c r="F1459" t="s">
        <v>2636</v>
      </c>
      <c r="G1459" t="s">
        <v>60</v>
      </c>
      <c r="H1459" t="s">
        <v>2646</v>
      </c>
      <c r="I1459" t="s">
        <v>84</v>
      </c>
      <c r="J1459">
        <v>55</v>
      </c>
      <c r="K1459">
        <v>102.44</v>
      </c>
      <c r="L1459">
        <v>67.03</v>
      </c>
      <c r="M1459">
        <v>0.2</v>
      </c>
      <c r="N1459" t="s">
        <v>45</v>
      </c>
    </row>
    <row r="1460" spans="1:14" x14ac:dyDescent="0.25">
      <c r="A1460" t="s">
        <v>1985</v>
      </c>
      <c r="B1460" s="2">
        <v>45592</v>
      </c>
      <c r="C1460" t="s">
        <v>953</v>
      </c>
      <c r="D1460" t="s">
        <v>114</v>
      </c>
      <c r="E1460" t="s">
        <v>2615</v>
      </c>
      <c r="F1460" t="s">
        <v>2640</v>
      </c>
      <c r="G1460" t="s">
        <v>74</v>
      </c>
      <c r="H1460" t="s">
        <v>2648</v>
      </c>
      <c r="I1460" t="s">
        <v>2578</v>
      </c>
      <c r="J1460">
        <v>53</v>
      </c>
      <c r="K1460">
        <v>36.79</v>
      </c>
      <c r="L1460">
        <v>21.14</v>
      </c>
      <c r="M1460">
        <v>0.05</v>
      </c>
      <c r="N1460" t="s">
        <v>45</v>
      </c>
    </row>
    <row r="1461" spans="1:14" x14ac:dyDescent="0.25">
      <c r="A1461" t="s">
        <v>1986</v>
      </c>
      <c r="B1461" s="2">
        <v>45596</v>
      </c>
      <c r="C1461" t="s">
        <v>904</v>
      </c>
      <c r="D1461" t="s">
        <v>216</v>
      </c>
      <c r="E1461" t="s">
        <v>2616</v>
      </c>
      <c r="F1461" t="s">
        <v>2638</v>
      </c>
      <c r="G1461" t="s">
        <v>184</v>
      </c>
      <c r="H1461" t="s">
        <v>2645</v>
      </c>
      <c r="I1461" t="s">
        <v>70</v>
      </c>
      <c r="J1461">
        <v>36</v>
      </c>
      <c r="K1461">
        <v>112.7</v>
      </c>
      <c r="L1461">
        <v>71.7</v>
      </c>
      <c r="M1461">
        <v>0.15</v>
      </c>
      <c r="N1461" t="s">
        <v>129</v>
      </c>
    </row>
    <row r="1462" spans="1:14" x14ac:dyDescent="0.25">
      <c r="A1462" t="s">
        <v>1987</v>
      </c>
      <c r="B1462" s="2">
        <v>45454</v>
      </c>
      <c r="C1462" t="s">
        <v>721</v>
      </c>
      <c r="D1462" t="s">
        <v>66</v>
      </c>
      <c r="E1462" t="s">
        <v>2617</v>
      </c>
      <c r="F1462" t="s">
        <v>2625</v>
      </c>
      <c r="G1462" t="s">
        <v>69</v>
      </c>
      <c r="H1462" t="s">
        <v>2646</v>
      </c>
      <c r="I1462" t="s">
        <v>75</v>
      </c>
      <c r="J1462" t="e">
        <f>ROUND(#REF!/Sales12[[#This Row],[Unit_Price]],0)</f>
        <v>#REF!</v>
      </c>
      <c r="K1462">
        <v>169.49</v>
      </c>
      <c r="L1462">
        <v>106.19</v>
      </c>
      <c r="M1462">
        <v>0.02</v>
      </c>
      <c r="N1462" t="s">
        <v>45</v>
      </c>
    </row>
    <row r="1463" spans="1:14" x14ac:dyDescent="0.25">
      <c r="A1463" t="s">
        <v>1988</v>
      </c>
      <c r="B1463" s="2">
        <v>45349</v>
      </c>
      <c r="C1463" t="s">
        <v>1831</v>
      </c>
      <c r="D1463" t="s">
        <v>209</v>
      </c>
      <c r="E1463" t="s">
        <v>2615</v>
      </c>
      <c r="F1463" t="s">
        <v>2627</v>
      </c>
      <c r="G1463" t="s">
        <v>42</v>
      </c>
      <c r="H1463" t="s">
        <v>2645</v>
      </c>
      <c r="I1463" t="s">
        <v>70</v>
      </c>
      <c r="J1463">
        <v>57</v>
      </c>
      <c r="K1463">
        <v>17.600000000000001</v>
      </c>
      <c r="L1463">
        <v>9.6300000000000008</v>
      </c>
      <c r="M1463">
        <v>0.2</v>
      </c>
      <c r="N1463" t="s">
        <v>45</v>
      </c>
    </row>
    <row r="1464" spans="1:14" x14ac:dyDescent="0.25">
      <c r="A1464" t="s">
        <v>1989</v>
      </c>
      <c r="B1464" s="2">
        <v>45636</v>
      </c>
      <c r="C1464" t="s">
        <v>975</v>
      </c>
      <c r="D1464" t="s">
        <v>99</v>
      </c>
      <c r="E1464" t="s">
        <v>2618</v>
      </c>
      <c r="F1464" t="s">
        <v>2632</v>
      </c>
      <c r="G1464" t="s">
        <v>178</v>
      </c>
      <c r="H1464" t="s">
        <v>2645</v>
      </c>
      <c r="I1464" t="s">
        <v>75</v>
      </c>
      <c r="J1464">
        <v>14</v>
      </c>
      <c r="K1464">
        <v>66.3</v>
      </c>
      <c r="L1464">
        <v>41.13</v>
      </c>
      <c r="M1464">
        <v>0.02</v>
      </c>
      <c r="N1464" t="s">
        <v>32</v>
      </c>
    </row>
    <row r="1465" spans="1:14" x14ac:dyDescent="0.25">
      <c r="A1465" t="s">
        <v>1990</v>
      </c>
      <c r="B1465" s="2">
        <v>45462</v>
      </c>
      <c r="C1465" t="s">
        <v>608</v>
      </c>
      <c r="D1465" t="s">
        <v>165</v>
      </c>
      <c r="E1465" t="s">
        <v>2615</v>
      </c>
      <c r="F1465" t="s">
        <v>2623</v>
      </c>
      <c r="G1465" t="s">
        <v>248</v>
      </c>
      <c r="H1465" t="s">
        <v>2645</v>
      </c>
      <c r="I1465" t="s">
        <v>75</v>
      </c>
      <c r="J1465">
        <v>49</v>
      </c>
      <c r="K1465">
        <v>43.69</v>
      </c>
      <c r="L1465">
        <v>23.5</v>
      </c>
      <c r="M1465">
        <v>0.05</v>
      </c>
      <c r="N1465" t="s">
        <v>45</v>
      </c>
    </row>
    <row r="1466" spans="1:14" x14ac:dyDescent="0.25">
      <c r="A1466" t="s">
        <v>1991</v>
      </c>
      <c r="B1466" s="2">
        <v>45326</v>
      </c>
      <c r="C1466" t="s">
        <v>737</v>
      </c>
      <c r="D1466" t="s">
        <v>176</v>
      </c>
      <c r="E1466" t="s">
        <v>2614</v>
      </c>
      <c r="F1466" t="s">
        <v>2637</v>
      </c>
      <c r="G1466" t="s">
        <v>69</v>
      </c>
      <c r="H1466" t="s">
        <v>2645</v>
      </c>
      <c r="I1466" t="s">
        <v>75</v>
      </c>
      <c r="J1466">
        <v>59</v>
      </c>
      <c r="K1466">
        <v>106.85</v>
      </c>
      <c r="L1466">
        <v>59.32</v>
      </c>
      <c r="M1466">
        <v>0.02</v>
      </c>
      <c r="N1466" t="s">
        <v>129</v>
      </c>
    </row>
    <row r="1467" spans="1:14" x14ac:dyDescent="0.25">
      <c r="A1467" t="s">
        <v>1992</v>
      </c>
      <c r="B1467" s="2">
        <v>45313</v>
      </c>
      <c r="C1467" t="s">
        <v>1013</v>
      </c>
      <c r="D1467" t="s">
        <v>216</v>
      </c>
      <c r="E1467" t="s">
        <v>2618</v>
      </c>
      <c r="F1467" t="s">
        <v>2628</v>
      </c>
      <c r="G1467" t="s">
        <v>248</v>
      </c>
      <c r="H1467" t="s">
        <v>2648</v>
      </c>
      <c r="I1467" t="s">
        <v>2578</v>
      </c>
      <c r="J1467">
        <v>46</v>
      </c>
      <c r="K1467">
        <v>114.26</v>
      </c>
      <c r="L1467">
        <v>70.739999999999995</v>
      </c>
      <c r="M1467">
        <v>0.1</v>
      </c>
      <c r="N1467" t="s">
        <v>45</v>
      </c>
    </row>
    <row r="1468" spans="1:14" x14ac:dyDescent="0.25">
      <c r="A1468" t="s">
        <v>1993</v>
      </c>
      <c r="B1468" s="2">
        <v>45528</v>
      </c>
      <c r="C1468" t="s">
        <v>180</v>
      </c>
      <c r="D1468" t="s">
        <v>216</v>
      </c>
      <c r="E1468" t="s">
        <v>2617</v>
      </c>
      <c r="F1468" t="s">
        <v>2626</v>
      </c>
      <c r="G1468" t="s">
        <v>74</v>
      </c>
      <c r="H1468" t="s">
        <v>2645</v>
      </c>
      <c r="I1468" t="s">
        <v>75</v>
      </c>
      <c r="J1468">
        <v>37</v>
      </c>
      <c r="K1468">
        <v>110.29</v>
      </c>
      <c r="L1468">
        <v>65.099999999999994</v>
      </c>
      <c r="M1468">
        <v>0.1</v>
      </c>
      <c r="N1468" t="s">
        <v>45</v>
      </c>
    </row>
    <row r="1469" spans="1:14" x14ac:dyDescent="0.25">
      <c r="A1469" t="s">
        <v>1994</v>
      </c>
      <c r="B1469" s="2">
        <v>45408</v>
      </c>
      <c r="C1469" t="s">
        <v>72</v>
      </c>
      <c r="D1469" t="s">
        <v>209</v>
      </c>
      <c r="E1469" t="s">
        <v>2615</v>
      </c>
      <c r="F1469" t="s">
        <v>2640</v>
      </c>
      <c r="G1469" t="s">
        <v>60</v>
      </c>
      <c r="H1469" t="s">
        <v>2646</v>
      </c>
      <c r="I1469" t="s">
        <v>70</v>
      </c>
      <c r="J1469">
        <v>68</v>
      </c>
      <c r="K1469">
        <v>18.13</v>
      </c>
      <c r="L1469">
        <v>9.81</v>
      </c>
      <c r="M1469">
        <v>0.15</v>
      </c>
      <c r="N1469" t="s">
        <v>45</v>
      </c>
    </row>
    <row r="1470" spans="1:14" x14ac:dyDescent="0.25">
      <c r="A1470" t="s">
        <v>1995</v>
      </c>
      <c r="B1470" s="2">
        <v>45368</v>
      </c>
      <c r="C1470" t="s">
        <v>970</v>
      </c>
      <c r="D1470" t="s">
        <v>209</v>
      </c>
      <c r="E1470" t="s">
        <v>2615</v>
      </c>
      <c r="F1470" t="s">
        <v>2640</v>
      </c>
      <c r="G1470" t="s">
        <v>118</v>
      </c>
      <c r="H1470" t="s">
        <v>2648</v>
      </c>
      <c r="I1470" t="s">
        <v>75</v>
      </c>
      <c r="J1470">
        <v>14</v>
      </c>
      <c r="K1470">
        <v>17.329999999999998</v>
      </c>
      <c r="L1470">
        <v>9.36</v>
      </c>
      <c r="M1470">
        <v>0.05</v>
      </c>
      <c r="N1470" t="s">
        <v>45</v>
      </c>
    </row>
    <row r="1471" spans="1:14" x14ac:dyDescent="0.25">
      <c r="A1471" t="s">
        <v>1996</v>
      </c>
      <c r="B1471" s="2">
        <v>45497</v>
      </c>
      <c r="C1471" t="s">
        <v>509</v>
      </c>
      <c r="D1471" t="s">
        <v>222</v>
      </c>
      <c r="E1471" t="s">
        <v>2617</v>
      </c>
      <c r="F1471" t="s">
        <v>2625</v>
      </c>
      <c r="G1471" t="s">
        <v>178</v>
      </c>
      <c r="H1471" t="s">
        <v>2646</v>
      </c>
      <c r="I1471" t="s">
        <v>75</v>
      </c>
      <c r="J1471">
        <v>22</v>
      </c>
      <c r="K1471">
        <v>122.06</v>
      </c>
      <c r="L1471">
        <v>78.58</v>
      </c>
      <c r="M1471">
        <v>0.1</v>
      </c>
      <c r="N1471" t="s">
        <v>32</v>
      </c>
    </row>
    <row r="1472" spans="1:14" x14ac:dyDescent="0.25">
      <c r="A1472" t="s">
        <v>1997</v>
      </c>
      <c r="B1472" s="2">
        <v>45303</v>
      </c>
      <c r="C1472" t="s">
        <v>155</v>
      </c>
      <c r="D1472" t="s">
        <v>66</v>
      </c>
      <c r="E1472" t="s">
        <v>2615</v>
      </c>
      <c r="F1472" t="s">
        <v>2640</v>
      </c>
      <c r="G1472" t="s">
        <v>69</v>
      </c>
      <c r="H1472" t="s">
        <v>2648</v>
      </c>
      <c r="I1472" t="s">
        <v>75</v>
      </c>
      <c r="J1472">
        <v>74</v>
      </c>
      <c r="K1472">
        <v>168.34</v>
      </c>
      <c r="L1472">
        <v>97.82</v>
      </c>
      <c r="M1472">
        <v>0.05</v>
      </c>
      <c r="N1472" t="s">
        <v>45</v>
      </c>
    </row>
    <row r="1473" spans="1:14" x14ac:dyDescent="0.25">
      <c r="A1473" t="s">
        <v>1998</v>
      </c>
      <c r="B1473" s="2">
        <v>45656</v>
      </c>
      <c r="C1473" t="s">
        <v>220</v>
      </c>
      <c r="D1473" t="s">
        <v>109</v>
      </c>
      <c r="E1473" t="s">
        <v>2618</v>
      </c>
      <c r="F1473" t="s">
        <v>2635</v>
      </c>
      <c r="G1473" t="s">
        <v>184</v>
      </c>
      <c r="H1473" t="s">
        <v>2647</v>
      </c>
      <c r="I1473" t="s">
        <v>75</v>
      </c>
      <c r="J1473">
        <v>19</v>
      </c>
      <c r="K1473">
        <v>120.31</v>
      </c>
      <c r="L1473">
        <v>75.2</v>
      </c>
      <c r="M1473">
        <v>0.05</v>
      </c>
      <c r="N1473" t="s">
        <v>129</v>
      </c>
    </row>
    <row r="1474" spans="1:14" x14ac:dyDescent="0.25">
      <c r="A1474" t="s">
        <v>1999</v>
      </c>
      <c r="B1474" s="2">
        <v>45621</v>
      </c>
      <c r="C1474" t="s">
        <v>365</v>
      </c>
      <c r="D1474" t="s">
        <v>99</v>
      </c>
      <c r="E1474" t="s">
        <v>2615</v>
      </c>
      <c r="F1474" t="s">
        <v>2640</v>
      </c>
      <c r="G1474" t="s">
        <v>152</v>
      </c>
      <c r="H1474" t="s">
        <v>2645</v>
      </c>
      <c r="I1474" t="s">
        <v>2578</v>
      </c>
      <c r="J1474">
        <v>52</v>
      </c>
      <c r="K1474">
        <v>73.849999999999994</v>
      </c>
      <c r="L1474">
        <v>43.01</v>
      </c>
      <c r="M1474">
        <v>0.05</v>
      </c>
      <c r="N1474" t="s">
        <v>32</v>
      </c>
    </row>
    <row r="1475" spans="1:14" x14ac:dyDescent="0.25">
      <c r="A1475" t="s">
        <v>2000</v>
      </c>
      <c r="B1475" s="2">
        <v>45294</v>
      </c>
      <c r="C1475" t="s">
        <v>1122</v>
      </c>
      <c r="D1475" t="s">
        <v>141</v>
      </c>
      <c r="E1475" t="s">
        <v>2615</v>
      </c>
      <c r="F1475" t="s">
        <v>2627</v>
      </c>
      <c r="G1475" t="s">
        <v>253</v>
      </c>
      <c r="H1475" t="s">
        <v>2645</v>
      </c>
      <c r="I1475" t="s">
        <v>44</v>
      </c>
      <c r="J1475">
        <v>35</v>
      </c>
      <c r="K1475">
        <v>91.8</v>
      </c>
      <c r="L1475">
        <v>61.71</v>
      </c>
      <c r="M1475">
        <v>0.2</v>
      </c>
      <c r="N1475" t="s">
        <v>45</v>
      </c>
    </row>
    <row r="1476" spans="1:14" x14ac:dyDescent="0.25">
      <c r="A1476" t="s">
        <v>2001</v>
      </c>
      <c r="B1476" s="2">
        <v>45363</v>
      </c>
      <c r="C1476" t="s">
        <v>866</v>
      </c>
      <c r="D1476" t="s">
        <v>187</v>
      </c>
      <c r="E1476" t="s">
        <v>2615</v>
      </c>
      <c r="F1476" t="s">
        <v>2630</v>
      </c>
      <c r="G1476" t="s">
        <v>170</v>
      </c>
      <c r="H1476" t="s">
        <v>2647</v>
      </c>
      <c r="I1476" t="s">
        <v>84</v>
      </c>
      <c r="J1476">
        <v>19</v>
      </c>
      <c r="K1476">
        <v>50.48</v>
      </c>
      <c r="L1476">
        <v>30.41</v>
      </c>
      <c r="M1476">
        <v>0.15</v>
      </c>
      <c r="N1476" t="s">
        <v>32</v>
      </c>
    </row>
    <row r="1477" spans="1:14" x14ac:dyDescent="0.25">
      <c r="A1477" t="s">
        <v>2002</v>
      </c>
      <c r="B1477" s="2">
        <v>45461</v>
      </c>
      <c r="C1477" t="s">
        <v>475</v>
      </c>
      <c r="D1477" t="s">
        <v>99</v>
      </c>
      <c r="E1477" t="s">
        <v>2618</v>
      </c>
      <c r="F1477" t="s">
        <v>2628</v>
      </c>
      <c r="G1477" t="s">
        <v>170</v>
      </c>
      <c r="H1477" t="s">
        <v>2648</v>
      </c>
      <c r="I1477" t="s">
        <v>44</v>
      </c>
      <c r="J1477">
        <v>73</v>
      </c>
      <c r="K1477">
        <v>67.900000000000006</v>
      </c>
      <c r="L1477">
        <v>42.01</v>
      </c>
      <c r="M1477">
        <v>0</v>
      </c>
      <c r="N1477" t="s">
        <v>32</v>
      </c>
    </row>
    <row r="1478" spans="1:14" x14ac:dyDescent="0.25">
      <c r="A1478" t="s">
        <v>2003</v>
      </c>
      <c r="B1478" s="2">
        <v>45507</v>
      </c>
      <c r="C1478" t="s">
        <v>1171</v>
      </c>
      <c r="D1478" t="s">
        <v>176</v>
      </c>
      <c r="E1478" t="s">
        <v>2614</v>
      </c>
      <c r="F1478" t="s">
        <v>2629</v>
      </c>
      <c r="G1478" t="s">
        <v>74</v>
      </c>
      <c r="H1478" t="s">
        <v>2646</v>
      </c>
      <c r="I1478" t="s">
        <v>2578</v>
      </c>
      <c r="J1478">
        <v>23</v>
      </c>
      <c r="K1478">
        <v>108.23</v>
      </c>
      <c r="L1478">
        <v>59.32</v>
      </c>
      <c r="M1478">
        <v>0.02</v>
      </c>
      <c r="N1478" t="s">
        <v>45</v>
      </c>
    </row>
    <row r="1479" spans="1:14" x14ac:dyDescent="0.25">
      <c r="A1479" t="s">
        <v>2004</v>
      </c>
      <c r="B1479" s="2">
        <v>45412</v>
      </c>
      <c r="C1479" t="s">
        <v>506</v>
      </c>
      <c r="D1479" t="s">
        <v>150</v>
      </c>
      <c r="E1479" t="s">
        <v>2614</v>
      </c>
      <c r="F1479" t="s">
        <v>2622</v>
      </c>
      <c r="G1479" t="s">
        <v>69</v>
      </c>
      <c r="H1479" t="s">
        <v>2649</v>
      </c>
      <c r="I1479" t="s">
        <v>2578</v>
      </c>
      <c r="J1479">
        <v>33</v>
      </c>
      <c r="K1479">
        <v>78.62</v>
      </c>
      <c r="L1479">
        <v>49.06</v>
      </c>
      <c r="M1479">
        <v>0.2</v>
      </c>
      <c r="N1479" t="s">
        <v>45</v>
      </c>
    </row>
    <row r="1480" spans="1:14" x14ac:dyDescent="0.25">
      <c r="A1480" t="s">
        <v>2005</v>
      </c>
      <c r="B1480" s="2">
        <v>45450</v>
      </c>
      <c r="C1480" t="s">
        <v>717</v>
      </c>
      <c r="D1480" t="s">
        <v>114</v>
      </c>
      <c r="E1480" t="s">
        <v>2616</v>
      </c>
      <c r="F1480" t="s">
        <v>2624</v>
      </c>
      <c r="G1480" t="s">
        <v>144</v>
      </c>
      <c r="H1480" t="s">
        <v>2646</v>
      </c>
      <c r="I1480" t="s">
        <v>75</v>
      </c>
      <c r="J1480">
        <v>58</v>
      </c>
      <c r="K1480">
        <v>33.69</v>
      </c>
      <c r="L1480">
        <v>19.760000000000002</v>
      </c>
      <c r="M1480">
        <v>0.05</v>
      </c>
      <c r="N1480" t="s">
        <v>45</v>
      </c>
    </row>
    <row r="1481" spans="1:14" x14ac:dyDescent="0.25">
      <c r="A1481" t="s">
        <v>2006</v>
      </c>
      <c r="B1481" s="2">
        <v>45572</v>
      </c>
      <c r="C1481" t="s">
        <v>509</v>
      </c>
      <c r="D1481" t="s">
        <v>114</v>
      </c>
      <c r="E1481" t="s">
        <v>2618</v>
      </c>
      <c r="F1481" t="s">
        <v>2628</v>
      </c>
      <c r="G1481" t="s">
        <v>195</v>
      </c>
      <c r="H1481" t="s">
        <v>2645</v>
      </c>
      <c r="I1481" t="s">
        <v>70</v>
      </c>
      <c r="J1481">
        <v>43</v>
      </c>
      <c r="K1481">
        <v>34.85</v>
      </c>
      <c r="L1481">
        <v>19.47</v>
      </c>
      <c r="M1481">
        <v>0.2</v>
      </c>
      <c r="N1481" t="s">
        <v>32</v>
      </c>
    </row>
    <row r="1482" spans="1:14" x14ac:dyDescent="0.25">
      <c r="A1482" t="s">
        <v>2007</v>
      </c>
      <c r="B1482" s="2">
        <v>45611</v>
      </c>
      <c r="C1482" t="s">
        <v>823</v>
      </c>
      <c r="D1482" t="s">
        <v>23</v>
      </c>
      <c r="E1482" t="s">
        <v>2614</v>
      </c>
      <c r="F1482" t="s">
        <v>2637</v>
      </c>
      <c r="G1482" t="s">
        <v>170</v>
      </c>
      <c r="H1482" t="s">
        <v>2647</v>
      </c>
      <c r="I1482" t="s">
        <v>44</v>
      </c>
      <c r="J1482">
        <v>26</v>
      </c>
      <c r="K1482">
        <v>69.95</v>
      </c>
      <c r="L1482">
        <v>42.17</v>
      </c>
      <c r="M1482">
        <v>0</v>
      </c>
      <c r="N1482" t="s">
        <v>45</v>
      </c>
    </row>
    <row r="1483" spans="1:14" x14ac:dyDescent="0.25">
      <c r="A1483" t="s">
        <v>2008</v>
      </c>
      <c r="B1483" s="2">
        <v>45540</v>
      </c>
      <c r="C1483" t="s">
        <v>931</v>
      </c>
      <c r="D1483" t="s">
        <v>93</v>
      </c>
      <c r="E1483" t="s">
        <v>2615</v>
      </c>
      <c r="F1483" t="s">
        <v>2623</v>
      </c>
      <c r="G1483" t="s">
        <v>74</v>
      </c>
      <c r="H1483" t="s">
        <v>2646</v>
      </c>
      <c r="I1483" t="s">
        <v>75</v>
      </c>
      <c r="J1483">
        <v>59</v>
      </c>
      <c r="K1483">
        <v>52.59</v>
      </c>
      <c r="L1483">
        <v>31.26</v>
      </c>
      <c r="M1483">
        <v>0.02</v>
      </c>
      <c r="N1483" t="s">
        <v>45</v>
      </c>
    </row>
    <row r="1484" spans="1:14" x14ac:dyDescent="0.25">
      <c r="A1484" t="s">
        <v>2009</v>
      </c>
      <c r="B1484" s="2">
        <v>45560</v>
      </c>
      <c r="C1484" t="s">
        <v>2619</v>
      </c>
      <c r="D1484" t="s">
        <v>165</v>
      </c>
      <c r="E1484" t="s">
        <v>2616</v>
      </c>
      <c r="F1484" t="s">
        <v>2638</v>
      </c>
      <c r="G1484" t="s">
        <v>152</v>
      </c>
      <c r="H1484" t="s">
        <v>2648</v>
      </c>
      <c r="I1484" t="s">
        <v>84</v>
      </c>
      <c r="J1484">
        <v>64</v>
      </c>
      <c r="K1484">
        <v>44.99</v>
      </c>
      <c r="L1484">
        <v>24.9</v>
      </c>
      <c r="M1484">
        <v>0.15</v>
      </c>
      <c r="N1484" t="s">
        <v>45</v>
      </c>
    </row>
    <row r="1485" spans="1:14" x14ac:dyDescent="0.25">
      <c r="A1485" t="s">
        <v>2010</v>
      </c>
      <c r="B1485" s="2">
        <v>45346</v>
      </c>
      <c r="C1485" t="s">
        <v>649</v>
      </c>
      <c r="D1485" t="s">
        <v>132</v>
      </c>
      <c r="E1485" t="s">
        <v>2618</v>
      </c>
      <c r="F1485" t="s">
        <v>2634</v>
      </c>
      <c r="G1485" t="s">
        <v>152</v>
      </c>
      <c r="H1485" t="s">
        <v>2647</v>
      </c>
      <c r="I1485" t="s">
        <v>70</v>
      </c>
      <c r="J1485">
        <v>15</v>
      </c>
      <c r="K1485">
        <v>58.97</v>
      </c>
      <c r="L1485">
        <v>33.89</v>
      </c>
      <c r="M1485">
        <v>0.1</v>
      </c>
      <c r="N1485" t="s">
        <v>45</v>
      </c>
    </row>
    <row r="1486" spans="1:14" x14ac:dyDescent="0.25">
      <c r="A1486" t="s">
        <v>2011</v>
      </c>
      <c r="B1486" s="2">
        <v>45421</v>
      </c>
      <c r="C1486" t="s">
        <v>487</v>
      </c>
      <c r="D1486" t="s">
        <v>99</v>
      </c>
      <c r="E1486" t="s">
        <v>2616</v>
      </c>
      <c r="F1486" t="s">
        <v>2633</v>
      </c>
      <c r="G1486" t="s">
        <v>184</v>
      </c>
      <c r="H1486" t="s">
        <v>2647</v>
      </c>
      <c r="I1486" t="s">
        <v>2578</v>
      </c>
      <c r="J1486">
        <v>75</v>
      </c>
      <c r="K1486">
        <v>67.510000000000005</v>
      </c>
      <c r="L1486">
        <v>39.53</v>
      </c>
      <c r="M1486">
        <v>0</v>
      </c>
      <c r="N1486" t="s">
        <v>45</v>
      </c>
    </row>
    <row r="1487" spans="1:14" x14ac:dyDescent="0.25">
      <c r="A1487" t="s">
        <v>2012</v>
      </c>
      <c r="B1487" s="2">
        <v>45551</v>
      </c>
      <c r="C1487" t="s">
        <v>182</v>
      </c>
      <c r="D1487" t="s">
        <v>250</v>
      </c>
      <c r="E1487" t="s">
        <v>2615</v>
      </c>
      <c r="F1487" t="s">
        <v>2627</v>
      </c>
      <c r="G1487" t="s">
        <v>253</v>
      </c>
      <c r="H1487" t="s">
        <v>2647</v>
      </c>
      <c r="I1487" t="s">
        <v>70</v>
      </c>
      <c r="J1487">
        <v>48</v>
      </c>
      <c r="K1487">
        <v>60.06</v>
      </c>
      <c r="L1487">
        <v>37.69</v>
      </c>
      <c r="M1487">
        <v>0.1</v>
      </c>
      <c r="N1487" t="s">
        <v>45</v>
      </c>
    </row>
    <row r="1488" spans="1:14" x14ac:dyDescent="0.25">
      <c r="A1488" t="s">
        <v>1085</v>
      </c>
      <c r="B1488" s="2">
        <v>45488</v>
      </c>
      <c r="C1488" t="s">
        <v>314</v>
      </c>
      <c r="D1488" t="s">
        <v>49</v>
      </c>
      <c r="E1488" t="s">
        <v>2614</v>
      </c>
      <c r="F1488" t="s">
        <v>2629</v>
      </c>
      <c r="G1488" t="s">
        <v>218</v>
      </c>
      <c r="H1488" t="s">
        <v>2648</v>
      </c>
      <c r="I1488" t="s">
        <v>2578</v>
      </c>
      <c r="J1488">
        <v>24</v>
      </c>
      <c r="K1488">
        <v>25.75</v>
      </c>
      <c r="L1488">
        <v>13.46</v>
      </c>
      <c r="M1488">
        <v>0.1</v>
      </c>
      <c r="N1488" t="s">
        <v>129</v>
      </c>
    </row>
    <row r="1489" spans="1:14" x14ac:dyDescent="0.25">
      <c r="A1489" t="s">
        <v>2013</v>
      </c>
      <c r="B1489" s="2">
        <v>45519</v>
      </c>
      <c r="C1489" t="s">
        <v>723</v>
      </c>
      <c r="D1489" t="s">
        <v>176</v>
      </c>
      <c r="E1489" t="s">
        <v>2617</v>
      </c>
      <c r="F1489" t="s">
        <v>2641</v>
      </c>
      <c r="G1489" t="s">
        <v>2619</v>
      </c>
      <c r="H1489" t="s">
        <v>2647</v>
      </c>
      <c r="I1489" t="s">
        <v>44</v>
      </c>
      <c r="J1489">
        <v>39</v>
      </c>
      <c r="K1489">
        <v>110.08</v>
      </c>
      <c r="L1489">
        <v>63.73</v>
      </c>
      <c r="M1489">
        <v>0.05</v>
      </c>
      <c r="N1489" t="s">
        <v>45</v>
      </c>
    </row>
    <row r="1490" spans="1:14" x14ac:dyDescent="0.25">
      <c r="A1490" t="s">
        <v>2014</v>
      </c>
      <c r="B1490" s="2">
        <v>45506</v>
      </c>
      <c r="C1490" t="s">
        <v>447</v>
      </c>
      <c r="D1490" t="s">
        <v>114</v>
      </c>
      <c r="E1490" t="s">
        <v>2615</v>
      </c>
      <c r="F1490" t="s">
        <v>2640</v>
      </c>
      <c r="G1490" t="s">
        <v>218</v>
      </c>
      <c r="H1490" t="s">
        <v>2648</v>
      </c>
      <c r="I1490" t="s">
        <v>84</v>
      </c>
      <c r="J1490">
        <v>52</v>
      </c>
      <c r="K1490">
        <v>33.5</v>
      </c>
      <c r="L1490">
        <v>20.63</v>
      </c>
      <c r="M1490">
        <v>0.2</v>
      </c>
      <c r="N1490" t="s">
        <v>45</v>
      </c>
    </row>
    <row r="1491" spans="1:14" x14ac:dyDescent="0.25">
      <c r="A1491" t="s">
        <v>2015</v>
      </c>
      <c r="B1491" s="2">
        <v>45366</v>
      </c>
      <c r="C1491" t="s">
        <v>309</v>
      </c>
      <c r="D1491" t="s">
        <v>132</v>
      </c>
      <c r="E1491" t="s">
        <v>2614</v>
      </c>
      <c r="F1491" t="s">
        <v>2629</v>
      </c>
      <c r="G1491" t="s">
        <v>144</v>
      </c>
      <c r="H1491" t="s">
        <v>2646</v>
      </c>
      <c r="I1491" t="s">
        <v>70</v>
      </c>
      <c r="J1491">
        <v>17</v>
      </c>
      <c r="K1491">
        <v>60.74</v>
      </c>
      <c r="L1491">
        <v>33.96</v>
      </c>
      <c r="M1491">
        <v>0.15</v>
      </c>
      <c r="N1491" t="s">
        <v>45</v>
      </c>
    </row>
    <row r="1492" spans="1:14" x14ac:dyDescent="0.25">
      <c r="A1492" t="s">
        <v>2016</v>
      </c>
      <c r="B1492" s="2">
        <v>45646</v>
      </c>
      <c r="C1492" t="s">
        <v>776</v>
      </c>
      <c r="D1492" t="s">
        <v>99</v>
      </c>
      <c r="E1492" t="s">
        <v>2616</v>
      </c>
      <c r="F1492" t="s">
        <v>2633</v>
      </c>
      <c r="G1492" t="s">
        <v>178</v>
      </c>
      <c r="H1492" t="s">
        <v>2645</v>
      </c>
      <c r="I1492" t="s">
        <v>70</v>
      </c>
      <c r="J1492">
        <v>20</v>
      </c>
      <c r="K1492">
        <v>65.88</v>
      </c>
      <c r="L1492">
        <v>43.4</v>
      </c>
      <c r="M1492">
        <v>0.02</v>
      </c>
      <c r="N1492" t="s">
        <v>45</v>
      </c>
    </row>
    <row r="1493" spans="1:14" x14ac:dyDescent="0.25">
      <c r="A1493" t="s">
        <v>2017</v>
      </c>
      <c r="B1493" s="2">
        <v>45317</v>
      </c>
      <c r="C1493" t="s">
        <v>1586</v>
      </c>
      <c r="D1493" t="s">
        <v>216</v>
      </c>
      <c r="E1493" t="s">
        <v>2617</v>
      </c>
      <c r="F1493" t="s">
        <v>2641</v>
      </c>
      <c r="G1493" t="s">
        <v>152</v>
      </c>
      <c r="H1493" t="s">
        <v>2648</v>
      </c>
      <c r="I1493" t="s">
        <v>75</v>
      </c>
      <c r="J1493">
        <v>52</v>
      </c>
      <c r="K1493">
        <v>115.59</v>
      </c>
      <c r="L1493">
        <v>62.93</v>
      </c>
      <c r="M1493">
        <v>0.15</v>
      </c>
      <c r="N1493" t="s">
        <v>45</v>
      </c>
    </row>
    <row r="1494" spans="1:14" x14ac:dyDescent="0.25">
      <c r="A1494" t="s">
        <v>2018</v>
      </c>
      <c r="B1494" s="2">
        <v>45431</v>
      </c>
      <c r="C1494" t="s">
        <v>276</v>
      </c>
      <c r="D1494" t="s">
        <v>93</v>
      </c>
      <c r="E1494" t="s">
        <v>2616</v>
      </c>
      <c r="F1494" t="s">
        <v>2633</v>
      </c>
      <c r="G1494" t="s">
        <v>74</v>
      </c>
      <c r="H1494" t="s">
        <v>2648</v>
      </c>
      <c r="I1494" t="s">
        <v>2578</v>
      </c>
      <c r="J1494">
        <v>47</v>
      </c>
      <c r="K1494">
        <v>59.16</v>
      </c>
      <c r="L1494">
        <v>33.33</v>
      </c>
      <c r="M1494">
        <v>0.02</v>
      </c>
      <c r="N1494" t="s">
        <v>45</v>
      </c>
    </row>
    <row r="1495" spans="1:14" x14ac:dyDescent="0.25">
      <c r="A1495" t="s">
        <v>2019</v>
      </c>
      <c r="B1495" s="2">
        <v>45644</v>
      </c>
      <c r="C1495" t="s">
        <v>800</v>
      </c>
      <c r="D1495" t="s">
        <v>216</v>
      </c>
      <c r="E1495" t="s">
        <v>2617</v>
      </c>
      <c r="F1495" t="s">
        <v>2642</v>
      </c>
      <c r="G1495" t="s">
        <v>90</v>
      </c>
      <c r="H1495" t="s">
        <v>2646</v>
      </c>
      <c r="I1495" t="s">
        <v>84</v>
      </c>
      <c r="J1495">
        <v>7</v>
      </c>
      <c r="K1495">
        <v>107.4</v>
      </c>
      <c r="L1495">
        <v>70.66</v>
      </c>
      <c r="M1495">
        <v>0.05</v>
      </c>
      <c r="N1495" t="s">
        <v>45</v>
      </c>
    </row>
    <row r="1496" spans="1:14" x14ac:dyDescent="0.25">
      <c r="A1496" t="s">
        <v>2020</v>
      </c>
      <c r="B1496" s="2">
        <v>45424</v>
      </c>
      <c r="C1496" t="s">
        <v>569</v>
      </c>
      <c r="D1496" t="s">
        <v>93</v>
      </c>
      <c r="E1496" t="s">
        <v>2614</v>
      </c>
      <c r="F1496" t="s">
        <v>2622</v>
      </c>
      <c r="G1496" t="s">
        <v>261</v>
      </c>
      <c r="H1496" t="s">
        <v>2647</v>
      </c>
      <c r="I1496" t="s">
        <v>70</v>
      </c>
      <c r="J1496">
        <v>73</v>
      </c>
      <c r="K1496">
        <v>55.89</v>
      </c>
      <c r="L1496">
        <v>32.08</v>
      </c>
      <c r="M1496">
        <v>0.02</v>
      </c>
      <c r="N1496" t="s">
        <v>129</v>
      </c>
    </row>
    <row r="1497" spans="1:14" x14ac:dyDescent="0.25">
      <c r="A1497" t="s">
        <v>2021</v>
      </c>
      <c r="B1497" s="2">
        <v>45629</v>
      </c>
      <c r="C1497" t="s">
        <v>900</v>
      </c>
      <c r="D1497" t="s">
        <v>250</v>
      </c>
      <c r="E1497" t="s">
        <v>2615</v>
      </c>
      <c r="F1497" t="s">
        <v>2630</v>
      </c>
      <c r="G1497" t="s">
        <v>170</v>
      </c>
      <c r="H1497" t="s">
        <v>2646</v>
      </c>
      <c r="I1497" t="s">
        <v>2578</v>
      </c>
      <c r="J1497">
        <v>67</v>
      </c>
      <c r="K1497" s="3" t="e">
        <f>#REF!/Sales12[[#This Row],[Quantity]]</f>
        <v>#REF!</v>
      </c>
      <c r="L1497">
        <v>36.04</v>
      </c>
      <c r="M1497">
        <v>0.05</v>
      </c>
      <c r="N1497" t="s">
        <v>45</v>
      </c>
    </row>
    <row r="1498" spans="1:14" x14ac:dyDescent="0.25">
      <c r="A1498" t="s">
        <v>2022</v>
      </c>
      <c r="B1498" s="2">
        <v>45642</v>
      </c>
      <c r="C1498" t="s">
        <v>414</v>
      </c>
      <c r="D1498" t="s">
        <v>132</v>
      </c>
      <c r="E1498" t="s">
        <v>2615</v>
      </c>
      <c r="F1498" t="s">
        <v>2623</v>
      </c>
      <c r="G1498" t="s">
        <v>118</v>
      </c>
      <c r="H1498" t="s">
        <v>2648</v>
      </c>
      <c r="I1498" t="s">
        <v>70</v>
      </c>
      <c r="J1498">
        <v>11</v>
      </c>
      <c r="K1498">
        <v>60.46</v>
      </c>
      <c r="L1498">
        <v>35.729999999999997</v>
      </c>
      <c r="M1498">
        <v>0.15</v>
      </c>
      <c r="N1498" t="s">
        <v>45</v>
      </c>
    </row>
    <row r="1499" spans="1:14" x14ac:dyDescent="0.25">
      <c r="A1499" t="s">
        <v>2023</v>
      </c>
      <c r="B1499" s="2">
        <v>45462</v>
      </c>
      <c r="C1499" t="s">
        <v>497</v>
      </c>
      <c r="D1499" t="s">
        <v>49</v>
      </c>
      <c r="E1499" t="s">
        <v>2618</v>
      </c>
      <c r="F1499" t="s">
        <v>2635</v>
      </c>
      <c r="G1499" t="s">
        <v>42</v>
      </c>
      <c r="H1499" t="s">
        <v>2648</v>
      </c>
      <c r="I1499" t="s">
        <v>44</v>
      </c>
      <c r="J1499">
        <v>71</v>
      </c>
      <c r="K1499">
        <v>26.86</v>
      </c>
      <c r="L1499">
        <v>12.78</v>
      </c>
      <c r="M1499">
        <v>0.15</v>
      </c>
      <c r="N1499" t="s">
        <v>129</v>
      </c>
    </row>
    <row r="1500" spans="1:14" x14ac:dyDescent="0.25">
      <c r="A1500" t="s">
        <v>2024</v>
      </c>
      <c r="B1500" s="2">
        <v>45463</v>
      </c>
      <c r="C1500" t="s">
        <v>1334</v>
      </c>
      <c r="D1500" t="s">
        <v>114</v>
      </c>
      <c r="E1500" t="s">
        <v>2615</v>
      </c>
      <c r="F1500" t="s">
        <v>2623</v>
      </c>
      <c r="G1500" t="s">
        <v>60</v>
      </c>
      <c r="H1500" t="s">
        <v>2645</v>
      </c>
      <c r="I1500" t="s">
        <v>75</v>
      </c>
      <c r="J1500">
        <v>9</v>
      </c>
      <c r="K1500">
        <v>36.090000000000003</v>
      </c>
      <c r="L1500">
        <v>22.21</v>
      </c>
      <c r="M1500">
        <v>0</v>
      </c>
      <c r="N1500" t="s">
        <v>129</v>
      </c>
    </row>
    <row r="1501" spans="1:14" x14ac:dyDescent="0.25">
      <c r="A1501" t="s">
        <v>2025</v>
      </c>
      <c r="B1501" s="2">
        <v>45321</v>
      </c>
      <c r="C1501" t="s">
        <v>194</v>
      </c>
      <c r="D1501" t="s">
        <v>93</v>
      </c>
      <c r="E1501" t="s">
        <v>2615</v>
      </c>
      <c r="F1501" t="s">
        <v>2623</v>
      </c>
      <c r="G1501" t="s">
        <v>83</v>
      </c>
      <c r="H1501" t="s">
        <v>2647</v>
      </c>
      <c r="I1501" t="s">
        <v>70</v>
      </c>
      <c r="J1501">
        <v>77</v>
      </c>
      <c r="K1501">
        <v>54.46</v>
      </c>
      <c r="L1501">
        <v>31.37</v>
      </c>
      <c r="M1501">
        <v>0.1</v>
      </c>
      <c r="N1501" t="s">
        <v>129</v>
      </c>
    </row>
    <row r="1502" spans="1:14" x14ac:dyDescent="0.25">
      <c r="A1502" t="s">
        <v>2026</v>
      </c>
      <c r="B1502" s="2">
        <v>45470</v>
      </c>
      <c r="C1502" t="s">
        <v>418</v>
      </c>
      <c r="D1502" t="s">
        <v>216</v>
      </c>
      <c r="E1502" t="s">
        <v>2615</v>
      </c>
      <c r="F1502" t="s">
        <v>2627</v>
      </c>
      <c r="G1502" t="s">
        <v>248</v>
      </c>
      <c r="H1502" t="s">
        <v>2648</v>
      </c>
      <c r="I1502" t="s">
        <v>70</v>
      </c>
      <c r="J1502">
        <v>61</v>
      </c>
      <c r="K1502">
        <v>116.15</v>
      </c>
      <c r="L1502">
        <v>64.290000000000006</v>
      </c>
      <c r="M1502">
        <v>0</v>
      </c>
      <c r="N1502" t="s">
        <v>45</v>
      </c>
    </row>
    <row r="1503" spans="1:14" x14ac:dyDescent="0.25">
      <c r="A1503" t="s">
        <v>2027</v>
      </c>
      <c r="B1503" s="2">
        <v>45645</v>
      </c>
      <c r="C1503" t="s">
        <v>297</v>
      </c>
      <c r="D1503" t="s">
        <v>209</v>
      </c>
      <c r="E1503" t="s">
        <v>2614</v>
      </c>
      <c r="F1503" t="s">
        <v>2637</v>
      </c>
      <c r="G1503" t="s">
        <v>218</v>
      </c>
      <c r="H1503" t="s">
        <v>2645</v>
      </c>
      <c r="I1503" t="s">
        <v>84</v>
      </c>
      <c r="J1503">
        <v>43</v>
      </c>
      <c r="K1503">
        <v>16.79</v>
      </c>
      <c r="L1503">
        <v>10.63</v>
      </c>
      <c r="M1503">
        <v>0.15</v>
      </c>
      <c r="N1503" t="s">
        <v>129</v>
      </c>
    </row>
    <row r="1504" spans="1:14" x14ac:dyDescent="0.25">
      <c r="A1504" t="s">
        <v>2028</v>
      </c>
      <c r="B1504" s="2">
        <v>45589</v>
      </c>
      <c r="C1504" t="s">
        <v>408</v>
      </c>
      <c r="D1504" t="s">
        <v>66</v>
      </c>
      <c r="E1504" t="s">
        <v>2618</v>
      </c>
      <c r="F1504" t="s">
        <v>2635</v>
      </c>
      <c r="G1504" t="s">
        <v>248</v>
      </c>
      <c r="H1504" t="s">
        <v>2647</v>
      </c>
      <c r="I1504" t="s">
        <v>44</v>
      </c>
      <c r="J1504">
        <v>7</v>
      </c>
      <c r="K1504">
        <v>168.14</v>
      </c>
      <c r="L1504">
        <v>99.23</v>
      </c>
      <c r="M1504">
        <v>0.2</v>
      </c>
      <c r="N1504" t="s">
        <v>45</v>
      </c>
    </row>
    <row r="1505" spans="1:14" x14ac:dyDescent="0.25">
      <c r="A1505" t="s">
        <v>2029</v>
      </c>
      <c r="B1505" s="2">
        <v>45399</v>
      </c>
      <c r="C1505" t="s">
        <v>485</v>
      </c>
      <c r="D1505" t="s">
        <v>165</v>
      </c>
      <c r="E1505" t="s">
        <v>2617</v>
      </c>
      <c r="F1505" t="s">
        <v>2626</v>
      </c>
      <c r="G1505" t="s">
        <v>83</v>
      </c>
      <c r="H1505" t="s">
        <v>2648</v>
      </c>
      <c r="I1505" t="s">
        <v>2578</v>
      </c>
      <c r="J1505">
        <v>79</v>
      </c>
      <c r="K1505">
        <v>39.24</v>
      </c>
      <c r="L1505">
        <v>26.02</v>
      </c>
      <c r="M1505">
        <v>0.15</v>
      </c>
      <c r="N1505" t="s">
        <v>45</v>
      </c>
    </row>
    <row r="1506" spans="1:14" x14ac:dyDescent="0.25">
      <c r="A1506" t="s">
        <v>2030</v>
      </c>
      <c r="B1506" s="2">
        <v>45411</v>
      </c>
      <c r="C1506" t="s">
        <v>723</v>
      </c>
      <c r="D1506" t="s">
        <v>250</v>
      </c>
      <c r="E1506" t="s">
        <v>2618</v>
      </c>
      <c r="F1506" t="s">
        <v>2632</v>
      </c>
      <c r="G1506" t="s">
        <v>248</v>
      </c>
      <c r="H1506" t="s">
        <v>2645</v>
      </c>
      <c r="I1506" t="s">
        <v>84</v>
      </c>
      <c r="J1506">
        <v>67</v>
      </c>
      <c r="K1506">
        <v>65.28</v>
      </c>
      <c r="L1506">
        <v>37.549999999999997</v>
      </c>
      <c r="M1506">
        <v>0.15</v>
      </c>
      <c r="N1506" t="s">
        <v>45</v>
      </c>
    </row>
    <row r="1507" spans="1:14" x14ac:dyDescent="0.25">
      <c r="A1507" t="s">
        <v>2031</v>
      </c>
      <c r="B1507" s="2">
        <v>45339</v>
      </c>
      <c r="C1507" t="s">
        <v>517</v>
      </c>
      <c r="D1507" t="s">
        <v>222</v>
      </c>
      <c r="E1507" t="s">
        <v>2617</v>
      </c>
      <c r="F1507" t="s">
        <v>2625</v>
      </c>
      <c r="G1507" t="s">
        <v>195</v>
      </c>
      <c r="H1507" t="s">
        <v>2647</v>
      </c>
      <c r="I1507" t="s">
        <v>75</v>
      </c>
      <c r="J1507">
        <v>31</v>
      </c>
      <c r="K1507">
        <v>125.01</v>
      </c>
      <c r="L1507">
        <v>78.760000000000005</v>
      </c>
      <c r="M1507">
        <v>0.2</v>
      </c>
      <c r="N1507" t="s">
        <v>45</v>
      </c>
    </row>
    <row r="1508" spans="1:14" x14ac:dyDescent="0.25">
      <c r="A1508" t="s">
        <v>2032</v>
      </c>
      <c r="B1508" s="2">
        <v>45526</v>
      </c>
      <c r="C1508" t="s">
        <v>1122</v>
      </c>
      <c r="D1508" t="s">
        <v>126</v>
      </c>
      <c r="E1508" t="s">
        <v>2614</v>
      </c>
      <c r="F1508" t="s">
        <v>2629</v>
      </c>
      <c r="G1508" t="s">
        <v>253</v>
      </c>
      <c r="H1508" t="s">
        <v>2648</v>
      </c>
      <c r="I1508" t="s">
        <v>2578</v>
      </c>
      <c r="J1508">
        <v>34</v>
      </c>
      <c r="K1508">
        <v>91.13</v>
      </c>
      <c r="L1508">
        <v>50.01</v>
      </c>
      <c r="M1508">
        <v>0.02</v>
      </c>
      <c r="N1508" t="s">
        <v>45</v>
      </c>
    </row>
    <row r="1509" spans="1:14" x14ac:dyDescent="0.25">
      <c r="A1509" t="s">
        <v>2033</v>
      </c>
      <c r="B1509" s="2">
        <v>45372</v>
      </c>
      <c r="C1509" t="s">
        <v>263</v>
      </c>
      <c r="D1509" t="s">
        <v>176</v>
      </c>
      <c r="E1509" t="s">
        <v>2616</v>
      </c>
      <c r="F1509" t="s">
        <v>2631</v>
      </c>
      <c r="G1509" t="s">
        <v>69</v>
      </c>
      <c r="H1509" t="s">
        <v>2647</v>
      </c>
      <c r="I1509" t="s">
        <v>84</v>
      </c>
      <c r="J1509">
        <v>43</v>
      </c>
      <c r="K1509">
        <v>109.24</v>
      </c>
      <c r="L1509">
        <v>63.32</v>
      </c>
      <c r="M1509">
        <v>0.05</v>
      </c>
      <c r="N1509" t="s">
        <v>45</v>
      </c>
    </row>
    <row r="1510" spans="1:14" x14ac:dyDescent="0.25">
      <c r="A1510" t="s">
        <v>2034</v>
      </c>
      <c r="B1510" s="2">
        <v>45430</v>
      </c>
      <c r="C1510" t="s">
        <v>215</v>
      </c>
      <c r="D1510" t="s">
        <v>93</v>
      </c>
      <c r="E1510" t="s">
        <v>2617</v>
      </c>
      <c r="F1510" t="s">
        <v>2641</v>
      </c>
      <c r="G1510" t="s">
        <v>69</v>
      </c>
      <c r="H1510" t="s">
        <v>2646</v>
      </c>
      <c r="I1510" t="s">
        <v>70</v>
      </c>
      <c r="J1510">
        <v>7</v>
      </c>
      <c r="K1510">
        <v>54.63</v>
      </c>
      <c r="L1510">
        <v>31.91</v>
      </c>
      <c r="M1510">
        <v>0.2</v>
      </c>
      <c r="N1510" t="s">
        <v>129</v>
      </c>
    </row>
    <row r="1511" spans="1:14" x14ac:dyDescent="0.25">
      <c r="A1511" t="s">
        <v>2035</v>
      </c>
      <c r="B1511" s="2">
        <v>45295</v>
      </c>
      <c r="C1511" t="s">
        <v>208</v>
      </c>
      <c r="D1511" t="s">
        <v>126</v>
      </c>
      <c r="E1511" t="s">
        <v>2617</v>
      </c>
      <c r="F1511" t="s">
        <v>2641</v>
      </c>
      <c r="G1511" t="s">
        <v>178</v>
      </c>
      <c r="H1511" t="s">
        <v>2647</v>
      </c>
      <c r="I1511" t="s">
        <v>44</v>
      </c>
      <c r="J1511">
        <v>19</v>
      </c>
      <c r="K1511">
        <v>82.97</v>
      </c>
      <c r="L1511">
        <v>50.81</v>
      </c>
      <c r="M1511">
        <v>0.1</v>
      </c>
      <c r="N1511" t="s">
        <v>45</v>
      </c>
    </row>
    <row r="1512" spans="1:14" x14ac:dyDescent="0.25">
      <c r="A1512" t="s">
        <v>2036</v>
      </c>
      <c r="B1512" s="2">
        <v>45442</v>
      </c>
      <c r="C1512" t="s">
        <v>1112</v>
      </c>
      <c r="D1512" t="s">
        <v>99</v>
      </c>
      <c r="E1512" t="s">
        <v>2618</v>
      </c>
      <c r="F1512" t="s">
        <v>2628</v>
      </c>
      <c r="G1512" t="s">
        <v>83</v>
      </c>
      <c r="H1512" t="s">
        <v>2646</v>
      </c>
      <c r="I1512" t="s">
        <v>70</v>
      </c>
      <c r="J1512">
        <v>73</v>
      </c>
      <c r="K1512">
        <v>73.430000000000007</v>
      </c>
      <c r="L1512">
        <v>41.33</v>
      </c>
      <c r="M1512">
        <v>0.1</v>
      </c>
      <c r="N1512" t="s">
        <v>129</v>
      </c>
    </row>
    <row r="1513" spans="1:14" x14ac:dyDescent="0.25">
      <c r="A1513" t="s">
        <v>2037</v>
      </c>
      <c r="B1513" s="2">
        <v>45294</v>
      </c>
      <c r="C1513" t="s">
        <v>1724</v>
      </c>
      <c r="D1513" t="s">
        <v>93</v>
      </c>
      <c r="E1513" t="s">
        <v>2616</v>
      </c>
      <c r="F1513" t="s">
        <v>2633</v>
      </c>
      <c r="G1513" t="s">
        <v>69</v>
      </c>
      <c r="H1513" t="s">
        <v>2646</v>
      </c>
      <c r="I1513" t="s">
        <v>44</v>
      </c>
      <c r="J1513">
        <v>40</v>
      </c>
      <c r="K1513">
        <v>55.36</v>
      </c>
      <c r="L1513">
        <v>30.23</v>
      </c>
      <c r="M1513">
        <v>0.2</v>
      </c>
      <c r="N1513" t="s">
        <v>45</v>
      </c>
    </row>
    <row r="1514" spans="1:14" x14ac:dyDescent="0.25">
      <c r="A1514" t="s">
        <v>2038</v>
      </c>
      <c r="B1514" s="2">
        <v>45433</v>
      </c>
      <c r="C1514" t="s">
        <v>855</v>
      </c>
      <c r="D1514" t="s">
        <v>93</v>
      </c>
      <c r="E1514" t="s">
        <v>2616</v>
      </c>
      <c r="F1514" t="s">
        <v>2631</v>
      </c>
      <c r="G1514" t="s">
        <v>74</v>
      </c>
      <c r="H1514" t="s">
        <v>2647</v>
      </c>
      <c r="I1514" t="s">
        <v>84</v>
      </c>
      <c r="J1514">
        <v>2</v>
      </c>
      <c r="K1514">
        <v>56.49</v>
      </c>
      <c r="L1514">
        <v>33.69</v>
      </c>
      <c r="M1514">
        <v>0.02</v>
      </c>
      <c r="N1514" t="s">
        <v>129</v>
      </c>
    </row>
    <row r="1515" spans="1:14" x14ac:dyDescent="0.25">
      <c r="A1515" t="s">
        <v>2039</v>
      </c>
      <c r="B1515" s="2">
        <v>45485</v>
      </c>
      <c r="C1515" t="s">
        <v>475</v>
      </c>
      <c r="D1515" t="s">
        <v>126</v>
      </c>
      <c r="E1515" t="s">
        <v>2615</v>
      </c>
      <c r="F1515" t="s">
        <v>2630</v>
      </c>
      <c r="G1515" t="s">
        <v>152</v>
      </c>
      <c r="H1515" t="s">
        <v>2648</v>
      </c>
      <c r="I1515" t="s">
        <v>44</v>
      </c>
      <c r="J1515">
        <v>11</v>
      </c>
      <c r="K1515">
        <v>91.46</v>
      </c>
      <c r="L1515">
        <v>54.76</v>
      </c>
      <c r="M1515">
        <v>0.15</v>
      </c>
      <c r="N1515" t="s">
        <v>45</v>
      </c>
    </row>
    <row r="1516" spans="1:14" x14ac:dyDescent="0.25">
      <c r="A1516" t="s">
        <v>2040</v>
      </c>
      <c r="B1516" s="2">
        <v>45304</v>
      </c>
      <c r="C1516" t="s">
        <v>282</v>
      </c>
      <c r="D1516" t="s">
        <v>93</v>
      </c>
      <c r="E1516" t="s">
        <v>2614</v>
      </c>
      <c r="F1516" t="s">
        <v>2622</v>
      </c>
      <c r="G1516" t="s">
        <v>60</v>
      </c>
      <c r="H1516" t="s">
        <v>2648</v>
      </c>
      <c r="I1516" t="s">
        <v>84</v>
      </c>
      <c r="J1516">
        <v>30</v>
      </c>
      <c r="K1516">
        <v>54.56</v>
      </c>
      <c r="L1516">
        <v>33.42</v>
      </c>
      <c r="M1516">
        <v>0.1</v>
      </c>
      <c r="N1516" t="s">
        <v>45</v>
      </c>
    </row>
    <row r="1517" spans="1:14" x14ac:dyDescent="0.25">
      <c r="A1517" t="s">
        <v>2041</v>
      </c>
      <c r="B1517" s="2">
        <v>45334</v>
      </c>
      <c r="C1517" t="s">
        <v>615</v>
      </c>
      <c r="D1517" t="s">
        <v>23</v>
      </c>
      <c r="E1517" t="s">
        <v>2615</v>
      </c>
      <c r="F1517" t="s">
        <v>2630</v>
      </c>
      <c r="G1517" t="s">
        <v>60</v>
      </c>
      <c r="H1517" t="s">
        <v>2646</v>
      </c>
      <c r="I1517" t="s">
        <v>70</v>
      </c>
      <c r="J1517">
        <v>55</v>
      </c>
      <c r="K1517">
        <v>71.790000000000006</v>
      </c>
      <c r="L1517">
        <v>41.39</v>
      </c>
      <c r="M1517">
        <v>0.05</v>
      </c>
      <c r="N1517" t="s">
        <v>45</v>
      </c>
    </row>
    <row r="1518" spans="1:14" x14ac:dyDescent="0.25">
      <c r="A1518" t="s">
        <v>2042</v>
      </c>
      <c r="B1518" s="2">
        <v>45590</v>
      </c>
      <c r="C1518" t="s">
        <v>229</v>
      </c>
      <c r="D1518" t="s">
        <v>126</v>
      </c>
      <c r="E1518" t="s">
        <v>2615</v>
      </c>
      <c r="F1518" t="s">
        <v>2627</v>
      </c>
      <c r="G1518" t="s">
        <v>111</v>
      </c>
      <c r="H1518" t="s">
        <v>2646</v>
      </c>
      <c r="I1518" t="s">
        <v>84</v>
      </c>
      <c r="J1518" t="e">
        <f>ROUND(#REF!/Sales12[[#This Row],[Unit_Price]],0)</f>
        <v>#REF!</v>
      </c>
      <c r="K1518">
        <v>88.77</v>
      </c>
      <c r="L1518">
        <v>51.08</v>
      </c>
      <c r="M1518">
        <v>0.15</v>
      </c>
      <c r="N1518" t="s">
        <v>129</v>
      </c>
    </row>
    <row r="1519" spans="1:14" x14ac:dyDescent="0.25">
      <c r="A1519" t="s">
        <v>2043</v>
      </c>
      <c r="B1519" s="2">
        <v>45546</v>
      </c>
      <c r="C1519" t="s">
        <v>623</v>
      </c>
      <c r="D1519" t="s">
        <v>23</v>
      </c>
      <c r="E1519" t="s">
        <v>2615</v>
      </c>
      <c r="F1519" t="s">
        <v>2630</v>
      </c>
      <c r="G1519" t="s">
        <v>253</v>
      </c>
      <c r="H1519" t="s">
        <v>2648</v>
      </c>
      <c r="I1519" t="s">
        <v>70</v>
      </c>
      <c r="J1519">
        <v>75</v>
      </c>
      <c r="K1519">
        <v>70.98</v>
      </c>
      <c r="L1519">
        <v>40.49</v>
      </c>
      <c r="M1519">
        <v>0.02</v>
      </c>
      <c r="N1519" t="s">
        <v>45</v>
      </c>
    </row>
    <row r="1520" spans="1:14" x14ac:dyDescent="0.25">
      <c r="A1520" t="s">
        <v>2044</v>
      </c>
      <c r="B1520" s="2">
        <v>45576</v>
      </c>
      <c r="C1520" t="s">
        <v>162</v>
      </c>
      <c r="D1520" t="s">
        <v>150</v>
      </c>
      <c r="E1520" t="s">
        <v>2614</v>
      </c>
      <c r="F1520" t="s">
        <v>2622</v>
      </c>
      <c r="G1520" t="s">
        <v>265</v>
      </c>
      <c r="H1520" t="s">
        <v>2645</v>
      </c>
      <c r="I1520" t="s">
        <v>84</v>
      </c>
      <c r="J1520">
        <v>69</v>
      </c>
      <c r="K1520">
        <v>80.709999999999994</v>
      </c>
      <c r="L1520">
        <v>49.71</v>
      </c>
      <c r="M1520">
        <v>0.1</v>
      </c>
      <c r="N1520" t="s">
        <v>129</v>
      </c>
    </row>
    <row r="1521" spans="1:14" x14ac:dyDescent="0.25">
      <c r="A1521" t="s">
        <v>2045</v>
      </c>
      <c r="B1521" s="2">
        <v>45624</v>
      </c>
      <c r="C1521" t="s">
        <v>757</v>
      </c>
      <c r="D1521" t="s">
        <v>126</v>
      </c>
      <c r="E1521" t="s">
        <v>2614</v>
      </c>
      <c r="F1521" t="s">
        <v>2636</v>
      </c>
      <c r="G1521" t="s">
        <v>261</v>
      </c>
      <c r="H1521" t="s">
        <v>2648</v>
      </c>
      <c r="I1521" t="s">
        <v>44</v>
      </c>
      <c r="J1521">
        <v>42</v>
      </c>
      <c r="K1521">
        <v>92.2</v>
      </c>
      <c r="L1521">
        <v>50.78</v>
      </c>
      <c r="M1521">
        <v>0</v>
      </c>
      <c r="N1521" t="s">
        <v>32</v>
      </c>
    </row>
    <row r="1522" spans="1:14" x14ac:dyDescent="0.25">
      <c r="A1522" t="s">
        <v>2046</v>
      </c>
      <c r="B1522" s="2">
        <v>45597</v>
      </c>
      <c r="C1522" t="s">
        <v>664</v>
      </c>
      <c r="D1522" t="s">
        <v>187</v>
      </c>
      <c r="E1522" t="s">
        <v>2615</v>
      </c>
      <c r="F1522" t="s">
        <v>2630</v>
      </c>
      <c r="G1522" t="s">
        <v>218</v>
      </c>
      <c r="H1522" t="s">
        <v>2646</v>
      </c>
      <c r="I1522" t="s">
        <v>44</v>
      </c>
      <c r="J1522">
        <v>6</v>
      </c>
      <c r="K1522">
        <v>46.25</v>
      </c>
      <c r="L1522">
        <v>30.2</v>
      </c>
      <c r="M1522">
        <v>0</v>
      </c>
      <c r="N1522" t="s">
        <v>45</v>
      </c>
    </row>
    <row r="1523" spans="1:14" x14ac:dyDescent="0.25">
      <c r="A1523" t="s">
        <v>2047</v>
      </c>
      <c r="B1523" s="2">
        <v>45565</v>
      </c>
      <c r="C1523" t="s">
        <v>108</v>
      </c>
      <c r="D1523" t="s">
        <v>93</v>
      </c>
      <c r="E1523" t="s">
        <v>2616</v>
      </c>
      <c r="F1523" t="s">
        <v>2633</v>
      </c>
      <c r="G1523" t="s">
        <v>170</v>
      </c>
      <c r="H1523" t="s">
        <v>2646</v>
      </c>
      <c r="I1523" t="s">
        <v>2578</v>
      </c>
      <c r="J1523">
        <v>68</v>
      </c>
      <c r="K1523">
        <v>51.49</v>
      </c>
      <c r="L1523">
        <v>30.67</v>
      </c>
      <c r="M1523">
        <v>0</v>
      </c>
      <c r="N1523" t="s">
        <v>45</v>
      </c>
    </row>
    <row r="1524" spans="1:14" x14ac:dyDescent="0.25">
      <c r="A1524" t="s">
        <v>2048</v>
      </c>
      <c r="B1524" s="2">
        <v>45485</v>
      </c>
      <c r="C1524" t="s">
        <v>776</v>
      </c>
      <c r="D1524" t="s">
        <v>222</v>
      </c>
      <c r="E1524" t="s">
        <v>2614</v>
      </c>
      <c r="F1524" t="s">
        <v>2636</v>
      </c>
      <c r="G1524" t="s">
        <v>60</v>
      </c>
      <c r="H1524" t="s">
        <v>2646</v>
      </c>
      <c r="I1524" t="s">
        <v>70</v>
      </c>
      <c r="J1524">
        <v>41</v>
      </c>
      <c r="K1524">
        <v>125.57</v>
      </c>
      <c r="L1524">
        <v>75.56</v>
      </c>
      <c r="M1524">
        <v>0.2</v>
      </c>
      <c r="N1524" t="s">
        <v>45</v>
      </c>
    </row>
    <row r="1525" spans="1:14" x14ac:dyDescent="0.25">
      <c r="A1525" t="s">
        <v>2049</v>
      </c>
      <c r="B1525" s="2">
        <v>45599</v>
      </c>
      <c r="C1525" t="s">
        <v>2619</v>
      </c>
      <c r="D1525" t="s">
        <v>99</v>
      </c>
      <c r="E1525" t="s">
        <v>2617</v>
      </c>
      <c r="F1525" t="s">
        <v>2641</v>
      </c>
      <c r="G1525" t="s">
        <v>60</v>
      </c>
      <c r="H1525" t="s">
        <v>2645</v>
      </c>
      <c r="I1525" t="s">
        <v>2578</v>
      </c>
      <c r="J1525">
        <v>55</v>
      </c>
      <c r="K1525">
        <v>71.209999999999994</v>
      </c>
      <c r="L1525">
        <v>39.56</v>
      </c>
      <c r="M1525">
        <v>0.15</v>
      </c>
      <c r="N1525" t="s">
        <v>32</v>
      </c>
    </row>
    <row r="1526" spans="1:14" x14ac:dyDescent="0.25">
      <c r="A1526" t="s">
        <v>2050</v>
      </c>
      <c r="B1526" s="2">
        <v>45450</v>
      </c>
      <c r="C1526" t="s">
        <v>693</v>
      </c>
      <c r="D1526" t="s">
        <v>66</v>
      </c>
      <c r="E1526" t="s">
        <v>2616</v>
      </c>
      <c r="F1526" t="s">
        <v>2633</v>
      </c>
      <c r="G1526" t="s">
        <v>60</v>
      </c>
      <c r="H1526" t="s">
        <v>2646</v>
      </c>
      <c r="I1526" t="s">
        <v>75</v>
      </c>
      <c r="J1526">
        <v>23</v>
      </c>
      <c r="K1526">
        <v>160.09</v>
      </c>
      <c r="L1526">
        <v>107.17</v>
      </c>
      <c r="M1526">
        <v>0</v>
      </c>
      <c r="N1526" t="s">
        <v>45</v>
      </c>
    </row>
    <row r="1527" spans="1:14" x14ac:dyDescent="0.25">
      <c r="A1527" t="s">
        <v>2051</v>
      </c>
      <c r="B1527" s="2">
        <v>45655</v>
      </c>
      <c r="C1527" t="s">
        <v>948</v>
      </c>
      <c r="D1527" t="s">
        <v>126</v>
      </c>
      <c r="E1527" t="s">
        <v>2616</v>
      </c>
      <c r="F1527" t="s">
        <v>2638</v>
      </c>
      <c r="G1527" t="s">
        <v>74</v>
      </c>
      <c r="H1527" t="s">
        <v>2646</v>
      </c>
      <c r="I1527" t="s">
        <v>70</v>
      </c>
      <c r="J1527">
        <v>63</v>
      </c>
      <c r="K1527">
        <v>93.56</v>
      </c>
      <c r="L1527">
        <v>52.78</v>
      </c>
      <c r="M1527">
        <v>0.05</v>
      </c>
      <c r="N1527" t="s">
        <v>129</v>
      </c>
    </row>
    <row r="1528" spans="1:14" x14ac:dyDescent="0.25">
      <c r="A1528" t="s">
        <v>2052</v>
      </c>
      <c r="B1528" s="2">
        <v>45462</v>
      </c>
      <c r="C1528" t="s">
        <v>243</v>
      </c>
      <c r="D1528" t="s">
        <v>93</v>
      </c>
      <c r="E1528" t="s">
        <v>2614</v>
      </c>
      <c r="F1528" t="s">
        <v>2629</v>
      </c>
      <c r="G1528" t="s">
        <v>184</v>
      </c>
      <c r="H1528" t="s">
        <v>2645</v>
      </c>
      <c r="I1528" t="s">
        <v>2578</v>
      </c>
      <c r="J1528">
        <v>41</v>
      </c>
      <c r="K1528">
        <v>58.98</v>
      </c>
      <c r="L1528">
        <v>31.11</v>
      </c>
      <c r="M1528">
        <v>0.15</v>
      </c>
      <c r="N1528" t="s">
        <v>45</v>
      </c>
    </row>
    <row r="1529" spans="1:14" x14ac:dyDescent="0.25">
      <c r="A1529" t="s">
        <v>2053</v>
      </c>
      <c r="B1529" s="2">
        <v>45569</v>
      </c>
      <c r="C1529" t="s">
        <v>263</v>
      </c>
      <c r="D1529" t="s">
        <v>49</v>
      </c>
      <c r="E1529" t="s">
        <v>2614</v>
      </c>
      <c r="F1529" t="s">
        <v>2622</v>
      </c>
      <c r="G1529" t="s">
        <v>83</v>
      </c>
      <c r="H1529" t="s">
        <v>2646</v>
      </c>
      <c r="I1529" t="s">
        <v>2578</v>
      </c>
      <c r="J1529">
        <v>45</v>
      </c>
      <c r="K1529">
        <v>24.85</v>
      </c>
      <c r="L1529">
        <v>13.51</v>
      </c>
      <c r="M1529">
        <v>0.2</v>
      </c>
      <c r="N1529" t="s">
        <v>129</v>
      </c>
    </row>
    <row r="1530" spans="1:14" x14ac:dyDescent="0.25">
      <c r="A1530" t="s">
        <v>2054</v>
      </c>
      <c r="B1530" s="2">
        <v>45450</v>
      </c>
      <c r="C1530" t="s">
        <v>938</v>
      </c>
      <c r="D1530" t="s">
        <v>78</v>
      </c>
      <c r="E1530" t="s">
        <v>2614</v>
      </c>
      <c r="F1530" t="s">
        <v>2629</v>
      </c>
      <c r="G1530" t="s">
        <v>184</v>
      </c>
      <c r="H1530" t="s">
        <v>2647</v>
      </c>
      <c r="I1530" t="s">
        <v>75</v>
      </c>
      <c r="J1530">
        <v>24</v>
      </c>
      <c r="K1530">
        <v>142.75</v>
      </c>
      <c r="L1530">
        <v>76.56</v>
      </c>
      <c r="M1530">
        <v>0.02</v>
      </c>
      <c r="N1530" t="s">
        <v>45</v>
      </c>
    </row>
    <row r="1531" spans="1:14" x14ac:dyDescent="0.25">
      <c r="A1531" t="s">
        <v>2055</v>
      </c>
      <c r="B1531" s="2">
        <v>45384</v>
      </c>
      <c r="C1531" t="s">
        <v>86</v>
      </c>
      <c r="D1531" t="s">
        <v>114</v>
      </c>
      <c r="E1531" t="s">
        <v>2618</v>
      </c>
      <c r="F1531" t="s">
        <v>2632</v>
      </c>
      <c r="G1531" t="s">
        <v>29</v>
      </c>
      <c r="H1531" t="s">
        <v>2647</v>
      </c>
      <c r="I1531" t="s">
        <v>84</v>
      </c>
      <c r="J1531">
        <v>37</v>
      </c>
      <c r="K1531">
        <v>33.43</v>
      </c>
      <c r="L1531">
        <v>19.440000000000001</v>
      </c>
      <c r="M1531">
        <v>0</v>
      </c>
      <c r="N1531" t="s">
        <v>45</v>
      </c>
    </row>
    <row r="1532" spans="1:14" x14ac:dyDescent="0.25">
      <c r="A1532" t="s">
        <v>2056</v>
      </c>
      <c r="B1532" s="2">
        <v>45528</v>
      </c>
      <c r="C1532" t="s">
        <v>458</v>
      </c>
      <c r="D1532" t="s">
        <v>141</v>
      </c>
      <c r="E1532" t="s">
        <v>2618</v>
      </c>
      <c r="F1532" t="s">
        <v>2635</v>
      </c>
      <c r="G1532" t="s">
        <v>265</v>
      </c>
      <c r="H1532" t="s">
        <v>2646</v>
      </c>
      <c r="I1532" t="s">
        <v>2578</v>
      </c>
      <c r="J1532">
        <v>62</v>
      </c>
      <c r="K1532">
        <v>89.17</v>
      </c>
      <c r="L1532">
        <v>62.23</v>
      </c>
      <c r="M1532">
        <v>0.15</v>
      </c>
      <c r="N1532" t="s">
        <v>129</v>
      </c>
    </row>
    <row r="1533" spans="1:14" x14ac:dyDescent="0.25">
      <c r="A1533" t="s">
        <v>2057</v>
      </c>
      <c r="B1533" s="2">
        <v>45368</v>
      </c>
      <c r="C1533" t="s">
        <v>707</v>
      </c>
      <c r="D1533" t="s">
        <v>141</v>
      </c>
      <c r="E1533" t="s">
        <v>2617</v>
      </c>
      <c r="F1533" t="s">
        <v>2642</v>
      </c>
      <c r="G1533" t="s">
        <v>178</v>
      </c>
      <c r="H1533" t="s">
        <v>2647</v>
      </c>
      <c r="I1533" t="s">
        <v>44</v>
      </c>
      <c r="J1533">
        <v>36</v>
      </c>
      <c r="K1533">
        <v>100.33</v>
      </c>
      <c r="L1533">
        <v>61.41</v>
      </c>
      <c r="M1533">
        <v>0</v>
      </c>
      <c r="N1533" t="s">
        <v>32</v>
      </c>
    </row>
    <row r="1534" spans="1:14" x14ac:dyDescent="0.25">
      <c r="A1534" t="s">
        <v>2058</v>
      </c>
      <c r="B1534" s="2">
        <v>45373</v>
      </c>
      <c r="C1534" t="s">
        <v>201</v>
      </c>
      <c r="D1534" t="s">
        <v>36</v>
      </c>
      <c r="E1534" t="s">
        <v>2616</v>
      </c>
      <c r="F1534" t="s">
        <v>2631</v>
      </c>
      <c r="G1534" t="s">
        <v>195</v>
      </c>
      <c r="H1534" t="s">
        <v>2648</v>
      </c>
      <c r="I1534" t="s">
        <v>44</v>
      </c>
      <c r="J1534">
        <v>61</v>
      </c>
      <c r="K1534">
        <v>152.63</v>
      </c>
      <c r="L1534">
        <v>101.16</v>
      </c>
      <c r="M1534">
        <v>0.1</v>
      </c>
      <c r="N1534" t="s">
        <v>45</v>
      </c>
    </row>
    <row r="1535" spans="1:14" x14ac:dyDescent="0.25">
      <c r="A1535" t="s">
        <v>2059</v>
      </c>
      <c r="B1535" s="2">
        <v>45428</v>
      </c>
      <c r="C1535" t="s">
        <v>21</v>
      </c>
      <c r="D1535" t="s">
        <v>109</v>
      </c>
      <c r="E1535" t="s">
        <v>2616</v>
      </c>
      <c r="F1535" t="s">
        <v>2633</v>
      </c>
      <c r="G1535" t="s">
        <v>74</v>
      </c>
      <c r="H1535" t="s">
        <v>2646</v>
      </c>
      <c r="I1535" t="s">
        <v>75</v>
      </c>
      <c r="J1535">
        <v>76</v>
      </c>
      <c r="K1535">
        <v>121.2</v>
      </c>
      <c r="L1535">
        <v>71.040000000000006</v>
      </c>
      <c r="M1535">
        <v>0.05</v>
      </c>
      <c r="N1535" t="s">
        <v>45</v>
      </c>
    </row>
    <row r="1536" spans="1:14" x14ac:dyDescent="0.25">
      <c r="A1536" t="s">
        <v>2060</v>
      </c>
      <c r="B1536" s="2">
        <v>45334</v>
      </c>
      <c r="C1536" t="s">
        <v>1887</v>
      </c>
      <c r="D1536" t="s">
        <v>176</v>
      </c>
      <c r="E1536" t="s">
        <v>2614</v>
      </c>
      <c r="F1536" t="s">
        <v>2636</v>
      </c>
      <c r="G1536" t="s">
        <v>265</v>
      </c>
      <c r="H1536" t="s">
        <v>2645</v>
      </c>
      <c r="I1536" t="s">
        <v>84</v>
      </c>
      <c r="J1536">
        <v>41</v>
      </c>
      <c r="K1536">
        <v>111.2</v>
      </c>
      <c r="L1536">
        <v>63.71</v>
      </c>
      <c r="M1536">
        <v>0.15</v>
      </c>
      <c r="N1536" t="s">
        <v>129</v>
      </c>
    </row>
    <row r="1537" spans="1:14" x14ac:dyDescent="0.25">
      <c r="A1537" t="s">
        <v>2061</v>
      </c>
      <c r="B1537" s="2">
        <v>45453</v>
      </c>
      <c r="C1537" t="s">
        <v>1831</v>
      </c>
      <c r="D1537" t="s">
        <v>187</v>
      </c>
      <c r="E1537" t="s">
        <v>2616</v>
      </c>
      <c r="F1537" t="s">
        <v>2631</v>
      </c>
      <c r="G1537" t="s">
        <v>83</v>
      </c>
      <c r="H1537" t="s">
        <v>2646</v>
      </c>
      <c r="I1537" t="s">
        <v>44</v>
      </c>
      <c r="J1537">
        <v>1</v>
      </c>
      <c r="K1537">
        <v>45.76</v>
      </c>
      <c r="L1537">
        <v>31</v>
      </c>
      <c r="M1537">
        <v>0.1</v>
      </c>
      <c r="N1537" t="s">
        <v>45</v>
      </c>
    </row>
    <row r="1538" spans="1:14" x14ac:dyDescent="0.25">
      <c r="A1538" t="s">
        <v>2062</v>
      </c>
      <c r="B1538" s="2">
        <v>45578</v>
      </c>
      <c r="C1538" t="s">
        <v>1171</v>
      </c>
      <c r="D1538" t="s">
        <v>99</v>
      </c>
      <c r="E1538" t="s">
        <v>2617</v>
      </c>
      <c r="F1538" t="s">
        <v>2625</v>
      </c>
      <c r="G1538" t="s">
        <v>152</v>
      </c>
      <c r="H1538" t="s">
        <v>2646</v>
      </c>
      <c r="I1538" t="s">
        <v>75</v>
      </c>
      <c r="J1538">
        <v>69</v>
      </c>
      <c r="K1538">
        <v>74.680000000000007</v>
      </c>
      <c r="L1538">
        <v>39.630000000000003</v>
      </c>
      <c r="M1538">
        <v>0.02</v>
      </c>
      <c r="N1538" t="s">
        <v>45</v>
      </c>
    </row>
    <row r="1539" spans="1:14" x14ac:dyDescent="0.25">
      <c r="A1539" t="s">
        <v>2063</v>
      </c>
      <c r="B1539" s="2">
        <v>45357</v>
      </c>
      <c r="C1539" t="s">
        <v>367</v>
      </c>
      <c r="D1539" t="s">
        <v>250</v>
      </c>
      <c r="E1539" t="s">
        <v>2615</v>
      </c>
      <c r="F1539" t="s">
        <v>2640</v>
      </c>
      <c r="G1539" t="s">
        <v>218</v>
      </c>
      <c r="H1539" t="s">
        <v>2646</v>
      </c>
      <c r="I1539" t="s">
        <v>2578</v>
      </c>
      <c r="J1539">
        <v>80</v>
      </c>
      <c r="K1539">
        <v>67.53</v>
      </c>
      <c r="L1539">
        <v>35.25</v>
      </c>
      <c r="M1539">
        <v>0.15</v>
      </c>
      <c r="N1539" t="s">
        <v>45</v>
      </c>
    </row>
    <row r="1540" spans="1:14" x14ac:dyDescent="0.25">
      <c r="A1540" t="s">
        <v>2064</v>
      </c>
      <c r="B1540" s="2">
        <v>45328</v>
      </c>
      <c r="C1540" t="s">
        <v>464</v>
      </c>
      <c r="D1540" t="s">
        <v>99</v>
      </c>
      <c r="E1540" t="s">
        <v>2617</v>
      </c>
      <c r="F1540" t="s">
        <v>2626</v>
      </c>
      <c r="G1540" t="s">
        <v>170</v>
      </c>
      <c r="H1540" t="s">
        <v>2648</v>
      </c>
      <c r="I1540" t="s">
        <v>44</v>
      </c>
      <c r="J1540">
        <v>55</v>
      </c>
      <c r="K1540">
        <v>71.16</v>
      </c>
      <c r="L1540">
        <v>42.22</v>
      </c>
      <c r="M1540">
        <v>0.05</v>
      </c>
      <c r="N1540" t="s">
        <v>45</v>
      </c>
    </row>
    <row r="1541" spans="1:14" x14ac:dyDescent="0.25">
      <c r="A1541" t="s">
        <v>2065</v>
      </c>
      <c r="B1541" s="2">
        <v>45650</v>
      </c>
      <c r="C1541" t="s">
        <v>866</v>
      </c>
      <c r="D1541" t="s">
        <v>49</v>
      </c>
      <c r="E1541" t="s">
        <v>2617</v>
      </c>
      <c r="F1541" t="s">
        <v>2642</v>
      </c>
      <c r="G1541" t="s">
        <v>265</v>
      </c>
      <c r="H1541" t="s">
        <v>2645</v>
      </c>
      <c r="I1541" t="s">
        <v>84</v>
      </c>
      <c r="J1541">
        <v>34</v>
      </c>
      <c r="K1541">
        <v>24.1</v>
      </c>
      <c r="L1541">
        <v>13.11</v>
      </c>
      <c r="M1541">
        <v>0.02</v>
      </c>
      <c r="N1541" t="s">
        <v>45</v>
      </c>
    </row>
    <row r="1542" spans="1:14" x14ac:dyDescent="0.25">
      <c r="A1542" t="s">
        <v>2066</v>
      </c>
      <c r="B1542" s="2">
        <v>45374</v>
      </c>
      <c r="C1542" t="s">
        <v>1858</v>
      </c>
      <c r="D1542" t="s">
        <v>49</v>
      </c>
      <c r="E1542" t="s">
        <v>2617</v>
      </c>
      <c r="F1542" t="s">
        <v>2642</v>
      </c>
      <c r="G1542" t="s">
        <v>261</v>
      </c>
      <c r="H1542" t="s">
        <v>2646</v>
      </c>
      <c r="I1542" t="s">
        <v>2578</v>
      </c>
      <c r="J1542">
        <v>26</v>
      </c>
      <c r="K1542">
        <v>26.14</v>
      </c>
      <c r="L1542">
        <v>13.43</v>
      </c>
      <c r="M1542">
        <v>0.1</v>
      </c>
      <c r="N1542" t="s">
        <v>45</v>
      </c>
    </row>
    <row r="1543" spans="1:14" x14ac:dyDescent="0.25">
      <c r="A1543" t="s">
        <v>2067</v>
      </c>
      <c r="B1543" s="2">
        <v>45300</v>
      </c>
      <c r="C1543" t="s">
        <v>186</v>
      </c>
      <c r="D1543" t="s">
        <v>23</v>
      </c>
      <c r="E1543" t="s">
        <v>2618</v>
      </c>
      <c r="F1543" t="s">
        <v>2634</v>
      </c>
      <c r="G1543" t="s">
        <v>144</v>
      </c>
      <c r="H1543" t="s">
        <v>2645</v>
      </c>
      <c r="I1543" t="s">
        <v>44</v>
      </c>
      <c r="J1543">
        <v>62</v>
      </c>
      <c r="K1543">
        <v>77.569999999999993</v>
      </c>
      <c r="L1543">
        <v>46.12</v>
      </c>
      <c r="M1543">
        <v>0.2</v>
      </c>
      <c r="N1543" t="s">
        <v>129</v>
      </c>
    </row>
    <row r="1544" spans="1:14" x14ac:dyDescent="0.25">
      <c r="A1544" t="s">
        <v>2068</v>
      </c>
      <c r="B1544" s="2">
        <v>45337</v>
      </c>
      <c r="C1544" t="s">
        <v>888</v>
      </c>
      <c r="D1544" t="s">
        <v>126</v>
      </c>
      <c r="E1544" t="s">
        <v>2616</v>
      </c>
      <c r="F1544" t="s">
        <v>2631</v>
      </c>
      <c r="G1544" t="s">
        <v>90</v>
      </c>
      <c r="H1544" t="s">
        <v>2645</v>
      </c>
      <c r="I1544" t="s">
        <v>70</v>
      </c>
      <c r="J1544">
        <v>64</v>
      </c>
      <c r="K1544">
        <v>92.83</v>
      </c>
      <c r="L1544">
        <v>56.58</v>
      </c>
      <c r="M1544">
        <v>0.1</v>
      </c>
      <c r="N1544" t="s">
        <v>45</v>
      </c>
    </row>
    <row r="1545" spans="1:14" x14ac:dyDescent="0.25">
      <c r="A1545" t="s">
        <v>2069</v>
      </c>
      <c r="B1545" s="2">
        <v>45301</v>
      </c>
      <c r="C1545" t="s">
        <v>1129</v>
      </c>
      <c r="D1545" t="s">
        <v>36</v>
      </c>
      <c r="E1545" t="s">
        <v>2616</v>
      </c>
      <c r="F1545" t="s">
        <v>2638</v>
      </c>
      <c r="G1545" t="s">
        <v>195</v>
      </c>
      <c r="H1545" t="s">
        <v>2648</v>
      </c>
      <c r="I1545" t="s">
        <v>70</v>
      </c>
      <c r="J1545">
        <v>80</v>
      </c>
      <c r="K1545">
        <v>176.2</v>
      </c>
      <c r="L1545">
        <v>106.46</v>
      </c>
      <c r="M1545">
        <v>0.05</v>
      </c>
      <c r="N1545" t="s">
        <v>129</v>
      </c>
    </row>
    <row r="1546" spans="1:14" x14ac:dyDescent="0.25">
      <c r="A1546" t="s">
        <v>2070</v>
      </c>
      <c r="B1546" s="2">
        <v>45474</v>
      </c>
      <c r="C1546" t="s">
        <v>1881</v>
      </c>
      <c r="D1546" t="s">
        <v>93</v>
      </c>
      <c r="E1546" t="s">
        <v>2614</v>
      </c>
      <c r="F1546" t="s">
        <v>2622</v>
      </c>
      <c r="G1546" t="s">
        <v>218</v>
      </c>
      <c r="H1546" t="s">
        <v>2648</v>
      </c>
      <c r="I1546" t="s">
        <v>75</v>
      </c>
      <c r="J1546">
        <v>51</v>
      </c>
      <c r="K1546">
        <v>50.78</v>
      </c>
      <c r="L1546">
        <v>31.09</v>
      </c>
      <c r="M1546">
        <v>0.15</v>
      </c>
      <c r="N1546" t="s">
        <v>45</v>
      </c>
    </row>
    <row r="1547" spans="1:14" x14ac:dyDescent="0.25">
      <c r="A1547" t="s">
        <v>2071</v>
      </c>
      <c r="B1547" s="2">
        <v>45584</v>
      </c>
      <c r="C1547" t="s">
        <v>231</v>
      </c>
      <c r="D1547" t="s">
        <v>176</v>
      </c>
      <c r="E1547" t="s">
        <v>2618</v>
      </c>
      <c r="F1547" t="s">
        <v>2628</v>
      </c>
      <c r="G1547" t="s">
        <v>184</v>
      </c>
      <c r="H1547" t="s">
        <v>2645</v>
      </c>
      <c r="I1547" t="s">
        <v>75</v>
      </c>
      <c r="J1547">
        <v>74</v>
      </c>
      <c r="K1547">
        <v>108.1</v>
      </c>
      <c r="L1547">
        <v>62.4</v>
      </c>
      <c r="M1547">
        <v>0.1</v>
      </c>
      <c r="N1547" t="s">
        <v>45</v>
      </c>
    </row>
    <row r="1548" spans="1:14" x14ac:dyDescent="0.25">
      <c r="A1548" t="s">
        <v>2072</v>
      </c>
      <c r="B1548" s="2">
        <v>45316</v>
      </c>
      <c r="C1548" t="s">
        <v>545</v>
      </c>
      <c r="D1548" t="s">
        <v>78</v>
      </c>
      <c r="E1548" t="s">
        <v>2616</v>
      </c>
      <c r="F1548" t="s">
        <v>2624</v>
      </c>
      <c r="G1548" t="s">
        <v>265</v>
      </c>
      <c r="H1548" t="s">
        <v>2647</v>
      </c>
      <c r="I1548" t="s">
        <v>75</v>
      </c>
      <c r="J1548">
        <v>38</v>
      </c>
      <c r="K1548">
        <v>132.82</v>
      </c>
      <c r="L1548">
        <v>78.56</v>
      </c>
      <c r="M1548">
        <v>0.05</v>
      </c>
      <c r="N1548" t="s">
        <v>45</v>
      </c>
    </row>
    <row r="1549" spans="1:14" x14ac:dyDescent="0.25">
      <c r="A1549" t="s">
        <v>2073</v>
      </c>
      <c r="B1549" s="2">
        <v>45357</v>
      </c>
      <c r="C1549" t="s">
        <v>120</v>
      </c>
      <c r="D1549" t="s">
        <v>165</v>
      </c>
      <c r="E1549" t="s">
        <v>2618</v>
      </c>
      <c r="F1549" t="s">
        <v>2632</v>
      </c>
      <c r="G1549" t="s">
        <v>118</v>
      </c>
      <c r="H1549" t="s">
        <v>2648</v>
      </c>
      <c r="I1549" t="s">
        <v>75</v>
      </c>
      <c r="J1549">
        <v>6</v>
      </c>
      <c r="K1549">
        <v>43.83</v>
      </c>
      <c r="L1549">
        <v>23.79</v>
      </c>
      <c r="M1549">
        <v>0.05</v>
      </c>
      <c r="N1549" t="s">
        <v>129</v>
      </c>
    </row>
    <row r="1550" spans="1:14" x14ac:dyDescent="0.25">
      <c r="A1550" t="s">
        <v>2074</v>
      </c>
      <c r="B1550" s="2">
        <v>45495</v>
      </c>
      <c r="C1550" t="s">
        <v>1270</v>
      </c>
      <c r="D1550" t="s">
        <v>176</v>
      </c>
      <c r="E1550" t="s">
        <v>2614</v>
      </c>
      <c r="F1550" t="s">
        <v>2629</v>
      </c>
      <c r="G1550" t="s">
        <v>248</v>
      </c>
      <c r="H1550" t="s">
        <v>2645</v>
      </c>
      <c r="I1550" t="s">
        <v>44</v>
      </c>
      <c r="J1550">
        <v>49</v>
      </c>
      <c r="K1550">
        <v>102.48</v>
      </c>
      <c r="L1550">
        <v>65.77</v>
      </c>
      <c r="M1550">
        <v>0.02</v>
      </c>
      <c r="N1550" t="s">
        <v>32</v>
      </c>
    </row>
    <row r="1551" spans="1:14" x14ac:dyDescent="0.25">
      <c r="A1551" t="s">
        <v>2075</v>
      </c>
      <c r="B1551" s="2">
        <v>45593</v>
      </c>
      <c r="C1551" t="s">
        <v>1036</v>
      </c>
      <c r="D1551" t="s">
        <v>132</v>
      </c>
      <c r="E1551" t="s">
        <v>2615</v>
      </c>
      <c r="F1551" t="s">
        <v>2630</v>
      </c>
      <c r="G1551" t="s">
        <v>184</v>
      </c>
      <c r="H1551" t="s">
        <v>2645</v>
      </c>
      <c r="I1551" t="s">
        <v>44</v>
      </c>
      <c r="J1551">
        <v>39</v>
      </c>
      <c r="K1551">
        <v>60.93</v>
      </c>
      <c r="L1551">
        <v>36.72</v>
      </c>
      <c r="M1551">
        <v>0.2</v>
      </c>
      <c r="N1551" t="s">
        <v>32</v>
      </c>
    </row>
    <row r="1552" spans="1:14" x14ac:dyDescent="0.25">
      <c r="A1552" t="s">
        <v>2076</v>
      </c>
      <c r="B1552" s="2">
        <v>45508</v>
      </c>
      <c r="C1552" t="s">
        <v>717</v>
      </c>
      <c r="D1552" t="s">
        <v>209</v>
      </c>
      <c r="E1552" t="s">
        <v>2617</v>
      </c>
      <c r="F1552" t="s">
        <v>2625</v>
      </c>
      <c r="G1552" t="s">
        <v>218</v>
      </c>
      <c r="H1552" t="s">
        <v>2647</v>
      </c>
      <c r="I1552" t="s">
        <v>75</v>
      </c>
      <c r="J1552">
        <v>12</v>
      </c>
      <c r="K1552">
        <v>16.809999999999999</v>
      </c>
      <c r="L1552">
        <v>10.7</v>
      </c>
      <c r="M1552">
        <v>0.15</v>
      </c>
      <c r="N1552" t="s">
        <v>45</v>
      </c>
    </row>
    <row r="1553" spans="1:14" x14ac:dyDescent="0.25">
      <c r="A1553" t="s">
        <v>2077</v>
      </c>
      <c r="B1553" s="2">
        <v>45292</v>
      </c>
      <c r="C1553" t="s">
        <v>1281</v>
      </c>
      <c r="D1553" t="s">
        <v>165</v>
      </c>
      <c r="E1553" t="s">
        <v>2615</v>
      </c>
      <c r="F1553" t="s">
        <v>2639</v>
      </c>
      <c r="G1553" t="s">
        <v>261</v>
      </c>
      <c r="H1553" t="s">
        <v>2645</v>
      </c>
      <c r="I1553" t="s">
        <v>44</v>
      </c>
      <c r="J1553">
        <v>65</v>
      </c>
      <c r="K1553">
        <v>39.08</v>
      </c>
      <c r="L1553">
        <v>23.08</v>
      </c>
      <c r="M1553">
        <v>0.15</v>
      </c>
      <c r="N1553" t="s">
        <v>129</v>
      </c>
    </row>
    <row r="1554" spans="1:14" x14ac:dyDescent="0.25">
      <c r="A1554" t="s">
        <v>2078</v>
      </c>
      <c r="B1554" s="2">
        <v>45550</v>
      </c>
      <c r="C1554" t="s">
        <v>904</v>
      </c>
      <c r="D1554" t="s">
        <v>109</v>
      </c>
      <c r="E1554" t="s">
        <v>2615</v>
      </c>
      <c r="F1554" t="s">
        <v>2640</v>
      </c>
      <c r="G1554" t="s">
        <v>195</v>
      </c>
      <c r="H1554" t="s">
        <v>2648</v>
      </c>
      <c r="I1554" t="s">
        <v>2578</v>
      </c>
      <c r="J1554">
        <v>50</v>
      </c>
      <c r="K1554">
        <v>132.4</v>
      </c>
      <c r="L1554">
        <v>74.22</v>
      </c>
      <c r="M1554">
        <v>0.1</v>
      </c>
      <c r="N1554" t="s">
        <v>45</v>
      </c>
    </row>
    <row r="1555" spans="1:14" x14ac:dyDescent="0.25">
      <c r="A1555" t="s">
        <v>2079</v>
      </c>
      <c r="B1555" s="2">
        <v>45650</v>
      </c>
      <c r="C1555" t="s">
        <v>936</v>
      </c>
      <c r="D1555" t="s">
        <v>132</v>
      </c>
      <c r="E1555" t="s">
        <v>2614</v>
      </c>
      <c r="F1555" t="s">
        <v>2629</v>
      </c>
      <c r="G1555" t="s">
        <v>152</v>
      </c>
      <c r="H1555" t="s">
        <v>2645</v>
      </c>
      <c r="I1555" t="s">
        <v>44</v>
      </c>
      <c r="J1555">
        <v>32</v>
      </c>
      <c r="K1555">
        <v>58.77</v>
      </c>
      <c r="L1555">
        <v>33.630000000000003</v>
      </c>
      <c r="M1555">
        <v>0.05</v>
      </c>
      <c r="N1555" t="s">
        <v>32</v>
      </c>
    </row>
    <row r="1556" spans="1:14" x14ac:dyDescent="0.25">
      <c r="A1556" t="s">
        <v>2080</v>
      </c>
      <c r="B1556" s="2">
        <v>45422</v>
      </c>
      <c r="C1556" t="s">
        <v>992</v>
      </c>
      <c r="D1556" t="s">
        <v>99</v>
      </c>
      <c r="E1556" t="s">
        <v>2615</v>
      </c>
      <c r="F1556" t="s">
        <v>2630</v>
      </c>
      <c r="G1556" t="s">
        <v>69</v>
      </c>
      <c r="H1556" t="s">
        <v>2648</v>
      </c>
      <c r="I1556" t="s">
        <v>70</v>
      </c>
      <c r="J1556">
        <v>22</v>
      </c>
      <c r="K1556">
        <v>75.459999999999994</v>
      </c>
      <c r="L1556">
        <v>40.53</v>
      </c>
      <c r="M1556">
        <v>0</v>
      </c>
      <c r="N1556" t="s">
        <v>45</v>
      </c>
    </row>
    <row r="1557" spans="1:14" x14ac:dyDescent="0.25">
      <c r="A1557" t="s">
        <v>2081</v>
      </c>
      <c r="B1557" s="2">
        <v>45496</v>
      </c>
      <c r="C1557" t="s">
        <v>503</v>
      </c>
      <c r="D1557" t="s">
        <v>187</v>
      </c>
      <c r="E1557" t="s">
        <v>2618</v>
      </c>
      <c r="F1557" t="s">
        <v>2628</v>
      </c>
      <c r="G1557" t="s">
        <v>144</v>
      </c>
      <c r="H1557" t="s">
        <v>2645</v>
      </c>
      <c r="I1557" t="s">
        <v>2578</v>
      </c>
      <c r="J1557">
        <v>12</v>
      </c>
      <c r="K1557">
        <v>49.13</v>
      </c>
      <c r="L1557">
        <v>30.85</v>
      </c>
      <c r="M1557">
        <v>0</v>
      </c>
      <c r="N1557" t="s">
        <v>45</v>
      </c>
    </row>
    <row r="1558" spans="1:14" x14ac:dyDescent="0.25">
      <c r="A1558" t="s">
        <v>2082</v>
      </c>
      <c r="B1558" s="2">
        <v>45292</v>
      </c>
      <c r="C1558" t="s">
        <v>1033</v>
      </c>
      <c r="D1558" t="s">
        <v>126</v>
      </c>
      <c r="E1558" t="s">
        <v>2614</v>
      </c>
      <c r="F1558" t="s">
        <v>2622</v>
      </c>
      <c r="G1558" t="s">
        <v>29</v>
      </c>
      <c r="H1558" t="s">
        <v>2647</v>
      </c>
      <c r="I1558" t="s">
        <v>75</v>
      </c>
      <c r="J1558">
        <v>57</v>
      </c>
      <c r="K1558">
        <v>91.05</v>
      </c>
      <c r="L1558">
        <v>51.52</v>
      </c>
      <c r="M1558">
        <v>0</v>
      </c>
      <c r="N1558" t="s">
        <v>129</v>
      </c>
    </row>
    <row r="1559" spans="1:14" x14ac:dyDescent="0.25">
      <c r="A1559" t="s">
        <v>2083</v>
      </c>
      <c r="B1559" s="2">
        <v>45303</v>
      </c>
      <c r="C1559" t="s">
        <v>655</v>
      </c>
      <c r="D1559" t="s">
        <v>109</v>
      </c>
      <c r="E1559" t="s">
        <v>2614</v>
      </c>
      <c r="F1559" t="s">
        <v>2637</v>
      </c>
      <c r="G1559" t="s">
        <v>265</v>
      </c>
      <c r="H1559" t="s">
        <v>2647</v>
      </c>
      <c r="I1559" t="s">
        <v>2578</v>
      </c>
      <c r="J1559">
        <v>53</v>
      </c>
      <c r="K1559">
        <v>134.68</v>
      </c>
      <c r="L1559">
        <v>75.989999999999995</v>
      </c>
      <c r="M1559">
        <v>0</v>
      </c>
      <c r="N1559" t="s">
        <v>45</v>
      </c>
    </row>
    <row r="1560" spans="1:14" x14ac:dyDescent="0.25">
      <c r="A1560" t="s">
        <v>2084</v>
      </c>
      <c r="B1560" s="2">
        <v>45566</v>
      </c>
      <c r="C1560" t="s">
        <v>878</v>
      </c>
      <c r="D1560" t="s">
        <v>49</v>
      </c>
      <c r="E1560" t="s">
        <v>2618</v>
      </c>
      <c r="F1560" t="s">
        <v>2628</v>
      </c>
      <c r="G1560" t="s">
        <v>152</v>
      </c>
      <c r="H1560" t="s">
        <v>2648</v>
      </c>
      <c r="I1560" t="s">
        <v>75</v>
      </c>
      <c r="J1560">
        <v>27</v>
      </c>
      <c r="K1560">
        <v>25.58</v>
      </c>
      <c r="L1560">
        <v>13.28</v>
      </c>
      <c r="M1560">
        <v>0.2</v>
      </c>
      <c r="N1560" t="s">
        <v>32</v>
      </c>
    </row>
    <row r="1561" spans="1:14" x14ac:dyDescent="0.25">
      <c r="A1561" t="s">
        <v>2085</v>
      </c>
      <c r="B1561" s="2">
        <v>45574</v>
      </c>
      <c r="C1561" t="s">
        <v>1706</v>
      </c>
      <c r="D1561" t="s">
        <v>109</v>
      </c>
      <c r="E1561" t="s">
        <v>2616</v>
      </c>
      <c r="F1561" t="s">
        <v>2631</v>
      </c>
      <c r="G1561" t="s">
        <v>170</v>
      </c>
      <c r="H1561" t="s">
        <v>2647</v>
      </c>
      <c r="I1561" t="s">
        <v>70</v>
      </c>
      <c r="J1561">
        <v>61</v>
      </c>
      <c r="K1561">
        <v>124.11</v>
      </c>
      <c r="L1561">
        <v>75.42</v>
      </c>
      <c r="M1561">
        <v>0</v>
      </c>
      <c r="N1561" t="s">
        <v>45</v>
      </c>
    </row>
    <row r="1562" spans="1:14" x14ac:dyDescent="0.25">
      <c r="A1562" t="s">
        <v>2086</v>
      </c>
      <c r="B1562" s="2">
        <v>45516</v>
      </c>
      <c r="C1562" t="s">
        <v>602</v>
      </c>
      <c r="D1562" t="s">
        <v>49</v>
      </c>
      <c r="E1562" t="s">
        <v>2615</v>
      </c>
      <c r="F1562" t="s">
        <v>2640</v>
      </c>
      <c r="G1562" t="s">
        <v>118</v>
      </c>
      <c r="H1562" t="s">
        <v>2647</v>
      </c>
      <c r="I1562" t="s">
        <v>75</v>
      </c>
      <c r="J1562">
        <v>19</v>
      </c>
      <c r="K1562">
        <v>23.47</v>
      </c>
      <c r="L1562">
        <v>12.56</v>
      </c>
      <c r="M1562">
        <v>0.1</v>
      </c>
      <c r="N1562" t="s">
        <v>129</v>
      </c>
    </row>
    <row r="1563" spans="1:14" x14ac:dyDescent="0.25">
      <c r="A1563" t="s">
        <v>2087</v>
      </c>
      <c r="B1563" s="2">
        <v>45381</v>
      </c>
      <c r="C1563" t="s">
        <v>897</v>
      </c>
      <c r="D1563" t="s">
        <v>36</v>
      </c>
      <c r="E1563" t="s">
        <v>2616</v>
      </c>
      <c r="F1563" t="s">
        <v>2633</v>
      </c>
      <c r="G1563" t="s">
        <v>42</v>
      </c>
      <c r="H1563" t="s">
        <v>2648</v>
      </c>
      <c r="I1563" t="s">
        <v>70</v>
      </c>
      <c r="J1563">
        <v>20</v>
      </c>
      <c r="K1563">
        <v>175.01</v>
      </c>
      <c r="L1563">
        <v>100.14</v>
      </c>
      <c r="M1563">
        <v>0.05</v>
      </c>
      <c r="N1563" t="s">
        <v>129</v>
      </c>
    </row>
    <row r="1564" spans="1:14" x14ac:dyDescent="0.25">
      <c r="A1564" t="s">
        <v>2088</v>
      </c>
      <c r="B1564" s="2">
        <v>45551</v>
      </c>
      <c r="C1564" t="s">
        <v>638</v>
      </c>
      <c r="D1564" t="s">
        <v>66</v>
      </c>
      <c r="E1564" t="s">
        <v>2615</v>
      </c>
      <c r="F1564" t="s">
        <v>2630</v>
      </c>
      <c r="G1564" t="s">
        <v>90</v>
      </c>
      <c r="H1564" t="s">
        <v>2647</v>
      </c>
      <c r="I1564" t="s">
        <v>84</v>
      </c>
      <c r="J1564">
        <v>14</v>
      </c>
      <c r="K1564">
        <v>163.16999999999999</v>
      </c>
      <c r="L1564">
        <v>103.2</v>
      </c>
      <c r="M1564">
        <v>0.02</v>
      </c>
      <c r="N1564" t="s">
        <v>45</v>
      </c>
    </row>
    <row r="1565" spans="1:14" x14ac:dyDescent="0.25">
      <c r="A1565" t="s">
        <v>2089</v>
      </c>
      <c r="B1565" s="2">
        <v>45358</v>
      </c>
      <c r="C1565" t="s">
        <v>1394</v>
      </c>
      <c r="D1565" t="s">
        <v>141</v>
      </c>
      <c r="E1565" t="s">
        <v>2618</v>
      </c>
      <c r="F1565" t="s">
        <v>2628</v>
      </c>
      <c r="G1565" t="s">
        <v>90</v>
      </c>
      <c r="H1565" t="s">
        <v>2647</v>
      </c>
      <c r="I1565" t="s">
        <v>84</v>
      </c>
      <c r="J1565">
        <v>20</v>
      </c>
      <c r="K1565" s="3" t="e">
        <f>#REF!/Sales12[[#This Row],[Quantity]]</f>
        <v>#REF!</v>
      </c>
      <c r="L1565">
        <v>56.81</v>
      </c>
      <c r="M1565">
        <v>0</v>
      </c>
      <c r="N1565" t="s">
        <v>45</v>
      </c>
    </row>
    <row r="1566" spans="1:14" x14ac:dyDescent="0.25">
      <c r="A1566" t="s">
        <v>2090</v>
      </c>
      <c r="B1566" s="2">
        <v>45627</v>
      </c>
      <c r="C1566" t="s">
        <v>735</v>
      </c>
      <c r="D1566" t="s">
        <v>132</v>
      </c>
      <c r="E1566" t="s">
        <v>2618</v>
      </c>
      <c r="F1566" t="s">
        <v>2634</v>
      </c>
      <c r="G1566" t="s">
        <v>195</v>
      </c>
      <c r="H1566" t="s">
        <v>2648</v>
      </c>
      <c r="I1566" t="s">
        <v>2578</v>
      </c>
      <c r="J1566">
        <v>50</v>
      </c>
      <c r="K1566">
        <v>59.97</v>
      </c>
      <c r="L1566">
        <v>34.53</v>
      </c>
      <c r="M1566">
        <v>0.05</v>
      </c>
      <c r="N1566" t="s">
        <v>129</v>
      </c>
    </row>
    <row r="1567" spans="1:14" x14ac:dyDescent="0.25">
      <c r="A1567" t="s">
        <v>2091</v>
      </c>
      <c r="B1567" s="2">
        <v>45318</v>
      </c>
      <c r="C1567" t="s">
        <v>447</v>
      </c>
      <c r="D1567" t="s">
        <v>132</v>
      </c>
      <c r="E1567" t="s">
        <v>2618</v>
      </c>
      <c r="F1567" t="s">
        <v>2635</v>
      </c>
      <c r="G1567" t="s">
        <v>90</v>
      </c>
      <c r="H1567" t="s">
        <v>2646</v>
      </c>
      <c r="I1567" t="s">
        <v>84</v>
      </c>
      <c r="J1567">
        <v>62</v>
      </c>
      <c r="K1567">
        <v>62.83</v>
      </c>
      <c r="L1567">
        <v>32.75</v>
      </c>
      <c r="M1567">
        <v>0.05</v>
      </c>
      <c r="N1567" t="s">
        <v>45</v>
      </c>
    </row>
    <row r="1568" spans="1:14" x14ac:dyDescent="0.25">
      <c r="A1568" t="s">
        <v>2092</v>
      </c>
      <c r="B1568" s="2">
        <v>45499</v>
      </c>
      <c r="C1568" t="s">
        <v>811</v>
      </c>
      <c r="D1568" t="s">
        <v>36</v>
      </c>
      <c r="E1568" t="s">
        <v>2615</v>
      </c>
      <c r="F1568" t="s">
        <v>2630</v>
      </c>
      <c r="G1568" t="s">
        <v>170</v>
      </c>
      <c r="H1568" t="s">
        <v>2645</v>
      </c>
      <c r="I1568" t="s">
        <v>44</v>
      </c>
      <c r="J1568">
        <v>2</v>
      </c>
      <c r="K1568">
        <v>168.16</v>
      </c>
      <c r="L1568">
        <v>96.71</v>
      </c>
      <c r="M1568">
        <v>0.15</v>
      </c>
      <c r="N1568" t="s">
        <v>129</v>
      </c>
    </row>
    <row r="1569" spans="1:14" x14ac:dyDescent="0.25">
      <c r="A1569" t="s">
        <v>2093</v>
      </c>
      <c r="B1569" s="2">
        <v>45365</v>
      </c>
      <c r="C1569" t="s">
        <v>124</v>
      </c>
      <c r="D1569" t="s">
        <v>49</v>
      </c>
      <c r="E1569" t="s">
        <v>2614</v>
      </c>
      <c r="F1569" t="s">
        <v>2636</v>
      </c>
      <c r="G1569" t="s">
        <v>253</v>
      </c>
      <c r="H1569" t="s">
        <v>2645</v>
      </c>
      <c r="I1569" t="s">
        <v>84</v>
      </c>
      <c r="J1569">
        <v>17</v>
      </c>
      <c r="K1569">
        <v>25.56</v>
      </c>
      <c r="L1569">
        <v>12.41</v>
      </c>
      <c r="M1569">
        <v>0.02</v>
      </c>
      <c r="N1569" t="s">
        <v>45</v>
      </c>
    </row>
    <row r="1570" spans="1:14" x14ac:dyDescent="0.25">
      <c r="A1570" t="s">
        <v>2094</v>
      </c>
      <c r="B1570" s="2">
        <v>45545</v>
      </c>
      <c r="C1570" t="s">
        <v>776</v>
      </c>
      <c r="D1570" t="s">
        <v>209</v>
      </c>
      <c r="E1570" t="s">
        <v>2617</v>
      </c>
      <c r="F1570" t="s">
        <v>2626</v>
      </c>
      <c r="G1570" t="s">
        <v>111</v>
      </c>
      <c r="H1570" t="s">
        <v>2648</v>
      </c>
      <c r="I1570" t="s">
        <v>70</v>
      </c>
      <c r="J1570">
        <v>21</v>
      </c>
      <c r="K1570">
        <v>17.809999999999999</v>
      </c>
      <c r="L1570">
        <v>10.66</v>
      </c>
      <c r="M1570">
        <v>0.02</v>
      </c>
      <c r="N1570" t="s">
        <v>32</v>
      </c>
    </row>
    <row r="1571" spans="1:14" x14ac:dyDescent="0.25">
      <c r="A1571" t="s">
        <v>2095</v>
      </c>
      <c r="B1571" s="2">
        <v>45498</v>
      </c>
      <c r="C1571" t="s">
        <v>948</v>
      </c>
      <c r="D1571" t="s">
        <v>176</v>
      </c>
      <c r="E1571" t="s">
        <v>2616</v>
      </c>
      <c r="F1571" t="s">
        <v>2631</v>
      </c>
      <c r="G1571" t="s">
        <v>170</v>
      </c>
      <c r="H1571" t="s">
        <v>2645</v>
      </c>
      <c r="I1571" t="s">
        <v>2578</v>
      </c>
      <c r="J1571">
        <v>9</v>
      </c>
      <c r="K1571">
        <v>109.98</v>
      </c>
      <c r="L1571">
        <v>62.81</v>
      </c>
      <c r="M1571">
        <v>0.15</v>
      </c>
      <c r="N1571" t="s">
        <v>45</v>
      </c>
    </row>
    <row r="1572" spans="1:14" x14ac:dyDescent="0.25">
      <c r="A1572" t="s">
        <v>2096</v>
      </c>
      <c r="B1572" s="2">
        <v>45453</v>
      </c>
      <c r="C1572" t="s">
        <v>511</v>
      </c>
      <c r="D1572" t="s">
        <v>132</v>
      </c>
      <c r="E1572" t="s">
        <v>2618</v>
      </c>
      <c r="F1572" t="s">
        <v>2635</v>
      </c>
      <c r="G1572" t="s">
        <v>90</v>
      </c>
      <c r="H1572" t="s">
        <v>2648</v>
      </c>
      <c r="I1572" t="s">
        <v>75</v>
      </c>
      <c r="J1572">
        <v>39</v>
      </c>
      <c r="K1572">
        <v>64.53</v>
      </c>
      <c r="L1572">
        <v>32.26</v>
      </c>
      <c r="M1572">
        <v>0.05</v>
      </c>
      <c r="N1572" t="s">
        <v>45</v>
      </c>
    </row>
    <row r="1573" spans="1:14" x14ac:dyDescent="0.25">
      <c r="A1573" t="s">
        <v>2097</v>
      </c>
      <c r="B1573" s="2">
        <v>45541</v>
      </c>
      <c r="C1573" t="s">
        <v>535</v>
      </c>
      <c r="D1573" t="s">
        <v>187</v>
      </c>
      <c r="E1573" t="s">
        <v>2616</v>
      </c>
      <c r="F1573" t="s">
        <v>2633</v>
      </c>
      <c r="G1573" t="s">
        <v>60</v>
      </c>
      <c r="H1573" t="s">
        <v>2647</v>
      </c>
      <c r="I1573" t="s">
        <v>44</v>
      </c>
      <c r="J1573">
        <v>43</v>
      </c>
      <c r="K1573" t="e">
        <f>#REF!/Sales12[[#This Row],[Quantity]]</f>
        <v>#REF!</v>
      </c>
      <c r="L1573">
        <v>29.01</v>
      </c>
      <c r="M1573">
        <v>0.02</v>
      </c>
      <c r="N1573" t="s">
        <v>32</v>
      </c>
    </row>
    <row r="1574" spans="1:14" x14ac:dyDescent="0.25">
      <c r="A1574" t="s">
        <v>2098</v>
      </c>
      <c r="B1574" s="2">
        <v>45398</v>
      </c>
      <c r="C1574" t="s">
        <v>660</v>
      </c>
      <c r="D1574" t="s">
        <v>209</v>
      </c>
      <c r="E1574" t="s">
        <v>2616</v>
      </c>
      <c r="F1574" t="s">
        <v>2633</v>
      </c>
      <c r="G1574" t="s">
        <v>118</v>
      </c>
      <c r="H1574" t="s">
        <v>2648</v>
      </c>
      <c r="I1574" t="s">
        <v>84</v>
      </c>
      <c r="J1574">
        <v>79</v>
      </c>
      <c r="K1574">
        <v>17.940000000000001</v>
      </c>
      <c r="L1574">
        <v>10.15</v>
      </c>
      <c r="M1574">
        <v>0.1</v>
      </c>
      <c r="N1574" t="s">
        <v>32</v>
      </c>
    </row>
    <row r="1575" spans="1:14" x14ac:dyDescent="0.25">
      <c r="A1575" t="s">
        <v>2099</v>
      </c>
      <c r="B1575" s="2">
        <v>45652</v>
      </c>
      <c r="C1575" t="s">
        <v>458</v>
      </c>
      <c r="D1575" t="s">
        <v>126</v>
      </c>
      <c r="E1575" t="s">
        <v>2616</v>
      </c>
      <c r="F1575" t="s">
        <v>2638</v>
      </c>
      <c r="G1575" t="s">
        <v>74</v>
      </c>
      <c r="H1575" t="s">
        <v>2646</v>
      </c>
      <c r="I1575" t="s">
        <v>70</v>
      </c>
      <c r="J1575">
        <v>13</v>
      </c>
      <c r="K1575">
        <v>93.29</v>
      </c>
      <c r="L1575">
        <v>51.69</v>
      </c>
      <c r="M1575">
        <v>0.1</v>
      </c>
      <c r="N1575" t="s">
        <v>45</v>
      </c>
    </row>
    <row r="1576" spans="1:14" x14ac:dyDescent="0.25">
      <c r="A1576" t="s">
        <v>2100</v>
      </c>
      <c r="B1576" s="2">
        <v>45418</v>
      </c>
      <c r="C1576" t="s">
        <v>707</v>
      </c>
      <c r="D1576" t="s">
        <v>36</v>
      </c>
      <c r="E1576" t="s">
        <v>2616</v>
      </c>
      <c r="F1576" t="s">
        <v>2633</v>
      </c>
      <c r="G1576" t="s">
        <v>170</v>
      </c>
      <c r="H1576" t="s">
        <v>2647</v>
      </c>
      <c r="I1576" t="s">
        <v>44</v>
      </c>
      <c r="J1576">
        <v>29</v>
      </c>
      <c r="K1576">
        <v>177.29</v>
      </c>
      <c r="L1576">
        <v>103.89</v>
      </c>
      <c r="M1576">
        <v>0</v>
      </c>
      <c r="N1576" t="s">
        <v>45</v>
      </c>
    </row>
    <row r="1577" spans="1:14" x14ac:dyDescent="0.25">
      <c r="A1577" t="s">
        <v>2101</v>
      </c>
      <c r="B1577" s="2">
        <v>45603</v>
      </c>
      <c r="C1577" t="s">
        <v>744</v>
      </c>
      <c r="D1577" t="s">
        <v>132</v>
      </c>
      <c r="E1577" t="s">
        <v>2615</v>
      </c>
      <c r="F1577" t="s">
        <v>2630</v>
      </c>
      <c r="G1577" t="s">
        <v>261</v>
      </c>
      <c r="H1577" t="s">
        <v>2648</v>
      </c>
      <c r="I1577" t="s">
        <v>84</v>
      </c>
      <c r="J1577">
        <v>35</v>
      </c>
      <c r="K1577">
        <v>56.83</v>
      </c>
      <c r="L1577">
        <v>34.31</v>
      </c>
      <c r="M1577">
        <v>0</v>
      </c>
      <c r="N1577" t="s">
        <v>45</v>
      </c>
    </row>
    <row r="1578" spans="1:14" x14ac:dyDescent="0.25">
      <c r="A1578" t="s">
        <v>2102</v>
      </c>
      <c r="B1578" s="2">
        <v>45457</v>
      </c>
      <c r="C1578" t="s">
        <v>1493</v>
      </c>
      <c r="D1578" t="s">
        <v>176</v>
      </c>
      <c r="E1578" t="s">
        <v>2617</v>
      </c>
      <c r="F1578" t="s">
        <v>2641</v>
      </c>
      <c r="G1578" t="s">
        <v>90</v>
      </c>
      <c r="H1578" t="s">
        <v>2645</v>
      </c>
      <c r="I1578" t="s">
        <v>2578</v>
      </c>
      <c r="J1578">
        <v>70</v>
      </c>
      <c r="K1578">
        <v>96.77</v>
      </c>
      <c r="L1578">
        <v>62.64</v>
      </c>
      <c r="M1578">
        <v>0.05</v>
      </c>
      <c r="N1578" t="s">
        <v>129</v>
      </c>
    </row>
    <row r="1579" spans="1:14" x14ac:dyDescent="0.25">
      <c r="A1579" t="s">
        <v>2103</v>
      </c>
      <c r="B1579" s="2">
        <v>45581</v>
      </c>
      <c r="C1579" t="s">
        <v>1476</v>
      </c>
      <c r="D1579" t="s">
        <v>99</v>
      </c>
      <c r="E1579" t="s">
        <v>2618</v>
      </c>
      <c r="F1579" t="s">
        <v>2635</v>
      </c>
      <c r="G1579" t="s">
        <v>218</v>
      </c>
      <c r="H1579" t="s">
        <v>2645</v>
      </c>
      <c r="I1579" t="s">
        <v>75</v>
      </c>
      <c r="J1579">
        <v>56</v>
      </c>
      <c r="K1579">
        <v>65.260000000000005</v>
      </c>
      <c r="L1579">
        <v>41</v>
      </c>
      <c r="M1579">
        <v>0.1</v>
      </c>
      <c r="N1579" t="s">
        <v>45</v>
      </c>
    </row>
    <row r="1580" spans="1:14" x14ac:dyDescent="0.25">
      <c r="A1580" t="s">
        <v>2104</v>
      </c>
      <c r="B1580" s="2">
        <v>45406</v>
      </c>
      <c r="C1580" t="s">
        <v>513</v>
      </c>
      <c r="D1580" t="s">
        <v>165</v>
      </c>
      <c r="E1580" t="s">
        <v>2616</v>
      </c>
      <c r="F1580" t="s">
        <v>2638</v>
      </c>
      <c r="G1580" t="s">
        <v>265</v>
      </c>
      <c r="H1580" t="s">
        <v>2646</v>
      </c>
      <c r="I1580" t="s">
        <v>70</v>
      </c>
      <c r="J1580">
        <v>34</v>
      </c>
      <c r="K1580">
        <v>44.82</v>
      </c>
      <c r="L1580">
        <v>24.01</v>
      </c>
      <c r="M1580">
        <v>0</v>
      </c>
      <c r="N1580" t="s">
        <v>45</v>
      </c>
    </row>
    <row r="1581" spans="1:14" x14ac:dyDescent="0.25">
      <c r="A1581" t="s">
        <v>2105</v>
      </c>
      <c r="B1581" s="2">
        <v>45292</v>
      </c>
      <c r="C1581" t="s">
        <v>727</v>
      </c>
      <c r="D1581" t="s">
        <v>114</v>
      </c>
      <c r="E1581" t="s">
        <v>2618</v>
      </c>
      <c r="F1581" t="s">
        <v>2634</v>
      </c>
      <c r="G1581" t="s">
        <v>69</v>
      </c>
      <c r="H1581" t="s">
        <v>2648</v>
      </c>
      <c r="I1581" t="s">
        <v>2578</v>
      </c>
      <c r="J1581">
        <v>7</v>
      </c>
      <c r="K1581">
        <v>32.86</v>
      </c>
      <c r="L1581">
        <v>20.7</v>
      </c>
      <c r="M1581">
        <v>0.2</v>
      </c>
      <c r="N1581" t="s">
        <v>45</v>
      </c>
    </row>
    <row r="1582" spans="1:14" x14ac:dyDescent="0.25">
      <c r="A1582" t="s">
        <v>1759</v>
      </c>
      <c r="B1582" s="2">
        <v>45319</v>
      </c>
      <c r="C1582" t="s">
        <v>201</v>
      </c>
      <c r="D1582" t="s">
        <v>176</v>
      </c>
      <c r="E1582" t="s">
        <v>2616</v>
      </c>
      <c r="F1582" t="s">
        <v>2631</v>
      </c>
      <c r="G1582" t="s">
        <v>90</v>
      </c>
      <c r="H1582" t="s">
        <v>2645</v>
      </c>
      <c r="I1582" t="s">
        <v>44</v>
      </c>
      <c r="J1582">
        <v>39</v>
      </c>
      <c r="K1582">
        <v>110.11</v>
      </c>
      <c r="L1582">
        <v>60.77</v>
      </c>
      <c r="M1582">
        <v>0.1</v>
      </c>
      <c r="N1582" t="s">
        <v>45</v>
      </c>
    </row>
    <row r="1583" spans="1:14" x14ac:dyDescent="0.25">
      <c r="A1583" t="s">
        <v>2106</v>
      </c>
      <c r="B1583" s="2">
        <v>45316</v>
      </c>
      <c r="C1583" t="s">
        <v>651</v>
      </c>
      <c r="D1583" t="s">
        <v>250</v>
      </c>
      <c r="E1583" t="s">
        <v>2618</v>
      </c>
      <c r="F1583" t="s">
        <v>2635</v>
      </c>
      <c r="G1583" t="s">
        <v>152</v>
      </c>
      <c r="H1583" t="s">
        <v>2645</v>
      </c>
      <c r="I1583" t="s">
        <v>84</v>
      </c>
      <c r="J1583">
        <v>7</v>
      </c>
      <c r="K1583">
        <v>61.03</v>
      </c>
      <c r="L1583">
        <v>39.200000000000003</v>
      </c>
      <c r="M1583">
        <v>0.05</v>
      </c>
      <c r="N1583" t="s">
        <v>32</v>
      </c>
    </row>
    <row r="1584" spans="1:14" x14ac:dyDescent="0.25">
      <c r="A1584" t="s">
        <v>2107</v>
      </c>
      <c r="B1584" s="2">
        <v>45557</v>
      </c>
      <c r="C1584" t="s">
        <v>1362</v>
      </c>
      <c r="D1584" t="s">
        <v>23</v>
      </c>
      <c r="E1584" t="s">
        <v>2614</v>
      </c>
      <c r="F1584" t="s">
        <v>2622</v>
      </c>
      <c r="G1584" t="s">
        <v>178</v>
      </c>
      <c r="H1584" t="s">
        <v>2646</v>
      </c>
      <c r="I1584" t="s">
        <v>44</v>
      </c>
      <c r="J1584">
        <v>79</v>
      </c>
      <c r="K1584">
        <v>76.61</v>
      </c>
      <c r="L1584">
        <v>40.98</v>
      </c>
      <c r="M1584">
        <v>0.15</v>
      </c>
      <c r="N1584" t="s">
        <v>129</v>
      </c>
    </row>
    <row r="1585" spans="1:14" x14ac:dyDescent="0.25">
      <c r="A1585" t="s">
        <v>2108</v>
      </c>
      <c r="B1585" s="2">
        <v>45458</v>
      </c>
      <c r="C1585" t="s">
        <v>192</v>
      </c>
      <c r="D1585" t="s">
        <v>78</v>
      </c>
      <c r="E1585" t="s">
        <v>2615</v>
      </c>
      <c r="F1585" t="s">
        <v>2640</v>
      </c>
      <c r="G1585" t="s">
        <v>261</v>
      </c>
      <c r="H1585" t="s">
        <v>2647</v>
      </c>
      <c r="I1585" t="s">
        <v>2578</v>
      </c>
      <c r="J1585">
        <v>11</v>
      </c>
      <c r="K1585">
        <v>131.79</v>
      </c>
      <c r="L1585">
        <v>76.5</v>
      </c>
      <c r="M1585">
        <v>-0.05</v>
      </c>
      <c r="N1585" t="s">
        <v>32</v>
      </c>
    </row>
    <row r="1586" spans="1:14" x14ac:dyDescent="0.25">
      <c r="A1586" t="s">
        <v>2109</v>
      </c>
      <c r="B1586" s="2">
        <v>45299</v>
      </c>
      <c r="C1586" t="s">
        <v>447</v>
      </c>
      <c r="D1586" t="s">
        <v>165</v>
      </c>
      <c r="E1586" t="s">
        <v>2618</v>
      </c>
      <c r="F1586" t="s">
        <v>2632</v>
      </c>
      <c r="G1586" t="s">
        <v>170</v>
      </c>
      <c r="H1586" t="s">
        <v>2648</v>
      </c>
      <c r="I1586" t="s">
        <v>75</v>
      </c>
      <c r="J1586">
        <v>39</v>
      </c>
      <c r="K1586">
        <v>40.159999999999997</v>
      </c>
      <c r="L1586">
        <v>25.46</v>
      </c>
      <c r="M1586">
        <v>0</v>
      </c>
      <c r="N1586" t="s">
        <v>45</v>
      </c>
    </row>
    <row r="1587" spans="1:14" x14ac:dyDescent="0.25">
      <c r="A1587" t="s">
        <v>2110</v>
      </c>
      <c r="B1587" s="2">
        <v>45507</v>
      </c>
      <c r="C1587" t="s">
        <v>513</v>
      </c>
      <c r="D1587" t="s">
        <v>176</v>
      </c>
      <c r="E1587" t="s">
        <v>2615</v>
      </c>
      <c r="F1587" t="s">
        <v>2640</v>
      </c>
      <c r="G1587" t="s">
        <v>144</v>
      </c>
      <c r="H1587" t="s">
        <v>2646</v>
      </c>
      <c r="I1587" t="s">
        <v>44</v>
      </c>
      <c r="J1587">
        <v>46</v>
      </c>
      <c r="K1587">
        <v>99.35</v>
      </c>
      <c r="L1587">
        <v>65.97</v>
      </c>
      <c r="M1587">
        <v>0.05</v>
      </c>
      <c r="N1587" t="s">
        <v>129</v>
      </c>
    </row>
    <row r="1588" spans="1:14" x14ac:dyDescent="0.25">
      <c r="A1588" t="s">
        <v>2111</v>
      </c>
      <c r="B1588" s="2">
        <v>45513</v>
      </c>
      <c r="C1588" t="s">
        <v>205</v>
      </c>
      <c r="D1588" t="s">
        <v>99</v>
      </c>
      <c r="E1588" t="s">
        <v>2618</v>
      </c>
      <c r="F1588" t="s">
        <v>2628</v>
      </c>
      <c r="G1588" t="s">
        <v>74</v>
      </c>
      <c r="H1588" t="s">
        <v>2647</v>
      </c>
      <c r="I1588" t="s">
        <v>84</v>
      </c>
      <c r="J1588">
        <v>65</v>
      </c>
      <c r="K1588">
        <v>68.75</v>
      </c>
      <c r="L1588">
        <v>41.94</v>
      </c>
      <c r="M1588">
        <v>0</v>
      </c>
      <c r="N1588" t="s">
        <v>45</v>
      </c>
    </row>
    <row r="1589" spans="1:14" x14ac:dyDescent="0.25">
      <c r="A1589" t="s">
        <v>2113</v>
      </c>
      <c r="B1589" s="2">
        <v>45551</v>
      </c>
      <c r="C1589" t="s">
        <v>92</v>
      </c>
      <c r="D1589" t="s">
        <v>114</v>
      </c>
      <c r="E1589" t="s">
        <v>2614</v>
      </c>
      <c r="F1589" t="s">
        <v>2637</v>
      </c>
      <c r="G1589" t="s">
        <v>111</v>
      </c>
      <c r="H1589" t="s">
        <v>2645</v>
      </c>
      <c r="I1589" t="s">
        <v>2578</v>
      </c>
      <c r="J1589">
        <v>37</v>
      </c>
      <c r="K1589">
        <v>33.19</v>
      </c>
      <c r="L1589">
        <v>19.62</v>
      </c>
      <c r="M1589">
        <v>0.2</v>
      </c>
      <c r="N1589" t="s">
        <v>45</v>
      </c>
    </row>
    <row r="1590" spans="1:14" x14ac:dyDescent="0.25">
      <c r="A1590" t="s">
        <v>2114</v>
      </c>
      <c r="B1590" s="2">
        <v>45612</v>
      </c>
      <c r="C1590" t="s">
        <v>499</v>
      </c>
      <c r="D1590" t="s">
        <v>187</v>
      </c>
      <c r="E1590" t="s">
        <v>2614</v>
      </c>
      <c r="F1590" t="s">
        <v>2637</v>
      </c>
      <c r="G1590" t="s">
        <v>261</v>
      </c>
      <c r="H1590" t="s">
        <v>2648</v>
      </c>
      <c r="I1590" t="s">
        <v>44</v>
      </c>
      <c r="J1590">
        <v>31</v>
      </c>
      <c r="K1590">
        <v>46.25</v>
      </c>
      <c r="L1590">
        <v>29.42</v>
      </c>
      <c r="M1590">
        <v>0.15</v>
      </c>
      <c r="N1590" t="s">
        <v>45</v>
      </c>
    </row>
    <row r="1591" spans="1:14" x14ac:dyDescent="0.25">
      <c r="A1591" t="s">
        <v>2115</v>
      </c>
      <c r="B1591" s="2">
        <v>45637</v>
      </c>
      <c r="C1591" t="s">
        <v>395</v>
      </c>
      <c r="D1591" t="s">
        <v>250</v>
      </c>
      <c r="E1591" t="s">
        <v>2617</v>
      </c>
      <c r="F1591" t="s">
        <v>2625</v>
      </c>
      <c r="G1591" t="s">
        <v>29</v>
      </c>
      <c r="H1591" t="s">
        <v>2646</v>
      </c>
      <c r="I1591" t="s">
        <v>84</v>
      </c>
      <c r="J1591">
        <v>21</v>
      </c>
      <c r="K1591">
        <v>69.790000000000006</v>
      </c>
      <c r="L1591">
        <v>38.22</v>
      </c>
      <c r="M1591">
        <v>0</v>
      </c>
      <c r="N1591" t="s">
        <v>32</v>
      </c>
    </row>
    <row r="1592" spans="1:14" x14ac:dyDescent="0.25">
      <c r="A1592" t="s">
        <v>2116</v>
      </c>
      <c r="B1592" s="2">
        <v>45405</v>
      </c>
      <c r="C1592" t="s">
        <v>354</v>
      </c>
      <c r="D1592" t="s">
        <v>99</v>
      </c>
      <c r="E1592" t="s">
        <v>2617</v>
      </c>
      <c r="F1592" t="s">
        <v>2626</v>
      </c>
      <c r="G1592" t="s">
        <v>90</v>
      </c>
      <c r="H1592" t="s">
        <v>2648</v>
      </c>
      <c r="I1592" t="s">
        <v>2578</v>
      </c>
      <c r="J1592">
        <v>25</v>
      </c>
      <c r="K1592">
        <v>74.45</v>
      </c>
      <c r="L1592">
        <v>41.8</v>
      </c>
      <c r="M1592">
        <v>0.15</v>
      </c>
      <c r="N1592" t="s">
        <v>45</v>
      </c>
    </row>
    <row r="1593" spans="1:14" x14ac:dyDescent="0.25">
      <c r="A1593" t="s">
        <v>2117</v>
      </c>
      <c r="B1593" s="2">
        <v>45391</v>
      </c>
      <c r="C1593" t="s">
        <v>674</v>
      </c>
      <c r="D1593" t="s">
        <v>209</v>
      </c>
      <c r="E1593" t="s">
        <v>2615</v>
      </c>
      <c r="F1593" t="s">
        <v>2627</v>
      </c>
      <c r="G1593" t="s">
        <v>184</v>
      </c>
      <c r="H1593" t="s">
        <v>2647</v>
      </c>
      <c r="I1593" t="s">
        <v>2578</v>
      </c>
      <c r="J1593">
        <v>44</v>
      </c>
      <c r="K1593">
        <v>19.03</v>
      </c>
      <c r="L1593">
        <v>10.8</v>
      </c>
      <c r="M1593">
        <v>0.05</v>
      </c>
      <c r="N1593" t="s">
        <v>45</v>
      </c>
    </row>
    <row r="1594" spans="1:14" x14ac:dyDescent="0.25">
      <c r="A1594" t="s">
        <v>2118</v>
      </c>
      <c r="B1594" s="2">
        <v>45292</v>
      </c>
      <c r="C1594" t="s">
        <v>215</v>
      </c>
      <c r="D1594" t="s">
        <v>216</v>
      </c>
      <c r="E1594" t="s">
        <v>2616</v>
      </c>
      <c r="F1594" t="s">
        <v>2631</v>
      </c>
      <c r="G1594" t="s">
        <v>118</v>
      </c>
      <c r="H1594" t="s">
        <v>2648</v>
      </c>
      <c r="I1594" t="s">
        <v>84</v>
      </c>
      <c r="J1594">
        <v>44</v>
      </c>
      <c r="K1594">
        <v>118.12</v>
      </c>
      <c r="L1594">
        <v>68.8</v>
      </c>
      <c r="M1594">
        <v>0.02</v>
      </c>
      <c r="N1594" t="s">
        <v>32</v>
      </c>
    </row>
    <row r="1595" spans="1:14" x14ac:dyDescent="0.25">
      <c r="A1595" t="s">
        <v>2119</v>
      </c>
      <c r="B1595" s="2">
        <v>45343</v>
      </c>
      <c r="C1595" t="s">
        <v>282</v>
      </c>
      <c r="D1595" t="s">
        <v>222</v>
      </c>
      <c r="E1595" t="s">
        <v>2618</v>
      </c>
      <c r="F1595" t="s">
        <v>2634</v>
      </c>
      <c r="G1595" t="s">
        <v>69</v>
      </c>
      <c r="H1595" t="s">
        <v>2647</v>
      </c>
      <c r="I1595" t="s">
        <v>44</v>
      </c>
      <c r="J1595">
        <v>30</v>
      </c>
      <c r="K1595">
        <v>111.88</v>
      </c>
      <c r="L1595">
        <v>80.45</v>
      </c>
      <c r="M1595">
        <v>0.15</v>
      </c>
      <c r="N1595" t="s">
        <v>129</v>
      </c>
    </row>
    <row r="1596" spans="1:14" x14ac:dyDescent="0.25">
      <c r="A1596" t="s">
        <v>2042</v>
      </c>
      <c r="B1596" s="2">
        <v>45590</v>
      </c>
      <c r="C1596" t="s">
        <v>229</v>
      </c>
      <c r="D1596" t="s">
        <v>126</v>
      </c>
      <c r="E1596" t="s">
        <v>2615</v>
      </c>
      <c r="F1596" t="s">
        <v>2627</v>
      </c>
      <c r="G1596" t="s">
        <v>111</v>
      </c>
      <c r="H1596" t="s">
        <v>2646</v>
      </c>
      <c r="I1596" t="s">
        <v>84</v>
      </c>
      <c r="J1596">
        <v>52</v>
      </c>
      <c r="K1596">
        <v>88.77</v>
      </c>
      <c r="L1596">
        <v>51.08</v>
      </c>
      <c r="M1596">
        <v>0.15</v>
      </c>
      <c r="N1596" t="s">
        <v>129</v>
      </c>
    </row>
    <row r="1597" spans="1:14" x14ac:dyDescent="0.25">
      <c r="A1597" t="s">
        <v>2120</v>
      </c>
      <c r="B1597" s="2">
        <v>45511</v>
      </c>
      <c r="C1597" t="s">
        <v>77</v>
      </c>
      <c r="D1597" t="s">
        <v>66</v>
      </c>
      <c r="E1597" t="s">
        <v>2615</v>
      </c>
      <c r="F1597" t="s">
        <v>2627</v>
      </c>
      <c r="G1597" t="s">
        <v>29</v>
      </c>
      <c r="H1597" t="s">
        <v>2646</v>
      </c>
      <c r="I1597" t="s">
        <v>2578</v>
      </c>
      <c r="J1597">
        <v>26</v>
      </c>
      <c r="K1597">
        <v>152</v>
      </c>
      <c r="L1597">
        <v>109.96</v>
      </c>
      <c r="M1597">
        <v>0.15</v>
      </c>
      <c r="N1597" t="s">
        <v>45</v>
      </c>
    </row>
    <row r="1598" spans="1:14" x14ac:dyDescent="0.25">
      <c r="A1598" t="s">
        <v>2121</v>
      </c>
      <c r="B1598" s="2">
        <v>45453</v>
      </c>
      <c r="C1598" t="s">
        <v>1394</v>
      </c>
      <c r="D1598" t="s">
        <v>66</v>
      </c>
      <c r="E1598" t="s">
        <v>2615</v>
      </c>
      <c r="F1598" t="s">
        <v>2627</v>
      </c>
      <c r="G1598" t="s">
        <v>69</v>
      </c>
      <c r="H1598" t="s">
        <v>2645</v>
      </c>
      <c r="I1598" t="s">
        <v>44</v>
      </c>
      <c r="J1598">
        <v>2</v>
      </c>
      <c r="K1598">
        <v>151.69</v>
      </c>
      <c r="L1598">
        <v>110.9</v>
      </c>
      <c r="M1598">
        <v>0</v>
      </c>
      <c r="N1598" t="s">
        <v>45</v>
      </c>
    </row>
    <row r="1599" spans="1:14" x14ac:dyDescent="0.25">
      <c r="A1599" t="s">
        <v>2122</v>
      </c>
      <c r="B1599" s="2">
        <v>45366</v>
      </c>
      <c r="C1599" t="s">
        <v>131</v>
      </c>
      <c r="D1599" t="s">
        <v>141</v>
      </c>
      <c r="E1599" t="s">
        <v>2614</v>
      </c>
      <c r="F1599" t="s">
        <v>2629</v>
      </c>
      <c r="G1599" t="s">
        <v>184</v>
      </c>
      <c r="H1599" t="s">
        <v>2647</v>
      </c>
      <c r="I1599" t="s">
        <v>2578</v>
      </c>
      <c r="J1599">
        <v>18</v>
      </c>
      <c r="K1599">
        <v>100.11</v>
      </c>
      <c r="L1599">
        <v>59.82</v>
      </c>
      <c r="M1599">
        <v>0</v>
      </c>
      <c r="N1599" t="s">
        <v>45</v>
      </c>
    </row>
    <row r="1600" spans="1:14" x14ac:dyDescent="0.25">
      <c r="A1600" t="s">
        <v>2123</v>
      </c>
      <c r="B1600" s="2">
        <v>45615</v>
      </c>
      <c r="C1600" t="s">
        <v>645</v>
      </c>
      <c r="D1600" t="s">
        <v>78</v>
      </c>
      <c r="E1600" t="s">
        <v>2615</v>
      </c>
      <c r="F1600" t="s">
        <v>2627</v>
      </c>
      <c r="G1600" t="s">
        <v>178</v>
      </c>
      <c r="H1600" t="s">
        <v>2647</v>
      </c>
      <c r="I1600" t="s">
        <v>44</v>
      </c>
      <c r="J1600">
        <v>22</v>
      </c>
      <c r="K1600">
        <v>139.63</v>
      </c>
      <c r="L1600">
        <v>86.77</v>
      </c>
      <c r="M1600">
        <v>0</v>
      </c>
      <c r="N1600" t="s">
        <v>32</v>
      </c>
    </row>
    <row r="1601" spans="1:14" x14ac:dyDescent="0.25">
      <c r="A1601" t="s">
        <v>2124</v>
      </c>
      <c r="B1601" s="2">
        <v>45382</v>
      </c>
      <c r="C1601" t="s">
        <v>194</v>
      </c>
      <c r="D1601" t="s">
        <v>250</v>
      </c>
      <c r="E1601" t="s">
        <v>2616</v>
      </c>
      <c r="F1601" t="s">
        <v>2633</v>
      </c>
      <c r="G1601" t="s">
        <v>90</v>
      </c>
      <c r="H1601" t="s">
        <v>2648</v>
      </c>
      <c r="I1601" t="s">
        <v>2578</v>
      </c>
      <c r="J1601">
        <v>60</v>
      </c>
      <c r="K1601">
        <v>63.7</v>
      </c>
      <c r="L1601">
        <v>35.97</v>
      </c>
      <c r="M1601">
        <v>0.05</v>
      </c>
      <c r="N1601" t="s">
        <v>129</v>
      </c>
    </row>
    <row r="1602" spans="1:14" x14ac:dyDescent="0.25">
      <c r="A1602" t="s">
        <v>2125</v>
      </c>
      <c r="B1602" s="2">
        <v>45400</v>
      </c>
      <c r="C1602" t="s">
        <v>559</v>
      </c>
      <c r="D1602" t="s">
        <v>150</v>
      </c>
      <c r="E1602" t="s">
        <v>2617</v>
      </c>
      <c r="F1602" t="s">
        <v>2626</v>
      </c>
      <c r="G1602" t="s">
        <v>218</v>
      </c>
      <c r="H1602" t="s">
        <v>2645</v>
      </c>
      <c r="I1602" t="s">
        <v>84</v>
      </c>
      <c r="J1602">
        <v>70</v>
      </c>
      <c r="K1602">
        <v>79.08</v>
      </c>
      <c r="L1602">
        <v>54.66</v>
      </c>
      <c r="M1602">
        <v>0.2</v>
      </c>
      <c r="N1602" t="s">
        <v>45</v>
      </c>
    </row>
    <row r="1603" spans="1:14" x14ac:dyDescent="0.25">
      <c r="A1603" t="s">
        <v>2126</v>
      </c>
      <c r="B1603" s="2">
        <v>45564</v>
      </c>
      <c r="C1603" t="s">
        <v>328</v>
      </c>
      <c r="D1603" t="s">
        <v>222</v>
      </c>
      <c r="E1603" t="s">
        <v>2616</v>
      </c>
      <c r="F1603" t="s">
        <v>2624</v>
      </c>
      <c r="G1603" t="s">
        <v>265</v>
      </c>
      <c r="H1603" t="s">
        <v>2648</v>
      </c>
      <c r="I1603" t="s">
        <v>84</v>
      </c>
      <c r="J1603">
        <v>67</v>
      </c>
      <c r="K1603">
        <v>123.97</v>
      </c>
      <c r="L1603">
        <v>79.37</v>
      </c>
      <c r="M1603">
        <v>0.15</v>
      </c>
      <c r="N1603" t="s">
        <v>45</v>
      </c>
    </row>
    <row r="1604" spans="1:14" x14ac:dyDescent="0.25">
      <c r="A1604" t="s">
        <v>2127</v>
      </c>
      <c r="B1604" s="2">
        <v>45296</v>
      </c>
      <c r="C1604" t="s">
        <v>182</v>
      </c>
      <c r="D1604" t="s">
        <v>93</v>
      </c>
      <c r="E1604" t="s">
        <v>2617</v>
      </c>
      <c r="F1604" t="s">
        <v>2642</v>
      </c>
      <c r="G1604" t="s">
        <v>83</v>
      </c>
      <c r="H1604" t="s">
        <v>2647</v>
      </c>
      <c r="I1604" t="s">
        <v>2578</v>
      </c>
      <c r="J1604">
        <v>41</v>
      </c>
      <c r="K1604">
        <v>54.75</v>
      </c>
      <c r="L1604">
        <v>33.65</v>
      </c>
      <c r="M1604">
        <v>0.2</v>
      </c>
      <c r="N1604" t="s">
        <v>32</v>
      </c>
    </row>
    <row r="1605" spans="1:14" x14ac:dyDescent="0.25">
      <c r="A1605" t="s">
        <v>2128</v>
      </c>
      <c r="B1605" s="2">
        <v>45503</v>
      </c>
      <c r="C1605" t="s">
        <v>681</v>
      </c>
      <c r="D1605" t="s">
        <v>93</v>
      </c>
      <c r="E1605" t="s">
        <v>2614</v>
      </c>
      <c r="F1605" t="s">
        <v>2629</v>
      </c>
      <c r="G1605" t="s">
        <v>261</v>
      </c>
      <c r="H1605" t="s">
        <v>2647</v>
      </c>
      <c r="I1605" t="s">
        <v>75</v>
      </c>
      <c r="J1605">
        <v>53</v>
      </c>
      <c r="K1605">
        <v>55.95</v>
      </c>
      <c r="L1605">
        <v>32.06</v>
      </c>
      <c r="M1605">
        <v>0.05</v>
      </c>
      <c r="N1605" t="s">
        <v>45</v>
      </c>
    </row>
    <row r="1606" spans="1:14" x14ac:dyDescent="0.25">
      <c r="A1606" t="s">
        <v>2129</v>
      </c>
      <c r="B1606" s="2">
        <v>45385</v>
      </c>
      <c r="C1606" t="s">
        <v>1159</v>
      </c>
      <c r="D1606" t="s">
        <v>250</v>
      </c>
      <c r="E1606" t="s">
        <v>2618</v>
      </c>
      <c r="F1606" t="s">
        <v>2635</v>
      </c>
      <c r="G1606" t="s">
        <v>178</v>
      </c>
      <c r="H1606" t="s">
        <v>2645</v>
      </c>
      <c r="I1606" t="s">
        <v>84</v>
      </c>
      <c r="J1606">
        <v>64</v>
      </c>
      <c r="K1606">
        <v>61.41</v>
      </c>
      <c r="L1606">
        <v>40.700000000000003</v>
      </c>
      <c r="M1606">
        <v>0.05</v>
      </c>
      <c r="N1606" t="s">
        <v>32</v>
      </c>
    </row>
    <row r="1607" spans="1:14" x14ac:dyDescent="0.25">
      <c r="A1607" t="s">
        <v>2130</v>
      </c>
      <c r="B1607" s="2">
        <v>45414</v>
      </c>
      <c r="C1607" t="s">
        <v>557</v>
      </c>
      <c r="D1607" t="s">
        <v>216</v>
      </c>
      <c r="E1607" t="s">
        <v>2618</v>
      </c>
      <c r="F1607" t="s">
        <v>2635</v>
      </c>
      <c r="G1607" t="s">
        <v>184</v>
      </c>
      <c r="H1607" t="s">
        <v>2647</v>
      </c>
      <c r="I1607" t="s">
        <v>75</v>
      </c>
      <c r="J1607">
        <v>70</v>
      </c>
      <c r="K1607">
        <v>110.46</v>
      </c>
      <c r="L1607">
        <v>69.48</v>
      </c>
      <c r="M1607">
        <v>0</v>
      </c>
      <c r="N1607" t="s">
        <v>45</v>
      </c>
    </row>
    <row r="1608" spans="1:14" x14ac:dyDescent="0.25">
      <c r="A1608" t="s">
        <v>2131</v>
      </c>
      <c r="B1608" s="2">
        <v>45649</v>
      </c>
      <c r="C1608" t="s">
        <v>666</v>
      </c>
      <c r="D1608" t="s">
        <v>216</v>
      </c>
      <c r="E1608" t="s">
        <v>2618</v>
      </c>
      <c r="F1608" t="s">
        <v>2628</v>
      </c>
      <c r="G1608" t="s">
        <v>152</v>
      </c>
      <c r="H1608" t="s">
        <v>2645</v>
      </c>
      <c r="I1608" t="s">
        <v>70</v>
      </c>
      <c r="J1608">
        <v>12</v>
      </c>
      <c r="K1608">
        <v>112.12</v>
      </c>
      <c r="L1608">
        <v>69.599999999999994</v>
      </c>
      <c r="M1608">
        <v>0.15</v>
      </c>
      <c r="N1608" t="s">
        <v>45</v>
      </c>
    </row>
    <row r="1609" spans="1:14" x14ac:dyDescent="0.25">
      <c r="A1609" t="s">
        <v>2132</v>
      </c>
      <c r="B1609" s="2">
        <v>45400</v>
      </c>
      <c r="C1609" t="s">
        <v>237</v>
      </c>
      <c r="D1609" t="s">
        <v>36</v>
      </c>
      <c r="E1609" t="s">
        <v>2616</v>
      </c>
      <c r="F1609" t="s">
        <v>2638</v>
      </c>
      <c r="G1609" t="s">
        <v>195</v>
      </c>
      <c r="H1609" t="s">
        <v>2645</v>
      </c>
      <c r="I1609" t="s">
        <v>75</v>
      </c>
      <c r="J1609">
        <v>52</v>
      </c>
      <c r="K1609">
        <v>157.75</v>
      </c>
      <c r="L1609">
        <v>95.06</v>
      </c>
      <c r="M1609">
        <v>0.15</v>
      </c>
      <c r="N1609" t="s">
        <v>129</v>
      </c>
    </row>
    <row r="1610" spans="1:14" x14ac:dyDescent="0.25">
      <c r="A1610" t="s">
        <v>2133</v>
      </c>
      <c r="B1610" s="2">
        <v>45606</v>
      </c>
      <c r="C1610" t="s">
        <v>2619</v>
      </c>
      <c r="D1610" t="s">
        <v>216</v>
      </c>
      <c r="E1610" t="s">
        <v>2618</v>
      </c>
      <c r="F1610" t="s">
        <v>2635</v>
      </c>
      <c r="G1610" t="s">
        <v>29</v>
      </c>
      <c r="H1610" t="s">
        <v>2645</v>
      </c>
      <c r="I1610" t="s">
        <v>70</v>
      </c>
      <c r="J1610">
        <v>16</v>
      </c>
      <c r="K1610">
        <v>105.45</v>
      </c>
      <c r="L1610">
        <v>62.07</v>
      </c>
      <c r="M1610">
        <v>0</v>
      </c>
      <c r="N1610" t="s">
        <v>32</v>
      </c>
    </row>
    <row r="1611" spans="1:14" x14ac:dyDescent="0.25">
      <c r="A1611" t="s">
        <v>2134</v>
      </c>
      <c r="B1611" s="2">
        <v>45313</v>
      </c>
      <c r="C1611" t="s">
        <v>717</v>
      </c>
      <c r="D1611" t="s">
        <v>126</v>
      </c>
      <c r="E1611" t="s">
        <v>2616</v>
      </c>
      <c r="F1611" t="s">
        <v>2638</v>
      </c>
      <c r="G1611" t="s">
        <v>60</v>
      </c>
      <c r="H1611" t="s">
        <v>2648</v>
      </c>
      <c r="I1611" t="s">
        <v>44</v>
      </c>
      <c r="J1611">
        <v>44</v>
      </c>
      <c r="K1611">
        <v>92.51</v>
      </c>
      <c r="L1611">
        <v>49.2</v>
      </c>
      <c r="M1611">
        <v>0.15</v>
      </c>
      <c r="N1611" t="s">
        <v>129</v>
      </c>
    </row>
    <row r="1612" spans="1:14" x14ac:dyDescent="0.25">
      <c r="A1612" t="s">
        <v>2135</v>
      </c>
      <c r="B1612" s="2">
        <v>45452</v>
      </c>
      <c r="C1612" t="s">
        <v>506</v>
      </c>
      <c r="D1612" t="s">
        <v>222</v>
      </c>
      <c r="E1612" t="s">
        <v>2617</v>
      </c>
      <c r="F1612" t="s">
        <v>2626</v>
      </c>
      <c r="G1612" t="s">
        <v>265</v>
      </c>
      <c r="H1612" t="s">
        <v>2647</v>
      </c>
      <c r="I1612" t="s">
        <v>70</v>
      </c>
      <c r="J1612">
        <v>12</v>
      </c>
      <c r="K1612">
        <v>117.92</v>
      </c>
      <c r="L1612">
        <v>76.91</v>
      </c>
      <c r="M1612">
        <v>0.2</v>
      </c>
      <c r="N1612" t="s">
        <v>45</v>
      </c>
    </row>
    <row r="1613" spans="1:14" x14ac:dyDescent="0.25">
      <c r="A1613" t="s">
        <v>2136</v>
      </c>
      <c r="B1613" s="2">
        <v>45343</v>
      </c>
      <c r="C1613" t="s">
        <v>392</v>
      </c>
      <c r="D1613" t="s">
        <v>250</v>
      </c>
      <c r="E1613" t="s">
        <v>2614</v>
      </c>
      <c r="F1613" t="s">
        <v>2636</v>
      </c>
      <c r="G1613" t="s">
        <v>90</v>
      </c>
      <c r="H1613" t="s">
        <v>2646</v>
      </c>
      <c r="I1613" t="s">
        <v>75</v>
      </c>
      <c r="J1613">
        <v>60</v>
      </c>
      <c r="K1613">
        <v>63.68</v>
      </c>
      <c r="L1613">
        <v>36.51</v>
      </c>
      <c r="M1613">
        <v>0.15</v>
      </c>
      <c r="N1613" t="s">
        <v>45</v>
      </c>
    </row>
    <row r="1614" spans="1:14" x14ac:dyDescent="0.25">
      <c r="A1614" t="s">
        <v>2137</v>
      </c>
      <c r="B1614" s="2">
        <v>45376</v>
      </c>
      <c r="C1614" t="s">
        <v>56</v>
      </c>
      <c r="D1614" t="s">
        <v>99</v>
      </c>
      <c r="E1614" t="s">
        <v>2617</v>
      </c>
      <c r="F1614" t="s">
        <v>2626</v>
      </c>
      <c r="G1614" t="s">
        <v>69</v>
      </c>
      <c r="H1614" t="s">
        <v>2646</v>
      </c>
      <c r="I1614" t="s">
        <v>44</v>
      </c>
      <c r="J1614">
        <v>79</v>
      </c>
      <c r="K1614">
        <v>68.790000000000006</v>
      </c>
      <c r="L1614">
        <v>40.590000000000003</v>
      </c>
      <c r="M1614">
        <v>0.02</v>
      </c>
      <c r="N1614" t="s">
        <v>45</v>
      </c>
    </row>
    <row r="1615" spans="1:14" x14ac:dyDescent="0.25">
      <c r="A1615" t="s">
        <v>2138</v>
      </c>
      <c r="B1615" s="2">
        <v>45292</v>
      </c>
      <c r="C1615" t="s">
        <v>325</v>
      </c>
      <c r="D1615" t="s">
        <v>49</v>
      </c>
      <c r="E1615" t="s">
        <v>2617</v>
      </c>
      <c r="F1615" t="s">
        <v>2626</v>
      </c>
      <c r="G1615" t="s">
        <v>69</v>
      </c>
      <c r="H1615" t="s">
        <v>2648</v>
      </c>
      <c r="I1615" t="s">
        <v>75</v>
      </c>
      <c r="J1615">
        <v>-5</v>
      </c>
      <c r="K1615">
        <v>26.17</v>
      </c>
      <c r="L1615">
        <v>12.1</v>
      </c>
      <c r="M1615">
        <v>0.1</v>
      </c>
      <c r="N1615" t="s">
        <v>32</v>
      </c>
    </row>
    <row r="1616" spans="1:14" x14ac:dyDescent="0.25">
      <c r="A1616" t="s">
        <v>2139</v>
      </c>
      <c r="B1616" s="2">
        <v>45485</v>
      </c>
      <c r="C1616" t="s">
        <v>387</v>
      </c>
      <c r="D1616" t="s">
        <v>23</v>
      </c>
      <c r="E1616" t="s">
        <v>2615</v>
      </c>
      <c r="F1616" t="s">
        <v>2623</v>
      </c>
      <c r="G1616" t="s">
        <v>90</v>
      </c>
      <c r="H1616" t="s">
        <v>2648</v>
      </c>
      <c r="I1616" t="s">
        <v>44</v>
      </c>
      <c r="J1616">
        <v>67</v>
      </c>
      <c r="K1616">
        <v>77.69</v>
      </c>
      <c r="L1616">
        <v>44.55</v>
      </c>
      <c r="M1616">
        <v>0.2</v>
      </c>
      <c r="N1616" t="s">
        <v>32</v>
      </c>
    </row>
    <row r="1617" spans="1:14" x14ac:dyDescent="0.25">
      <c r="A1617" t="s">
        <v>2140</v>
      </c>
      <c r="B1617" s="2">
        <v>45527</v>
      </c>
      <c r="C1617" t="s">
        <v>426</v>
      </c>
      <c r="D1617" t="s">
        <v>165</v>
      </c>
      <c r="E1617" t="s">
        <v>2614</v>
      </c>
      <c r="F1617" t="s">
        <v>2629</v>
      </c>
      <c r="G1617" t="s">
        <v>83</v>
      </c>
      <c r="H1617" t="s">
        <v>2646</v>
      </c>
      <c r="I1617" t="s">
        <v>70</v>
      </c>
      <c r="J1617">
        <v>22</v>
      </c>
      <c r="K1617">
        <v>39.78</v>
      </c>
      <c r="L1617">
        <v>23.78</v>
      </c>
      <c r="M1617">
        <v>0.2</v>
      </c>
      <c r="N1617" t="s">
        <v>45</v>
      </c>
    </row>
    <row r="1618" spans="1:14" x14ac:dyDescent="0.25">
      <c r="A1618" t="s">
        <v>2141</v>
      </c>
      <c r="B1618" s="2">
        <v>45606</v>
      </c>
      <c r="C1618" t="s">
        <v>56</v>
      </c>
      <c r="D1618" t="s">
        <v>66</v>
      </c>
      <c r="E1618" t="s">
        <v>2614</v>
      </c>
      <c r="F1618" t="s">
        <v>2637</v>
      </c>
      <c r="G1618" t="s">
        <v>265</v>
      </c>
      <c r="H1618" t="s">
        <v>2646</v>
      </c>
      <c r="I1618" t="s">
        <v>44</v>
      </c>
      <c r="J1618">
        <v>3</v>
      </c>
      <c r="K1618">
        <v>167.09</v>
      </c>
      <c r="L1618">
        <v>104.97</v>
      </c>
      <c r="M1618">
        <v>0.02</v>
      </c>
      <c r="N1618" t="s">
        <v>45</v>
      </c>
    </row>
    <row r="1619" spans="1:14" x14ac:dyDescent="0.25">
      <c r="A1619" t="s">
        <v>2142</v>
      </c>
      <c r="B1619" s="2">
        <v>45596</v>
      </c>
      <c r="C1619" t="s">
        <v>276</v>
      </c>
      <c r="D1619" t="s">
        <v>222</v>
      </c>
      <c r="E1619" t="s">
        <v>2618</v>
      </c>
      <c r="F1619" t="s">
        <v>2634</v>
      </c>
      <c r="G1619" t="s">
        <v>178</v>
      </c>
      <c r="H1619" t="s">
        <v>2646</v>
      </c>
      <c r="I1619" t="s">
        <v>44</v>
      </c>
      <c r="J1619">
        <v>9</v>
      </c>
      <c r="K1619">
        <v>128.44</v>
      </c>
      <c r="L1619">
        <v>82.93</v>
      </c>
      <c r="M1619">
        <v>0.2</v>
      </c>
      <c r="N1619" t="s">
        <v>45</v>
      </c>
    </row>
    <row r="1620" spans="1:14" x14ac:dyDescent="0.25">
      <c r="A1620" t="s">
        <v>2143</v>
      </c>
      <c r="B1620" s="2">
        <v>45350</v>
      </c>
      <c r="C1620" t="s">
        <v>541</v>
      </c>
      <c r="D1620" t="s">
        <v>216</v>
      </c>
      <c r="E1620" t="s">
        <v>2616</v>
      </c>
      <c r="F1620" t="s">
        <v>2638</v>
      </c>
      <c r="G1620" t="s">
        <v>42</v>
      </c>
      <c r="H1620" t="s">
        <v>2645</v>
      </c>
      <c r="I1620" t="s">
        <v>75</v>
      </c>
      <c r="J1620">
        <v>26</v>
      </c>
      <c r="K1620">
        <v>109.27</v>
      </c>
      <c r="L1620">
        <v>65.41</v>
      </c>
      <c r="M1620">
        <v>0</v>
      </c>
      <c r="N1620" t="s">
        <v>45</v>
      </c>
    </row>
    <row r="1621" spans="1:14" x14ac:dyDescent="0.25">
      <c r="A1621" t="s">
        <v>2144</v>
      </c>
      <c r="B1621" s="2">
        <v>45622</v>
      </c>
      <c r="C1621" t="s">
        <v>945</v>
      </c>
      <c r="D1621" t="s">
        <v>165</v>
      </c>
      <c r="E1621" t="s">
        <v>2614</v>
      </c>
      <c r="F1621" t="s">
        <v>2622</v>
      </c>
      <c r="G1621" t="s">
        <v>60</v>
      </c>
      <c r="H1621" t="s">
        <v>2647</v>
      </c>
      <c r="I1621" t="s">
        <v>84</v>
      </c>
      <c r="J1621">
        <v>78</v>
      </c>
      <c r="K1621">
        <v>38.81</v>
      </c>
      <c r="L1621">
        <v>23.62</v>
      </c>
      <c r="M1621">
        <v>0</v>
      </c>
      <c r="N1621" t="s">
        <v>129</v>
      </c>
    </row>
    <row r="1622" spans="1:14" x14ac:dyDescent="0.25">
      <c r="A1622" t="s">
        <v>2145</v>
      </c>
      <c r="B1622" s="2">
        <v>45630</v>
      </c>
      <c r="C1622" t="s">
        <v>1215</v>
      </c>
      <c r="D1622" t="s">
        <v>93</v>
      </c>
      <c r="E1622" t="s">
        <v>2616</v>
      </c>
      <c r="F1622" t="s">
        <v>2638</v>
      </c>
      <c r="G1622" t="s">
        <v>218</v>
      </c>
      <c r="H1622" t="s">
        <v>2648</v>
      </c>
      <c r="I1622" t="s">
        <v>75</v>
      </c>
      <c r="J1622">
        <v>58</v>
      </c>
      <c r="K1622">
        <v>50.99</v>
      </c>
      <c r="L1622">
        <v>30.29</v>
      </c>
      <c r="M1622">
        <v>0.05</v>
      </c>
      <c r="N1622" t="s">
        <v>32</v>
      </c>
    </row>
    <row r="1623" spans="1:14" x14ac:dyDescent="0.25">
      <c r="A1623" t="s">
        <v>2146</v>
      </c>
      <c r="B1623" s="2">
        <v>45621</v>
      </c>
      <c r="C1623" t="s">
        <v>679</v>
      </c>
      <c r="D1623" t="s">
        <v>176</v>
      </c>
      <c r="E1623" t="s">
        <v>2614</v>
      </c>
      <c r="F1623" t="s">
        <v>2629</v>
      </c>
      <c r="G1623" t="s">
        <v>111</v>
      </c>
      <c r="H1623" t="s">
        <v>2645</v>
      </c>
      <c r="I1623" t="s">
        <v>75</v>
      </c>
      <c r="J1623">
        <v>49</v>
      </c>
      <c r="K1623">
        <v>97.55</v>
      </c>
      <c r="L1623">
        <v>59.16</v>
      </c>
      <c r="M1623">
        <v>0.15</v>
      </c>
      <c r="N1623" t="s">
        <v>45</v>
      </c>
    </row>
    <row r="1624" spans="1:14" x14ac:dyDescent="0.25">
      <c r="A1624" t="s">
        <v>2147</v>
      </c>
      <c r="B1624" s="2">
        <v>45502</v>
      </c>
      <c r="C1624" t="s">
        <v>137</v>
      </c>
      <c r="D1624" t="s">
        <v>209</v>
      </c>
      <c r="E1624" t="s">
        <v>2618</v>
      </c>
      <c r="F1624" t="s">
        <v>2635</v>
      </c>
      <c r="G1624" t="s">
        <v>90</v>
      </c>
      <c r="H1624" t="s">
        <v>2645</v>
      </c>
      <c r="I1624" t="s">
        <v>70</v>
      </c>
      <c r="J1624">
        <v>32</v>
      </c>
      <c r="K1624">
        <v>18.600000000000001</v>
      </c>
      <c r="L1624">
        <v>10.37</v>
      </c>
      <c r="M1624">
        <v>0.05</v>
      </c>
      <c r="N1624" t="s">
        <v>45</v>
      </c>
    </row>
    <row r="1625" spans="1:14" x14ac:dyDescent="0.25">
      <c r="A1625" t="s">
        <v>2148</v>
      </c>
      <c r="B1625" s="2">
        <v>45357</v>
      </c>
      <c r="C1625" t="s">
        <v>515</v>
      </c>
      <c r="D1625" t="s">
        <v>66</v>
      </c>
      <c r="E1625" t="s">
        <v>2617</v>
      </c>
      <c r="F1625" t="s">
        <v>2642</v>
      </c>
      <c r="G1625" t="s">
        <v>111</v>
      </c>
      <c r="H1625" t="s">
        <v>2648</v>
      </c>
      <c r="I1625" t="s">
        <v>84</v>
      </c>
      <c r="J1625">
        <v>64</v>
      </c>
      <c r="K1625">
        <v>156.91999999999999</v>
      </c>
      <c r="L1625">
        <v>110.05</v>
      </c>
      <c r="M1625">
        <v>0.05</v>
      </c>
      <c r="N1625" t="s">
        <v>32</v>
      </c>
    </row>
    <row r="1626" spans="1:14" x14ac:dyDescent="0.25">
      <c r="A1626" t="s">
        <v>2149</v>
      </c>
      <c r="B1626" s="2">
        <v>45310</v>
      </c>
      <c r="C1626" t="s">
        <v>1724</v>
      </c>
      <c r="D1626" t="s">
        <v>126</v>
      </c>
      <c r="E1626" t="s">
        <v>2615</v>
      </c>
      <c r="F1626" t="s">
        <v>2630</v>
      </c>
      <c r="G1626" t="s">
        <v>111</v>
      </c>
      <c r="H1626" t="s">
        <v>2647</v>
      </c>
      <c r="I1626" t="s">
        <v>44</v>
      </c>
      <c r="J1626">
        <v>28</v>
      </c>
      <c r="K1626">
        <v>93.97</v>
      </c>
      <c r="L1626">
        <v>56.94</v>
      </c>
      <c r="M1626">
        <v>0.2</v>
      </c>
      <c r="N1626" t="s">
        <v>45</v>
      </c>
    </row>
    <row r="1627" spans="1:14" x14ac:dyDescent="0.25">
      <c r="A1627" t="s">
        <v>2150</v>
      </c>
      <c r="B1627" s="2">
        <v>45441</v>
      </c>
      <c r="C1627" t="s">
        <v>613</v>
      </c>
      <c r="D1627" t="s">
        <v>165</v>
      </c>
      <c r="E1627" t="s">
        <v>2614</v>
      </c>
      <c r="F1627" t="s">
        <v>2629</v>
      </c>
      <c r="G1627" t="s">
        <v>144</v>
      </c>
      <c r="H1627" t="s">
        <v>2647</v>
      </c>
      <c r="I1627" t="s">
        <v>70</v>
      </c>
      <c r="J1627">
        <v>14</v>
      </c>
      <c r="K1627">
        <v>39.130000000000003</v>
      </c>
      <c r="L1627">
        <v>25.49</v>
      </c>
      <c r="M1627">
        <v>0.05</v>
      </c>
      <c r="N1627" t="s">
        <v>45</v>
      </c>
    </row>
    <row r="1628" spans="1:14" x14ac:dyDescent="0.25">
      <c r="A1628" t="s">
        <v>2151</v>
      </c>
      <c r="B1628" s="2">
        <v>45538</v>
      </c>
      <c r="C1628" t="s">
        <v>823</v>
      </c>
      <c r="D1628" t="s">
        <v>126</v>
      </c>
      <c r="E1628" t="s">
        <v>2615</v>
      </c>
      <c r="F1628" t="s">
        <v>2630</v>
      </c>
      <c r="G1628" t="s">
        <v>178</v>
      </c>
      <c r="H1628" t="s">
        <v>2647</v>
      </c>
      <c r="I1628" t="s">
        <v>75</v>
      </c>
      <c r="J1628">
        <v>15</v>
      </c>
      <c r="K1628">
        <v>84.5</v>
      </c>
      <c r="L1628">
        <v>53.65</v>
      </c>
      <c r="M1628">
        <v>0.05</v>
      </c>
      <c r="N1628" t="s">
        <v>45</v>
      </c>
    </row>
    <row r="1629" spans="1:14" x14ac:dyDescent="0.25">
      <c r="A1629" t="s">
        <v>2152</v>
      </c>
      <c r="B1629" s="2">
        <v>45465</v>
      </c>
      <c r="C1629" t="s">
        <v>280</v>
      </c>
      <c r="D1629" t="s">
        <v>141</v>
      </c>
      <c r="E1629" t="s">
        <v>2616</v>
      </c>
      <c r="F1629" t="s">
        <v>2633</v>
      </c>
      <c r="G1629" t="s">
        <v>170</v>
      </c>
      <c r="H1629" t="s">
        <v>2645</v>
      </c>
      <c r="I1629" t="s">
        <v>44</v>
      </c>
      <c r="J1629">
        <v>30</v>
      </c>
      <c r="K1629">
        <v>87.69</v>
      </c>
      <c r="L1629">
        <v>60.59</v>
      </c>
      <c r="M1629">
        <v>0.15</v>
      </c>
      <c r="N1629" t="s">
        <v>32</v>
      </c>
    </row>
    <row r="1630" spans="1:14" x14ac:dyDescent="0.25">
      <c r="A1630" t="s">
        <v>2153</v>
      </c>
      <c r="B1630" s="2">
        <v>45578</v>
      </c>
      <c r="C1630" t="s">
        <v>832</v>
      </c>
      <c r="D1630" t="s">
        <v>36</v>
      </c>
      <c r="E1630" t="s">
        <v>2618</v>
      </c>
      <c r="F1630" t="s">
        <v>2628</v>
      </c>
      <c r="G1630" t="s">
        <v>253</v>
      </c>
      <c r="H1630" t="s">
        <v>2646</v>
      </c>
      <c r="I1630" t="s">
        <v>2578</v>
      </c>
      <c r="J1630">
        <v>79</v>
      </c>
      <c r="K1630">
        <v>158.33000000000001</v>
      </c>
      <c r="L1630">
        <v>104.87</v>
      </c>
      <c r="M1630">
        <v>0.2</v>
      </c>
      <c r="N1630" t="s">
        <v>45</v>
      </c>
    </row>
    <row r="1631" spans="1:14" x14ac:dyDescent="0.25">
      <c r="A1631" t="s">
        <v>2154</v>
      </c>
      <c r="B1631" s="2">
        <v>45354</v>
      </c>
      <c r="C1631" t="s">
        <v>451</v>
      </c>
      <c r="D1631" t="s">
        <v>216</v>
      </c>
      <c r="E1631" t="s">
        <v>2618</v>
      </c>
      <c r="F1631" t="s">
        <v>2628</v>
      </c>
      <c r="G1631" t="s">
        <v>144</v>
      </c>
      <c r="H1631" t="s">
        <v>2647</v>
      </c>
      <c r="I1631" t="s">
        <v>75</v>
      </c>
      <c r="J1631">
        <v>6</v>
      </c>
      <c r="K1631">
        <v>101.39</v>
      </c>
      <c r="L1631">
        <v>70.5</v>
      </c>
      <c r="M1631">
        <v>0</v>
      </c>
      <c r="N1631" t="s">
        <v>45</v>
      </c>
    </row>
    <row r="1632" spans="1:14" x14ac:dyDescent="0.25">
      <c r="A1632" t="s">
        <v>2155</v>
      </c>
      <c r="B1632" s="2">
        <v>45547</v>
      </c>
      <c r="C1632" t="s">
        <v>428</v>
      </c>
      <c r="D1632" t="s">
        <v>114</v>
      </c>
      <c r="E1632" t="s">
        <v>2615</v>
      </c>
      <c r="F1632" t="s">
        <v>2623</v>
      </c>
      <c r="G1632" t="s">
        <v>218</v>
      </c>
      <c r="H1632" t="s">
        <v>2648</v>
      </c>
      <c r="I1632" t="s">
        <v>2578</v>
      </c>
      <c r="J1632">
        <v>79</v>
      </c>
      <c r="K1632">
        <v>33</v>
      </c>
      <c r="L1632">
        <v>21</v>
      </c>
      <c r="M1632">
        <v>0</v>
      </c>
      <c r="N1632" t="s">
        <v>45</v>
      </c>
    </row>
    <row r="1633" spans="1:14" x14ac:dyDescent="0.25">
      <c r="A1633" t="s">
        <v>2156</v>
      </c>
      <c r="B1633" s="2">
        <v>45481</v>
      </c>
      <c r="C1633" t="s">
        <v>1028</v>
      </c>
      <c r="D1633" t="s">
        <v>36</v>
      </c>
      <c r="E1633" t="s">
        <v>2614</v>
      </c>
      <c r="F1633" t="s">
        <v>2637</v>
      </c>
      <c r="G1633" t="s">
        <v>184</v>
      </c>
      <c r="H1633" t="s">
        <v>2648</v>
      </c>
      <c r="I1633" t="s">
        <v>2578</v>
      </c>
      <c r="J1633">
        <v>47</v>
      </c>
      <c r="K1633">
        <v>160.65</v>
      </c>
      <c r="L1633">
        <v>92.14</v>
      </c>
      <c r="M1633">
        <v>0</v>
      </c>
      <c r="N1633" t="s">
        <v>32</v>
      </c>
    </row>
    <row r="1634" spans="1:14" x14ac:dyDescent="0.25">
      <c r="A1634" t="s">
        <v>2157</v>
      </c>
      <c r="B1634" s="2">
        <v>45376</v>
      </c>
      <c r="C1634" t="s">
        <v>1709</v>
      </c>
      <c r="D1634" t="s">
        <v>216</v>
      </c>
      <c r="E1634" t="s">
        <v>2617</v>
      </c>
      <c r="F1634" t="s">
        <v>2641</v>
      </c>
      <c r="G1634" t="s">
        <v>170</v>
      </c>
      <c r="H1634" t="s">
        <v>2648</v>
      </c>
      <c r="I1634" t="s">
        <v>2578</v>
      </c>
      <c r="J1634">
        <v>68</v>
      </c>
      <c r="K1634">
        <v>107.99</v>
      </c>
      <c r="L1634">
        <v>65.290000000000006</v>
      </c>
      <c r="M1634">
        <v>0.2</v>
      </c>
      <c r="N1634" t="s">
        <v>45</v>
      </c>
    </row>
    <row r="1635" spans="1:14" x14ac:dyDescent="0.25">
      <c r="A1635" t="s">
        <v>2158</v>
      </c>
      <c r="B1635" s="2">
        <v>45299</v>
      </c>
      <c r="C1635" t="s">
        <v>1334</v>
      </c>
      <c r="D1635" t="s">
        <v>126</v>
      </c>
      <c r="E1635" t="s">
        <v>2618</v>
      </c>
      <c r="F1635" t="s">
        <v>2628</v>
      </c>
      <c r="G1635" t="s">
        <v>265</v>
      </c>
      <c r="H1635" t="s">
        <v>2647</v>
      </c>
      <c r="I1635" t="s">
        <v>44</v>
      </c>
      <c r="J1635">
        <v>36</v>
      </c>
      <c r="K1635">
        <v>86.76</v>
      </c>
      <c r="L1635">
        <v>52.11</v>
      </c>
      <c r="M1635">
        <v>0.2</v>
      </c>
      <c r="N1635" t="s">
        <v>45</v>
      </c>
    </row>
    <row r="1636" spans="1:14" x14ac:dyDescent="0.25">
      <c r="A1636" t="s">
        <v>2159</v>
      </c>
      <c r="B1636" s="2">
        <v>45349</v>
      </c>
      <c r="C1636" t="s">
        <v>392</v>
      </c>
      <c r="D1636" t="s">
        <v>176</v>
      </c>
      <c r="E1636" t="s">
        <v>2616</v>
      </c>
      <c r="F1636" t="s">
        <v>2633</v>
      </c>
      <c r="G1636" t="s">
        <v>144</v>
      </c>
      <c r="H1636" t="s">
        <v>2645</v>
      </c>
      <c r="I1636" t="s">
        <v>70</v>
      </c>
      <c r="J1636">
        <v>30</v>
      </c>
      <c r="K1636">
        <v>104.68</v>
      </c>
      <c r="L1636">
        <v>64.64</v>
      </c>
      <c r="M1636">
        <v>0</v>
      </c>
      <c r="N1636" t="s">
        <v>45</v>
      </c>
    </row>
    <row r="1637" spans="1:14" x14ac:dyDescent="0.25">
      <c r="A1637" t="s">
        <v>2160</v>
      </c>
      <c r="B1637" s="2">
        <v>45536</v>
      </c>
      <c r="C1637" t="s">
        <v>34</v>
      </c>
      <c r="D1637" t="s">
        <v>216</v>
      </c>
      <c r="E1637" t="s">
        <v>2618</v>
      </c>
      <c r="F1637" t="s">
        <v>2632</v>
      </c>
      <c r="G1637" t="s">
        <v>144</v>
      </c>
      <c r="H1637" t="s">
        <v>2645</v>
      </c>
      <c r="I1637" t="s">
        <v>44</v>
      </c>
      <c r="J1637">
        <v>62</v>
      </c>
      <c r="K1637">
        <v>112.76</v>
      </c>
      <c r="L1637">
        <v>72.02</v>
      </c>
      <c r="M1637">
        <v>0.02</v>
      </c>
      <c r="N1637" t="s">
        <v>129</v>
      </c>
    </row>
    <row r="1638" spans="1:14" x14ac:dyDescent="0.25">
      <c r="A1638" t="s">
        <v>2161</v>
      </c>
      <c r="B1638" s="2">
        <v>45464</v>
      </c>
      <c r="C1638" t="s">
        <v>239</v>
      </c>
      <c r="D1638" t="s">
        <v>126</v>
      </c>
      <c r="E1638" t="s">
        <v>2617</v>
      </c>
      <c r="F1638" t="s">
        <v>2625</v>
      </c>
      <c r="G1638" t="s">
        <v>261</v>
      </c>
      <c r="H1638" t="s">
        <v>2646</v>
      </c>
      <c r="I1638" t="s">
        <v>84</v>
      </c>
      <c r="J1638">
        <v>54</v>
      </c>
      <c r="K1638">
        <v>95.59</v>
      </c>
      <c r="L1638">
        <v>51.52</v>
      </c>
      <c r="M1638">
        <v>0</v>
      </c>
      <c r="N1638" t="s">
        <v>45</v>
      </c>
    </row>
    <row r="1639" spans="1:14" x14ac:dyDescent="0.25">
      <c r="A1639" t="s">
        <v>2162</v>
      </c>
      <c r="B1639" s="2">
        <v>45381</v>
      </c>
      <c r="C1639" t="s">
        <v>451</v>
      </c>
      <c r="D1639" t="s">
        <v>150</v>
      </c>
      <c r="E1639" t="s">
        <v>2615</v>
      </c>
      <c r="F1639" t="s">
        <v>2627</v>
      </c>
      <c r="G1639" t="s">
        <v>265</v>
      </c>
      <c r="H1639" t="s">
        <v>2648</v>
      </c>
      <c r="I1639" t="s">
        <v>75</v>
      </c>
      <c r="J1639">
        <v>62</v>
      </c>
      <c r="K1639">
        <v>86.76</v>
      </c>
      <c r="L1639">
        <v>47.36</v>
      </c>
      <c r="M1639">
        <v>0.1</v>
      </c>
      <c r="N1639" t="s">
        <v>45</v>
      </c>
    </row>
    <row r="1640" spans="1:14" x14ac:dyDescent="0.25">
      <c r="A1640" t="s">
        <v>2163</v>
      </c>
      <c r="B1640" s="2">
        <v>45578</v>
      </c>
      <c r="C1640" t="s">
        <v>506</v>
      </c>
      <c r="D1640" t="s">
        <v>109</v>
      </c>
      <c r="E1640" t="s">
        <v>2616</v>
      </c>
      <c r="F1640" t="s">
        <v>2631</v>
      </c>
      <c r="G1640" t="s">
        <v>144</v>
      </c>
      <c r="H1640" t="s">
        <v>2648</v>
      </c>
      <c r="I1640" t="s">
        <v>2578</v>
      </c>
      <c r="J1640">
        <v>17</v>
      </c>
      <c r="K1640">
        <v>133.09</v>
      </c>
      <c r="L1640">
        <v>77.760000000000005</v>
      </c>
      <c r="M1640">
        <v>0.02</v>
      </c>
      <c r="N1640" t="s">
        <v>45</v>
      </c>
    </row>
    <row r="1641" spans="1:14" x14ac:dyDescent="0.25">
      <c r="A1641" t="s">
        <v>2164</v>
      </c>
      <c r="B1641" s="2">
        <v>45591</v>
      </c>
      <c r="C1641" t="s">
        <v>480</v>
      </c>
      <c r="D1641" t="s">
        <v>36</v>
      </c>
      <c r="E1641" t="s">
        <v>2616</v>
      </c>
      <c r="F1641" t="s">
        <v>2624</v>
      </c>
      <c r="G1641" t="s">
        <v>248</v>
      </c>
      <c r="H1641" t="s">
        <v>2645</v>
      </c>
      <c r="I1641" t="s">
        <v>2578</v>
      </c>
      <c r="J1641">
        <v>64</v>
      </c>
      <c r="K1641">
        <v>156.87</v>
      </c>
      <c r="L1641">
        <v>96.2</v>
      </c>
      <c r="M1641">
        <v>0.2</v>
      </c>
      <c r="N1641" t="s">
        <v>45</v>
      </c>
    </row>
    <row r="1642" spans="1:14" x14ac:dyDescent="0.25">
      <c r="A1642" t="s">
        <v>2165</v>
      </c>
      <c r="B1642" s="2">
        <v>45514</v>
      </c>
      <c r="C1642" t="s">
        <v>325</v>
      </c>
      <c r="D1642" t="s">
        <v>36</v>
      </c>
      <c r="E1642" t="s">
        <v>2616</v>
      </c>
      <c r="F1642" t="s">
        <v>2638</v>
      </c>
      <c r="G1642" t="s">
        <v>253</v>
      </c>
      <c r="H1642" t="s">
        <v>2650</v>
      </c>
      <c r="I1642" t="s">
        <v>44</v>
      </c>
      <c r="J1642">
        <v>6</v>
      </c>
      <c r="K1642">
        <v>174.47</v>
      </c>
      <c r="L1642">
        <v>102.93</v>
      </c>
      <c r="M1642">
        <v>0.1</v>
      </c>
      <c r="N1642" t="s">
        <v>45</v>
      </c>
    </row>
    <row r="1643" spans="1:14" x14ac:dyDescent="0.25">
      <c r="A1643" t="s">
        <v>2166</v>
      </c>
      <c r="B1643" s="2">
        <v>45615</v>
      </c>
      <c r="C1643" t="s">
        <v>333</v>
      </c>
      <c r="D1643" t="s">
        <v>176</v>
      </c>
      <c r="E1643" t="s">
        <v>2615</v>
      </c>
      <c r="F1643" t="s">
        <v>2630</v>
      </c>
      <c r="G1643" t="s">
        <v>60</v>
      </c>
      <c r="H1643" t="s">
        <v>2648</v>
      </c>
      <c r="I1643" t="s">
        <v>2578</v>
      </c>
      <c r="J1643">
        <v>66</v>
      </c>
      <c r="K1643">
        <v>105.83</v>
      </c>
      <c r="L1643">
        <v>65.16</v>
      </c>
      <c r="M1643">
        <v>0.15</v>
      </c>
      <c r="N1643" t="s">
        <v>45</v>
      </c>
    </row>
    <row r="1644" spans="1:14" x14ac:dyDescent="0.25">
      <c r="A1644" t="s">
        <v>2167</v>
      </c>
      <c r="B1644" s="2">
        <v>45536</v>
      </c>
      <c r="C1644" t="s">
        <v>201</v>
      </c>
      <c r="D1644" t="s">
        <v>150</v>
      </c>
      <c r="E1644" t="s">
        <v>2617</v>
      </c>
      <c r="F1644" t="s">
        <v>2626</v>
      </c>
      <c r="G1644" t="s">
        <v>170</v>
      </c>
      <c r="H1644" t="s">
        <v>2647</v>
      </c>
      <c r="I1644" t="s">
        <v>75</v>
      </c>
      <c r="J1644">
        <v>76</v>
      </c>
      <c r="K1644">
        <v>91.75</v>
      </c>
      <c r="L1644">
        <v>49.93</v>
      </c>
      <c r="M1644">
        <v>0.02</v>
      </c>
      <c r="N1644" t="s">
        <v>45</v>
      </c>
    </row>
    <row r="1645" spans="1:14" x14ac:dyDescent="0.25">
      <c r="A1645" t="s">
        <v>2168</v>
      </c>
      <c r="B1645" s="2">
        <v>45436</v>
      </c>
      <c r="C1645" t="s">
        <v>245</v>
      </c>
      <c r="D1645" t="s">
        <v>209</v>
      </c>
      <c r="E1645" t="s">
        <v>2617</v>
      </c>
      <c r="F1645" t="s">
        <v>2641</v>
      </c>
      <c r="G1645" t="s">
        <v>74</v>
      </c>
      <c r="H1645" t="s">
        <v>2647</v>
      </c>
      <c r="I1645" t="s">
        <v>2578</v>
      </c>
      <c r="J1645">
        <v>74</v>
      </c>
      <c r="K1645">
        <v>18.55</v>
      </c>
      <c r="L1645">
        <v>9.89</v>
      </c>
      <c r="M1645">
        <v>0.1</v>
      </c>
      <c r="N1645" t="s">
        <v>45</v>
      </c>
    </row>
    <row r="1646" spans="1:14" x14ac:dyDescent="0.25">
      <c r="A1646" t="s">
        <v>2169</v>
      </c>
      <c r="B1646" s="2">
        <v>45565</v>
      </c>
      <c r="C1646" t="s">
        <v>843</v>
      </c>
      <c r="D1646" t="s">
        <v>23</v>
      </c>
      <c r="E1646" t="s">
        <v>2614</v>
      </c>
      <c r="F1646" t="s">
        <v>2622</v>
      </c>
      <c r="G1646" t="s">
        <v>265</v>
      </c>
      <c r="H1646" t="s">
        <v>2645</v>
      </c>
      <c r="I1646" t="s">
        <v>70</v>
      </c>
      <c r="J1646">
        <v>73</v>
      </c>
      <c r="K1646">
        <v>75.25</v>
      </c>
      <c r="L1646">
        <v>44.87</v>
      </c>
      <c r="M1646">
        <v>0</v>
      </c>
      <c r="N1646" t="s">
        <v>45</v>
      </c>
    </row>
    <row r="1647" spans="1:14" x14ac:dyDescent="0.25">
      <c r="A1647" t="s">
        <v>2170</v>
      </c>
      <c r="B1647" s="2">
        <v>45528</v>
      </c>
      <c r="C1647" t="s">
        <v>1033</v>
      </c>
      <c r="D1647" t="s">
        <v>99</v>
      </c>
      <c r="E1647" t="s">
        <v>2616</v>
      </c>
      <c r="F1647" t="s">
        <v>2631</v>
      </c>
      <c r="G1647" t="s">
        <v>218</v>
      </c>
      <c r="H1647" t="s">
        <v>2645</v>
      </c>
      <c r="I1647" t="s">
        <v>84</v>
      </c>
      <c r="J1647">
        <v>74</v>
      </c>
      <c r="K1647">
        <v>75.33</v>
      </c>
      <c r="L1647">
        <v>42.98</v>
      </c>
      <c r="M1647">
        <v>0</v>
      </c>
      <c r="N1647" t="s">
        <v>129</v>
      </c>
    </row>
    <row r="1648" spans="1:14" x14ac:dyDescent="0.25">
      <c r="A1648" t="s">
        <v>2171</v>
      </c>
      <c r="B1648" s="2">
        <v>45379</v>
      </c>
      <c r="C1648" t="s">
        <v>533</v>
      </c>
      <c r="D1648" t="s">
        <v>49</v>
      </c>
      <c r="E1648" t="s">
        <v>2617</v>
      </c>
      <c r="F1648" t="s">
        <v>2626</v>
      </c>
      <c r="G1648" t="s">
        <v>60</v>
      </c>
      <c r="H1648" t="s">
        <v>2647</v>
      </c>
      <c r="I1648" t="s">
        <v>2578</v>
      </c>
      <c r="J1648">
        <v>23</v>
      </c>
      <c r="K1648">
        <v>23.17</v>
      </c>
      <c r="L1648">
        <v>13.97</v>
      </c>
      <c r="M1648">
        <v>0.05</v>
      </c>
      <c r="N1648" t="s">
        <v>45</v>
      </c>
    </row>
    <row r="1649" spans="1:14" x14ac:dyDescent="0.25">
      <c r="A1649" t="s">
        <v>2172</v>
      </c>
      <c r="B1649" s="2">
        <v>45604</v>
      </c>
      <c r="C1649" t="s">
        <v>1431</v>
      </c>
      <c r="D1649" t="s">
        <v>78</v>
      </c>
      <c r="E1649" t="s">
        <v>2618</v>
      </c>
      <c r="F1649" t="s">
        <v>2632</v>
      </c>
      <c r="G1649" t="s">
        <v>195</v>
      </c>
      <c r="H1649" t="s">
        <v>2647</v>
      </c>
      <c r="I1649" t="s">
        <v>84</v>
      </c>
      <c r="J1649">
        <v>37</v>
      </c>
      <c r="K1649">
        <v>145.06</v>
      </c>
      <c r="L1649">
        <v>88.24</v>
      </c>
      <c r="M1649">
        <v>0.2</v>
      </c>
      <c r="N1649" t="s">
        <v>45</v>
      </c>
    </row>
    <row r="1650" spans="1:14" x14ac:dyDescent="0.25">
      <c r="A1650" t="s">
        <v>2173</v>
      </c>
      <c r="B1650" s="2">
        <v>45522</v>
      </c>
      <c r="C1650" t="s">
        <v>451</v>
      </c>
      <c r="D1650" t="s">
        <v>132</v>
      </c>
      <c r="E1650" t="s">
        <v>2615</v>
      </c>
      <c r="F1650" t="s">
        <v>2623</v>
      </c>
      <c r="G1650" t="s">
        <v>83</v>
      </c>
      <c r="H1650" t="s">
        <v>2647</v>
      </c>
      <c r="I1650" t="s">
        <v>44</v>
      </c>
      <c r="J1650">
        <v>71</v>
      </c>
      <c r="K1650">
        <v>56.78</v>
      </c>
      <c r="L1650">
        <v>31.91</v>
      </c>
      <c r="M1650">
        <v>0</v>
      </c>
      <c r="N1650" t="s">
        <v>45</v>
      </c>
    </row>
    <row r="1651" spans="1:14" x14ac:dyDescent="0.25">
      <c r="A1651" t="s">
        <v>2174</v>
      </c>
      <c r="B1651" s="2">
        <v>45627</v>
      </c>
      <c r="C1651" t="s">
        <v>276</v>
      </c>
      <c r="D1651" t="s">
        <v>187</v>
      </c>
      <c r="E1651" t="s">
        <v>2614</v>
      </c>
      <c r="F1651" t="s">
        <v>2636</v>
      </c>
      <c r="G1651" t="s">
        <v>253</v>
      </c>
      <c r="H1651" t="s">
        <v>2646</v>
      </c>
      <c r="I1651" t="s">
        <v>44</v>
      </c>
      <c r="J1651">
        <v>34</v>
      </c>
      <c r="K1651">
        <v>50</v>
      </c>
      <c r="L1651">
        <v>27.4</v>
      </c>
      <c r="M1651">
        <v>0.15</v>
      </c>
      <c r="N1651" t="s">
        <v>129</v>
      </c>
    </row>
    <row r="1652" spans="1:14" x14ac:dyDescent="0.25">
      <c r="A1652" t="s">
        <v>2175</v>
      </c>
      <c r="B1652" s="2">
        <v>45582</v>
      </c>
      <c r="C1652" t="s">
        <v>1044</v>
      </c>
      <c r="D1652" t="s">
        <v>165</v>
      </c>
      <c r="E1652" t="s">
        <v>2616</v>
      </c>
      <c r="F1652" t="s">
        <v>2638</v>
      </c>
      <c r="G1652" t="s">
        <v>83</v>
      </c>
      <c r="H1652" t="s">
        <v>2645</v>
      </c>
      <c r="I1652" t="s">
        <v>84</v>
      </c>
      <c r="J1652">
        <v>24</v>
      </c>
      <c r="K1652">
        <v>44.79</v>
      </c>
      <c r="L1652">
        <v>23.14</v>
      </c>
      <c r="M1652">
        <v>0.15</v>
      </c>
      <c r="N1652" t="s">
        <v>32</v>
      </c>
    </row>
    <row r="1653" spans="1:14" x14ac:dyDescent="0.25">
      <c r="A1653" t="s">
        <v>2176</v>
      </c>
      <c r="B1653" s="2">
        <v>45582</v>
      </c>
      <c r="C1653" t="s">
        <v>938</v>
      </c>
      <c r="D1653" t="s">
        <v>209</v>
      </c>
      <c r="E1653" t="s">
        <v>2617</v>
      </c>
      <c r="F1653" t="s">
        <v>2626</v>
      </c>
      <c r="G1653" t="s">
        <v>144</v>
      </c>
      <c r="H1653" t="s">
        <v>2645</v>
      </c>
      <c r="I1653" t="s">
        <v>75</v>
      </c>
      <c r="J1653">
        <v>70</v>
      </c>
      <c r="K1653">
        <v>16.86</v>
      </c>
      <c r="L1653">
        <v>9.82</v>
      </c>
      <c r="M1653">
        <v>0</v>
      </c>
      <c r="N1653" t="s">
        <v>45</v>
      </c>
    </row>
    <row r="1654" spans="1:14" x14ac:dyDescent="0.25">
      <c r="A1654" t="s">
        <v>2177</v>
      </c>
      <c r="B1654" s="2">
        <v>45411</v>
      </c>
      <c r="C1654" t="s">
        <v>1557</v>
      </c>
      <c r="D1654" t="s">
        <v>109</v>
      </c>
      <c r="E1654" t="s">
        <v>2617</v>
      </c>
      <c r="F1654" t="s">
        <v>2642</v>
      </c>
      <c r="G1654" t="s">
        <v>111</v>
      </c>
      <c r="H1654" t="s">
        <v>2648</v>
      </c>
      <c r="I1654" t="s">
        <v>44</v>
      </c>
      <c r="J1654">
        <v>65</v>
      </c>
      <c r="K1654">
        <v>131.55000000000001</v>
      </c>
      <c r="L1654">
        <v>77.13</v>
      </c>
      <c r="M1654">
        <v>0</v>
      </c>
      <c r="N1654" t="s">
        <v>45</v>
      </c>
    </row>
    <row r="1655" spans="1:14" x14ac:dyDescent="0.25">
      <c r="A1655" t="s">
        <v>2178</v>
      </c>
      <c r="B1655" s="2">
        <v>45590</v>
      </c>
      <c r="C1655" t="s">
        <v>1036</v>
      </c>
      <c r="D1655" t="s">
        <v>209</v>
      </c>
      <c r="E1655" t="s">
        <v>2616</v>
      </c>
      <c r="F1655" t="s">
        <v>2624</v>
      </c>
      <c r="G1655" t="s">
        <v>42</v>
      </c>
      <c r="H1655" t="s">
        <v>2645</v>
      </c>
      <c r="I1655" t="s">
        <v>44</v>
      </c>
      <c r="J1655">
        <v>22</v>
      </c>
      <c r="K1655">
        <v>16.62</v>
      </c>
      <c r="L1655">
        <v>9.7799999999999994</v>
      </c>
      <c r="M1655">
        <v>0.1</v>
      </c>
      <c r="N1655" t="s">
        <v>32</v>
      </c>
    </row>
    <row r="1656" spans="1:14" x14ac:dyDescent="0.25">
      <c r="A1656" t="s">
        <v>2179</v>
      </c>
      <c r="B1656" s="2">
        <v>45650</v>
      </c>
      <c r="C1656" t="s">
        <v>98</v>
      </c>
      <c r="D1656" t="s">
        <v>78</v>
      </c>
      <c r="E1656" t="s">
        <v>2615</v>
      </c>
      <c r="F1656" t="s">
        <v>2640</v>
      </c>
      <c r="G1656" t="s">
        <v>178</v>
      </c>
      <c r="H1656" t="s">
        <v>2648</v>
      </c>
      <c r="I1656" t="s">
        <v>70</v>
      </c>
      <c r="J1656">
        <v>38</v>
      </c>
      <c r="K1656">
        <v>131.07</v>
      </c>
      <c r="L1656">
        <v>84.15</v>
      </c>
      <c r="M1656">
        <v>0</v>
      </c>
      <c r="N1656" t="s">
        <v>32</v>
      </c>
    </row>
    <row r="1657" spans="1:14" x14ac:dyDescent="0.25">
      <c r="A1657" t="s">
        <v>2180</v>
      </c>
      <c r="B1657" s="2">
        <v>45654</v>
      </c>
      <c r="C1657" t="s">
        <v>1380</v>
      </c>
      <c r="D1657" t="s">
        <v>36</v>
      </c>
      <c r="E1657" t="s">
        <v>2616</v>
      </c>
      <c r="F1657" t="s">
        <v>2631</v>
      </c>
      <c r="G1657" t="s">
        <v>261</v>
      </c>
      <c r="H1657" t="s">
        <v>2647</v>
      </c>
      <c r="I1657" t="s">
        <v>2578</v>
      </c>
      <c r="J1657">
        <v>44</v>
      </c>
      <c r="K1657">
        <v>160.57</v>
      </c>
      <c r="L1657">
        <v>102.07</v>
      </c>
      <c r="M1657">
        <v>0.02</v>
      </c>
      <c r="N1657" t="s">
        <v>45</v>
      </c>
    </row>
    <row r="1658" spans="1:14" x14ac:dyDescent="0.25">
      <c r="A1658" t="s">
        <v>2181</v>
      </c>
      <c r="B1658" s="2">
        <v>45574</v>
      </c>
      <c r="C1658" t="s">
        <v>611</v>
      </c>
      <c r="D1658" t="s">
        <v>126</v>
      </c>
      <c r="E1658" t="s">
        <v>2614</v>
      </c>
      <c r="F1658" t="s">
        <v>2629</v>
      </c>
      <c r="G1658" t="s">
        <v>170</v>
      </c>
      <c r="H1658" t="s">
        <v>2646</v>
      </c>
      <c r="I1658" t="s">
        <v>84</v>
      </c>
      <c r="J1658">
        <v>5</v>
      </c>
      <c r="K1658">
        <v>90.1</v>
      </c>
      <c r="L1658">
        <v>52.23</v>
      </c>
      <c r="M1658">
        <v>0.02</v>
      </c>
      <c r="N1658" t="s">
        <v>45</v>
      </c>
    </row>
    <row r="1659" spans="1:14" x14ac:dyDescent="0.25">
      <c r="A1659" t="s">
        <v>2182</v>
      </c>
      <c r="B1659" s="2">
        <v>45354</v>
      </c>
      <c r="C1659" t="s">
        <v>1028</v>
      </c>
      <c r="D1659" t="s">
        <v>23</v>
      </c>
      <c r="E1659" t="s">
        <v>2617</v>
      </c>
      <c r="F1659" t="s">
        <v>2626</v>
      </c>
      <c r="G1659" t="s">
        <v>248</v>
      </c>
      <c r="H1659" t="s">
        <v>2645</v>
      </c>
      <c r="I1659" t="s">
        <v>75</v>
      </c>
      <c r="J1659">
        <v>63</v>
      </c>
      <c r="K1659">
        <v>75.89</v>
      </c>
      <c r="L1659">
        <v>45.18</v>
      </c>
      <c r="M1659">
        <v>0.2</v>
      </c>
      <c r="N1659" t="s">
        <v>45</v>
      </c>
    </row>
    <row r="1660" spans="1:14" x14ac:dyDescent="0.25">
      <c r="A1660" t="s">
        <v>2183</v>
      </c>
      <c r="B1660" s="2">
        <v>45341</v>
      </c>
      <c r="C1660" t="s">
        <v>902</v>
      </c>
      <c r="D1660" t="s">
        <v>93</v>
      </c>
      <c r="E1660" t="s">
        <v>2614</v>
      </c>
      <c r="F1660" t="s">
        <v>2637</v>
      </c>
      <c r="G1660" t="s">
        <v>248</v>
      </c>
      <c r="H1660" t="s">
        <v>2645</v>
      </c>
      <c r="I1660" t="s">
        <v>75</v>
      </c>
      <c r="J1660">
        <v>59</v>
      </c>
      <c r="K1660">
        <v>56.16</v>
      </c>
      <c r="L1660">
        <v>30.77</v>
      </c>
      <c r="M1660">
        <v>0.05</v>
      </c>
      <c r="N1660" t="s">
        <v>45</v>
      </c>
    </row>
    <row r="1661" spans="1:14" x14ac:dyDescent="0.25">
      <c r="A1661" t="s">
        <v>2184</v>
      </c>
      <c r="B1661" s="2">
        <v>45392</v>
      </c>
      <c r="C1661" t="s">
        <v>1025</v>
      </c>
      <c r="D1661" t="s">
        <v>114</v>
      </c>
      <c r="E1661" t="s">
        <v>2616</v>
      </c>
      <c r="F1661" t="s">
        <v>2633</v>
      </c>
      <c r="G1661" t="s">
        <v>248</v>
      </c>
      <c r="H1661" t="s">
        <v>2646</v>
      </c>
      <c r="I1661" t="s">
        <v>75</v>
      </c>
      <c r="J1661">
        <v>66</v>
      </c>
      <c r="K1661">
        <v>36.64</v>
      </c>
      <c r="L1661">
        <v>21.43</v>
      </c>
      <c r="M1661">
        <v>0</v>
      </c>
      <c r="N1661" t="s">
        <v>45</v>
      </c>
    </row>
    <row r="1662" spans="1:14" x14ac:dyDescent="0.25">
      <c r="A1662" t="s">
        <v>2185</v>
      </c>
      <c r="B1662" s="2">
        <v>45546</v>
      </c>
      <c r="C1662" t="s">
        <v>557</v>
      </c>
      <c r="D1662" t="s">
        <v>114</v>
      </c>
      <c r="E1662" t="s">
        <v>2614</v>
      </c>
      <c r="F1662" t="s">
        <v>2643</v>
      </c>
      <c r="G1662" t="s">
        <v>29</v>
      </c>
      <c r="H1662" t="s">
        <v>2645</v>
      </c>
      <c r="I1662" t="s">
        <v>2578</v>
      </c>
      <c r="J1662">
        <v>65</v>
      </c>
      <c r="K1662">
        <v>37.64</v>
      </c>
      <c r="L1662">
        <v>20.43</v>
      </c>
      <c r="M1662">
        <v>0.02</v>
      </c>
      <c r="N1662" t="s">
        <v>45</v>
      </c>
    </row>
    <row r="1663" spans="1:14" x14ac:dyDescent="0.25">
      <c r="A1663" t="s">
        <v>2186</v>
      </c>
      <c r="B1663" s="2">
        <v>45323</v>
      </c>
      <c r="C1663" t="s">
        <v>258</v>
      </c>
      <c r="D1663" t="s">
        <v>165</v>
      </c>
      <c r="E1663" t="s">
        <v>2616</v>
      </c>
      <c r="F1663" t="s">
        <v>2631</v>
      </c>
      <c r="G1663" t="s">
        <v>42</v>
      </c>
      <c r="H1663" t="s">
        <v>2646</v>
      </c>
      <c r="I1663" t="s">
        <v>44</v>
      </c>
      <c r="J1663">
        <v>27</v>
      </c>
      <c r="K1663">
        <v>41.4</v>
      </c>
      <c r="L1663">
        <v>26.02</v>
      </c>
      <c r="M1663">
        <v>0.1</v>
      </c>
      <c r="N1663" t="s">
        <v>45</v>
      </c>
    </row>
    <row r="1664" spans="1:14" x14ac:dyDescent="0.25">
      <c r="A1664" t="s">
        <v>2187</v>
      </c>
      <c r="B1664" s="2">
        <v>45375</v>
      </c>
      <c r="C1664" t="s">
        <v>611</v>
      </c>
      <c r="D1664" t="s">
        <v>132</v>
      </c>
      <c r="E1664" t="s">
        <v>2616</v>
      </c>
      <c r="F1664" t="s">
        <v>2638</v>
      </c>
      <c r="G1664" t="s">
        <v>144</v>
      </c>
      <c r="H1664" t="s">
        <v>2645</v>
      </c>
      <c r="I1664" t="s">
        <v>70</v>
      </c>
      <c r="J1664">
        <v>24</v>
      </c>
      <c r="K1664">
        <v>60.39</v>
      </c>
      <c r="L1664">
        <v>34.75</v>
      </c>
      <c r="M1664">
        <v>0.2</v>
      </c>
      <c r="N1664" t="s">
        <v>45</v>
      </c>
    </row>
    <row r="1665" spans="1:14" x14ac:dyDescent="0.25">
      <c r="A1665" t="s">
        <v>2188</v>
      </c>
      <c r="B1665" s="2">
        <v>45376</v>
      </c>
      <c r="C1665" t="s">
        <v>1025</v>
      </c>
      <c r="D1665" t="s">
        <v>78</v>
      </c>
      <c r="E1665" t="s">
        <v>2614</v>
      </c>
      <c r="F1665" t="s">
        <v>2636</v>
      </c>
      <c r="G1665" t="s">
        <v>90</v>
      </c>
      <c r="H1665" t="s">
        <v>2648</v>
      </c>
      <c r="I1665" t="s">
        <v>44</v>
      </c>
      <c r="J1665">
        <v>64</v>
      </c>
      <c r="K1665">
        <v>149.72999999999999</v>
      </c>
      <c r="L1665">
        <v>87.58</v>
      </c>
      <c r="M1665">
        <v>0.02</v>
      </c>
      <c r="N1665" t="s">
        <v>45</v>
      </c>
    </row>
    <row r="1666" spans="1:14" x14ac:dyDescent="0.25">
      <c r="A1666" t="s">
        <v>2189</v>
      </c>
      <c r="B1666" s="2">
        <v>45528</v>
      </c>
      <c r="C1666" t="s">
        <v>721</v>
      </c>
      <c r="D1666" t="s">
        <v>93</v>
      </c>
      <c r="E1666" t="s">
        <v>2618</v>
      </c>
      <c r="F1666" t="s">
        <v>2632</v>
      </c>
      <c r="G1666" t="s">
        <v>111</v>
      </c>
      <c r="H1666" t="s">
        <v>2645</v>
      </c>
      <c r="I1666" t="s">
        <v>84</v>
      </c>
      <c r="J1666">
        <v>58</v>
      </c>
      <c r="K1666">
        <v>53.57</v>
      </c>
      <c r="L1666">
        <v>33.9</v>
      </c>
      <c r="M1666">
        <v>0.02</v>
      </c>
      <c r="N1666" t="s">
        <v>32</v>
      </c>
    </row>
    <row r="1667" spans="1:14" x14ac:dyDescent="0.25">
      <c r="A1667" t="s">
        <v>2190</v>
      </c>
      <c r="B1667" s="2">
        <v>45626</v>
      </c>
      <c r="C1667" t="s">
        <v>2191</v>
      </c>
      <c r="D1667" t="s">
        <v>165</v>
      </c>
      <c r="E1667" t="s">
        <v>2618</v>
      </c>
      <c r="F1667" t="s">
        <v>2632</v>
      </c>
      <c r="G1667" t="s">
        <v>69</v>
      </c>
      <c r="H1667" t="s">
        <v>2648</v>
      </c>
      <c r="I1667" t="s">
        <v>84</v>
      </c>
      <c r="J1667">
        <v>61</v>
      </c>
      <c r="K1667">
        <v>42.89</v>
      </c>
      <c r="L1667">
        <v>24.79</v>
      </c>
      <c r="M1667">
        <v>0.1</v>
      </c>
      <c r="N1667" t="s">
        <v>45</v>
      </c>
    </row>
    <row r="1668" spans="1:14" x14ac:dyDescent="0.25">
      <c r="A1668" t="s">
        <v>2192</v>
      </c>
      <c r="B1668" s="2">
        <v>45449</v>
      </c>
      <c r="C1668" t="s">
        <v>293</v>
      </c>
      <c r="D1668" t="s">
        <v>216</v>
      </c>
      <c r="E1668" t="s">
        <v>2618</v>
      </c>
      <c r="F1668" t="s">
        <v>2635</v>
      </c>
      <c r="G1668" t="s">
        <v>195</v>
      </c>
      <c r="H1668" t="s">
        <v>2646</v>
      </c>
      <c r="I1668" t="s">
        <v>70</v>
      </c>
      <c r="J1668">
        <v>75</v>
      </c>
      <c r="K1668">
        <v>112.28</v>
      </c>
      <c r="L1668">
        <v>65.959999999999994</v>
      </c>
      <c r="M1668">
        <v>0.2</v>
      </c>
      <c r="N1668" t="s">
        <v>45</v>
      </c>
    </row>
    <row r="1669" spans="1:14" x14ac:dyDescent="0.25">
      <c r="A1669" t="s">
        <v>2193</v>
      </c>
      <c r="B1669" s="2">
        <v>45498</v>
      </c>
      <c r="C1669" t="s">
        <v>1394</v>
      </c>
      <c r="D1669" t="s">
        <v>23</v>
      </c>
      <c r="E1669" t="s">
        <v>2614</v>
      </c>
      <c r="F1669" t="s">
        <v>2622</v>
      </c>
      <c r="G1669" t="s">
        <v>29</v>
      </c>
      <c r="H1669" t="s">
        <v>2648</v>
      </c>
      <c r="I1669" t="s">
        <v>44</v>
      </c>
      <c r="J1669">
        <v>30</v>
      </c>
      <c r="K1669">
        <v>80.27</v>
      </c>
      <c r="L1669">
        <v>44.96</v>
      </c>
      <c r="M1669">
        <v>0.2</v>
      </c>
      <c r="N1669" t="s">
        <v>129</v>
      </c>
    </row>
    <row r="1670" spans="1:14" x14ac:dyDescent="0.25">
      <c r="A1670" t="s">
        <v>2194</v>
      </c>
      <c r="B1670" s="2">
        <v>45386</v>
      </c>
      <c r="C1670" t="s">
        <v>662</v>
      </c>
      <c r="D1670" t="s">
        <v>49</v>
      </c>
      <c r="E1670" t="s">
        <v>2618</v>
      </c>
      <c r="F1670" t="s">
        <v>2634</v>
      </c>
      <c r="G1670" t="s">
        <v>195</v>
      </c>
      <c r="H1670" t="s">
        <v>2647</v>
      </c>
      <c r="I1670" t="s">
        <v>44</v>
      </c>
      <c r="J1670">
        <v>19</v>
      </c>
      <c r="K1670">
        <v>26.42</v>
      </c>
      <c r="L1670">
        <v>13.04</v>
      </c>
      <c r="M1670">
        <v>0.2</v>
      </c>
      <c r="N1670" t="s">
        <v>129</v>
      </c>
    </row>
    <row r="1671" spans="1:14" x14ac:dyDescent="0.25">
      <c r="A1671" t="s">
        <v>439</v>
      </c>
      <c r="B1671" s="2">
        <v>45294</v>
      </c>
      <c r="C1671" t="s">
        <v>203</v>
      </c>
      <c r="D1671" t="s">
        <v>36</v>
      </c>
      <c r="E1671" t="s">
        <v>2614</v>
      </c>
      <c r="F1671" t="s">
        <v>2637</v>
      </c>
      <c r="G1671" t="s">
        <v>111</v>
      </c>
      <c r="H1671" t="s">
        <v>2646</v>
      </c>
      <c r="I1671" t="s">
        <v>44</v>
      </c>
      <c r="J1671">
        <v>47</v>
      </c>
      <c r="K1671">
        <v>151.97</v>
      </c>
      <c r="L1671">
        <v>106.58</v>
      </c>
      <c r="M1671">
        <v>0.15</v>
      </c>
      <c r="N1671" t="s">
        <v>32</v>
      </c>
    </row>
    <row r="1672" spans="1:14" x14ac:dyDescent="0.25">
      <c r="A1672" t="s">
        <v>2195</v>
      </c>
      <c r="B1672" s="2">
        <v>45429</v>
      </c>
      <c r="C1672" t="s">
        <v>322</v>
      </c>
      <c r="D1672" t="s">
        <v>114</v>
      </c>
      <c r="E1672" t="s">
        <v>2617</v>
      </c>
      <c r="F1672" t="s">
        <v>2626</v>
      </c>
      <c r="G1672" t="s">
        <v>83</v>
      </c>
      <c r="H1672" t="s">
        <v>2647</v>
      </c>
      <c r="I1672" t="s">
        <v>2578</v>
      </c>
      <c r="J1672">
        <v>9</v>
      </c>
      <c r="K1672">
        <v>33.9</v>
      </c>
      <c r="L1672">
        <v>21.08</v>
      </c>
      <c r="M1672">
        <v>0.02</v>
      </c>
      <c r="N1672" t="s">
        <v>45</v>
      </c>
    </row>
    <row r="1673" spans="1:14" x14ac:dyDescent="0.25">
      <c r="A1673" t="s">
        <v>2196</v>
      </c>
      <c r="B1673" s="2">
        <v>45319</v>
      </c>
      <c r="C1673" t="s">
        <v>985</v>
      </c>
      <c r="D1673" t="s">
        <v>209</v>
      </c>
      <c r="E1673" t="s">
        <v>2616</v>
      </c>
      <c r="F1673" t="s">
        <v>2624</v>
      </c>
      <c r="G1673" t="s">
        <v>265</v>
      </c>
      <c r="H1673" t="s">
        <v>2645</v>
      </c>
      <c r="I1673" t="s">
        <v>44</v>
      </c>
      <c r="J1673">
        <v>14</v>
      </c>
      <c r="K1673">
        <v>17.3</v>
      </c>
      <c r="L1673">
        <v>10.25</v>
      </c>
      <c r="M1673">
        <v>0.2</v>
      </c>
      <c r="N1673" t="s">
        <v>45</v>
      </c>
    </row>
    <row r="1674" spans="1:14" x14ac:dyDescent="0.25">
      <c r="A1674" t="s">
        <v>2197</v>
      </c>
      <c r="B1674" s="2">
        <v>45489</v>
      </c>
      <c r="C1674" t="s">
        <v>1184</v>
      </c>
      <c r="D1674" t="s">
        <v>165</v>
      </c>
      <c r="E1674" t="s">
        <v>2617</v>
      </c>
      <c r="F1674" t="s">
        <v>2642</v>
      </c>
      <c r="G1674" t="s">
        <v>42</v>
      </c>
      <c r="H1674" t="s">
        <v>2647</v>
      </c>
      <c r="I1674" t="s">
        <v>2578</v>
      </c>
      <c r="J1674">
        <v>19</v>
      </c>
      <c r="K1674">
        <v>44.88</v>
      </c>
      <c r="L1674">
        <v>24.55</v>
      </c>
      <c r="M1674">
        <v>0.02</v>
      </c>
      <c r="N1674" t="s">
        <v>45</v>
      </c>
    </row>
    <row r="1675" spans="1:14" x14ac:dyDescent="0.25">
      <c r="A1675" t="s">
        <v>2198</v>
      </c>
      <c r="B1675" s="2">
        <v>45365</v>
      </c>
      <c r="C1675" t="s">
        <v>471</v>
      </c>
      <c r="D1675" t="s">
        <v>114</v>
      </c>
      <c r="E1675" t="s">
        <v>2617</v>
      </c>
      <c r="F1675" t="s">
        <v>2642</v>
      </c>
      <c r="G1675" t="s">
        <v>90</v>
      </c>
      <c r="H1675" t="s">
        <v>2646</v>
      </c>
      <c r="I1675" t="s">
        <v>2578</v>
      </c>
      <c r="J1675">
        <v>3</v>
      </c>
      <c r="K1675">
        <v>36.700000000000003</v>
      </c>
      <c r="L1675">
        <v>21.02</v>
      </c>
      <c r="M1675">
        <v>0.2</v>
      </c>
      <c r="N1675" t="s">
        <v>32</v>
      </c>
    </row>
    <row r="1676" spans="1:14" x14ac:dyDescent="0.25">
      <c r="A1676" t="s">
        <v>2199</v>
      </c>
      <c r="B1676" s="2">
        <v>45300</v>
      </c>
      <c r="C1676" t="s">
        <v>565</v>
      </c>
      <c r="D1676" t="s">
        <v>109</v>
      </c>
      <c r="E1676" t="s">
        <v>2618</v>
      </c>
      <c r="F1676" t="s">
        <v>2634</v>
      </c>
      <c r="G1676" t="s">
        <v>111</v>
      </c>
      <c r="H1676" t="s">
        <v>2647</v>
      </c>
      <c r="I1676" t="s">
        <v>44</v>
      </c>
      <c r="J1676">
        <v>26</v>
      </c>
      <c r="K1676">
        <v>123.43</v>
      </c>
      <c r="L1676">
        <v>78.650000000000006</v>
      </c>
      <c r="M1676">
        <v>0.15</v>
      </c>
      <c r="N1676" t="s">
        <v>45</v>
      </c>
    </row>
    <row r="1677" spans="1:14" x14ac:dyDescent="0.25">
      <c r="A1677" t="s">
        <v>2200</v>
      </c>
      <c r="B1677" s="2">
        <v>45500</v>
      </c>
      <c r="C1677" t="s">
        <v>578</v>
      </c>
      <c r="D1677" t="s">
        <v>114</v>
      </c>
      <c r="E1677" t="s">
        <v>2616</v>
      </c>
      <c r="F1677" t="s">
        <v>2633</v>
      </c>
      <c r="G1677" t="s">
        <v>152</v>
      </c>
      <c r="H1677" t="s">
        <v>2645</v>
      </c>
      <c r="I1677" t="s">
        <v>44</v>
      </c>
      <c r="J1677">
        <v>27</v>
      </c>
      <c r="K1677">
        <v>33.4</v>
      </c>
      <c r="L1677">
        <v>20.75</v>
      </c>
      <c r="M1677">
        <v>0.02</v>
      </c>
      <c r="N1677" t="s">
        <v>45</v>
      </c>
    </row>
    <row r="1678" spans="1:14" x14ac:dyDescent="0.25">
      <c r="A1678" t="s">
        <v>2201</v>
      </c>
      <c r="B1678" s="2">
        <v>45336</v>
      </c>
      <c r="C1678" t="s">
        <v>1431</v>
      </c>
      <c r="D1678" t="s">
        <v>187</v>
      </c>
      <c r="E1678" t="s">
        <v>2614</v>
      </c>
      <c r="F1678" t="s">
        <v>2622</v>
      </c>
      <c r="G1678" t="s">
        <v>253</v>
      </c>
      <c r="H1678" t="s">
        <v>2645</v>
      </c>
      <c r="I1678" t="s">
        <v>70</v>
      </c>
      <c r="J1678">
        <v>24</v>
      </c>
      <c r="K1678">
        <v>51.16</v>
      </c>
      <c r="L1678">
        <v>30.5</v>
      </c>
      <c r="M1678">
        <v>0.1</v>
      </c>
      <c r="N1678" t="s">
        <v>45</v>
      </c>
    </row>
    <row r="1679" spans="1:14" x14ac:dyDescent="0.25">
      <c r="A1679" t="s">
        <v>2202</v>
      </c>
      <c r="B1679" s="2">
        <v>45564</v>
      </c>
      <c r="C1679" t="s">
        <v>970</v>
      </c>
      <c r="D1679" t="s">
        <v>222</v>
      </c>
      <c r="E1679" t="s">
        <v>2615</v>
      </c>
      <c r="F1679" t="s">
        <v>2639</v>
      </c>
      <c r="G1679" t="s">
        <v>42</v>
      </c>
      <c r="H1679" t="s">
        <v>2645</v>
      </c>
      <c r="I1679" t="s">
        <v>44</v>
      </c>
      <c r="J1679">
        <v>21</v>
      </c>
      <c r="K1679">
        <v>125.14</v>
      </c>
      <c r="L1679">
        <v>76.959999999999994</v>
      </c>
      <c r="M1679">
        <v>0.15</v>
      </c>
      <c r="N1679" t="s">
        <v>129</v>
      </c>
    </row>
    <row r="1680" spans="1:14" x14ac:dyDescent="0.25">
      <c r="A1680" t="s">
        <v>2203</v>
      </c>
      <c r="B1680" s="2">
        <v>45484</v>
      </c>
      <c r="C1680" t="s">
        <v>798</v>
      </c>
      <c r="D1680" t="s">
        <v>23</v>
      </c>
      <c r="E1680" t="s">
        <v>2618</v>
      </c>
      <c r="F1680" t="s">
        <v>2628</v>
      </c>
      <c r="G1680" t="s">
        <v>195</v>
      </c>
      <c r="H1680" t="s">
        <v>2645</v>
      </c>
      <c r="I1680" t="s">
        <v>84</v>
      </c>
      <c r="J1680">
        <v>-5</v>
      </c>
      <c r="K1680">
        <v>75.150000000000006</v>
      </c>
      <c r="L1680">
        <v>45.27</v>
      </c>
      <c r="M1680">
        <v>0.2</v>
      </c>
      <c r="N1680" t="s">
        <v>45</v>
      </c>
    </row>
    <row r="1681" spans="1:14" x14ac:dyDescent="0.25">
      <c r="A1681" t="s">
        <v>2204</v>
      </c>
      <c r="B1681" s="2">
        <v>45487</v>
      </c>
      <c r="C1681" t="s">
        <v>241</v>
      </c>
      <c r="D1681" t="s">
        <v>132</v>
      </c>
      <c r="E1681" t="s">
        <v>2614</v>
      </c>
      <c r="F1681" t="s">
        <v>2637</v>
      </c>
      <c r="G1681" t="s">
        <v>178</v>
      </c>
      <c r="H1681" t="s">
        <v>2646</v>
      </c>
      <c r="I1681" t="s">
        <v>44</v>
      </c>
      <c r="J1681">
        <v>71</v>
      </c>
      <c r="K1681">
        <v>57.83</v>
      </c>
      <c r="L1681">
        <v>33.93</v>
      </c>
      <c r="M1681">
        <v>0.02</v>
      </c>
      <c r="N1681" t="s">
        <v>45</v>
      </c>
    </row>
    <row r="1682" spans="1:14" x14ac:dyDescent="0.25">
      <c r="A1682" t="s">
        <v>2205</v>
      </c>
      <c r="B1682" s="2">
        <v>45575</v>
      </c>
      <c r="C1682" t="s">
        <v>339</v>
      </c>
      <c r="D1682" t="s">
        <v>216</v>
      </c>
      <c r="E1682" t="s">
        <v>2616</v>
      </c>
      <c r="F1682" t="s">
        <v>2631</v>
      </c>
      <c r="G1682" t="s">
        <v>90</v>
      </c>
      <c r="H1682" t="s">
        <v>2648</v>
      </c>
      <c r="I1682" t="s">
        <v>2578</v>
      </c>
      <c r="J1682">
        <v>16</v>
      </c>
      <c r="K1682">
        <v>109.2</v>
      </c>
      <c r="L1682">
        <v>70.69</v>
      </c>
      <c r="M1682">
        <v>0.05</v>
      </c>
      <c r="N1682" t="s">
        <v>45</v>
      </c>
    </row>
    <row r="1683" spans="1:14" x14ac:dyDescent="0.25">
      <c r="A1683" t="s">
        <v>2206</v>
      </c>
      <c r="B1683" s="2">
        <v>45332</v>
      </c>
      <c r="C1683" t="s">
        <v>384</v>
      </c>
      <c r="D1683" t="s">
        <v>93</v>
      </c>
      <c r="E1683" t="s">
        <v>2618</v>
      </c>
      <c r="F1683" t="s">
        <v>2634</v>
      </c>
      <c r="G1683" t="s">
        <v>60</v>
      </c>
      <c r="H1683" t="s">
        <v>2646</v>
      </c>
      <c r="I1683" t="s">
        <v>2578</v>
      </c>
      <c r="J1683">
        <v>8</v>
      </c>
      <c r="K1683">
        <v>53.31</v>
      </c>
      <c r="L1683">
        <v>34.119999999999997</v>
      </c>
      <c r="M1683">
        <v>0.15</v>
      </c>
      <c r="N1683" t="s">
        <v>45</v>
      </c>
    </row>
    <row r="1684" spans="1:14" x14ac:dyDescent="0.25">
      <c r="A1684" t="s">
        <v>2207</v>
      </c>
      <c r="B1684" s="2">
        <v>45447</v>
      </c>
      <c r="C1684" t="s">
        <v>471</v>
      </c>
      <c r="D1684" t="s">
        <v>23</v>
      </c>
      <c r="E1684" t="s">
        <v>2615</v>
      </c>
      <c r="F1684" t="s">
        <v>2623</v>
      </c>
      <c r="G1684" t="s">
        <v>90</v>
      </c>
      <c r="H1684" t="s">
        <v>2646</v>
      </c>
      <c r="I1684" t="s">
        <v>84</v>
      </c>
      <c r="J1684">
        <v>2</v>
      </c>
      <c r="K1684">
        <v>71.02</v>
      </c>
      <c r="L1684">
        <v>46.67</v>
      </c>
      <c r="M1684">
        <v>0.02</v>
      </c>
      <c r="N1684" t="s">
        <v>45</v>
      </c>
    </row>
    <row r="1685" spans="1:14" x14ac:dyDescent="0.25">
      <c r="A1685" t="s">
        <v>2208</v>
      </c>
      <c r="B1685" s="2">
        <v>45329</v>
      </c>
      <c r="C1685" t="s">
        <v>309</v>
      </c>
      <c r="D1685" t="s">
        <v>187</v>
      </c>
      <c r="E1685" t="s">
        <v>2614</v>
      </c>
      <c r="F1685" t="s">
        <v>2636</v>
      </c>
      <c r="G1685" t="s">
        <v>248</v>
      </c>
      <c r="H1685" t="s">
        <v>2646</v>
      </c>
      <c r="I1685" t="s">
        <v>2578</v>
      </c>
      <c r="J1685">
        <v>10</v>
      </c>
      <c r="K1685">
        <v>45.17</v>
      </c>
      <c r="L1685">
        <v>26.83</v>
      </c>
      <c r="M1685">
        <v>0.15</v>
      </c>
      <c r="N1685" t="s">
        <v>45</v>
      </c>
    </row>
    <row r="1686" spans="1:14" x14ac:dyDescent="0.25">
      <c r="A1686" t="s">
        <v>2209</v>
      </c>
      <c r="B1686" s="2">
        <v>45319</v>
      </c>
      <c r="C1686" t="s">
        <v>468</v>
      </c>
      <c r="D1686" t="s">
        <v>165</v>
      </c>
      <c r="E1686" t="s">
        <v>2616</v>
      </c>
      <c r="F1686" t="s">
        <v>2638</v>
      </c>
      <c r="G1686" t="s">
        <v>265</v>
      </c>
      <c r="H1686" t="s">
        <v>2648</v>
      </c>
      <c r="I1686" t="s">
        <v>44</v>
      </c>
      <c r="J1686">
        <v>47</v>
      </c>
      <c r="K1686">
        <v>40.82</v>
      </c>
      <c r="L1686">
        <v>24.7</v>
      </c>
      <c r="M1686">
        <v>0</v>
      </c>
      <c r="N1686" t="s">
        <v>45</v>
      </c>
    </row>
    <row r="1687" spans="1:14" x14ac:dyDescent="0.25">
      <c r="A1687" t="s">
        <v>2210</v>
      </c>
      <c r="B1687" s="2">
        <v>45607</v>
      </c>
      <c r="C1687" t="s">
        <v>1137</v>
      </c>
      <c r="D1687" t="s">
        <v>165</v>
      </c>
      <c r="E1687" t="s">
        <v>2618</v>
      </c>
      <c r="F1687" t="s">
        <v>2634</v>
      </c>
      <c r="G1687" t="s">
        <v>265</v>
      </c>
      <c r="H1687" t="s">
        <v>2646</v>
      </c>
      <c r="I1687" t="s">
        <v>2578</v>
      </c>
      <c r="J1687">
        <v>58</v>
      </c>
      <c r="K1687">
        <v>39.21</v>
      </c>
      <c r="L1687">
        <v>25.43</v>
      </c>
      <c r="M1687">
        <v>0.05</v>
      </c>
      <c r="N1687" t="s">
        <v>45</v>
      </c>
    </row>
    <row r="1688" spans="1:14" x14ac:dyDescent="0.25">
      <c r="A1688" t="s">
        <v>2211</v>
      </c>
      <c r="B1688" s="2">
        <v>45363</v>
      </c>
      <c r="C1688" t="s">
        <v>438</v>
      </c>
      <c r="D1688" t="s">
        <v>222</v>
      </c>
      <c r="E1688" t="s">
        <v>2616</v>
      </c>
      <c r="F1688" t="s">
        <v>2631</v>
      </c>
      <c r="G1688" t="s">
        <v>60</v>
      </c>
      <c r="H1688" t="s">
        <v>2645</v>
      </c>
      <c r="I1688" t="s">
        <v>2578</v>
      </c>
      <c r="J1688">
        <v>39</v>
      </c>
      <c r="K1688">
        <v>126.5</v>
      </c>
      <c r="L1688">
        <v>77.61</v>
      </c>
      <c r="M1688">
        <v>0.02</v>
      </c>
      <c r="N1688" t="s">
        <v>45</v>
      </c>
    </row>
    <row r="1689" spans="1:14" x14ac:dyDescent="0.25">
      <c r="A1689" t="s">
        <v>2212</v>
      </c>
      <c r="B1689" s="2">
        <v>45403</v>
      </c>
      <c r="C1689" t="s">
        <v>493</v>
      </c>
      <c r="D1689" t="s">
        <v>222</v>
      </c>
      <c r="E1689" t="s">
        <v>2616</v>
      </c>
      <c r="F1689" t="s">
        <v>2638</v>
      </c>
      <c r="G1689" t="s">
        <v>170</v>
      </c>
      <c r="H1689" t="s">
        <v>2647</v>
      </c>
      <c r="I1689" t="s">
        <v>70</v>
      </c>
      <c r="J1689">
        <v>36</v>
      </c>
      <c r="K1689">
        <v>122.47</v>
      </c>
      <c r="L1689">
        <v>80.349999999999994</v>
      </c>
      <c r="M1689">
        <v>0</v>
      </c>
      <c r="N1689" t="s">
        <v>129</v>
      </c>
    </row>
    <row r="1690" spans="1:14" x14ac:dyDescent="0.25">
      <c r="A1690" t="s">
        <v>2213</v>
      </c>
      <c r="B1690" s="2">
        <v>45533</v>
      </c>
      <c r="C1690" t="s">
        <v>489</v>
      </c>
      <c r="D1690" t="s">
        <v>126</v>
      </c>
      <c r="E1690" t="s">
        <v>2617</v>
      </c>
      <c r="F1690" t="s">
        <v>2642</v>
      </c>
      <c r="G1690" t="s">
        <v>83</v>
      </c>
      <c r="H1690" t="s">
        <v>2645</v>
      </c>
      <c r="I1690" t="s">
        <v>75</v>
      </c>
      <c r="J1690">
        <v>18</v>
      </c>
      <c r="K1690">
        <v>94.06</v>
      </c>
      <c r="L1690">
        <v>54.22</v>
      </c>
      <c r="M1690">
        <v>0.2</v>
      </c>
      <c r="N1690" t="s">
        <v>45</v>
      </c>
    </row>
    <row r="1691" spans="1:14" x14ac:dyDescent="0.25">
      <c r="A1691" t="s">
        <v>2214</v>
      </c>
      <c r="B1691" s="2">
        <v>45591</v>
      </c>
      <c r="C1691" t="s">
        <v>1431</v>
      </c>
      <c r="D1691" t="s">
        <v>99</v>
      </c>
      <c r="E1691" t="s">
        <v>2617</v>
      </c>
      <c r="F1691" t="s">
        <v>2626</v>
      </c>
      <c r="G1691" t="s">
        <v>170</v>
      </c>
      <c r="H1691" t="s">
        <v>2645</v>
      </c>
      <c r="I1691" t="s">
        <v>44</v>
      </c>
      <c r="J1691">
        <v>74</v>
      </c>
      <c r="K1691">
        <v>69.97</v>
      </c>
      <c r="L1691">
        <v>39.06</v>
      </c>
      <c r="M1691">
        <v>0.02</v>
      </c>
      <c r="N1691" t="s">
        <v>45</v>
      </c>
    </row>
    <row r="1692" spans="1:14" x14ac:dyDescent="0.25">
      <c r="A1692" t="s">
        <v>2215</v>
      </c>
      <c r="B1692" s="2">
        <v>45343</v>
      </c>
      <c r="C1692" t="s">
        <v>832</v>
      </c>
      <c r="D1692" t="s">
        <v>93</v>
      </c>
      <c r="E1692" t="s">
        <v>2614</v>
      </c>
      <c r="F1692" t="s">
        <v>2629</v>
      </c>
      <c r="G1692" t="s">
        <v>118</v>
      </c>
      <c r="H1692" t="s">
        <v>2648</v>
      </c>
      <c r="I1692" t="s">
        <v>44</v>
      </c>
      <c r="J1692">
        <v>65</v>
      </c>
      <c r="K1692">
        <v>51.05</v>
      </c>
      <c r="L1692">
        <v>32.159999999999997</v>
      </c>
      <c r="M1692">
        <v>0.15</v>
      </c>
      <c r="N1692" t="s">
        <v>45</v>
      </c>
    </row>
    <row r="1693" spans="1:14" x14ac:dyDescent="0.25">
      <c r="A1693" t="s">
        <v>2216</v>
      </c>
      <c r="B1693" s="2">
        <v>45427</v>
      </c>
      <c r="C1693" t="s">
        <v>1293</v>
      </c>
      <c r="D1693" t="s">
        <v>216</v>
      </c>
      <c r="E1693" t="s">
        <v>2618</v>
      </c>
      <c r="F1693" t="s">
        <v>2628</v>
      </c>
      <c r="G1693" t="s">
        <v>195</v>
      </c>
      <c r="H1693" t="s">
        <v>2648</v>
      </c>
      <c r="I1693" t="s">
        <v>75</v>
      </c>
      <c r="J1693">
        <v>27</v>
      </c>
      <c r="K1693">
        <v>104.83</v>
      </c>
      <c r="L1693">
        <v>61.76</v>
      </c>
      <c r="M1693">
        <v>0.02</v>
      </c>
      <c r="N1693" t="s">
        <v>45</v>
      </c>
    </row>
    <row r="1694" spans="1:14" x14ac:dyDescent="0.25">
      <c r="A1694" t="s">
        <v>2217</v>
      </c>
      <c r="B1694" s="2">
        <v>45352</v>
      </c>
      <c r="C1694" t="s">
        <v>1068</v>
      </c>
      <c r="D1694" t="s">
        <v>165</v>
      </c>
      <c r="E1694" t="s">
        <v>2618</v>
      </c>
      <c r="F1694" t="s">
        <v>2628</v>
      </c>
      <c r="G1694" t="s">
        <v>29</v>
      </c>
      <c r="H1694" t="s">
        <v>2647</v>
      </c>
      <c r="I1694" t="s">
        <v>2578</v>
      </c>
      <c r="J1694">
        <v>68</v>
      </c>
      <c r="K1694">
        <v>42.79</v>
      </c>
      <c r="L1694">
        <v>25.81</v>
      </c>
      <c r="M1694">
        <v>0</v>
      </c>
      <c r="N1694" t="s">
        <v>129</v>
      </c>
    </row>
    <row r="1695" spans="1:14" x14ac:dyDescent="0.25">
      <c r="A1695" t="s">
        <v>2218</v>
      </c>
      <c r="B1695" s="2">
        <v>45319</v>
      </c>
      <c r="C1695" t="s">
        <v>864</v>
      </c>
      <c r="D1695" t="s">
        <v>23</v>
      </c>
      <c r="E1695" t="s">
        <v>2616</v>
      </c>
      <c r="F1695" t="s">
        <v>2631</v>
      </c>
      <c r="G1695" t="s">
        <v>170</v>
      </c>
      <c r="H1695" t="s">
        <v>2645</v>
      </c>
      <c r="I1695" t="s">
        <v>44</v>
      </c>
      <c r="J1695">
        <v>23</v>
      </c>
      <c r="K1695">
        <v>70.27</v>
      </c>
      <c r="L1695">
        <v>42.98</v>
      </c>
      <c r="M1695">
        <v>0.02</v>
      </c>
      <c r="N1695" t="s">
        <v>45</v>
      </c>
    </row>
    <row r="1696" spans="1:14" x14ac:dyDescent="0.25">
      <c r="A1696" t="s">
        <v>2219</v>
      </c>
      <c r="B1696" s="2">
        <v>45396</v>
      </c>
      <c r="C1696" t="s">
        <v>418</v>
      </c>
      <c r="D1696" t="s">
        <v>49</v>
      </c>
      <c r="E1696" t="s">
        <v>2618</v>
      </c>
      <c r="F1696" t="s">
        <v>2628</v>
      </c>
      <c r="G1696" t="s">
        <v>152</v>
      </c>
      <c r="H1696" t="s">
        <v>2645</v>
      </c>
      <c r="I1696" t="s">
        <v>84</v>
      </c>
      <c r="J1696">
        <v>9</v>
      </c>
      <c r="K1696">
        <v>23.23</v>
      </c>
      <c r="L1696">
        <v>13.98</v>
      </c>
      <c r="M1696">
        <v>1.25</v>
      </c>
      <c r="N1696" t="s">
        <v>45</v>
      </c>
    </row>
    <row r="1697" spans="1:14" x14ac:dyDescent="0.25">
      <c r="A1697" t="s">
        <v>2220</v>
      </c>
      <c r="B1697" s="2">
        <v>45393</v>
      </c>
      <c r="C1697" t="s">
        <v>418</v>
      </c>
      <c r="D1697" t="s">
        <v>176</v>
      </c>
      <c r="E1697" t="s">
        <v>2618</v>
      </c>
      <c r="F1697" t="s">
        <v>2634</v>
      </c>
      <c r="G1697" t="s">
        <v>90</v>
      </c>
      <c r="H1697" t="s">
        <v>2645</v>
      </c>
      <c r="I1697" t="s">
        <v>2578</v>
      </c>
      <c r="J1697">
        <v>60</v>
      </c>
      <c r="K1697">
        <v>109.53</v>
      </c>
      <c r="L1697">
        <v>61.97</v>
      </c>
      <c r="M1697">
        <v>0.15</v>
      </c>
      <c r="N1697" t="s">
        <v>32</v>
      </c>
    </row>
    <row r="1698" spans="1:14" x14ac:dyDescent="0.25">
      <c r="A1698" t="s">
        <v>2221</v>
      </c>
      <c r="B1698" s="2">
        <v>45585</v>
      </c>
      <c r="C1698" t="s">
        <v>86</v>
      </c>
      <c r="D1698" t="s">
        <v>99</v>
      </c>
      <c r="E1698" t="s">
        <v>2618</v>
      </c>
      <c r="F1698" t="s">
        <v>2634</v>
      </c>
      <c r="G1698" t="s">
        <v>178</v>
      </c>
      <c r="H1698" t="s">
        <v>2646</v>
      </c>
      <c r="I1698" t="s">
        <v>84</v>
      </c>
      <c r="J1698">
        <v>48</v>
      </c>
      <c r="K1698">
        <v>72.86</v>
      </c>
      <c r="L1698">
        <v>40.74</v>
      </c>
      <c r="M1698">
        <v>0.02</v>
      </c>
      <c r="N1698" t="s">
        <v>45</v>
      </c>
    </row>
    <row r="1699" spans="1:14" x14ac:dyDescent="0.25">
      <c r="A1699" t="s">
        <v>2222</v>
      </c>
      <c r="B1699" s="2">
        <v>45572</v>
      </c>
      <c r="C1699" t="s">
        <v>1171</v>
      </c>
      <c r="D1699" t="s">
        <v>66</v>
      </c>
      <c r="E1699" t="s">
        <v>2614</v>
      </c>
      <c r="F1699" t="s">
        <v>2637</v>
      </c>
      <c r="G1699" t="s">
        <v>74</v>
      </c>
      <c r="H1699" t="s">
        <v>2646</v>
      </c>
      <c r="I1699" t="s">
        <v>70</v>
      </c>
      <c r="J1699">
        <v>7</v>
      </c>
      <c r="K1699">
        <v>162.43</v>
      </c>
      <c r="L1699">
        <v>96.54</v>
      </c>
      <c r="M1699">
        <v>0</v>
      </c>
      <c r="N1699" t="s">
        <v>45</v>
      </c>
    </row>
    <row r="1700" spans="1:14" x14ac:dyDescent="0.25">
      <c r="A1700" t="s">
        <v>2223</v>
      </c>
      <c r="B1700" s="2">
        <v>45655</v>
      </c>
      <c r="C1700" t="s">
        <v>113</v>
      </c>
      <c r="D1700" t="s">
        <v>141</v>
      </c>
      <c r="E1700" t="s">
        <v>2618</v>
      </c>
      <c r="F1700" t="s">
        <v>2632</v>
      </c>
      <c r="G1700" t="s">
        <v>42</v>
      </c>
      <c r="H1700" t="s">
        <v>2648</v>
      </c>
      <c r="I1700" t="s">
        <v>84</v>
      </c>
      <c r="J1700">
        <v>17</v>
      </c>
      <c r="K1700">
        <v>94.13</v>
      </c>
      <c r="L1700">
        <v>55.78</v>
      </c>
      <c r="M1700">
        <v>0</v>
      </c>
      <c r="N1700" t="s">
        <v>45</v>
      </c>
    </row>
    <row r="1701" spans="1:14" x14ac:dyDescent="0.25">
      <c r="A1701" t="s">
        <v>2224</v>
      </c>
      <c r="B1701" s="2">
        <v>45416</v>
      </c>
      <c r="C1701" t="s">
        <v>511</v>
      </c>
      <c r="D1701" t="s">
        <v>216</v>
      </c>
      <c r="E1701" t="s">
        <v>2615</v>
      </c>
      <c r="F1701" t="s">
        <v>2640</v>
      </c>
      <c r="G1701" t="s">
        <v>195</v>
      </c>
      <c r="H1701" t="s">
        <v>2645</v>
      </c>
      <c r="I1701" t="s">
        <v>84</v>
      </c>
      <c r="J1701">
        <v>43</v>
      </c>
      <c r="K1701">
        <v>102.61</v>
      </c>
      <c r="L1701">
        <v>65.44</v>
      </c>
      <c r="M1701">
        <v>0.02</v>
      </c>
      <c r="N1701" t="s">
        <v>129</v>
      </c>
    </row>
    <row r="1702" spans="1:14" x14ac:dyDescent="0.25">
      <c r="A1702" t="s">
        <v>2225</v>
      </c>
      <c r="B1702" s="2">
        <v>45340</v>
      </c>
      <c r="C1702" t="s">
        <v>282</v>
      </c>
      <c r="D1702" t="s">
        <v>141</v>
      </c>
      <c r="E1702" t="s">
        <v>2614</v>
      </c>
      <c r="F1702" t="s">
        <v>2629</v>
      </c>
      <c r="G1702" t="s">
        <v>218</v>
      </c>
      <c r="H1702" t="s">
        <v>2648</v>
      </c>
      <c r="I1702" t="s">
        <v>44</v>
      </c>
      <c r="J1702">
        <v>72</v>
      </c>
      <c r="K1702">
        <v>99.9</v>
      </c>
      <c r="L1702">
        <v>56.7</v>
      </c>
      <c r="M1702">
        <v>0.2</v>
      </c>
      <c r="N1702" t="s">
        <v>45</v>
      </c>
    </row>
    <row r="1703" spans="1:14" x14ac:dyDescent="0.25">
      <c r="A1703" t="s">
        <v>2226</v>
      </c>
      <c r="B1703" s="2">
        <v>45556</v>
      </c>
      <c r="C1703" t="s">
        <v>814</v>
      </c>
      <c r="D1703" t="s">
        <v>93</v>
      </c>
      <c r="E1703" t="s">
        <v>2618</v>
      </c>
      <c r="F1703" t="s">
        <v>2635</v>
      </c>
      <c r="G1703" t="s">
        <v>118</v>
      </c>
      <c r="H1703" t="s">
        <v>2648</v>
      </c>
      <c r="I1703" t="s">
        <v>44</v>
      </c>
      <c r="J1703">
        <v>74</v>
      </c>
      <c r="K1703">
        <v>56.4</v>
      </c>
      <c r="L1703">
        <v>30.52</v>
      </c>
      <c r="M1703">
        <v>0.02</v>
      </c>
      <c r="N1703" t="s">
        <v>45</v>
      </c>
    </row>
    <row r="1704" spans="1:14" x14ac:dyDescent="0.25">
      <c r="A1704" t="s">
        <v>2227</v>
      </c>
      <c r="B1704" s="2">
        <v>45425</v>
      </c>
      <c r="C1704" t="s">
        <v>333</v>
      </c>
      <c r="D1704" t="s">
        <v>250</v>
      </c>
      <c r="E1704" t="s">
        <v>2618</v>
      </c>
      <c r="F1704" t="s">
        <v>2628</v>
      </c>
      <c r="G1704" t="s">
        <v>265</v>
      </c>
      <c r="H1704" t="s">
        <v>2646</v>
      </c>
      <c r="I1704" t="s">
        <v>84</v>
      </c>
      <c r="J1704">
        <v>26</v>
      </c>
      <c r="K1704">
        <v>65.77</v>
      </c>
      <c r="L1704">
        <v>37.35</v>
      </c>
      <c r="M1704">
        <v>0</v>
      </c>
      <c r="N1704" t="s">
        <v>129</v>
      </c>
    </row>
    <row r="1705" spans="1:14" x14ac:dyDescent="0.25">
      <c r="A1705" t="s">
        <v>2228</v>
      </c>
      <c r="B1705" s="2">
        <v>45629</v>
      </c>
      <c r="C1705" t="s">
        <v>938</v>
      </c>
      <c r="D1705" t="s">
        <v>126</v>
      </c>
      <c r="E1705" t="s">
        <v>2614</v>
      </c>
      <c r="F1705" t="s">
        <v>2636</v>
      </c>
      <c r="G1705" t="s">
        <v>29</v>
      </c>
      <c r="H1705" t="s">
        <v>2648</v>
      </c>
      <c r="I1705" t="s">
        <v>44</v>
      </c>
      <c r="J1705">
        <v>0</v>
      </c>
      <c r="K1705">
        <v>88.91</v>
      </c>
      <c r="L1705">
        <v>55.01</v>
      </c>
      <c r="M1705">
        <v>0</v>
      </c>
      <c r="N1705" t="s">
        <v>32</v>
      </c>
    </row>
    <row r="1706" spans="1:14" x14ac:dyDescent="0.25">
      <c r="A1706" t="s">
        <v>2229</v>
      </c>
      <c r="B1706" s="2">
        <v>45381</v>
      </c>
      <c r="C1706" t="s">
        <v>186</v>
      </c>
      <c r="D1706" t="s">
        <v>109</v>
      </c>
      <c r="E1706" t="s">
        <v>2614</v>
      </c>
      <c r="F1706" t="s">
        <v>2636</v>
      </c>
      <c r="G1706" t="s">
        <v>42</v>
      </c>
      <c r="H1706" t="s">
        <v>2645</v>
      </c>
      <c r="I1706" t="s">
        <v>70</v>
      </c>
      <c r="J1706">
        <v>68</v>
      </c>
      <c r="K1706">
        <v>121.54</v>
      </c>
      <c r="L1706">
        <v>69.84</v>
      </c>
      <c r="M1706">
        <v>0.2</v>
      </c>
      <c r="N1706" t="s">
        <v>32</v>
      </c>
    </row>
    <row r="1707" spans="1:14" x14ac:dyDescent="0.25">
      <c r="A1707" t="s">
        <v>2230</v>
      </c>
      <c r="B1707" s="2">
        <v>45382</v>
      </c>
      <c r="C1707" t="s">
        <v>817</v>
      </c>
      <c r="D1707" t="s">
        <v>36</v>
      </c>
      <c r="E1707" t="s">
        <v>2618</v>
      </c>
      <c r="F1707" t="s">
        <v>2635</v>
      </c>
      <c r="G1707" t="s">
        <v>218</v>
      </c>
      <c r="H1707" t="s">
        <v>2645</v>
      </c>
      <c r="I1707" t="s">
        <v>75</v>
      </c>
      <c r="J1707">
        <v>41</v>
      </c>
      <c r="K1707">
        <v>169.27</v>
      </c>
      <c r="L1707">
        <v>92.3</v>
      </c>
      <c r="M1707">
        <v>0.02</v>
      </c>
      <c r="N1707" t="s">
        <v>32</v>
      </c>
    </row>
    <row r="1708" spans="1:14" x14ac:dyDescent="0.25">
      <c r="A1708" t="s">
        <v>2231</v>
      </c>
      <c r="B1708" s="2">
        <v>45433</v>
      </c>
      <c r="C1708" t="s">
        <v>146</v>
      </c>
      <c r="D1708" t="s">
        <v>78</v>
      </c>
      <c r="E1708" t="s">
        <v>2617</v>
      </c>
      <c r="F1708" t="s">
        <v>2626</v>
      </c>
      <c r="G1708" t="s">
        <v>29</v>
      </c>
      <c r="H1708" t="s">
        <v>2645</v>
      </c>
      <c r="I1708" t="s">
        <v>2578</v>
      </c>
      <c r="J1708">
        <v>7</v>
      </c>
      <c r="K1708">
        <v>130.63</v>
      </c>
      <c r="L1708">
        <v>76.23</v>
      </c>
      <c r="M1708">
        <v>0</v>
      </c>
      <c r="N1708" t="s">
        <v>32</v>
      </c>
    </row>
    <row r="1709" spans="1:14" x14ac:dyDescent="0.25">
      <c r="A1709" t="s">
        <v>2232</v>
      </c>
      <c r="B1709" s="2">
        <v>45525</v>
      </c>
      <c r="C1709" t="s">
        <v>613</v>
      </c>
      <c r="D1709" t="s">
        <v>23</v>
      </c>
      <c r="E1709" t="s">
        <v>2616</v>
      </c>
      <c r="F1709" t="s">
        <v>2633</v>
      </c>
      <c r="G1709" t="s">
        <v>29</v>
      </c>
      <c r="H1709" t="s">
        <v>2648</v>
      </c>
      <c r="I1709" t="s">
        <v>75</v>
      </c>
      <c r="J1709">
        <v>33</v>
      </c>
      <c r="K1709">
        <v>76.47</v>
      </c>
      <c r="L1709">
        <v>45.98</v>
      </c>
      <c r="M1709">
        <v>0.05</v>
      </c>
      <c r="N1709" t="s">
        <v>45</v>
      </c>
    </row>
    <row r="1710" spans="1:14" x14ac:dyDescent="0.25">
      <c r="A1710" t="s">
        <v>2233</v>
      </c>
      <c r="B1710" s="2">
        <v>45297</v>
      </c>
      <c r="C1710" t="s">
        <v>893</v>
      </c>
      <c r="D1710" t="s">
        <v>150</v>
      </c>
      <c r="E1710" t="s">
        <v>2616</v>
      </c>
      <c r="F1710" t="s">
        <v>2631</v>
      </c>
      <c r="G1710" t="s">
        <v>218</v>
      </c>
      <c r="H1710" t="s">
        <v>2647</v>
      </c>
      <c r="I1710" t="s">
        <v>70</v>
      </c>
      <c r="J1710">
        <v>26</v>
      </c>
      <c r="K1710">
        <v>81.849999999999994</v>
      </c>
      <c r="L1710">
        <v>51.34</v>
      </c>
      <c r="M1710">
        <v>0.2</v>
      </c>
      <c r="N1710" t="s">
        <v>32</v>
      </c>
    </row>
    <row r="1711" spans="1:14" x14ac:dyDescent="0.25">
      <c r="A1711" t="s">
        <v>2234</v>
      </c>
      <c r="B1711" s="2">
        <v>45359</v>
      </c>
      <c r="C1711" t="s">
        <v>293</v>
      </c>
      <c r="D1711" t="s">
        <v>99</v>
      </c>
      <c r="E1711" t="s">
        <v>2615</v>
      </c>
      <c r="F1711" t="s">
        <v>2640</v>
      </c>
      <c r="G1711" t="s">
        <v>60</v>
      </c>
      <c r="H1711" t="s">
        <v>2646</v>
      </c>
      <c r="I1711" t="s">
        <v>2578</v>
      </c>
      <c r="J1711">
        <v>42</v>
      </c>
      <c r="K1711">
        <v>73.069999999999993</v>
      </c>
      <c r="L1711">
        <v>42.79</v>
      </c>
      <c r="M1711">
        <v>0.1</v>
      </c>
      <c r="N1711" t="s">
        <v>129</v>
      </c>
    </row>
    <row r="1712" spans="1:14" x14ac:dyDescent="0.25">
      <c r="A1712" t="s">
        <v>2235</v>
      </c>
      <c r="B1712" s="2">
        <v>45452</v>
      </c>
      <c r="C1712" t="s">
        <v>347</v>
      </c>
      <c r="D1712" t="s">
        <v>141</v>
      </c>
      <c r="E1712" t="s">
        <v>2615</v>
      </c>
      <c r="F1712" t="s">
        <v>2623</v>
      </c>
      <c r="G1712" t="s">
        <v>178</v>
      </c>
      <c r="H1712" t="s">
        <v>2647</v>
      </c>
      <c r="I1712" t="s">
        <v>84</v>
      </c>
      <c r="J1712">
        <v>41</v>
      </c>
      <c r="K1712">
        <v>88.84</v>
      </c>
      <c r="L1712">
        <v>59.7</v>
      </c>
      <c r="M1712">
        <v>0.2</v>
      </c>
      <c r="N1712" t="s">
        <v>32</v>
      </c>
    </row>
    <row r="1713" spans="1:14" x14ac:dyDescent="0.25">
      <c r="A1713" t="s">
        <v>2236</v>
      </c>
      <c r="B1713" s="2">
        <v>45503</v>
      </c>
      <c r="C1713" t="s">
        <v>967</v>
      </c>
      <c r="D1713" t="s">
        <v>99</v>
      </c>
      <c r="E1713" t="s">
        <v>2614</v>
      </c>
      <c r="F1713" t="s">
        <v>2622</v>
      </c>
      <c r="G1713" t="s">
        <v>170</v>
      </c>
      <c r="H1713" t="s">
        <v>2647</v>
      </c>
      <c r="I1713" t="s">
        <v>70</v>
      </c>
      <c r="J1713">
        <v>69</v>
      </c>
      <c r="K1713">
        <v>64.459999999999994</v>
      </c>
      <c r="L1713">
        <v>37.770000000000003</v>
      </c>
      <c r="M1713">
        <v>0.15</v>
      </c>
      <c r="N1713" t="s">
        <v>45</v>
      </c>
    </row>
    <row r="1714" spans="1:14" x14ac:dyDescent="0.25">
      <c r="A1714" t="s">
        <v>2237</v>
      </c>
      <c r="B1714" s="2">
        <v>45293</v>
      </c>
      <c r="C1714" t="s">
        <v>1033</v>
      </c>
      <c r="D1714" t="s">
        <v>176</v>
      </c>
      <c r="E1714" t="s">
        <v>2618</v>
      </c>
      <c r="F1714" t="s">
        <v>2628</v>
      </c>
      <c r="G1714" t="s">
        <v>152</v>
      </c>
      <c r="H1714" t="s">
        <v>2647</v>
      </c>
      <c r="I1714" t="s">
        <v>75</v>
      </c>
      <c r="J1714">
        <v>30</v>
      </c>
      <c r="K1714">
        <v>97.57</v>
      </c>
      <c r="L1714">
        <v>61.41</v>
      </c>
      <c r="M1714">
        <v>0.02</v>
      </c>
      <c r="N1714" t="s">
        <v>45</v>
      </c>
    </row>
    <row r="1715" spans="1:14" x14ac:dyDescent="0.25">
      <c r="A1715" t="s">
        <v>2238</v>
      </c>
      <c r="B1715" s="2">
        <v>45540</v>
      </c>
      <c r="C1715" t="s">
        <v>565</v>
      </c>
      <c r="D1715" t="s">
        <v>132</v>
      </c>
      <c r="E1715" t="s">
        <v>2614</v>
      </c>
      <c r="F1715" t="s">
        <v>2629</v>
      </c>
      <c r="G1715" t="s">
        <v>265</v>
      </c>
      <c r="H1715" t="s">
        <v>2648</v>
      </c>
      <c r="I1715" t="s">
        <v>84</v>
      </c>
      <c r="J1715">
        <v>11</v>
      </c>
      <c r="K1715">
        <v>55.99</v>
      </c>
      <c r="L1715">
        <v>34.979999999999997</v>
      </c>
      <c r="M1715">
        <v>0.02</v>
      </c>
      <c r="N1715" t="s">
        <v>45</v>
      </c>
    </row>
    <row r="1716" spans="1:14" x14ac:dyDescent="0.25">
      <c r="A1716" t="s">
        <v>2239</v>
      </c>
      <c r="B1716" s="2">
        <v>45589</v>
      </c>
      <c r="C1716" t="s">
        <v>535</v>
      </c>
      <c r="D1716" t="s">
        <v>36</v>
      </c>
      <c r="E1716" t="s">
        <v>2616</v>
      </c>
      <c r="F1716" t="s">
        <v>2631</v>
      </c>
      <c r="G1716" t="s">
        <v>248</v>
      </c>
      <c r="H1716" t="s">
        <v>2647</v>
      </c>
      <c r="I1716" t="s">
        <v>84</v>
      </c>
      <c r="J1716">
        <v>71</v>
      </c>
      <c r="K1716">
        <v>164.09</v>
      </c>
      <c r="L1716">
        <v>99.68</v>
      </c>
      <c r="M1716">
        <v>0.2</v>
      </c>
      <c r="N1716" t="s">
        <v>32</v>
      </c>
    </row>
    <row r="1717" spans="1:14" x14ac:dyDescent="0.25">
      <c r="A1717" t="s">
        <v>2240</v>
      </c>
      <c r="B1717" s="2">
        <v>45385</v>
      </c>
      <c r="C1717" t="s">
        <v>140</v>
      </c>
      <c r="D1717" t="s">
        <v>93</v>
      </c>
      <c r="E1717" t="s">
        <v>2614</v>
      </c>
      <c r="F1717" t="s">
        <v>2622</v>
      </c>
      <c r="G1717" t="s">
        <v>144</v>
      </c>
      <c r="H1717" t="s">
        <v>2645</v>
      </c>
      <c r="I1717" t="s">
        <v>2578</v>
      </c>
      <c r="J1717">
        <v>5</v>
      </c>
      <c r="K1717">
        <v>50.83</v>
      </c>
      <c r="L1717">
        <v>31.19</v>
      </c>
      <c r="M1717">
        <v>0.1</v>
      </c>
      <c r="N1717" t="s">
        <v>45</v>
      </c>
    </row>
    <row r="1718" spans="1:14" x14ac:dyDescent="0.25">
      <c r="A1718" t="s">
        <v>2241</v>
      </c>
      <c r="B1718" s="2">
        <v>45553</v>
      </c>
      <c r="C1718" t="s">
        <v>785</v>
      </c>
      <c r="D1718" t="s">
        <v>141</v>
      </c>
      <c r="E1718" t="s">
        <v>2617</v>
      </c>
      <c r="F1718" t="s">
        <v>2626</v>
      </c>
      <c r="G1718" t="s">
        <v>253</v>
      </c>
      <c r="H1718" t="s">
        <v>2647</v>
      </c>
      <c r="I1718" t="s">
        <v>2578</v>
      </c>
      <c r="J1718">
        <v>63</v>
      </c>
      <c r="K1718">
        <v>91.21</v>
      </c>
      <c r="L1718">
        <v>59.63</v>
      </c>
      <c r="M1718">
        <v>0.1</v>
      </c>
      <c r="N1718" t="s">
        <v>45</v>
      </c>
    </row>
    <row r="1719" spans="1:14" x14ac:dyDescent="0.25">
      <c r="A1719" t="s">
        <v>2242</v>
      </c>
      <c r="B1719" s="2">
        <v>45386</v>
      </c>
      <c r="C1719" t="s">
        <v>120</v>
      </c>
      <c r="D1719" t="s">
        <v>132</v>
      </c>
      <c r="E1719" t="s">
        <v>2614</v>
      </c>
      <c r="F1719" t="s">
        <v>2637</v>
      </c>
      <c r="G1719" t="s">
        <v>83</v>
      </c>
      <c r="H1719" t="s">
        <v>2648</v>
      </c>
      <c r="I1719" t="s">
        <v>70</v>
      </c>
      <c r="J1719">
        <v>33</v>
      </c>
      <c r="K1719">
        <v>63.26</v>
      </c>
      <c r="L1719">
        <v>33.369999999999997</v>
      </c>
      <c r="M1719">
        <v>0.1</v>
      </c>
      <c r="N1719" t="s">
        <v>45</v>
      </c>
    </row>
    <row r="1720" spans="1:14" x14ac:dyDescent="0.25">
      <c r="A1720" t="s">
        <v>2243</v>
      </c>
      <c r="B1720" s="2">
        <v>45644</v>
      </c>
      <c r="C1720" t="s">
        <v>1709</v>
      </c>
      <c r="D1720" t="s">
        <v>66</v>
      </c>
      <c r="E1720" t="s">
        <v>2616</v>
      </c>
      <c r="F1720" t="s">
        <v>2624</v>
      </c>
      <c r="G1720" t="s">
        <v>261</v>
      </c>
      <c r="H1720" t="s">
        <v>2647</v>
      </c>
      <c r="I1720" t="s">
        <v>70</v>
      </c>
      <c r="J1720">
        <v>4</v>
      </c>
      <c r="K1720">
        <v>155.91999999999999</v>
      </c>
      <c r="L1720">
        <v>111.17</v>
      </c>
      <c r="M1720">
        <v>0.15</v>
      </c>
      <c r="N1720" t="s">
        <v>32</v>
      </c>
    </row>
    <row r="1721" spans="1:14" x14ac:dyDescent="0.25">
      <c r="A1721" t="s">
        <v>2244</v>
      </c>
      <c r="B1721" s="2">
        <v>45635</v>
      </c>
      <c r="C1721" t="s">
        <v>148</v>
      </c>
      <c r="D1721" t="s">
        <v>150</v>
      </c>
      <c r="E1721" t="s">
        <v>2615</v>
      </c>
      <c r="F1721" t="s">
        <v>2630</v>
      </c>
      <c r="G1721" t="s">
        <v>195</v>
      </c>
      <c r="H1721" t="s">
        <v>2647</v>
      </c>
      <c r="I1721" t="s">
        <v>70</v>
      </c>
      <c r="J1721">
        <v>32</v>
      </c>
      <c r="K1721">
        <v>84.65</v>
      </c>
      <c r="L1721">
        <v>51.5</v>
      </c>
      <c r="M1721">
        <v>0.02</v>
      </c>
      <c r="N1721" t="s">
        <v>129</v>
      </c>
    </row>
    <row r="1722" spans="1:14" x14ac:dyDescent="0.25">
      <c r="A1722" t="s">
        <v>2245</v>
      </c>
      <c r="B1722" s="2">
        <v>45572</v>
      </c>
      <c r="C1722" t="s">
        <v>418</v>
      </c>
      <c r="D1722" t="s">
        <v>126</v>
      </c>
      <c r="E1722" t="s">
        <v>2614</v>
      </c>
      <c r="F1722" t="s">
        <v>2636</v>
      </c>
      <c r="G1722" t="s">
        <v>60</v>
      </c>
      <c r="H1722" t="s">
        <v>2645</v>
      </c>
      <c r="I1722" t="s">
        <v>84</v>
      </c>
      <c r="J1722">
        <v>32</v>
      </c>
      <c r="K1722">
        <v>93.42</v>
      </c>
      <c r="L1722">
        <v>52.8</v>
      </c>
      <c r="M1722">
        <v>0.2</v>
      </c>
      <c r="N1722" t="s">
        <v>45</v>
      </c>
    </row>
    <row r="1723" spans="1:14" x14ac:dyDescent="0.25">
      <c r="A1723" t="s">
        <v>2246</v>
      </c>
      <c r="B1723" s="2">
        <v>45334</v>
      </c>
      <c r="C1723" t="s">
        <v>531</v>
      </c>
      <c r="D1723" t="s">
        <v>126</v>
      </c>
      <c r="E1723" t="s">
        <v>2616</v>
      </c>
      <c r="F1723" t="s">
        <v>2638</v>
      </c>
      <c r="G1723" t="s">
        <v>218</v>
      </c>
      <c r="H1723" t="s">
        <v>2646</v>
      </c>
      <c r="I1723" t="s">
        <v>84</v>
      </c>
      <c r="J1723">
        <v>73</v>
      </c>
      <c r="K1723">
        <v>93.67</v>
      </c>
      <c r="L1723">
        <v>54.02</v>
      </c>
      <c r="M1723">
        <v>0</v>
      </c>
      <c r="N1723" t="s">
        <v>45</v>
      </c>
    </row>
    <row r="1724" spans="1:14" x14ac:dyDescent="0.25">
      <c r="A1724" t="s">
        <v>2247</v>
      </c>
      <c r="B1724" s="2">
        <v>45648</v>
      </c>
      <c r="C1724" t="s">
        <v>480</v>
      </c>
      <c r="D1724" t="s">
        <v>126</v>
      </c>
      <c r="E1724" t="s">
        <v>2614</v>
      </c>
      <c r="F1724" t="s">
        <v>2636</v>
      </c>
      <c r="G1724" t="s">
        <v>60</v>
      </c>
      <c r="H1724" t="s">
        <v>2645</v>
      </c>
      <c r="I1724" t="s">
        <v>70</v>
      </c>
      <c r="J1724">
        <v>44</v>
      </c>
      <c r="K1724">
        <v>83.89</v>
      </c>
      <c r="L1724">
        <v>49.85</v>
      </c>
      <c r="M1724">
        <v>0</v>
      </c>
      <c r="N1724" t="s">
        <v>45</v>
      </c>
    </row>
    <row r="1725" spans="1:14" x14ac:dyDescent="0.25">
      <c r="A1725" t="s">
        <v>2248</v>
      </c>
      <c r="B1725" s="2">
        <v>45501</v>
      </c>
      <c r="C1725" t="s">
        <v>1706</v>
      </c>
      <c r="D1725" t="s">
        <v>187</v>
      </c>
      <c r="E1725" t="s">
        <v>2616</v>
      </c>
      <c r="F1725" t="s">
        <v>2638</v>
      </c>
      <c r="G1725" t="s">
        <v>111</v>
      </c>
      <c r="H1725" t="s">
        <v>2646</v>
      </c>
      <c r="I1725" t="s">
        <v>75</v>
      </c>
      <c r="J1725">
        <v>34</v>
      </c>
      <c r="K1725">
        <v>49.97</v>
      </c>
      <c r="L1725">
        <v>26.94</v>
      </c>
      <c r="M1725">
        <v>0.02</v>
      </c>
      <c r="N1725" t="s">
        <v>129</v>
      </c>
    </row>
    <row r="1726" spans="1:14" x14ac:dyDescent="0.25">
      <c r="A1726" t="s">
        <v>2249</v>
      </c>
      <c r="B1726" s="2">
        <v>45577</v>
      </c>
      <c r="C1726" t="s">
        <v>1033</v>
      </c>
      <c r="D1726" t="s">
        <v>109</v>
      </c>
      <c r="E1726" t="s">
        <v>2616</v>
      </c>
      <c r="F1726" t="s">
        <v>2633</v>
      </c>
      <c r="G1726" t="s">
        <v>152</v>
      </c>
      <c r="H1726" t="s">
        <v>2648</v>
      </c>
      <c r="I1726" t="s">
        <v>44</v>
      </c>
      <c r="J1726">
        <v>71</v>
      </c>
      <c r="K1726">
        <v>129.13999999999999</v>
      </c>
      <c r="L1726">
        <v>69.89</v>
      </c>
      <c r="M1726">
        <v>0</v>
      </c>
      <c r="N1726" t="s">
        <v>32</v>
      </c>
    </row>
    <row r="1727" spans="1:14" x14ac:dyDescent="0.25">
      <c r="A1727" t="s">
        <v>2250</v>
      </c>
      <c r="B1727" s="2">
        <v>45512</v>
      </c>
      <c r="C1727" t="s">
        <v>660</v>
      </c>
      <c r="D1727" t="s">
        <v>66</v>
      </c>
      <c r="E1727" t="s">
        <v>2615</v>
      </c>
      <c r="F1727" t="s">
        <v>2623</v>
      </c>
      <c r="G1727" t="s">
        <v>83</v>
      </c>
      <c r="H1727" t="s">
        <v>2649</v>
      </c>
      <c r="I1727" t="s">
        <v>2578</v>
      </c>
      <c r="J1727">
        <v>58</v>
      </c>
      <c r="K1727">
        <v>147.6</v>
      </c>
      <c r="L1727">
        <v>111.13</v>
      </c>
      <c r="M1727">
        <v>0.02</v>
      </c>
      <c r="N1727" t="s">
        <v>45</v>
      </c>
    </row>
    <row r="1728" spans="1:14" x14ac:dyDescent="0.25">
      <c r="A1728" t="s">
        <v>2251</v>
      </c>
      <c r="B1728" s="2">
        <v>45500</v>
      </c>
      <c r="C1728" t="s">
        <v>278</v>
      </c>
      <c r="D1728" t="s">
        <v>49</v>
      </c>
      <c r="E1728" t="s">
        <v>2614</v>
      </c>
      <c r="F1728" t="s">
        <v>2622</v>
      </c>
      <c r="G1728" t="s">
        <v>218</v>
      </c>
      <c r="H1728" t="s">
        <v>2647</v>
      </c>
      <c r="I1728" t="s">
        <v>2578</v>
      </c>
      <c r="J1728">
        <v>72</v>
      </c>
      <c r="K1728">
        <v>25.02</v>
      </c>
      <c r="L1728">
        <v>13.97</v>
      </c>
      <c r="M1728">
        <v>0.05</v>
      </c>
      <c r="N1728" t="s">
        <v>45</v>
      </c>
    </row>
    <row r="1729" spans="1:14" x14ac:dyDescent="0.25">
      <c r="A1729" t="s">
        <v>2252</v>
      </c>
      <c r="B1729" s="2">
        <v>45407</v>
      </c>
      <c r="C1729" t="s">
        <v>503</v>
      </c>
      <c r="D1729" t="s">
        <v>187</v>
      </c>
      <c r="E1729" t="s">
        <v>2615</v>
      </c>
      <c r="F1729" t="s">
        <v>2640</v>
      </c>
      <c r="G1729" t="s">
        <v>184</v>
      </c>
      <c r="H1729" t="s">
        <v>2648</v>
      </c>
      <c r="I1729" t="s">
        <v>2578</v>
      </c>
      <c r="J1729">
        <v>39</v>
      </c>
      <c r="K1729">
        <v>46.62</v>
      </c>
      <c r="L1729">
        <v>30.84</v>
      </c>
      <c r="M1729">
        <v>0.05</v>
      </c>
      <c r="N1729" t="s">
        <v>45</v>
      </c>
    </row>
    <row r="1730" spans="1:14" x14ac:dyDescent="0.25">
      <c r="A1730" t="s">
        <v>2253</v>
      </c>
      <c r="B1730" s="2">
        <v>45408</v>
      </c>
      <c r="C1730" t="s">
        <v>373</v>
      </c>
      <c r="D1730" t="s">
        <v>23</v>
      </c>
      <c r="E1730" t="s">
        <v>2615</v>
      </c>
      <c r="F1730" t="s">
        <v>2640</v>
      </c>
      <c r="G1730" t="s">
        <v>184</v>
      </c>
      <c r="H1730" t="s">
        <v>2645</v>
      </c>
      <c r="I1730" t="s">
        <v>2578</v>
      </c>
      <c r="J1730">
        <v>25</v>
      </c>
      <c r="K1730">
        <v>73.45</v>
      </c>
      <c r="L1730">
        <v>46.83</v>
      </c>
      <c r="M1730">
        <v>0.1</v>
      </c>
      <c r="N1730" t="s">
        <v>45</v>
      </c>
    </row>
    <row r="1731" spans="1:14" x14ac:dyDescent="0.25">
      <c r="A1731" t="s">
        <v>2254</v>
      </c>
      <c r="B1731" s="2">
        <v>45595</v>
      </c>
      <c r="C1731" t="s">
        <v>387</v>
      </c>
      <c r="D1731" t="s">
        <v>176</v>
      </c>
      <c r="E1731" t="s">
        <v>2616</v>
      </c>
      <c r="F1731" t="s">
        <v>2633</v>
      </c>
      <c r="G1731" t="s">
        <v>90</v>
      </c>
      <c r="H1731" t="s">
        <v>2645</v>
      </c>
      <c r="I1731" t="s">
        <v>75</v>
      </c>
      <c r="J1731">
        <v>43</v>
      </c>
      <c r="K1731">
        <v>102.99</v>
      </c>
      <c r="L1731">
        <v>66.81</v>
      </c>
      <c r="M1731">
        <v>0.05</v>
      </c>
      <c r="N1731" t="s">
        <v>45</v>
      </c>
    </row>
    <row r="1732" spans="1:14" x14ac:dyDescent="0.25">
      <c r="A1732" t="s">
        <v>2255</v>
      </c>
      <c r="B1732" s="2">
        <v>45562</v>
      </c>
      <c r="C1732" t="s">
        <v>172</v>
      </c>
      <c r="D1732" t="s">
        <v>49</v>
      </c>
      <c r="E1732" t="s">
        <v>2617</v>
      </c>
      <c r="F1732" t="s">
        <v>2642</v>
      </c>
      <c r="G1732" t="s">
        <v>42</v>
      </c>
      <c r="H1732" t="s">
        <v>2645</v>
      </c>
      <c r="I1732" t="s">
        <v>84</v>
      </c>
      <c r="J1732">
        <v>6</v>
      </c>
      <c r="K1732">
        <v>24.11</v>
      </c>
      <c r="L1732">
        <v>12.35</v>
      </c>
      <c r="M1732">
        <v>0.02</v>
      </c>
      <c r="N1732" t="s">
        <v>45</v>
      </c>
    </row>
    <row r="1733" spans="1:14" x14ac:dyDescent="0.25">
      <c r="A1733" t="s">
        <v>2256</v>
      </c>
      <c r="B1733" s="2">
        <v>45327</v>
      </c>
      <c r="C1733" t="s">
        <v>611</v>
      </c>
      <c r="D1733" t="s">
        <v>141</v>
      </c>
      <c r="E1733" t="s">
        <v>2614</v>
      </c>
      <c r="F1733" t="s">
        <v>2629</v>
      </c>
      <c r="G1733" t="s">
        <v>218</v>
      </c>
      <c r="H1733" t="s">
        <v>2645</v>
      </c>
      <c r="I1733" t="s">
        <v>75</v>
      </c>
      <c r="J1733">
        <v>23</v>
      </c>
      <c r="K1733">
        <v>96.39</v>
      </c>
      <c r="L1733">
        <v>55.09</v>
      </c>
      <c r="M1733">
        <v>0.02</v>
      </c>
      <c r="N1733" t="s">
        <v>45</v>
      </c>
    </row>
    <row r="1734" spans="1:14" x14ac:dyDescent="0.25">
      <c r="A1734" t="s">
        <v>2257</v>
      </c>
      <c r="B1734" s="2">
        <v>45425</v>
      </c>
      <c r="C1734" t="s">
        <v>750</v>
      </c>
      <c r="D1734" t="s">
        <v>150</v>
      </c>
      <c r="E1734" t="s">
        <v>2614</v>
      </c>
      <c r="F1734" t="s">
        <v>2622</v>
      </c>
      <c r="G1734" t="s">
        <v>42</v>
      </c>
      <c r="H1734" t="s">
        <v>2648</v>
      </c>
      <c r="I1734" t="s">
        <v>2578</v>
      </c>
      <c r="J1734">
        <v>67</v>
      </c>
      <c r="K1734">
        <v>84.39</v>
      </c>
      <c r="L1734">
        <v>52.37</v>
      </c>
      <c r="M1734">
        <v>0.1</v>
      </c>
      <c r="N1734" t="s">
        <v>129</v>
      </c>
    </row>
    <row r="1735" spans="1:14" x14ac:dyDescent="0.25">
      <c r="A1735" t="s">
        <v>2258</v>
      </c>
      <c r="B1735" s="2">
        <v>45442</v>
      </c>
      <c r="C1735" t="s">
        <v>658</v>
      </c>
      <c r="D1735" t="s">
        <v>132</v>
      </c>
      <c r="E1735" t="s">
        <v>2618</v>
      </c>
      <c r="F1735" t="s">
        <v>2634</v>
      </c>
      <c r="G1735" t="s">
        <v>178</v>
      </c>
      <c r="H1735" t="s">
        <v>2648</v>
      </c>
      <c r="I1735" t="s">
        <v>75</v>
      </c>
      <c r="J1735">
        <v>74</v>
      </c>
      <c r="K1735">
        <v>57.41</v>
      </c>
      <c r="L1735">
        <v>34.29</v>
      </c>
      <c r="M1735">
        <v>0.02</v>
      </c>
      <c r="N1735" t="s">
        <v>32</v>
      </c>
    </row>
    <row r="1736" spans="1:14" x14ac:dyDescent="0.25">
      <c r="A1736" t="s">
        <v>2259</v>
      </c>
      <c r="B1736" s="2">
        <v>45580</v>
      </c>
      <c r="C1736" t="s">
        <v>280</v>
      </c>
      <c r="D1736" t="s">
        <v>141</v>
      </c>
      <c r="E1736" t="s">
        <v>2616</v>
      </c>
      <c r="F1736" t="s">
        <v>2624</v>
      </c>
      <c r="G1736" t="s">
        <v>83</v>
      </c>
      <c r="H1736" t="s">
        <v>2647</v>
      </c>
      <c r="I1736" t="s">
        <v>70</v>
      </c>
      <c r="J1736">
        <v>72</v>
      </c>
      <c r="K1736">
        <v>101.31</v>
      </c>
      <c r="L1736">
        <v>55.69</v>
      </c>
      <c r="M1736">
        <v>0.15</v>
      </c>
      <c r="N1736" t="s">
        <v>45</v>
      </c>
    </row>
    <row r="1737" spans="1:14" x14ac:dyDescent="0.25">
      <c r="A1737" t="s">
        <v>2260</v>
      </c>
      <c r="B1737" s="2">
        <v>45337</v>
      </c>
      <c r="C1737" t="s">
        <v>267</v>
      </c>
      <c r="D1737" t="s">
        <v>109</v>
      </c>
      <c r="E1737" t="s">
        <v>2617</v>
      </c>
      <c r="F1737" t="s">
        <v>2626</v>
      </c>
      <c r="G1737" t="s">
        <v>253</v>
      </c>
      <c r="H1737" t="s">
        <v>2648</v>
      </c>
      <c r="I1737" t="s">
        <v>44</v>
      </c>
      <c r="J1737">
        <v>67</v>
      </c>
      <c r="K1737">
        <v>130.66999999999999</v>
      </c>
      <c r="L1737">
        <v>74.78</v>
      </c>
      <c r="M1737">
        <v>0.05</v>
      </c>
      <c r="N1737" t="s">
        <v>45</v>
      </c>
    </row>
    <row r="1738" spans="1:14" x14ac:dyDescent="0.25">
      <c r="A1738" t="s">
        <v>2261</v>
      </c>
      <c r="B1738" s="2">
        <v>45458</v>
      </c>
      <c r="C1738" t="s">
        <v>814</v>
      </c>
      <c r="D1738" t="s">
        <v>114</v>
      </c>
      <c r="E1738" t="s">
        <v>2615</v>
      </c>
      <c r="F1738" t="s">
        <v>2640</v>
      </c>
      <c r="G1738" t="s">
        <v>218</v>
      </c>
      <c r="H1738" t="s">
        <v>2646</v>
      </c>
      <c r="I1738" t="s">
        <v>44</v>
      </c>
      <c r="J1738">
        <v>14</v>
      </c>
      <c r="K1738">
        <v>36.76</v>
      </c>
      <c r="L1738">
        <v>21.38</v>
      </c>
      <c r="M1738">
        <v>0</v>
      </c>
      <c r="N1738" t="s">
        <v>45</v>
      </c>
    </row>
    <row r="1739" spans="1:14" x14ac:dyDescent="0.25">
      <c r="A1739" t="s">
        <v>2262</v>
      </c>
      <c r="B1739" s="2">
        <v>45302</v>
      </c>
      <c r="C1739" t="s">
        <v>891</v>
      </c>
      <c r="D1739" t="s">
        <v>126</v>
      </c>
      <c r="E1739" t="s">
        <v>2616</v>
      </c>
      <c r="F1739" t="s">
        <v>2633</v>
      </c>
      <c r="G1739" t="s">
        <v>261</v>
      </c>
      <c r="H1739" t="s">
        <v>2645</v>
      </c>
      <c r="I1739" t="s">
        <v>84</v>
      </c>
      <c r="J1739">
        <v>64</v>
      </c>
      <c r="K1739">
        <v>84.05</v>
      </c>
      <c r="L1739">
        <v>53.99</v>
      </c>
      <c r="M1739">
        <v>0</v>
      </c>
      <c r="N1739" t="s">
        <v>45</v>
      </c>
    </row>
    <row r="1740" spans="1:14" x14ac:dyDescent="0.25">
      <c r="A1740" t="s">
        <v>2263</v>
      </c>
      <c r="B1740" s="2">
        <v>45338</v>
      </c>
      <c r="C1740" t="s">
        <v>1071</v>
      </c>
      <c r="D1740" t="s">
        <v>23</v>
      </c>
      <c r="E1740" t="s">
        <v>2616</v>
      </c>
      <c r="F1740" t="s">
        <v>2631</v>
      </c>
      <c r="G1740" t="s">
        <v>118</v>
      </c>
      <c r="H1740" t="s">
        <v>2647</v>
      </c>
      <c r="I1740" t="s">
        <v>44</v>
      </c>
      <c r="J1740">
        <v>75</v>
      </c>
      <c r="K1740">
        <v>78.2</v>
      </c>
      <c r="L1740">
        <v>44.59</v>
      </c>
      <c r="M1740">
        <v>0</v>
      </c>
      <c r="N1740" t="s">
        <v>45</v>
      </c>
    </row>
    <row r="1741" spans="1:14" x14ac:dyDescent="0.25">
      <c r="A1741" t="s">
        <v>2264</v>
      </c>
      <c r="B1741" s="2">
        <v>45356</v>
      </c>
      <c r="C1741" t="s">
        <v>433</v>
      </c>
      <c r="D1741" t="s">
        <v>165</v>
      </c>
      <c r="E1741" t="s">
        <v>2618</v>
      </c>
      <c r="F1741" t="s">
        <v>2632</v>
      </c>
      <c r="G1741" t="s">
        <v>111</v>
      </c>
      <c r="H1741" t="s">
        <v>2646</v>
      </c>
      <c r="I1741" t="s">
        <v>2578</v>
      </c>
      <c r="J1741">
        <v>46</v>
      </c>
      <c r="K1741">
        <v>39.93</v>
      </c>
      <c r="L1741">
        <v>26.67</v>
      </c>
      <c r="M1741">
        <v>0.02</v>
      </c>
      <c r="N1741" t="s">
        <v>129</v>
      </c>
    </row>
    <row r="1742" spans="1:14" x14ac:dyDescent="0.25">
      <c r="A1742" t="s">
        <v>2265</v>
      </c>
      <c r="B1742" s="2">
        <v>45572</v>
      </c>
      <c r="C1742" t="s">
        <v>519</v>
      </c>
      <c r="D1742" t="s">
        <v>126</v>
      </c>
      <c r="E1742" t="s">
        <v>2616</v>
      </c>
      <c r="F1742" t="s">
        <v>2633</v>
      </c>
      <c r="G1742" t="s">
        <v>69</v>
      </c>
      <c r="H1742" t="s">
        <v>2646</v>
      </c>
      <c r="I1742" t="s">
        <v>84</v>
      </c>
      <c r="J1742">
        <v>33</v>
      </c>
      <c r="K1742">
        <v>87.73</v>
      </c>
      <c r="L1742">
        <v>55.72</v>
      </c>
      <c r="M1742">
        <v>0.1</v>
      </c>
      <c r="N1742" t="s">
        <v>45</v>
      </c>
    </row>
    <row r="1743" spans="1:14" x14ac:dyDescent="0.25">
      <c r="A1743" t="s">
        <v>2266</v>
      </c>
      <c r="B1743" s="2">
        <v>45364</v>
      </c>
      <c r="C1743" t="s">
        <v>594</v>
      </c>
      <c r="D1743" t="s">
        <v>250</v>
      </c>
      <c r="E1743" t="s">
        <v>2616</v>
      </c>
      <c r="F1743" t="s">
        <v>2633</v>
      </c>
      <c r="G1743" t="s">
        <v>29</v>
      </c>
      <c r="H1743" t="s">
        <v>2648</v>
      </c>
      <c r="I1743" t="s">
        <v>44</v>
      </c>
      <c r="J1743">
        <v>36</v>
      </c>
      <c r="K1743">
        <v>68.39</v>
      </c>
      <c r="L1743">
        <v>36.700000000000003</v>
      </c>
      <c r="M1743">
        <v>0.02</v>
      </c>
      <c r="N1743" t="s">
        <v>45</v>
      </c>
    </row>
    <row r="1744" spans="1:14" x14ac:dyDescent="0.25">
      <c r="A1744" t="s">
        <v>2267</v>
      </c>
      <c r="B1744" s="2">
        <v>45347</v>
      </c>
      <c r="C1744" t="s">
        <v>1293</v>
      </c>
      <c r="D1744" t="s">
        <v>141</v>
      </c>
      <c r="E1744" t="s">
        <v>2617</v>
      </c>
      <c r="F1744" t="s">
        <v>2626</v>
      </c>
      <c r="G1744" t="s">
        <v>90</v>
      </c>
      <c r="H1744" t="s">
        <v>2647</v>
      </c>
      <c r="I1744" t="s">
        <v>75</v>
      </c>
      <c r="J1744">
        <v>42</v>
      </c>
      <c r="K1744">
        <v>88.48</v>
      </c>
      <c r="L1744">
        <v>55.32</v>
      </c>
      <c r="M1744">
        <v>0.05</v>
      </c>
      <c r="N1744" t="s">
        <v>45</v>
      </c>
    </row>
    <row r="1745" spans="1:14" x14ac:dyDescent="0.25">
      <c r="A1745" t="s">
        <v>2268</v>
      </c>
      <c r="B1745" s="2">
        <v>45315</v>
      </c>
      <c r="C1745" t="s">
        <v>1724</v>
      </c>
      <c r="D1745" t="s">
        <v>132</v>
      </c>
      <c r="E1745" t="s">
        <v>2616</v>
      </c>
      <c r="F1745" t="s">
        <v>2638</v>
      </c>
      <c r="G1745" t="s">
        <v>253</v>
      </c>
      <c r="H1745" t="s">
        <v>2648</v>
      </c>
      <c r="I1745" t="s">
        <v>75</v>
      </c>
      <c r="J1745">
        <v>79</v>
      </c>
      <c r="K1745">
        <v>61.15</v>
      </c>
      <c r="L1745">
        <v>34.82</v>
      </c>
      <c r="M1745">
        <v>0.15</v>
      </c>
      <c r="N1745" t="s">
        <v>45</v>
      </c>
    </row>
    <row r="1746" spans="1:14" x14ac:dyDescent="0.25">
      <c r="A1746" t="s">
        <v>2269</v>
      </c>
      <c r="B1746" s="2">
        <v>45441</v>
      </c>
      <c r="C1746" t="s">
        <v>1184</v>
      </c>
      <c r="D1746" t="s">
        <v>150</v>
      </c>
      <c r="E1746" t="s">
        <v>2614</v>
      </c>
      <c r="F1746" t="s">
        <v>2622</v>
      </c>
      <c r="G1746" t="s">
        <v>42</v>
      </c>
      <c r="H1746" t="s">
        <v>2646</v>
      </c>
      <c r="I1746" t="s">
        <v>70</v>
      </c>
      <c r="J1746">
        <v>47</v>
      </c>
      <c r="K1746">
        <v>89.27</v>
      </c>
      <c r="L1746">
        <v>52.51</v>
      </c>
      <c r="M1746">
        <v>0.2</v>
      </c>
      <c r="N1746" t="s">
        <v>45</v>
      </c>
    </row>
    <row r="1747" spans="1:14" x14ac:dyDescent="0.25">
      <c r="A1747" t="s">
        <v>2270</v>
      </c>
      <c r="B1747" s="2">
        <v>45320</v>
      </c>
      <c r="C1747" t="s">
        <v>931</v>
      </c>
      <c r="D1747" t="s">
        <v>222</v>
      </c>
      <c r="E1747" t="s">
        <v>2615</v>
      </c>
      <c r="F1747" t="s">
        <v>2627</v>
      </c>
      <c r="G1747" t="s">
        <v>111</v>
      </c>
      <c r="H1747" t="s">
        <v>2645</v>
      </c>
      <c r="I1747" t="s">
        <v>44</v>
      </c>
      <c r="J1747">
        <v>59</v>
      </c>
      <c r="K1747">
        <v>123.96</v>
      </c>
      <c r="L1747">
        <v>72.78</v>
      </c>
      <c r="M1747">
        <v>0.02</v>
      </c>
      <c r="N1747" t="s">
        <v>45</v>
      </c>
    </row>
    <row r="1748" spans="1:14" x14ac:dyDescent="0.25">
      <c r="A1748" t="s">
        <v>2271</v>
      </c>
      <c r="B1748" s="2">
        <v>45391</v>
      </c>
      <c r="C1748" t="s">
        <v>1709</v>
      </c>
      <c r="D1748" t="s">
        <v>216</v>
      </c>
      <c r="E1748" t="s">
        <v>2617</v>
      </c>
      <c r="F1748" t="s">
        <v>2642</v>
      </c>
      <c r="G1748" t="s">
        <v>184</v>
      </c>
      <c r="H1748" t="s">
        <v>2647</v>
      </c>
      <c r="I1748" t="s">
        <v>75</v>
      </c>
      <c r="J1748">
        <v>15</v>
      </c>
      <c r="K1748">
        <v>111.05</v>
      </c>
      <c r="L1748">
        <v>61.74</v>
      </c>
      <c r="M1748">
        <v>0.02</v>
      </c>
      <c r="N1748" t="s">
        <v>129</v>
      </c>
    </row>
    <row r="1749" spans="1:14" x14ac:dyDescent="0.25">
      <c r="A1749" t="s">
        <v>2272</v>
      </c>
      <c r="B1749" s="2">
        <v>45403</v>
      </c>
      <c r="C1749" t="s">
        <v>1075</v>
      </c>
      <c r="D1749" t="s">
        <v>114</v>
      </c>
      <c r="E1749" t="s">
        <v>2614</v>
      </c>
      <c r="F1749" t="s">
        <v>2636</v>
      </c>
      <c r="G1749" t="s">
        <v>170</v>
      </c>
      <c r="H1749" t="s">
        <v>2647</v>
      </c>
      <c r="I1749" t="s">
        <v>44</v>
      </c>
      <c r="J1749">
        <v>30</v>
      </c>
      <c r="K1749">
        <v>36.299999999999997</v>
      </c>
      <c r="L1749">
        <v>21.33</v>
      </c>
      <c r="M1749">
        <v>0.15</v>
      </c>
      <c r="N1749" t="s">
        <v>45</v>
      </c>
    </row>
    <row r="1750" spans="1:14" x14ac:dyDescent="0.25">
      <c r="A1750" t="s">
        <v>2273</v>
      </c>
      <c r="B1750" s="2">
        <v>45542</v>
      </c>
      <c r="C1750" t="s">
        <v>945</v>
      </c>
      <c r="D1750" t="s">
        <v>93</v>
      </c>
      <c r="E1750" t="s">
        <v>2616</v>
      </c>
      <c r="F1750" t="s">
        <v>2633</v>
      </c>
      <c r="G1750" t="s">
        <v>118</v>
      </c>
      <c r="H1750" t="s">
        <v>2648</v>
      </c>
      <c r="I1750" t="s">
        <v>75</v>
      </c>
      <c r="J1750">
        <v>79</v>
      </c>
      <c r="K1750">
        <v>52.93</v>
      </c>
      <c r="L1750">
        <v>30.69</v>
      </c>
      <c r="M1750">
        <v>0.1</v>
      </c>
      <c r="N1750" t="s">
        <v>45</v>
      </c>
    </row>
    <row r="1751" spans="1:14" x14ac:dyDescent="0.25">
      <c r="A1751" t="s">
        <v>2274</v>
      </c>
      <c r="B1751" s="2">
        <v>45334</v>
      </c>
      <c r="C1751" t="s">
        <v>1317</v>
      </c>
      <c r="D1751" t="s">
        <v>23</v>
      </c>
      <c r="E1751" t="s">
        <v>2615</v>
      </c>
      <c r="F1751" t="s">
        <v>2630</v>
      </c>
      <c r="G1751" t="s">
        <v>178</v>
      </c>
      <c r="H1751" t="s">
        <v>2648</v>
      </c>
      <c r="I1751" t="s">
        <v>2578</v>
      </c>
      <c r="J1751">
        <v>42</v>
      </c>
      <c r="K1751">
        <v>74.17</v>
      </c>
      <c r="L1751">
        <v>42.23</v>
      </c>
      <c r="M1751">
        <v>0.1</v>
      </c>
      <c r="N1751" t="s">
        <v>32</v>
      </c>
    </row>
    <row r="1752" spans="1:14" x14ac:dyDescent="0.25">
      <c r="A1752" t="s">
        <v>2275</v>
      </c>
      <c r="B1752" s="2">
        <v>45306</v>
      </c>
      <c r="C1752" t="s">
        <v>358</v>
      </c>
      <c r="D1752" t="s">
        <v>36</v>
      </c>
      <c r="E1752" t="s">
        <v>2618</v>
      </c>
      <c r="F1752" t="s">
        <v>2634</v>
      </c>
      <c r="G1752" t="s">
        <v>261</v>
      </c>
      <c r="H1752" t="s">
        <v>2646</v>
      </c>
      <c r="I1752" t="s">
        <v>44</v>
      </c>
      <c r="J1752">
        <v>34</v>
      </c>
      <c r="K1752">
        <v>156.31</v>
      </c>
      <c r="L1752">
        <v>97.7</v>
      </c>
      <c r="M1752">
        <v>0.02</v>
      </c>
      <c r="N1752" t="s">
        <v>45</v>
      </c>
    </row>
    <row r="1753" spans="1:14" x14ac:dyDescent="0.25">
      <c r="A1753" t="s">
        <v>2276</v>
      </c>
      <c r="B1753" s="2">
        <v>45506</v>
      </c>
      <c r="C1753" t="s">
        <v>852</v>
      </c>
      <c r="D1753" t="s">
        <v>36</v>
      </c>
      <c r="E1753" t="s">
        <v>2615</v>
      </c>
      <c r="F1753" t="s">
        <v>2623</v>
      </c>
      <c r="G1753" t="s">
        <v>178</v>
      </c>
      <c r="H1753" t="s">
        <v>2646</v>
      </c>
      <c r="I1753" t="s">
        <v>44</v>
      </c>
      <c r="J1753">
        <v>20</v>
      </c>
      <c r="K1753">
        <v>171.89</v>
      </c>
      <c r="L1753">
        <v>91.64</v>
      </c>
      <c r="M1753">
        <v>0.05</v>
      </c>
      <c r="N1753" t="s">
        <v>45</v>
      </c>
    </row>
    <row r="1754" spans="1:14" x14ac:dyDescent="0.25">
      <c r="A1754" t="s">
        <v>2277</v>
      </c>
      <c r="B1754" s="2">
        <v>45410</v>
      </c>
      <c r="C1754" t="s">
        <v>361</v>
      </c>
      <c r="D1754" t="s">
        <v>222</v>
      </c>
      <c r="E1754" t="s">
        <v>2614</v>
      </c>
      <c r="F1754" t="s">
        <v>2622</v>
      </c>
      <c r="G1754" t="s">
        <v>248</v>
      </c>
      <c r="H1754" t="s">
        <v>2645</v>
      </c>
      <c r="I1754" t="s">
        <v>44</v>
      </c>
      <c r="J1754">
        <v>53</v>
      </c>
      <c r="K1754" s="3" t="e">
        <f>#REF!/Sales12[[#This Row],[Quantity]]</f>
        <v>#REF!</v>
      </c>
      <c r="L1754">
        <v>72.680000000000007</v>
      </c>
      <c r="M1754">
        <v>0</v>
      </c>
      <c r="N1754" t="s">
        <v>129</v>
      </c>
    </row>
    <row r="1755" spans="1:14" x14ac:dyDescent="0.25">
      <c r="A1755" t="s">
        <v>2278</v>
      </c>
      <c r="B1755" s="2">
        <v>45519</v>
      </c>
      <c r="C1755" t="s">
        <v>267</v>
      </c>
      <c r="D1755" t="s">
        <v>49</v>
      </c>
      <c r="E1755" t="s">
        <v>2616</v>
      </c>
      <c r="F1755" t="s">
        <v>2624</v>
      </c>
      <c r="G1755" t="s">
        <v>69</v>
      </c>
      <c r="H1755" t="s">
        <v>2645</v>
      </c>
      <c r="I1755" t="s">
        <v>84</v>
      </c>
      <c r="J1755">
        <v>26</v>
      </c>
      <c r="K1755">
        <v>25.89</v>
      </c>
      <c r="L1755">
        <v>13.07</v>
      </c>
      <c r="M1755">
        <v>0.2</v>
      </c>
      <c r="N1755" t="s">
        <v>45</v>
      </c>
    </row>
    <row r="1756" spans="1:14" x14ac:dyDescent="0.25">
      <c r="A1756" t="s">
        <v>2279</v>
      </c>
      <c r="B1756" s="2">
        <v>45321</v>
      </c>
      <c r="C1756" t="s">
        <v>1267</v>
      </c>
      <c r="D1756" t="s">
        <v>187</v>
      </c>
      <c r="E1756" t="s">
        <v>2615</v>
      </c>
      <c r="F1756" t="s">
        <v>2623</v>
      </c>
      <c r="G1756" t="s">
        <v>42</v>
      </c>
      <c r="H1756" t="s">
        <v>2645</v>
      </c>
      <c r="I1756" t="s">
        <v>2578</v>
      </c>
      <c r="J1756">
        <v>79</v>
      </c>
      <c r="K1756">
        <v>47.65</v>
      </c>
      <c r="L1756">
        <v>30.22</v>
      </c>
      <c r="M1756">
        <v>0.02</v>
      </c>
      <c r="N1756" t="s">
        <v>45</v>
      </c>
    </row>
    <row r="1757" spans="1:14" x14ac:dyDescent="0.25">
      <c r="A1757" t="s">
        <v>2280</v>
      </c>
      <c r="B1757" s="2">
        <v>45640</v>
      </c>
      <c r="C1757" t="s">
        <v>717</v>
      </c>
      <c r="D1757" t="s">
        <v>132</v>
      </c>
      <c r="E1757" t="s">
        <v>2617</v>
      </c>
      <c r="F1757" t="s">
        <v>2626</v>
      </c>
      <c r="G1757" t="s">
        <v>218</v>
      </c>
      <c r="H1757" t="s">
        <v>2647</v>
      </c>
      <c r="I1757" t="s">
        <v>84</v>
      </c>
      <c r="J1757">
        <v>74</v>
      </c>
      <c r="K1757">
        <v>64.09</v>
      </c>
      <c r="L1757">
        <v>32.520000000000003</v>
      </c>
      <c r="M1757">
        <v>0.2</v>
      </c>
      <c r="N1757" t="s">
        <v>45</v>
      </c>
    </row>
    <row r="1758" spans="1:14" x14ac:dyDescent="0.25">
      <c r="A1758" t="s">
        <v>2281</v>
      </c>
      <c r="B1758" s="2">
        <v>45408</v>
      </c>
      <c r="C1758" t="s">
        <v>800</v>
      </c>
      <c r="D1758" t="s">
        <v>141</v>
      </c>
      <c r="E1758" t="s">
        <v>2618</v>
      </c>
      <c r="F1758" t="s">
        <v>2632</v>
      </c>
      <c r="G1758" t="s">
        <v>2619</v>
      </c>
      <c r="H1758" t="s">
        <v>2647</v>
      </c>
      <c r="I1758" t="s">
        <v>44</v>
      </c>
      <c r="J1758">
        <v>48</v>
      </c>
      <c r="K1758">
        <v>87.54</v>
      </c>
      <c r="L1758">
        <v>56.67</v>
      </c>
      <c r="M1758">
        <v>0.1</v>
      </c>
      <c r="N1758" t="s">
        <v>45</v>
      </c>
    </row>
    <row r="1759" spans="1:14" x14ac:dyDescent="0.25">
      <c r="A1759" t="s">
        <v>2282</v>
      </c>
      <c r="B1759" s="2">
        <v>45493</v>
      </c>
      <c r="C1759" t="s">
        <v>557</v>
      </c>
      <c r="D1759" t="s">
        <v>114</v>
      </c>
      <c r="E1759" t="s">
        <v>2617</v>
      </c>
      <c r="F1759" t="s">
        <v>2625</v>
      </c>
      <c r="G1759" t="s">
        <v>83</v>
      </c>
      <c r="H1759" t="s">
        <v>2648</v>
      </c>
      <c r="I1759" t="s">
        <v>44</v>
      </c>
      <c r="J1759">
        <v>36</v>
      </c>
      <c r="K1759">
        <v>32.28</v>
      </c>
      <c r="L1759">
        <v>22.56</v>
      </c>
      <c r="M1759">
        <v>0.1</v>
      </c>
      <c r="N1759" t="s">
        <v>32</v>
      </c>
    </row>
    <row r="1760" spans="1:14" x14ac:dyDescent="0.25">
      <c r="A1760" t="s">
        <v>2283</v>
      </c>
      <c r="B1760" s="2">
        <v>45516</v>
      </c>
      <c r="C1760" t="s">
        <v>220</v>
      </c>
      <c r="D1760" t="s">
        <v>165</v>
      </c>
      <c r="E1760" t="s">
        <v>2614</v>
      </c>
      <c r="F1760" t="s">
        <v>2636</v>
      </c>
      <c r="G1760" t="s">
        <v>218</v>
      </c>
      <c r="H1760" t="s">
        <v>2645</v>
      </c>
      <c r="I1760" t="s">
        <v>70</v>
      </c>
      <c r="J1760">
        <v>62</v>
      </c>
      <c r="K1760">
        <v>42.02</v>
      </c>
      <c r="L1760">
        <v>24.8</v>
      </c>
      <c r="M1760">
        <v>0.2</v>
      </c>
      <c r="N1760" t="s">
        <v>45</v>
      </c>
    </row>
    <row r="1761" spans="1:14" x14ac:dyDescent="0.25">
      <c r="A1761" t="s">
        <v>2284</v>
      </c>
      <c r="B1761" s="2">
        <v>45629</v>
      </c>
      <c r="C1761" t="s">
        <v>205</v>
      </c>
      <c r="D1761" t="s">
        <v>99</v>
      </c>
      <c r="E1761" t="s">
        <v>2617</v>
      </c>
      <c r="F1761" t="s">
        <v>2625</v>
      </c>
      <c r="G1761" t="s">
        <v>152</v>
      </c>
      <c r="H1761" t="s">
        <v>2647</v>
      </c>
      <c r="I1761" t="s">
        <v>44</v>
      </c>
      <c r="J1761">
        <v>7</v>
      </c>
      <c r="K1761">
        <v>72.31</v>
      </c>
      <c r="L1761">
        <v>41.8</v>
      </c>
      <c r="M1761">
        <v>0</v>
      </c>
      <c r="N1761" t="s">
        <v>129</v>
      </c>
    </row>
    <row r="1762" spans="1:14" x14ac:dyDescent="0.25">
      <c r="A1762" t="s">
        <v>2285</v>
      </c>
      <c r="B1762" s="2">
        <v>45581</v>
      </c>
      <c r="C1762" t="s">
        <v>267</v>
      </c>
      <c r="D1762" t="s">
        <v>126</v>
      </c>
      <c r="E1762" t="s">
        <v>2618</v>
      </c>
      <c r="F1762" t="s">
        <v>2628</v>
      </c>
      <c r="G1762" t="s">
        <v>184</v>
      </c>
      <c r="H1762" t="s">
        <v>2648</v>
      </c>
      <c r="I1762" t="s">
        <v>70</v>
      </c>
      <c r="J1762">
        <v>73</v>
      </c>
      <c r="K1762">
        <v>83.08</v>
      </c>
      <c r="L1762">
        <v>49.64</v>
      </c>
      <c r="M1762">
        <v>0.2</v>
      </c>
      <c r="N1762" t="s">
        <v>45</v>
      </c>
    </row>
    <row r="1763" spans="1:14" x14ac:dyDescent="0.25">
      <c r="A1763" t="s">
        <v>2286</v>
      </c>
      <c r="B1763" s="2">
        <v>45519</v>
      </c>
      <c r="C1763" t="s">
        <v>1236</v>
      </c>
      <c r="D1763" t="s">
        <v>99</v>
      </c>
      <c r="E1763" t="s">
        <v>2616</v>
      </c>
      <c r="F1763" t="s">
        <v>2638</v>
      </c>
      <c r="G1763" t="s">
        <v>60</v>
      </c>
      <c r="H1763" t="s">
        <v>2647</v>
      </c>
      <c r="I1763" t="s">
        <v>44</v>
      </c>
      <c r="J1763">
        <v>15</v>
      </c>
      <c r="K1763">
        <v>66.41</v>
      </c>
      <c r="L1763">
        <v>44.09</v>
      </c>
      <c r="M1763">
        <v>0</v>
      </c>
      <c r="N1763" t="s">
        <v>32</v>
      </c>
    </row>
    <row r="1764" spans="1:14" x14ac:dyDescent="0.25">
      <c r="A1764" t="s">
        <v>2287</v>
      </c>
      <c r="B1764" s="2">
        <v>45474</v>
      </c>
      <c r="C1764" t="s">
        <v>404</v>
      </c>
      <c r="D1764" t="s">
        <v>99</v>
      </c>
      <c r="E1764" t="s">
        <v>2616</v>
      </c>
      <c r="F1764" t="s">
        <v>2624</v>
      </c>
      <c r="G1764" t="s">
        <v>265</v>
      </c>
      <c r="H1764" t="s">
        <v>2645</v>
      </c>
      <c r="I1764" t="s">
        <v>2578</v>
      </c>
      <c r="J1764">
        <v>80</v>
      </c>
      <c r="K1764">
        <v>69.86</v>
      </c>
      <c r="L1764">
        <v>42</v>
      </c>
      <c r="M1764">
        <v>0.15</v>
      </c>
      <c r="N1764" t="s">
        <v>129</v>
      </c>
    </row>
    <row r="1765" spans="1:14" x14ac:dyDescent="0.25">
      <c r="A1765" t="s">
        <v>2288</v>
      </c>
      <c r="B1765" s="2">
        <v>45500</v>
      </c>
      <c r="C1765" t="s">
        <v>451</v>
      </c>
      <c r="D1765" t="s">
        <v>99</v>
      </c>
      <c r="E1765" t="s">
        <v>2616</v>
      </c>
      <c r="F1765" t="s">
        <v>2624</v>
      </c>
      <c r="G1765" t="s">
        <v>253</v>
      </c>
      <c r="H1765" t="s">
        <v>2645</v>
      </c>
      <c r="I1765" t="s">
        <v>2578</v>
      </c>
      <c r="J1765">
        <v>10</v>
      </c>
      <c r="K1765">
        <v>70.91</v>
      </c>
      <c r="L1765">
        <v>44.22</v>
      </c>
      <c r="M1765">
        <v>0.02</v>
      </c>
      <c r="N1765" t="s">
        <v>45</v>
      </c>
    </row>
    <row r="1766" spans="1:14" x14ac:dyDescent="0.25">
      <c r="A1766" t="s">
        <v>2289</v>
      </c>
      <c r="B1766" s="2">
        <v>45360</v>
      </c>
      <c r="C1766" t="s">
        <v>1426</v>
      </c>
      <c r="D1766" t="s">
        <v>109</v>
      </c>
      <c r="E1766" t="s">
        <v>2618</v>
      </c>
      <c r="F1766" t="s">
        <v>2635</v>
      </c>
      <c r="G1766" t="s">
        <v>111</v>
      </c>
      <c r="H1766" t="s">
        <v>2645</v>
      </c>
      <c r="I1766" t="s">
        <v>44</v>
      </c>
      <c r="J1766">
        <v>52</v>
      </c>
      <c r="K1766">
        <v>123.97</v>
      </c>
      <c r="L1766">
        <v>74.12</v>
      </c>
      <c r="M1766">
        <v>0.05</v>
      </c>
      <c r="N1766" t="s">
        <v>45</v>
      </c>
    </row>
    <row r="1767" spans="1:14" x14ac:dyDescent="0.25">
      <c r="A1767" t="s">
        <v>2290</v>
      </c>
      <c r="B1767" s="2">
        <v>45293</v>
      </c>
      <c r="C1767" t="s">
        <v>1071</v>
      </c>
      <c r="D1767" t="s">
        <v>141</v>
      </c>
      <c r="E1767" t="s">
        <v>2616</v>
      </c>
      <c r="F1767" t="s">
        <v>2638</v>
      </c>
      <c r="G1767" t="s">
        <v>29</v>
      </c>
      <c r="H1767" t="s">
        <v>2645</v>
      </c>
      <c r="I1767" t="s">
        <v>70</v>
      </c>
      <c r="J1767">
        <v>74</v>
      </c>
      <c r="K1767">
        <v>90.58</v>
      </c>
      <c r="L1767">
        <v>54.15</v>
      </c>
      <c r="M1767">
        <v>0.02</v>
      </c>
      <c r="N1767" t="s">
        <v>129</v>
      </c>
    </row>
    <row r="1768" spans="1:14" x14ac:dyDescent="0.25">
      <c r="A1768" t="s">
        <v>2291</v>
      </c>
      <c r="B1768" s="2">
        <v>45594</v>
      </c>
      <c r="C1768" t="s">
        <v>866</v>
      </c>
      <c r="D1768" t="s">
        <v>78</v>
      </c>
      <c r="E1768" t="s">
        <v>2618</v>
      </c>
      <c r="F1768" t="s">
        <v>2632</v>
      </c>
      <c r="G1768" t="s">
        <v>261</v>
      </c>
      <c r="H1768" t="s">
        <v>2647</v>
      </c>
      <c r="I1768" t="s">
        <v>44</v>
      </c>
      <c r="J1768">
        <v>53</v>
      </c>
      <c r="K1768">
        <v>138.19</v>
      </c>
      <c r="L1768">
        <v>75.680000000000007</v>
      </c>
      <c r="M1768">
        <v>0.15</v>
      </c>
      <c r="N1768" t="s">
        <v>45</v>
      </c>
    </row>
    <row r="1769" spans="1:14" x14ac:dyDescent="0.25">
      <c r="A1769" t="s">
        <v>2292</v>
      </c>
      <c r="B1769" s="2">
        <v>45500</v>
      </c>
      <c r="C1769" t="s">
        <v>933</v>
      </c>
      <c r="D1769" t="s">
        <v>141</v>
      </c>
      <c r="E1769" t="s">
        <v>2614</v>
      </c>
      <c r="F1769" t="s">
        <v>2622</v>
      </c>
      <c r="G1769" t="s">
        <v>69</v>
      </c>
      <c r="H1769" t="s">
        <v>2647</v>
      </c>
      <c r="I1769" t="s">
        <v>70</v>
      </c>
      <c r="J1769">
        <v>25</v>
      </c>
      <c r="K1769">
        <v>92.31</v>
      </c>
      <c r="L1769">
        <v>61.69</v>
      </c>
      <c r="M1769">
        <v>0.02</v>
      </c>
      <c r="N1769" t="s">
        <v>45</v>
      </c>
    </row>
    <row r="1770" spans="1:14" x14ac:dyDescent="0.25">
      <c r="A1770" t="s">
        <v>2293</v>
      </c>
      <c r="B1770" s="2">
        <v>45653</v>
      </c>
      <c r="C1770" t="s">
        <v>924</v>
      </c>
      <c r="D1770" t="s">
        <v>99</v>
      </c>
      <c r="E1770" t="s">
        <v>2618</v>
      </c>
      <c r="F1770" t="s">
        <v>2632</v>
      </c>
      <c r="G1770" t="s">
        <v>248</v>
      </c>
      <c r="H1770" t="s">
        <v>2646</v>
      </c>
      <c r="I1770" t="s">
        <v>44</v>
      </c>
      <c r="J1770">
        <v>23</v>
      </c>
      <c r="K1770">
        <v>69.290000000000006</v>
      </c>
      <c r="L1770">
        <v>41.61</v>
      </c>
      <c r="M1770">
        <v>0.15</v>
      </c>
      <c r="N1770" t="s">
        <v>45</v>
      </c>
    </row>
    <row r="1771" spans="1:14" x14ac:dyDescent="0.25">
      <c r="A1771" t="s">
        <v>2294</v>
      </c>
      <c r="B1771" s="2">
        <v>45469</v>
      </c>
      <c r="C1771" t="s">
        <v>1028</v>
      </c>
      <c r="D1771" t="s">
        <v>165</v>
      </c>
      <c r="E1771" t="s">
        <v>2618</v>
      </c>
      <c r="F1771" t="s">
        <v>2632</v>
      </c>
      <c r="G1771" t="s">
        <v>170</v>
      </c>
      <c r="H1771" t="s">
        <v>2648</v>
      </c>
      <c r="I1771" t="s">
        <v>75</v>
      </c>
      <c r="J1771">
        <v>54</v>
      </c>
      <c r="K1771">
        <v>39.86</v>
      </c>
      <c r="L1771">
        <v>26.16</v>
      </c>
      <c r="M1771">
        <v>0.1</v>
      </c>
      <c r="N1771" t="s">
        <v>45</v>
      </c>
    </row>
    <row r="1772" spans="1:14" x14ac:dyDescent="0.25">
      <c r="A1772" t="s">
        <v>2295</v>
      </c>
      <c r="B1772" s="2">
        <v>45510</v>
      </c>
      <c r="C1772" t="s">
        <v>1122</v>
      </c>
      <c r="D1772" t="s">
        <v>78</v>
      </c>
      <c r="E1772" t="s">
        <v>2617</v>
      </c>
      <c r="F1772" t="s">
        <v>2625</v>
      </c>
      <c r="G1772" t="s">
        <v>253</v>
      </c>
      <c r="H1772" t="s">
        <v>2648</v>
      </c>
      <c r="I1772" t="s">
        <v>70</v>
      </c>
      <c r="J1772">
        <v>7</v>
      </c>
      <c r="K1772">
        <v>142.15</v>
      </c>
      <c r="L1772">
        <v>81.13</v>
      </c>
      <c r="M1772">
        <v>0.15</v>
      </c>
      <c r="N1772" t="s">
        <v>45</v>
      </c>
    </row>
    <row r="1773" spans="1:14" x14ac:dyDescent="0.25">
      <c r="A1773" t="s">
        <v>2296</v>
      </c>
      <c r="B1773" s="2">
        <v>45405</v>
      </c>
      <c r="C1773" t="s">
        <v>276</v>
      </c>
      <c r="D1773" t="s">
        <v>78</v>
      </c>
      <c r="E1773" t="s">
        <v>2616</v>
      </c>
      <c r="F1773" t="s">
        <v>2633</v>
      </c>
      <c r="G1773" t="s">
        <v>29</v>
      </c>
      <c r="H1773" t="s">
        <v>2648</v>
      </c>
      <c r="I1773" t="s">
        <v>84</v>
      </c>
      <c r="J1773">
        <v>78</v>
      </c>
      <c r="K1773">
        <v>142.84</v>
      </c>
      <c r="L1773">
        <v>87.59</v>
      </c>
      <c r="M1773">
        <v>0.02</v>
      </c>
      <c r="N1773" t="s">
        <v>32</v>
      </c>
    </row>
    <row r="1774" spans="1:14" x14ac:dyDescent="0.25">
      <c r="A1774" t="s">
        <v>2297</v>
      </c>
      <c r="B1774" s="2">
        <v>45510</v>
      </c>
      <c r="C1774" t="s">
        <v>723</v>
      </c>
      <c r="D1774" t="s">
        <v>49</v>
      </c>
      <c r="E1774" t="s">
        <v>2614</v>
      </c>
      <c r="F1774" t="s">
        <v>2629</v>
      </c>
      <c r="G1774" t="s">
        <v>195</v>
      </c>
      <c r="H1774" t="s">
        <v>2647</v>
      </c>
      <c r="I1774" t="s">
        <v>2578</v>
      </c>
      <c r="J1774">
        <v>6</v>
      </c>
      <c r="K1774" t="e">
        <f>#REF!/Sales12[[#This Row],[Quantity]]</f>
        <v>#REF!</v>
      </c>
      <c r="L1774">
        <v>12.78</v>
      </c>
      <c r="M1774">
        <v>0.1</v>
      </c>
      <c r="N1774" t="s">
        <v>45</v>
      </c>
    </row>
    <row r="1775" spans="1:14" x14ac:dyDescent="0.25">
      <c r="A1775" t="s">
        <v>2298</v>
      </c>
      <c r="B1775" s="2">
        <v>45400</v>
      </c>
      <c r="C1775" t="s">
        <v>375</v>
      </c>
      <c r="D1775" t="s">
        <v>126</v>
      </c>
      <c r="E1775" t="s">
        <v>2614</v>
      </c>
      <c r="F1775" t="s">
        <v>2629</v>
      </c>
      <c r="G1775" t="s">
        <v>261</v>
      </c>
      <c r="H1775" t="s">
        <v>2648</v>
      </c>
      <c r="I1775" t="s">
        <v>84</v>
      </c>
      <c r="J1775">
        <v>13</v>
      </c>
      <c r="K1775">
        <v>83.77</v>
      </c>
      <c r="L1775">
        <v>49.56</v>
      </c>
      <c r="M1775">
        <v>0.02</v>
      </c>
      <c r="N1775" t="s">
        <v>45</v>
      </c>
    </row>
    <row r="1776" spans="1:14" x14ac:dyDescent="0.25">
      <c r="A1776" t="s">
        <v>2299</v>
      </c>
      <c r="B1776" s="2">
        <v>45431</v>
      </c>
      <c r="C1776" t="s">
        <v>1293</v>
      </c>
      <c r="D1776" t="s">
        <v>141</v>
      </c>
      <c r="E1776" t="s">
        <v>2617</v>
      </c>
      <c r="F1776" t="s">
        <v>2626</v>
      </c>
      <c r="G1776" t="s">
        <v>60</v>
      </c>
      <c r="H1776" t="s">
        <v>2646</v>
      </c>
      <c r="I1776" t="s">
        <v>75</v>
      </c>
      <c r="J1776">
        <v>30</v>
      </c>
      <c r="K1776">
        <v>89.03</v>
      </c>
      <c r="L1776">
        <v>57.51</v>
      </c>
      <c r="M1776">
        <v>0</v>
      </c>
      <c r="N1776" t="s">
        <v>45</v>
      </c>
    </row>
    <row r="1777" spans="1:14" x14ac:dyDescent="0.25">
      <c r="A1777" t="s">
        <v>2300</v>
      </c>
      <c r="B1777" s="2">
        <v>45506</v>
      </c>
      <c r="C1777" t="s">
        <v>531</v>
      </c>
      <c r="D1777" t="s">
        <v>66</v>
      </c>
      <c r="E1777" t="s">
        <v>2616</v>
      </c>
      <c r="F1777" t="s">
        <v>2631</v>
      </c>
      <c r="G1777" t="s">
        <v>218</v>
      </c>
      <c r="H1777" t="s">
        <v>2647</v>
      </c>
      <c r="I1777" t="s">
        <v>44</v>
      </c>
      <c r="J1777">
        <v>22</v>
      </c>
      <c r="K1777">
        <v>151.49</v>
      </c>
      <c r="L1777">
        <v>97.42</v>
      </c>
      <c r="M1777">
        <v>0.05</v>
      </c>
      <c r="N1777" t="s">
        <v>45</v>
      </c>
    </row>
    <row r="1778" spans="1:14" x14ac:dyDescent="0.25">
      <c r="A1778" t="s">
        <v>2301</v>
      </c>
      <c r="B1778" s="2">
        <v>45401</v>
      </c>
      <c r="C1778" t="s">
        <v>511</v>
      </c>
      <c r="D1778" t="s">
        <v>78</v>
      </c>
      <c r="E1778" t="s">
        <v>2618</v>
      </c>
      <c r="F1778" t="s">
        <v>2639</v>
      </c>
      <c r="G1778" t="s">
        <v>152</v>
      </c>
      <c r="H1778" t="s">
        <v>2648</v>
      </c>
      <c r="I1778" t="s">
        <v>75</v>
      </c>
      <c r="J1778">
        <v>40</v>
      </c>
      <c r="K1778">
        <v>135.13</v>
      </c>
      <c r="L1778">
        <v>80.069999999999993</v>
      </c>
      <c r="M1778">
        <v>0</v>
      </c>
      <c r="N1778" t="s">
        <v>45</v>
      </c>
    </row>
    <row r="1779" spans="1:14" x14ac:dyDescent="0.25">
      <c r="A1779" t="s">
        <v>2302</v>
      </c>
      <c r="B1779" s="2">
        <v>45359</v>
      </c>
      <c r="C1779" t="s">
        <v>823</v>
      </c>
      <c r="D1779" t="s">
        <v>114</v>
      </c>
      <c r="E1779" t="s">
        <v>2615</v>
      </c>
      <c r="F1779" t="s">
        <v>2630</v>
      </c>
      <c r="G1779" t="s">
        <v>60</v>
      </c>
      <c r="H1779" t="s">
        <v>2647</v>
      </c>
      <c r="I1779" t="s">
        <v>70</v>
      </c>
      <c r="J1779">
        <v>64</v>
      </c>
      <c r="K1779">
        <v>33.729999999999997</v>
      </c>
      <c r="L1779">
        <v>22.03</v>
      </c>
      <c r="M1779">
        <v>0</v>
      </c>
      <c r="N1779" t="s">
        <v>32</v>
      </c>
    </row>
    <row r="1780" spans="1:14" x14ac:dyDescent="0.25">
      <c r="A1780" t="s">
        <v>2303</v>
      </c>
      <c r="B1780" s="2">
        <v>45491</v>
      </c>
      <c r="C1780" t="s">
        <v>316</v>
      </c>
      <c r="D1780" t="s">
        <v>49</v>
      </c>
      <c r="E1780" t="s">
        <v>2618</v>
      </c>
      <c r="F1780" t="s">
        <v>2635</v>
      </c>
      <c r="G1780" t="s">
        <v>184</v>
      </c>
      <c r="H1780" t="s">
        <v>2645</v>
      </c>
      <c r="I1780" t="s">
        <v>2578</v>
      </c>
      <c r="J1780">
        <v>63</v>
      </c>
      <c r="K1780">
        <v>24.81</v>
      </c>
      <c r="L1780">
        <v>13.9</v>
      </c>
      <c r="M1780">
        <v>0</v>
      </c>
      <c r="N1780" t="s">
        <v>32</v>
      </c>
    </row>
    <row r="1781" spans="1:14" x14ac:dyDescent="0.25">
      <c r="A1781" t="s">
        <v>2304</v>
      </c>
      <c r="B1781" s="2">
        <v>45503</v>
      </c>
      <c r="C1781" t="s">
        <v>985</v>
      </c>
      <c r="D1781" t="s">
        <v>165</v>
      </c>
      <c r="E1781" t="s">
        <v>2615</v>
      </c>
      <c r="F1781" t="s">
        <v>2623</v>
      </c>
      <c r="G1781" t="s">
        <v>178</v>
      </c>
      <c r="H1781" t="s">
        <v>2645</v>
      </c>
      <c r="I1781" t="s">
        <v>84</v>
      </c>
      <c r="J1781">
        <v>24</v>
      </c>
      <c r="K1781">
        <v>39.54</v>
      </c>
      <c r="L1781">
        <v>26.83</v>
      </c>
      <c r="M1781">
        <v>0.15</v>
      </c>
      <c r="N1781" t="s">
        <v>129</v>
      </c>
    </row>
    <row r="1782" spans="1:14" x14ac:dyDescent="0.25">
      <c r="A1782" t="s">
        <v>2305</v>
      </c>
      <c r="B1782" s="2">
        <v>45632</v>
      </c>
      <c r="C1782" t="s">
        <v>331</v>
      </c>
      <c r="D1782" t="s">
        <v>141</v>
      </c>
      <c r="E1782" t="s">
        <v>2617</v>
      </c>
      <c r="F1782" t="s">
        <v>2642</v>
      </c>
      <c r="G1782" t="s">
        <v>253</v>
      </c>
      <c r="H1782" t="s">
        <v>2645</v>
      </c>
      <c r="I1782" t="s">
        <v>75</v>
      </c>
      <c r="J1782">
        <v>41</v>
      </c>
      <c r="K1782">
        <v>93.52</v>
      </c>
      <c r="L1782">
        <v>56.1</v>
      </c>
      <c r="M1782">
        <v>0.15</v>
      </c>
      <c r="N1782" t="s">
        <v>45</v>
      </c>
    </row>
    <row r="1783" spans="1:14" x14ac:dyDescent="0.25">
      <c r="A1783" t="s">
        <v>2306</v>
      </c>
      <c r="B1783" s="2">
        <v>45619</v>
      </c>
      <c r="C1783" t="s">
        <v>600</v>
      </c>
      <c r="D1783" t="s">
        <v>93</v>
      </c>
      <c r="E1783" t="s">
        <v>2617</v>
      </c>
      <c r="F1783" t="s">
        <v>2625</v>
      </c>
      <c r="G1783" t="s">
        <v>195</v>
      </c>
      <c r="H1783" t="s">
        <v>2646</v>
      </c>
      <c r="I1783" t="s">
        <v>75</v>
      </c>
      <c r="J1783">
        <v>30</v>
      </c>
      <c r="K1783">
        <v>52.86</v>
      </c>
      <c r="L1783">
        <v>31.26</v>
      </c>
      <c r="M1783">
        <v>0.15</v>
      </c>
      <c r="N1783" t="s">
        <v>45</v>
      </c>
    </row>
    <row r="1784" spans="1:14" x14ac:dyDescent="0.25">
      <c r="A1784" t="s">
        <v>2307</v>
      </c>
      <c r="B1784" s="2">
        <v>45458</v>
      </c>
      <c r="C1784" t="s">
        <v>258</v>
      </c>
      <c r="D1784" t="s">
        <v>165</v>
      </c>
      <c r="E1784" t="s">
        <v>2616</v>
      </c>
      <c r="F1784" t="s">
        <v>2638</v>
      </c>
      <c r="G1784" t="s">
        <v>60</v>
      </c>
      <c r="H1784" t="s">
        <v>2646</v>
      </c>
      <c r="I1784" t="s">
        <v>70</v>
      </c>
      <c r="J1784">
        <v>52</v>
      </c>
      <c r="K1784">
        <v>43.94</v>
      </c>
      <c r="L1784">
        <v>25.07</v>
      </c>
      <c r="M1784">
        <v>0.15</v>
      </c>
      <c r="N1784" t="s">
        <v>45</v>
      </c>
    </row>
    <row r="1785" spans="1:14" x14ac:dyDescent="0.25">
      <c r="A1785" t="s">
        <v>2308</v>
      </c>
      <c r="B1785" s="2">
        <v>45623</v>
      </c>
      <c r="C1785" t="s">
        <v>447</v>
      </c>
      <c r="D1785" t="s">
        <v>222</v>
      </c>
      <c r="E1785" t="s">
        <v>2616</v>
      </c>
      <c r="F1785" t="s">
        <v>2624</v>
      </c>
      <c r="G1785" t="s">
        <v>118</v>
      </c>
      <c r="H1785" t="s">
        <v>2645</v>
      </c>
      <c r="I1785" t="s">
        <v>75</v>
      </c>
      <c r="J1785">
        <v>26</v>
      </c>
      <c r="K1785">
        <v>123.56</v>
      </c>
      <c r="L1785">
        <v>77.13</v>
      </c>
      <c r="M1785">
        <v>0.02</v>
      </c>
      <c r="N1785" t="s">
        <v>45</v>
      </c>
    </row>
    <row r="1786" spans="1:14" x14ac:dyDescent="0.25">
      <c r="A1786" t="s">
        <v>2309</v>
      </c>
      <c r="B1786" s="2">
        <v>45342</v>
      </c>
      <c r="C1786" t="s">
        <v>679</v>
      </c>
      <c r="D1786" t="s">
        <v>99</v>
      </c>
      <c r="E1786" t="s">
        <v>2616</v>
      </c>
      <c r="F1786" t="s">
        <v>2631</v>
      </c>
      <c r="G1786" t="s">
        <v>265</v>
      </c>
      <c r="H1786" t="s">
        <v>2647</v>
      </c>
      <c r="I1786" t="s">
        <v>2578</v>
      </c>
      <c r="J1786">
        <v>69</v>
      </c>
      <c r="K1786">
        <v>67.16</v>
      </c>
      <c r="L1786">
        <v>42.58</v>
      </c>
      <c r="M1786">
        <v>0</v>
      </c>
      <c r="N1786" t="s">
        <v>32</v>
      </c>
    </row>
    <row r="1787" spans="1:14" x14ac:dyDescent="0.25">
      <c r="A1787" t="s">
        <v>2310</v>
      </c>
      <c r="B1787" s="2">
        <v>45418</v>
      </c>
      <c r="C1787" t="s">
        <v>243</v>
      </c>
      <c r="D1787" t="s">
        <v>165</v>
      </c>
      <c r="E1787" t="s">
        <v>2614</v>
      </c>
      <c r="F1787" t="s">
        <v>2629</v>
      </c>
      <c r="G1787" t="s">
        <v>184</v>
      </c>
      <c r="H1787" t="s">
        <v>2645</v>
      </c>
      <c r="I1787" t="s">
        <v>2578</v>
      </c>
      <c r="J1787">
        <v>47</v>
      </c>
      <c r="K1787">
        <v>43.97</v>
      </c>
      <c r="L1787">
        <v>26.63</v>
      </c>
      <c r="M1787">
        <v>0.02</v>
      </c>
      <c r="N1787" t="s">
        <v>45</v>
      </c>
    </row>
    <row r="1788" spans="1:14" x14ac:dyDescent="0.25">
      <c r="A1788" t="s">
        <v>2311</v>
      </c>
      <c r="B1788" s="2">
        <v>45315</v>
      </c>
      <c r="C1788" t="s">
        <v>1317</v>
      </c>
      <c r="D1788" t="s">
        <v>99</v>
      </c>
      <c r="E1788" t="s">
        <v>2615</v>
      </c>
      <c r="F1788" t="s">
        <v>2630</v>
      </c>
      <c r="G1788" t="s">
        <v>218</v>
      </c>
      <c r="H1788" t="s">
        <v>2646</v>
      </c>
      <c r="I1788" t="s">
        <v>75</v>
      </c>
      <c r="J1788">
        <v>49</v>
      </c>
      <c r="K1788">
        <v>69.989999999999995</v>
      </c>
      <c r="L1788">
        <v>37.799999999999997</v>
      </c>
      <c r="M1788">
        <v>0.02</v>
      </c>
      <c r="N1788" t="s">
        <v>129</v>
      </c>
    </row>
    <row r="1789" spans="1:14" x14ac:dyDescent="0.25">
      <c r="A1789" t="s">
        <v>2312</v>
      </c>
      <c r="B1789" s="2">
        <v>45571</v>
      </c>
      <c r="C1789" t="s">
        <v>418</v>
      </c>
      <c r="D1789" t="s">
        <v>23</v>
      </c>
      <c r="E1789" t="s">
        <v>2618</v>
      </c>
      <c r="F1789" t="s">
        <v>2632</v>
      </c>
      <c r="G1789" t="s">
        <v>152</v>
      </c>
      <c r="H1789" t="s">
        <v>2645</v>
      </c>
      <c r="I1789" t="s">
        <v>44</v>
      </c>
      <c r="J1789">
        <v>24</v>
      </c>
      <c r="K1789">
        <v>75.930000000000007</v>
      </c>
      <c r="L1789">
        <v>46.57</v>
      </c>
      <c r="M1789">
        <v>0</v>
      </c>
      <c r="N1789" t="s">
        <v>32</v>
      </c>
    </row>
    <row r="1790" spans="1:14" x14ac:dyDescent="0.25">
      <c r="A1790" t="s">
        <v>2313</v>
      </c>
      <c r="B1790" s="2">
        <v>45642</v>
      </c>
      <c r="C1790" t="s">
        <v>1267</v>
      </c>
      <c r="D1790" t="s">
        <v>222</v>
      </c>
      <c r="E1790" t="s">
        <v>2618</v>
      </c>
      <c r="F1790" t="s">
        <v>2628</v>
      </c>
      <c r="G1790" t="s">
        <v>184</v>
      </c>
      <c r="H1790" t="s">
        <v>2647</v>
      </c>
      <c r="I1790" t="s">
        <v>84</v>
      </c>
      <c r="J1790">
        <v>72</v>
      </c>
      <c r="K1790">
        <v>126.66</v>
      </c>
      <c r="L1790">
        <v>82.91</v>
      </c>
      <c r="M1790">
        <v>0.05</v>
      </c>
      <c r="N1790" t="s">
        <v>45</v>
      </c>
    </row>
    <row r="1791" spans="1:14" x14ac:dyDescent="0.25">
      <c r="A1791" t="s">
        <v>2314</v>
      </c>
      <c r="B1791" s="2">
        <v>45299</v>
      </c>
      <c r="C1791" t="s">
        <v>276</v>
      </c>
      <c r="D1791" t="s">
        <v>209</v>
      </c>
      <c r="E1791" t="s">
        <v>2616</v>
      </c>
      <c r="F1791" t="s">
        <v>2639</v>
      </c>
      <c r="G1791" t="s">
        <v>248</v>
      </c>
      <c r="H1791" t="s">
        <v>2648</v>
      </c>
      <c r="I1791" t="s">
        <v>84</v>
      </c>
      <c r="J1791">
        <v>15</v>
      </c>
      <c r="K1791">
        <v>18.149999999999999</v>
      </c>
      <c r="L1791">
        <v>9.83</v>
      </c>
      <c r="M1791">
        <v>0</v>
      </c>
      <c r="N1791" t="s">
        <v>45</v>
      </c>
    </row>
    <row r="1792" spans="1:14" x14ac:dyDescent="0.25">
      <c r="A1792" t="s">
        <v>2315</v>
      </c>
      <c r="B1792" s="2">
        <v>45634</v>
      </c>
      <c r="C1792" t="s">
        <v>322</v>
      </c>
      <c r="D1792" t="s">
        <v>114</v>
      </c>
      <c r="E1792" t="s">
        <v>2616</v>
      </c>
      <c r="F1792" t="s">
        <v>2631</v>
      </c>
      <c r="G1792" t="s">
        <v>144</v>
      </c>
      <c r="H1792" t="s">
        <v>2646</v>
      </c>
      <c r="I1792" t="s">
        <v>84</v>
      </c>
      <c r="J1792">
        <v>4</v>
      </c>
      <c r="K1792">
        <v>33.299999999999997</v>
      </c>
      <c r="L1792">
        <v>19.79</v>
      </c>
      <c r="M1792">
        <v>0.02</v>
      </c>
      <c r="N1792" t="s">
        <v>45</v>
      </c>
    </row>
    <row r="1793" spans="1:14" x14ac:dyDescent="0.25">
      <c r="A1793" t="s">
        <v>2316</v>
      </c>
      <c r="B1793" s="2">
        <v>45612</v>
      </c>
      <c r="C1793" t="s">
        <v>511</v>
      </c>
      <c r="D1793" t="s">
        <v>99</v>
      </c>
      <c r="E1793" t="s">
        <v>2618</v>
      </c>
      <c r="F1793" t="s">
        <v>2628</v>
      </c>
      <c r="G1793" t="s">
        <v>195</v>
      </c>
      <c r="H1793" t="s">
        <v>2648</v>
      </c>
      <c r="I1793" t="s">
        <v>2578</v>
      </c>
      <c r="J1793">
        <v>53</v>
      </c>
      <c r="K1793">
        <v>65.25</v>
      </c>
      <c r="L1793">
        <v>43.96</v>
      </c>
      <c r="M1793" t="e">
        <f>ROUND(#REF!/#REF!,2)</f>
        <v>#REF!</v>
      </c>
      <c r="N1793" t="s">
        <v>45</v>
      </c>
    </row>
    <row r="1794" spans="1:14" x14ac:dyDescent="0.25">
      <c r="A1794" t="s">
        <v>2317</v>
      </c>
      <c r="B1794" s="2">
        <v>45552</v>
      </c>
      <c r="C1794" t="s">
        <v>489</v>
      </c>
      <c r="D1794" t="s">
        <v>93</v>
      </c>
      <c r="E1794" t="s">
        <v>2618</v>
      </c>
      <c r="F1794" t="s">
        <v>2634</v>
      </c>
      <c r="G1794" t="s">
        <v>195</v>
      </c>
      <c r="H1794" t="s">
        <v>2646</v>
      </c>
      <c r="I1794" t="s">
        <v>84</v>
      </c>
      <c r="J1794">
        <v>78</v>
      </c>
      <c r="K1794">
        <v>57.67</v>
      </c>
      <c r="L1794">
        <v>32.090000000000003</v>
      </c>
      <c r="M1794">
        <v>0.15</v>
      </c>
      <c r="N1794" t="s">
        <v>32</v>
      </c>
    </row>
    <row r="1795" spans="1:14" x14ac:dyDescent="0.25">
      <c r="A1795" t="s">
        <v>2318</v>
      </c>
      <c r="B1795" s="2">
        <v>45340</v>
      </c>
      <c r="C1795" t="s">
        <v>878</v>
      </c>
      <c r="D1795" t="s">
        <v>49</v>
      </c>
      <c r="E1795" t="s">
        <v>2614</v>
      </c>
      <c r="F1795" t="s">
        <v>2622</v>
      </c>
      <c r="G1795" t="s">
        <v>90</v>
      </c>
      <c r="H1795" t="s">
        <v>2649</v>
      </c>
      <c r="I1795" t="s">
        <v>75</v>
      </c>
      <c r="J1795">
        <v>30</v>
      </c>
      <c r="K1795">
        <v>23.07</v>
      </c>
      <c r="L1795">
        <v>12.57</v>
      </c>
      <c r="M1795">
        <v>0.1</v>
      </c>
      <c r="N1795" t="s">
        <v>45</v>
      </c>
    </row>
    <row r="1796" spans="1:14" x14ac:dyDescent="0.25">
      <c r="A1796" t="s">
        <v>2319</v>
      </c>
      <c r="B1796" s="2">
        <v>45326</v>
      </c>
      <c r="C1796" t="s">
        <v>420</v>
      </c>
      <c r="D1796" t="s">
        <v>141</v>
      </c>
      <c r="E1796" t="s">
        <v>2615</v>
      </c>
      <c r="F1796" t="s">
        <v>2630</v>
      </c>
      <c r="G1796" t="s">
        <v>42</v>
      </c>
      <c r="H1796" t="s">
        <v>2645</v>
      </c>
      <c r="I1796" t="s">
        <v>2578</v>
      </c>
      <c r="J1796">
        <v>15</v>
      </c>
      <c r="K1796">
        <v>94.51</v>
      </c>
      <c r="L1796">
        <v>57.69</v>
      </c>
      <c r="M1796">
        <v>0</v>
      </c>
      <c r="N1796" t="s">
        <v>45</v>
      </c>
    </row>
    <row r="1797" spans="1:14" x14ac:dyDescent="0.25">
      <c r="A1797" t="s">
        <v>2320</v>
      </c>
      <c r="B1797" s="2">
        <v>45565</v>
      </c>
      <c r="C1797" t="s">
        <v>1068</v>
      </c>
      <c r="D1797" t="s">
        <v>36</v>
      </c>
      <c r="E1797" t="s">
        <v>2615</v>
      </c>
      <c r="F1797" t="s">
        <v>2630</v>
      </c>
      <c r="G1797" t="s">
        <v>90</v>
      </c>
      <c r="H1797" t="s">
        <v>2645</v>
      </c>
      <c r="I1797" t="s">
        <v>75</v>
      </c>
      <c r="J1797">
        <v>64</v>
      </c>
      <c r="K1797">
        <v>157.91</v>
      </c>
      <c r="L1797">
        <v>104.84</v>
      </c>
      <c r="M1797">
        <v>0.15</v>
      </c>
      <c r="N1797" t="s">
        <v>129</v>
      </c>
    </row>
    <row r="1798" spans="1:14" x14ac:dyDescent="0.25">
      <c r="A1798" t="s">
        <v>2321</v>
      </c>
      <c r="B1798" s="2">
        <v>45488</v>
      </c>
      <c r="C1798" t="s">
        <v>531</v>
      </c>
      <c r="D1798" t="s">
        <v>93</v>
      </c>
      <c r="E1798" t="s">
        <v>2614</v>
      </c>
      <c r="F1798" t="s">
        <v>2636</v>
      </c>
      <c r="G1798" t="s">
        <v>60</v>
      </c>
      <c r="H1798" t="s">
        <v>2646</v>
      </c>
      <c r="I1798" t="s">
        <v>84</v>
      </c>
      <c r="J1798">
        <v>51</v>
      </c>
      <c r="K1798">
        <v>54.4</v>
      </c>
      <c r="L1798">
        <v>31.38</v>
      </c>
      <c r="M1798">
        <v>0.1</v>
      </c>
      <c r="N1798" t="s">
        <v>129</v>
      </c>
    </row>
    <row r="1799" spans="1:14" x14ac:dyDescent="0.25">
      <c r="A1799" t="s">
        <v>2322</v>
      </c>
      <c r="B1799" s="2">
        <v>45415</v>
      </c>
      <c r="C1799" t="s">
        <v>1159</v>
      </c>
      <c r="D1799" t="s">
        <v>222</v>
      </c>
      <c r="E1799" t="s">
        <v>2615</v>
      </c>
      <c r="F1799" t="s">
        <v>2630</v>
      </c>
      <c r="G1799" t="s">
        <v>253</v>
      </c>
      <c r="H1799" t="s">
        <v>2647</v>
      </c>
      <c r="I1799" t="s">
        <v>2578</v>
      </c>
      <c r="J1799">
        <v>37</v>
      </c>
      <c r="K1799">
        <v>117.85</v>
      </c>
      <c r="L1799">
        <v>81.790000000000006</v>
      </c>
      <c r="M1799">
        <v>0.05</v>
      </c>
      <c r="N1799" t="s">
        <v>32</v>
      </c>
    </row>
    <row r="1800" spans="1:14" x14ac:dyDescent="0.25">
      <c r="A1800" t="s">
        <v>2323</v>
      </c>
      <c r="B1800" s="2">
        <v>45434</v>
      </c>
      <c r="C1800" t="s">
        <v>785</v>
      </c>
      <c r="D1800" t="s">
        <v>150</v>
      </c>
      <c r="E1800" t="s">
        <v>2614</v>
      </c>
      <c r="F1800" t="s">
        <v>2629</v>
      </c>
      <c r="G1800" t="s">
        <v>178</v>
      </c>
      <c r="H1800" t="s">
        <v>2645</v>
      </c>
      <c r="I1800" t="s">
        <v>70</v>
      </c>
      <c r="J1800">
        <v>43</v>
      </c>
      <c r="K1800">
        <v>78.64</v>
      </c>
      <c r="L1800">
        <v>52.3</v>
      </c>
      <c r="M1800">
        <v>0.2</v>
      </c>
      <c r="N1800" t="s">
        <v>32</v>
      </c>
    </row>
    <row r="1801" spans="1:14" x14ac:dyDescent="0.25">
      <c r="A1801" t="s">
        <v>2324</v>
      </c>
      <c r="B1801" s="2">
        <v>45355</v>
      </c>
      <c r="C1801" t="s">
        <v>205</v>
      </c>
      <c r="D1801" t="s">
        <v>187</v>
      </c>
      <c r="E1801" t="s">
        <v>2615</v>
      </c>
      <c r="F1801" t="s">
        <v>2640</v>
      </c>
      <c r="G1801" t="s">
        <v>248</v>
      </c>
      <c r="H1801" t="s">
        <v>2648</v>
      </c>
      <c r="I1801" t="s">
        <v>44</v>
      </c>
      <c r="J1801">
        <v>7</v>
      </c>
      <c r="K1801">
        <v>49.48</v>
      </c>
      <c r="L1801">
        <v>31.28</v>
      </c>
      <c r="M1801">
        <v>0.2</v>
      </c>
      <c r="N1801" t="s">
        <v>129</v>
      </c>
    </row>
    <row r="1802" spans="1:14" x14ac:dyDescent="0.25">
      <c r="A1802" t="s">
        <v>2325</v>
      </c>
      <c r="B1802" s="2">
        <v>45503</v>
      </c>
      <c r="C1802" t="s">
        <v>531</v>
      </c>
      <c r="D1802" t="s">
        <v>250</v>
      </c>
      <c r="E1802" t="s">
        <v>2614</v>
      </c>
      <c r="F1802" t="s">
        <v>2622</v>
      </c>
      <c r="G1802" t="s">
        <v>265</v>
      </c>
      <c r="H1802" t="s">
        <v>2645</v>
      </c>
      <c r="I1802" t="s">
        <v>44</v>
      </c>
      <c r="J1802">
        <v>26</v>
      </c>
      <c r="K1802">
        <v>63.93</v>
      </c>
      <c r="L1802">
        <v>35.770000000000003</v>
      </c>
      <c r="M1802">
        <v>0.1</v>
      </c>
      <c r="N1802" t="s">
        <v>45</v>
      </c>
    </row>
    <row r="1803" spans="1:14" x14ac:dyDescent="0.25">
      <c r="A1803" t="s">
        <v>2326</v>
      </c>
      <c r="B1803" s="2">
        <v>45348</v>
      </c>
      <c r="C1803" t="s">
        <v>515</v>
      </c>
      <c r="D1803" t="s">
        <v>165</v>
      </c>
      <c r="E1803" t="s">
        <v>2616</v>
      </c>
      <c r="F1803" t="s">
        <v>2638</v>
      </c>
      <c r="G1803" t="s">
        <v>60</v>
      </c>
      <c r="H1803" t="s">
        <v>2648</v>
      </c>
      <c r="I1803" t="s">
        <v>2578</v>
      </c>
      <c r="J1803">
        <v>8</v>
      </c>
      <c r="K1803">
        <v>41.45</v>
      </c>
      <c r="L1803">
        <v>24.04</v>
      </c>
      <c r="M1803">
        <v>0.05</v>
      </c>
      <c r="N1803" t="s">
        <v>45</v>
      </c>
    </row>
    <row r="1804" spans="1:14" x14ac:dyDescent="0.25">
      <c r="A1804" t="s">
        <v>2327</v>
      </c>
      <c r="B1804" s="2">
        <v>45432</v>
      </c>
      <c r="C1804" t="s">
        <v>404</v>
      </c>
      <c r="D1804" t="s">
        <v>93</v>
      </c>
      <c r="E1804" t="s">
        <v>2616</v>
      </c>
      <c r="F1804" t="s">
        <v>2633</v>
      </c>
      <c r="G1804" t="s">
        <v>261</v>
      </c>
      <c r="H1804" t="s">
        <v>2645</v>
      </c>
      <c r="I1804" t="s">
        <v>75</v>
      </c>
      <c r="J1804">
        <v>58</v>
      </c>
      <c r="K1804">
        <v>56.4</v>
      </c>
      <c r="L1804">
        <v>34.21</v>
      </c>
      <c r="M1804">
        <v>0.2</v>
      </c>
      <c r="N1804" t="s">
        <v>45</v>
      </c>
    </row>
    <row r="1805" spans="1:14" x14ac:dyDescent="0.25">
      <c r="A1805" t="s">
        <v>2328</v>
      </c>
      <c r="B1805" s="2">
        <v>45524</v>
      </c>
      <c r="C1805" t="s">
        <v>454</v>
      </c>
      <c r="D1805" t="s">
        <v>150</v>
      </c>
      <c r="E1805" t="s">
        <v>2616</v>
      </c>
      <c r="F1805" t="s">
        <v>2638</v>
      </c>
      <c r="G1805" t="s">
        <v>144</v>
      </c>
      <c r="H1805" t="s">
        <v>2646</v>
      </c>
      <c r="I1805" t="s">
        <v>70</v>
      </c>
      <c r="J1805">
        <v>12</v>
      </c>
      <c r="K1805">
        <v>81.239999999999995</v>
      </c>
      <c r="L1805">
        <v>51.3</v>
      </c>
      <c r="M1805">
        <v>0.05</v>
      </c>
      <c r="N1805" t="s">
        <v>45</v>
      </c>
    </row>
    <row r="1806" spans="1:14" x14ac:dyDescent="0.25">
      <c r="A1806" t="s">
        <v>2329</v>
      </c>
      <c r="B1806" s="2">
        <v>45306</v>
      </c>
      <c r="C1806" t="s">
        <v>814</v>
      </c>
      <c r="D1806" t="s">
        <v>150</v>
      </c>
      <c r="E1806" t="s">
        <v>2616</v>
      </c>
      <c r="F1806" t="s">
        <v>2638</v>
      </c>
      <c r="G1806" t="s">
        <v>265</v>
      </c>
      <c r="H1806" t="s">
        <v>2648</v>
      </c>
      <c r="I1806" t="s">
        <v>44</v>
      </c>
      <c r="J1806">
        <v>16</v>
      </c>
      <c r="K1806">
        <v>86.67</v>
      </c>
      <c r="L1806">
        <v>52.07</v>
      </c>
      <c r="M1806">
        <v>0.05</v>
      </c>
      <c r="N1806" t="s">
        <v>45</v>
      </c>
    </row>
    <row r="1807" spans="1:14" x14ac:dyDescent="0.25">
      <c r="A1807" t="s">
        <v>2330</v>
      </c>
      <c r="B1807" s="2">
        <v>45551</v>
      </c>
      <c r="C1807" t="s">
        <v>92</v>
      </c>
      <c r="D1807" t="s">
        <v>216</v>
      </c>
      <c r="E1807" t="s">
        <v>2614</v>
      </c>
      <c r="F1807" t="s">
        <v>2637</v>
      </c>
      <c r="G1807" t="s">
        <v>60</v>
      </c>
      <c r="H1807" t="s">
        <v>2647</v>
      </c>
      <c r="I1807" t="s">
        <v>84</v>
      </c>
      <c r="J1807">
        <v>4</v>
      </c>
      <c r="K1807">
        <v>112.09</v>
      </c>
      <c r="L1807">
        <v>69.709999999999994</v>
      </c>
      <c r="M1807">
        <v>0.1</v>
      </c>
      <c r="N1807" t="s">
        <v>45</v>
      </c>
    </row>
    <row r="1808" spans="1:14" x14ac:dyDescent="0.25">
      <c r="A1808" t="s">
        <v>2331</v>
      </c>
      <c r="B1808" s="2">
        <v>45515</v>
      </c>
      <c r="C1808" t="s">
        <v>77</v>
      </c>
      <c r="D1808" t="s">
        <v>187</v>
      </c>
      <c r="E1808" t="s">
        <v>2616</v>
      </c>
      <c r="F1808" t="s">
        <v>2631</v>
      </c>
      <c r="G1808" t="s">
        <v>42</v>
      </c>
      <c r="H1808" t="s">
        <v>2646</v>
      </c>
      <c r="I1808" t="s">
        <v>44</v>
      </c>
      <c r="J1808">
        <v>20</v>
      </c>
      <c r="K1808">
        <v>46.4</v>
      </c>
      <c r="L1808">
        <v>27.64</v>
      </c>
      <c r="M1808">
        <v>0</v>
      </c>
      <c r="N1808" t="s">
        <v>45</v>
      </c>
    </row>
    <row r="1809" spans="1:14" x14ac:dyDescent="0.25">
      <c r="A1809" t="s">
        <v>2332</v>
      </c>
      <c r="B1809" s="2">
        <v>45430</v>
      </c>
      <c r="C1809" t="s">
        <v>1131</v>
      </c>
      <c r="D1809" t="s">
        <v>165</v>
      </c>
      <c r="E1809" t="s">
        <v>2618</v>
      </c>
      <c r="F1809" t="s">
        <v>2634</v>
      </c>
      <c r="G1809" t="s">
        <v>2619</v>
      </c>
      <c r="H1809" t="s">
        <v>2646</v>
      </c>
      <c r="I1809" t="s">
        <v>84</v>
      </c>
      <c r="J1809">
        <v>19</v>
      </c>
      <c r="K1809">
        <v>44.5</v>
      </c>
      <c r="L1809">
        <v>23.45</v>
      </c>
      <c r="M1809">
        <v>0.2</v>
      </c>
      <c r="N1809" t="s">
        <v>45</v>
      </c>
    </row>
    <row r="1810" spans="1:14" x14ac:dyDescent="0.25">
      <c r="A1810" t="s">
        <v>2333</v>
      </c>
      <c r="B1810" s="2">
        <v>45383</v>
      </c>
      <c r="C1810" t="s">
        <v>312</v>
      </c>
      <c r="D1810" t="s">
        <v>23</v>
      </c>
      <c r="E1810" t="s">
        <v>2614</v>
      </c>
      <c r="F1810" t="s">
        <v>2629</v>
      </c>
      <c r="G1810" t="s">
        <v>170</v>
      </c>
      <c r="H1810" t="s">
        <v>2645</v>
      </c>
      <c r="I1810" t="s">
        <v>84</v>
      </c>
      <c r="J1810">
        <v>38</v>
      </c>
      <c r="K1810">
        <v>72.540000000000006</v>
      </c>
      <c r="L1810">
        <v>40.58</v>
      </c>
      <c r="M1810">
        <v>0.05</v>
      </c>
      <c r="N1810" t="s">
        <v>45</v>
      </c>
    </row>
    <row r="1811" spans="1:14" x14ac:dyDescent="0.25">
      <c r="A1811" t="s">
        <v>2334</v>
      </c>
      <c r="B1811" s="2">
        <v>45545</v>
      </c>
      <c r="C1811" t="s">
        <v>1036</v>
      </c>
      <c r="D1811" t="s">
        <v>187</v>
      </c>
      <c r="E1811" t="s">
        <v>2617</v>
      </c>
      <c r="F1811" t="s">
        <v>2642</v>
      </c>
      <c r="G1811" t="s">
        <v>218</v>
      </c>
      <c r="H1811" t="s">
        <v>2645</v>
      </c>
      <c r="I1811" t="s">
        <v>75</v>
      </c>
      <c r="J1811">
        <v>57</v>
      </c>
      <c r="K1811">
        <v>51.69</v>
      </c>
      <c r="L1811">
        <v>29.69</v>
      </c>
      <c r="M1811">
        <v>0.1</v>
      </c>
      <c r="N1811" t="s">
        <v>45</v>
      </c>
    </row>
    <row r="1812" spans="1:14" x14ac:dyDescent="0.25">
      <c r="A1812" t="s">
        <v>2335</v>
      </c>
      <c r="B1812" s="2">
        <v>45437</v>
      </c>
      <c r="C1812" t="s">
        <v>866</v>
      </c>
      <c r="D1812" t="s">
        <v>141</v>
      </c>
      <c r="E1812" t="s">
        <v>2614</v>
      </c>
      <c r="F1812" t="s">
        <v>2629</v>
      </c>
      <c r="G1812" t="s">
        <v>261</v>
      </c>
      <c r="H1812" t="s">
        <v>2645</v>
      </c>
      <c r="I1812" t="s">
        <v>2578</v>
      </c>
      <c r="J1812">
        <v>22</v>
      </c>
      <c r="K1812">
        <v>89.27</v>
      </c>
      <c r="L1812">
        <v>58.54</v>
      </c>
      <c r="M1812">
        <v>0</v>
      </c>
      <c r="N1812" t="s">
        <v>45</v>
      </c>
    </row>
    <row r="1813" spans="1:14" x14ac:dyDescent="0.25">
      <c r="A1813" t="s">
        <v>2336</v>
      </c>
      <c r="B1813" s="2">
        <v>45362</v>
      </c>
      <c r="C1813" t="s">
        <v>596</v>
      </c>
      <c r="D1813" t="s">
        <v>126</v>
      </c>
      <c r="E1813" t="s">
        <v>2617</v>
      </c>
      <c r="F1813" t="s">
        <v>2641</v>
      </c>
      <c r="G1813" t="s">
        <v>195</v>
      </c>
      <c r="H1813" t="s">
        <v>2647</v>
      </c>
      <c r="I1813" t="s">
        <v>84</v>
      </c>
      <c r="J1813">
        <v>34</v>
      </c>
      <c r="K1813">
        <v>95.33</v>
      </c>
      <c r="L1813">
        <v>48.94</v>
      </c>
      <c r="M1813">
        <v>0.05</v>
      </c>
      <c r="N1813" t="s">
        <v>45</v>
      </c>
    </row>
    <row r="1814" spans="1:14" x14ac:dyDescent="0.25">
      <c r="A1814" t="s">
        <v>2337</v>
      </c>
      <c r="B1814" s="2">
        <v>45626</v>
      </c>
      <c r="C1814" t="s">
        <v>1831</v>
      </c>
      <c r="D1814" t="s">
        <v>78</v>
      </c>
      <c r="E1814" t="s">
        <v>2618</v>
      </c>
      <c r="F1814" t="s">
        <v>2628</v>
      </c>
      <c r="G1814" t="s">
        <v>253</v>
      </c>
      <c r="H1814" t="s">
        <v>2647</v>
      </c>
      <c r="I1814" t="s">
        <v>2578</v>
      </c>
      <c r="J1814">
        <v>29</v>
      </c>
      <c r="K1814">
        <v>130.66999999999999</v>
      </c>
      <c r="L1814">
        <v>87.02</v>
      </c>
      <c r="M1814">
        <v>0.05</v>
      </c>
      <c r="N1814" t="s">
        <v>45</v>
      </c>
    </row>
    <row r="1815" spans="1:14" x14ac:dyDescent="0.25">
      <c r="A1815" t="s">
        <v>2338</v>
      </c>
      <c r="B1815" s="2">
        <v>45312</v>
      </c>
      <c r="C1815" t="s">
        <v>186</v>
      </c>
      <c r="D1815" t="s">
        <v>36</v>
      </c>
      <c r="E1815" t="s">
        <v>2616</v>
      </c>
      <c r="F1815" t="s">
        <v>2633</v>
      </c>
      <c r="G1815" t="s">
        <v>83</v>
      </c>
      <c r="H1815" t="s">
        <v>2645</v>
      </c>
      <c r="I1815" t="s">
        <v>2578</v>
      </c>
      <c r="J1815">
        <v>32</v>
      </c>
      <c r="K1815">
        <v>172.56</v>
      </c>
      <c r="L1815">
        <v>92.5</v>
      </c>
      <c r="M1815">
        <v>0.15</v>
      </c>
      <c r="N1815" t="s">
        <v>129</v>
      </c>
    </row>
    <row r="1816" spans="1:14" x14ac:dyDescent="0.25">
      <c r="A1816" t="s">
        <v>2339</v>
      </c>
      <c r="B1816" s="2">
        <v>45443</v>
      </c>
      <c r="C1816" t="s">
        <v>335</v>
      </c>
      <c r="D1816" t="s">
        <v>78</v>
      </c>
      <c r="E1816" t="s">
        <v>2615</v>
      </c>
      <c r="F1816" t="s">
        <v>2627</v>
      </c>
      <c r="G1816" t="s">
        <v>218</v>
      </c>
      <c r="H1816" t="s">
        <v>2645</v>
      </c>
      <c r="I1816" t="s">
        <v>2578</v>
      </c>
      <c r="J1816">
        <v>13</v>
      </c>
      <c r="K1816">
        <v>144.61000000000001</v>
      </c>
      <c r="L1816">
        <v>84.47</v>
      </c>
      <c r="M1816">
        <v>0.02</v>
      </c>
      <c r="N1816" t="s">
        <v>45</v>
      </c>
    </row>
    <row r="1817" spans="1:14" x14ac:dyDescent="0.25">
      <c r="A1817" t="s">
        <v>2340</v>
      </c>
      <c r="B1817" s="2">
        <v>45388</v>
      </c>
      <c r="C1817" t="s">
        <v>208</v>
      </c>
      <c r="D1817" t="s">
        <v>36</v>
      </c>
      <c r="E1817" t="s">
        <v>2618</v>
      </c>
      <c r="F1817" t="s">
        <v>2632</v>
      </c>
      <c r="G1817" t="s">
        <v>178</v>
      </c>
      <c r="H1817" t="s">
        <v>2648</v>
      </c>
      <c r="I1817" t="s">
        <v>75</v>
      </c>
      <c r="J1817">
        <v>68</v>
      </c>
      <c r="K1817">
        <v>170.18</v>
      </c>
      <c r="L1817">
        <v>97.14</v>
      </c>
      <c r="M1817">
        <v>0.2</v>
      </c>
      <c r="N1817" t="s">
        <v>45</v>
      </c>
    </row>
    <row r="1818" spans="1:14" x14ac:dyDescent="0.25">
      <c r="A1818" t="s">
        <v>2341</v>
      </c>
      <c r="B1818" s="2">
        <v>45465</v>
      </c>
      <c r="C1818" t="s">
        <v>350</v>
      </c>
      <c r="D1818" t="s">
        <v>187</v>
      </c>
      <c r="E1818" t="s">
        <v>2618</v>
      </c>
      <c r="F1818" t="s">
        <v>2632</v>
      </c>
      <c r="G1818" t="s">
        <v>83</v>
      </c>
      <c r="H1818" t="s">
        <v>2645</v>
      </c>
      <c r="I1818" t="s">
        <v>75</v>
      </c>
      <c r="J1818">
        <v>60</v>
      </c>
      <c r="K1818">
        <v>48.92</v>
      </c>
      <c r="L1818">
        <v>28.83</v>
      </c>
      <c r="M1818">
        <v>0.02</v>
      </c>
      <c r="N1818" t="s">
        <v>45</v>
      </c>
    </row>
    <row r="1819" spans="1:14" x14ac:dyDescent="0.25">
      <c r="A1819" t="s">
        <v>2342</v>
      </c>
      <c r="B1819" s="2">
        <v>45606</v>
      </c>
      <c r="C1819" t="s">
        <v>1068</v>
      </c>
      <c r="D1819" t="s">
        <v>141</v>
      </c>
      <c r="E1819" t="s">
        <v>2614</v>
      </c>
      <c r="F1819" t="s">
        <v>2637</v>
      </c>
      <c r="G1819" t="s">
        <v>184</v>
      </c>
      <c r="H1819" t="s">
        <v>2646</v>
      </c>
      <c r="I1819" t="s">
        <v>44</v>
      </c>
      <c r="J1819">
        <v>76</v>
      </c>
      <c r="K1819">
        <v>91.9</v>
      </c>
      <c r="L1819">
        <v>62.07</v>
      </c>
      <c r="M1819">
        <v>0.05</v>
      </c>
      <c r="N1819" t="s">
        <v>32</v>
      </c>
    </row>
    <row r="1820" spans="1:14" x14ac:dyDescent="0.25">
      <c r="A1820" t="s">
        <v>2343</v>
      </c>
      <c r="B1820" s="2">
        <v>45403</v>
      </c>
      <c r="C1820" t="s">
        <v>933</v>
      </c>
      <c r="D1820" t="s">
        <v>49</v>
      </c>
      <c r="E1820" t="s">
        <v>2614</v>
      </c>
      <c r="F1820" t="s">
        <v>2622</v>
      </c>
      <c r="G1820" t="s">
        <v>178</v>
      </c>
      <c r="H1820" t="s">
        <v>2645</v>
      </c>
      <c r="I1820" t="s">
        <v>75</v>
      </c>
      <c r="J1820">
        <v>44</v>
      </c>
      <c r="K1820">
        <v>26.47</v>
      </c>
      <c r="L1820">
        <v>12.55</v>
      </c>
      <c r="M1820">
        <v>0.15</v>
      </c>
      <c r="N1820" t="s">
        <v>45</v>
      </c>
    </row>
    <row r="1821" spans="1:14" x14ac:dyDescent="0.25">
      <c r="A1821" t="s">
        <v>2344</v>
      </c>
      <c r="B1821" s="2">
        <v>45520</v>
      </c>
      <c r="C1821" t="s">
        <v>1493</v>
      </c>
      <c r="D1821" t="s">
        <v>141</v>
      </c>
      <c r="E1821" t="s">
        <v>2615</v>
      </c>
      <c r="F1821" t="s">
        <v>2627</v>
      </c>
      <c r="G1821" t="s">
        <v>218</v>
      </c>
      <c r="H1821" t="s">
        <v>2645</v>
      </c>
      <c r="I1821" t="s">
        <v>2578</v>
      </c>
      <c r="J1821">
        <v>11</v>
      </c>
      <c r="K1821">
        <v>96.01</v>
      </c>
      <c r="L1821">
        <v>57.78</v>
      </c>
      <c r="M1821">
        <v>0.1</v>
      </c>
      <c r="N1821" t="s">
        <v>45</v>
      </c>
    </row>
    <row r="1822" spans="1:14" x14ac:dyDescent="0.25">
      <c r="A1822" t="s">
        <v>2345</v>
      </c>
      <c r="B1822" s="2">
        <v>45349</v>
      </c>
      <c r="C1822" t="s">
        <v>278</v>
      </c>
      <c r="D1822" t="s">
        <v>132</v>
      </c>
      <c r="E1822" t="s">
        <v>2614</v>
      </c>
      <c r="F1822" t="s">
        <v>2636</v>
      </c>
      <c r="G1822" t="s">
        <v>144</v>
      </c>
      <c r="H1822" t="s">
        <v>2646</v>
      </c>
      <c r="I1822" t="s">
        <v>75</v>
      </c>
      <c r="J1822">
        <v>62</v>
      </c>
      <c r="K1822">
        <v>63.38</v>
      </c>
      <c r="L1822">
        <v>36.380000000000003</v>
      </c>
      <c r="M1822" t="e">
        <f>ROUND(#REF!/#REF!,2)</f>
        <v>#REF!</v>
      </c>
      <c r="N1822" t="s">
        <v>32</v>
      </c>
    </row>
    <row r="1823" spans="1:14" x14ac:dyDescent="0.25">
      <c r="A1823" t="s">
        <v>2346</v>
      </c>
      <c r="B1823" s="2">
        <v>45646</v>
      </c>
      <c r="C1823" t="s">
        <v>86</v>
      </c>
      <c r="D1823" t="s">
        <v>165</v>
      </c>
      <c r="E1823" t="s">
        <v>2615</v>
      </c>
      <c r="F1823" t="s">
        <v>2630</v>
      </c>
      <c r="G1823" t="s">
        <v>178</v>
      </c>
      <c r="H1823" t="s">
        <v>2645</v>
      </c>
      <c r="I1823" t="s">
        <v>75</v>
      </c>
      <c r="J1823">
        <v>60</v>
      </c>
      <c r="K1823">
        <v>44.36</v>
      </c>
      <c r="L1823">
        <v>25.24</v>
      </c>
      <c r="M1823">
        <v>0.1</v>
      </c>
      <c r="N1823" t="s">
        <v>45</v>
      </c>
    </row>
    <row r="1824" spans="1:14" x14ac:dyDescent="0.25">
      <c r="A1824" t="s">
        <v>2347</v>
      </c>
      <c r="B1824" s="2">
        <v>45461</v>
      </c>
      <c r="C1824" t="s">
        <v>199</v>
      </c>
      <c r="D1824" t="s">
        <v>99</v>
      </c>
      <c r="E1824" t="s">
        <v>2615</v>
      </c>
      <c r="F1824" t="s">
        <v>2640</v>
      </c>
      <c r="G1824" t="s">
        <v>111</v>
      </c>
      <c r="H1824" t="s">
        <v>2647</v>
      </c>
      <c r="I1824" t="s">
        <v>75</v>
      </c>
      <c r="J1824">
        <v>12</v>
      </c>
      <c r="K1824">
        <v>65.37</v>
      </c>
      <c r="L1824">
        <v>40.4</v>
      </c>
      <c r="M1824">
        <v>0</v>
      </c>
      <c r="N1824" t="s">
        <v>129</v>
      </c>
    </row>
    <row r="1825" spans="1:14" x14ac:dyDescent="0.25">
      <c r="A1825" t="s">
        <v>2348</v>
      </c>
      <c r="B1825" s="2">
        <v>45393</v>
      </c>
      <c r="C1825" t="s">
        <v>337</v>
      </c>
      <c r="D1825" t="s">
        <v>141</v>
      </c>
      <c r="E1825" t="s">
        <v>2615</v>
      </c>
      <c r="F1825" t="s">
        <v>2640</v>
      </c>
      <c r="G1825" t="s">
        <v>111</v>
      </c>
      <c r="H1825" t="s">
        <v>2646</v>
      </c>
      <c r="I1825" t="s">
        <v>2578</v>
      </c>
      <c r="J1825">
        <v>66</v>
      </c>
      <c r="K1825">
        <v>87.53</v>
      </c>
      <c r="L1825">
        <v>62.62</v>
      </c>
      <c r="M1825">
        <v>0.15</v>
      </c>
      <c r="N1825" t="s">
        <v>45</v>
      </c>
    </row>
    <row r="1826" spans="1:14" x14ac:dyDescent="0.25">
      <c r="A1826" t="s">
        <v>2349</v>
      </c>
      <c r="B1826" s="2">
        <v>45439</v>
      </c>
      <c r="C1826" t="s">
        <v>430</v>
      </c>
      <c r="D1826" t="s">
        <v>216</v>
      </c>
      <c r="E1826" t="s">
        <v>2618</v>
      </c>
      <c r="F1826" t="s">
        <v>2635</v>
      </c>
      <c r="G1826" t="s">
        <v>111</v>
      </c>
      <c r="H1826" t="s">
        <v>2647</v>
      </c>
      <c r="I1826" t="s">
        <v>44</v>
      </c>
      <c r="J1826">
        <v>64</v>
      </c>
      <c r="K1826">
        <v>106.91</v>
      </c>
      <c r="L1826">
        <v>65.569999999999993</v>
      </c>
      <c r="M1826">
        <v>0.1</v>
      </c>
      <c r="N1826" t="s">
        <v>45</v>
      </c>
    </row>
    <row r="1827" spans="1:14" x14ac:dyDescent="0.25">
      <c r="A1827" t="s">
        <v>2350</v>
      </c>
      <c r="B1827" s="2">
        <v>45476</v>
      </c>
      <c r="C1827" t="s">
        <v>559</v>
      </c>
      <c r="D1827" t="s">
        <v>66</v>
      </c>
      <c r="E1827" t="s">
        <v>2614</v>
      </c>
      <c r="F1827" t="s">
        <v>2636</v>
      </c>
      <c r="G1827" t="s">
        <v>83</v>
      </c>
      <c r="H1827" t="s">
        <v>2647</v>
      </c>
      <c r="I1827" t="s">
        <v>84</v>
      </c>
      <c r="J1827">
        <v>5</v>
      </c>
      <c r="K1827">
        <v>160.24</v>
      </c>
      <c r="L1827">
        <v>112.27</v>
      </c>
      <c r="M1827">
        <v>0.15</v>
      </c>
      <c r="N1827" t="s">
        <v>45</v>
      </c>
    </row>
    <row r="1828" spans="1:14" x14ac:dyDescent="0.25">
      <c r="A1828" t="s">
        <v>2351</v>
      </c>
      <c r="B1828" s="2">
        <v>45317</v>
      </c>
      <c r="C1828" t="s">
        <v>258</v>
      </c>
      <c r="D1828" t="s">
        <v>216</v>
      </c>
      <c r="E1828" t="s">
        <v>2617</v>
      </c>
      <c r="F1828" t="s">
        <v>2642</v>
      </c>
      <c r="G1828" t="s">
        <v>144</v>
      </c>
      <c r="H1828" t="s">
        <v>2645</v>
      </c>
      <c r="I1828" t="s">
        <v>2578</v>
      </c>
      <c r="J1828">
        <v>5</v>
      </c>
      <c r="K1828">
        <v>117.76</v>
      </c>
      <c r="L1828">
        <v>71.03</v>
      </c>
      <c r="M1828">
        <v>0.05</v>
      </c>
      <c r="N1828" t="s">
        <v>129</v>
      </c>
    </row>
    <row r="1829" spans="1:14" x14ac:dyDescent="0.25">
      <c r="A1829" t="s">
        <v>2352</v>
      </c>
      <c r="B1829" s="2">
        <v>45570</v>
      </c>
      <c r="C1829" t="s">
        <v>194</v>
      </c>
      <c r="D1829" t="s">
        <v>109</v>
      </c>
      <c r="E1829" t="s">
        <v>2615</v>
      </c>
      <c r="F1829" t="s">
        <v>2640</v>
      </c>
      <c r="G1829" t="s">
        <v>261</v>
      </c>
      <c r="H1829" t="s">
        <v>2646</v>
      </c>
      <c r="I1829" t="s">
        <v>44</v>
      </c>
      <c r="J1829">
        <v>19</v>
      </c>
      <c r="K1829">
        <v>132.29</v>
      </c>
      <c r="L1829">
        <v>75.03</v>
      </c>
      <c r="M1829">
        <v>0.1</v>
      </c>
      <c r="N1829" t="s">
        <v>45</v>
      </c>
    </row>
    <row r="1830" spans="1:14" x14ac:dyDescent="0.25">
      <c r="A1830" t="s">
        <v>2353</v>
      </c>
      <c r="B1830" s="2">
        <v>45544</v>
      </c>
      <c r="C1830" t="s">
        <v>1617</v>
      </c>
      <c r="D1830" t="s">
        <v>109</v>
      </c>
      <c r="E1830" t="s">
        <v>2614</v>
      </c>
      <c r="F1830" t="s">
        <v>2629</v>
      </c>
      <c r="G1830" t="s">
        <v>253</v>
      </c>
      <c r="H1830" t="s">
        <v>2646</v>
      </c>
      <c r="I1830" t="s">
        <v>70</v>
      </c>
      <c r="J1830">
        <v>4</v>
      </c>
      <c r="K1830">
        <v>133.94</v>
      </c>
      <c r="L1830">
        <v>73.959999999999994</v>
      </c>
      <c r="M1830">
        <v>0.2</v>
      </c>
      <c r="N1830" t="s">
        <v>45</v>
      </c>
    </row>
    <row r="1831" spans="1:14" x14ac:dyDescent="0.25">
      <c r="A1831" t="s">
        <v>2354</v>
      </c>
      <c r="B1831" s="2">
        <v>45628</v>
      </c>
      <c r="C1831" t="s">
        <v>611</v>
      </c>
      <c r="D1831" t="s">
        <v>126</v>
      </c>
      <c r="E1831" t="s">
        <v>2618</v>
      </c>
      <c r="F1831" t="s">
        <v>2634</v>
      </c>
      <c r="G1831" t="s">
        <v>29</v>
      </c>
      <c r="H1831" t="s">
        <v>2646</v>
      </c>
      <c r="I1831" t="s">
        <v>70</v>
      </c>
      <c r="J1831">
        <v>36</v>
      </c>
      <c r="K1831">
        <v>89.45</v>
      </c>
      <c r="L1831">
        <v>54.16</v>
      </c>
      <c r="M1831">
        <v>0.2</v>
      </c>
      <c r="N1831" t="s">
        <v>45</v>
      </c>
    </row>
    <row r="1832" spans="1:14" x14ac:dyDescent="0.25">
      <c r="A1832" t="s">
        <v>2355</v>
      </c>
      <c r="B1832" s="2">
        <v>45447</v>
      </c>
      <c r="C1832" t="s">
        <v>1831</v>
      </c>
      <c r="D1832" t="s">
        <v>250</v>
      </c>
      <c r="E1832" t="s">
        <v>2614</v>
      </c>
      <c r="F1832" t="s">
        <v>2636</v>
      </c>
      <c r="G1832" t="s">
        <v>111</v>
      </c>
      <c r="H1832" t="s">
        <v>2647</v>
      </c>
      <c r="I1832" t="s">
        <v>2578</v>
      </c>
      <c r="J1832">
        <v>2</v>
      </c>
      <c r="K1832">
        <v>64.400000000000006</v>
      </c>
      <c r="L1832">
        <v>38.909999999999997</v>
      </c>
      <c r="M1832">
        <v>0.02</v>
      </c>
      <c r="N1832" t="s">
        <v>45</v>
      </c>
    </row>
    <row r="1833" spans="1:14" x14ac:dyDescent="0.25">
      <c r="A1833" t="s">
        <v>2356</v>
      </c>
      <c r="B1833" s="2">
        <v>45532</v>
      </c>
      <c r="C1833" t="s">
        <v>301</v>
      </c>
      <c r="D1833" t="s">
        <v>114</v>
      </c>
      <c r="E1833" t="s">
        <v>2615</v>
      </c>
      <c r="F1833" t="s">
        <v>2623</v>
      </c>
      <c r="G1833" t="s">
        <v>83</v>
      </c>
      <c r="H1833" t="s">
        <v>2646</v>
      </c>
      <c r="I1833" t="s">
        <v>44</v>
      </c>
      <c r="J1833">
        <v>19</v>
      </c>
      <c r="K1833">
        <v>33.54</v>
      </c>
      <c r="L1833">
        <v>20.84</v>
      </c>
      <c r="M1833">
        <v>0.2</v>
      </c>
      <c r="N1833" t="s">
        <v>45</v>
      </c>
    </row>
    <row r="1834" spans="1:14" x14ac:dyDescent="0.25">
      <c r="A1834" t="s">
        <v>2357</v>
      </c>
      <c r="B1834" s="2">
        <v>45318</v>
      </c>
      <c r="C1834" t="s">
        <v>305</v>
      </c>
      <c r="D1834" t="s">
        <v>36</v>
      </c>
      <c r="E1834" t="s">
        <v>2618</v>
      </c>
      <c r="F1834" t="s">
        <v>2628</v>
      </c>
      <c r="G1834" t="s">
        <v>184</v>
      </c>
      <c r="H1834" t="s">
        <v>2646</v>
      </c>
      <c r="I1834" t="s">
        <v>75</v>
      </c>
      <c r="J1834">
        <v>13</v>
      </c>
      <c r="K1834">
        <v>176.9</v>
      </c>
      <c r="L1834">
        <v>100.16</v>
      </c>
      <c r="M1834">
        <v>0.1</v>
      </c>
      <c r="N1834" t="s">
        <v>45</v>
      </c>
    </row>
    <row r="1835" spans="1:14" x14ac:dyDescent="0.25">
      <c r="A1835" t="s">
        <v>2358</v>
      </c>
      <c r="B1835" s="2">
        <v>45431</v>
      </c>
      <c r="C1835" t="s">
        <v>763</v>
      </c>
      <c r="D1835" t="s">
        <v>109</v>
      </c>
      <c r="E1835" t="s">
        <v>2616</v>
      </c>
      <c r="F1835" t="s">
        <v>2631</v>
      </c>
      <c r="G1835" t="s">
        <v>111</v>
      </c>
      <c r="H1835" t="s">
        <v>2647</v>
      </c>
      <c r="I1835" t="s">
        <v>70</v>
      </c>
      <c r="J1835">
        <v>50</v>
      </c>
      <c r="K1835">
        <v>118.63</v>
      </c>
      <c r="L1835">
        <v>78.84</v>
      </c>
      <c r="M1835">
        <v>0.2</v>
      </c>
      <c r="N1835" t="s">
        <v>45</v>
      </c>
    </row>
    <row r="1836" spans="1:14" x14ac:dyDescent="0.25">
      <c r="A1836" t="s">
        <v>2359</v>
      </c>
      <c r="B1836" s="2">
        <v>45415</v>
      </c>
      <c r="C1836" t="s">
        <v>480</v>
      </c>
      <c r="D1836" t="s">
        <v>165</v>
      </c>
      <c r="E1836" t="s">
        <v>2615</v>
      </c>
      <c r="F1836" t="s">
        <v>2640</v>
      </c>
      <c r="G1836" t="s">
        <v>74</v>
      </c>
      <c r="H1836" t="s">
        <v>2646</v>
      </c>
      <c r="I1836" t="s">
        <v>70</v>
      </c>
      <c r="J1836">
        <v>39</v>
      </c>
      <c r="K1836">
        <v>41.52</v>
      </c>
      <c r="L1836">
        <v>25.87</v>
      </c>
      <c r="M1836">
        <v>0.2</v>
      </c>
      <c r="N1836" t="s">
        <v>45</v>
      </c>
    </row>
    <row r="1837" spans="1:14" x14ac:dyDescent="0.25">
      <c r="A1837" t="s">
        <v>2360</v>
      </c>
      <c r="B1837" s="2">
        <v>45487</v>
      </c>
      <c r="C1837" t="s">
        <v>208</v>
      </c>
      <c r="D1837" t="s">
        <v>99</v>
      </c>
      <c r="E1837" t="s">
        <v>2615</v>
      </c>
      <c r="F1837" t="s">
        <v>2627</v>
      </c>
      <c r="G1837" t="s">
        <v>253</v>
      </c>
      <c r="H1837" t="s">
        <v>2645</v>
      </c>
      <c r="I1837" t="s">
        <v>75</v>
      </c>
      <c r="J1837">
        <v>27</v>
      </c>
      <c r="K1837">
        <v>73.67</v>
      </c>
      <c r="L1837">
        <v>42.53</v>
      </c>
      <c r="M1837">
        <v>0.1</v>
      </c>
      <c r="N1837" t="s">
        <v>45</v>
      </c>
    </row>
    <row r="1838" spans="1:14" x14ac:dyDescent="0.25">
      <c r="A1838" t="s">
        <v>2361</v>
      </c>
      <c r="B1838" s="2">
        <v>45550</v>
      </c>
      <c r="C1838" t="s">
        <v>1236</v>
      </c>
      <c r="D1838" t="s">
        <v>114</v>
      </c>
      <c r="E1838" t="s">
        <v>2614</v>
      </c>
      <c r="F1838" t="s">
        <v>2622</v>
      </c>
      <c r="G1838" t="s">
        <v>265</v>
      </c>
      <c r="H1838" t="s">
        <v>2645</v>
      </c>
      <c r="I1838" t="s">
        <v>84</v>
      </c>
      <c r="J1838">
        <v>61</v>
      </c>
      <c r="K1838">
        <v>32.299999999999997</v>
      </c>
      <c r="L1838">
        <v>22.25</v>
      </c>
      <c r="M1838">
        <v>0.1</v>
      </c>
      <c r="N1838" t="s">
        <v>45</v>
      </c>
    </row>
    <row r="1839" spans="1:14" x14ac:dyDescent="0.25">
      <c r="A1839" t="s">
        <v>2362</v>
      </c>
      <c r="B1839" s="2">
        <v>45334</v>
      </c>
      <c r="C1839" t="s">
        <v>1887</v>
      </c>
      <c r="D1839" t="s">
        <v>150</v>
      </c>
      <c r="E1839" t="s">
        <v>2616</v>
      </c>
      <c r="F1839" t="s">
        <v>2633</v>
      </c>
      <c r="G1839" t="s">
        <v>83</v>
      </c>
      <c r="H1839" t="s">
        <v>2645</v>
      </c>
      <c r="I1839" t="s">
        <v>2578</v>
      </c>
      <c r="J1839">
        <v>54</v>
      </c>
      <c r="K1839">
        <v>87.94</v>
      </c>
      <c r="L1839">
        <v>49.14</v>
      </c>
      <c r="M1839">
        <v>0.2</v>
      </c>
      <c r="N1839" t="s">
        <v>32</v>
      </c>
    </row>
    <row r="1840" spans="1:14" x14ac:dyDescent="0.25">
      <c r="A1840" t="s">
        <v>2363</v>
      </c>
      <c r="B1840" s="2">
        <v>45375</v>
      </c>
      <c r="C1840" t="s">
        <v>674</v>
      </c>
      <c r="D1840" t="s">
        <v>250</v>
      </c>
      <c r="E1840" t="s">
        <v>2615</v>
      </c>
      <c r="F1840" t="s">
        <v>2627</v>
      </c>
      <c r="G1840" t="s">
        <v>42</v>
      </c>
      <c r="H1840" t="s">
        <v>2646</v>
      </c>
      <c r="I1840" t="s">
        <v>75</v>
      </c>
      <c r="J1840">
        <v>67</v>
      </c>
      <c r="K1840">
        <v>66.63</v>
      </c>
      <c r="L1840">
        <v>40.42</v>
      </c>
      <c r="M1840">
        <v>0.02</v>
      </c>
      <c r="N1840" t="s">
        <v>45</v>
      </c>
    </row>
    <row r="1841" spans="1:14" x14ac:dyDescent="0.25">
      <c r="A1841" t="s">
        <v>2364</v>
      </c>
      <c r="B1841" s="2">
        <v>45434</v>
      </c>
      <c r="C1841" t="s">
        <v>888</v>
      </c>
      <c r="D1841" t="s">
        <v>109</v>
      </c>
      <c r="E1841" t="s">
        <v>2617</v>
      </c>
      <c r="F1841" t="s">
        <v>2641</v>
      </c>
      <c r="G1841" t="s">
        <v>111</v>
      </c>
      <c r="H1841" t="s">
        <v>2647</v>
      </c>
      <c r="I1841" t="s">
        <v>75</v>
      </c>
      <c r="J1841">
        <v>18</v>
      </c>
      <c r="K1841">
        <v>133.88</v>
      </c>
      <c r="L1841">
        <v>69.84</v>
      </c>
      <c r="M1841">
        <v>0.15</v>
      </c>
      <c r="N1841" t="s">
        <v>45</v>
      </c>
    </row>
    <row r="1842" spans="1:14" x14ac:dyDescent="0.25">
      <c r="A1842" t="s">
        <v>2365</v>
      </c>
      <c r="B1842" s="2">
        <v>45611</v>
      </c>
      <c r="C1842" t="s">
        <v>613</v>
      </c>
      <c r="D1842" t="s">
        <v>141</v>
      </c>
      <c r="E1842" t="s">
        <v>2617</v>
      </c>
      <c r="F1842" t="s">
        <v>2625</v>
      </c>
      <c r="G1842" t="s">
        <v>178</v>
      </c>
      <c r="H1842" t="s">
        <v>2647</v>
      </c>
      <c r="I1842" t="s">
        <v>75</v>
      </c>
      <c r="J1842">
        <v>56</v>
      </c>
      <c r="K1842">
        <v>94.43</v>
      </c>
      <c r="L1842">
        <v>57.18</v>
      </c>
      <c r="M1842">
        <v>0</v>
      </c>
      <c r="N1842" t="s">
        <v>32</v>
      </c>
    </row>
    <row r="1843" spans="1:14" x14ac:dyDescent="0.25">
      <c r="A1843" t="s">
        <v>2366</v>
      </c>
      <c r="B1843" s="2">
        <v>45592</v>
      </c>
      <c r="C1843" t="s">
        <v>477</v>
      </c>
      <c r="D1843" t="s">
        <v>209</v>
      </c>
      <c r="E1843" t="s">
        <v>2618</v>
      </c>
      <c r="F1843" t="s">
        <v>2628</v>
      </c>
      <c r="G1843" t="s">
        <v>265</v>
      </c>
      <c r="H1843" t="s">
        <v>2648</v>
      </c>
      <c r="I1843" t="s">
        <v>75</v>
      </c>
      <c r="J1843">
        <v>45</v>
      </c>
      <c r="K1843">
        <v>17.73</v>
      </c>
      <c r="L1843">
        <v>9.73</v>
      </c>
      <c r="M1843">
        <v>0.2</v>
      </c>
      <c r="N1843" t="s">
        <v>45</v>
      </c>
    </row>
    <row r="1844" spans="1:14" x14ac:dyDescent="0.25">
      <c r="A1844" t="s">
        <v>2367</v>
      </c>
      <c r="B1844" s="2">
        <v>45437</v>
      </c>
      <c r="C1844" t="s">
        <v>309</v>
      </c>
      <c r="D1844" t="s">
        <v>114</v>
      </c>
      <c r="E1844" t="s">
        <v>2614</v>
      </c>
      <c r="F1844" t="s">
        <v>2629</v>
      </c>
      <c r="G1844" t="s">
        <v>83</v>
      </c>
      <c r="H1844" t="s">
        <v>2645</v>
      </c>
      <c r="I1844" t="s">
        <v>70</v>
      </c>
      <c r="J1844">
        <v>27</v>
      </c>
      <c r="K1844">
        <v>34.03</v>
      </c>
      <c r="L1844">
        <v>21.06</v>
      </c>
      <c r="M1844">
        <v>0.1</v>
      </c>
      <c r="N1844" t="s">
        <v>45</v>
      </c>
    </row>
    <row r="1845" spans="1:14" x14ac:dyDescent="0.25">
      <c r="A1845" t="s">
        <v>2368</v>
      </c>
      <c r="B1845" s="2">
        <v>45367</v>
      </c>
      <c r="C1845" t="s">
        <v>392</v>
      </c>
      <c r="D1845" t="s">
        <v>78</v>
      </c>
      <c r="E1845" t="s">
        <v>2615</v>
      </c>
      <c r="F1845" t="s">
        <v>2640</v>
      </c>
      <c r="G1845" t="s">
        <v>265</v>
      </c>
      <c r="H1845" t="s">
        <v>2646</v>
      </c>
      <c r="I1845" t="s">
        <v>70</v>
      </c>
      <c r="J1845">
        <v>6</v>
      </c>
      <c r="K1845">
        <v>150.26</v>
      </c>
      <c r="L1845">
        <v>78.33</v>
      </c>
      <c r="M1845">
        <v>0.05</v>
      </c>
      <c r="N1845" t="s">
        <v>45</v>
      </c>
    </row>
    <row r="1846" spans="1:14" x14ac:dyDescent="0.25">
      <c r="A1846" t="s">
        <v>2369</v>
      </c>
      <c r="B1846" s="2">
        <v>45319</v>
      </c>
      <c r="C1846" t="s">
        <v>1112</v>
      </c>
      <c r="D1846" t="s">
        <v>150</v>
      </c>
      <c r="E1846" t="s">
        <v>2618</v>
      </c>
      <c r="F1846" t="s">
        <v>2635</v>
      </c>
      <c r="G1846" t="s">
        <v>144</v>
      </c>
      <c r="H1846" t="s">
        <v>2645</v>
      </c>
      <c r="I1846" t="s">
        <v>2578</v>
      </c>
      <c r="J1846">
        <v>34</v>
      </c>
      <c r="K1846">
        <v>83.91</v>
      </c>
      <c r="L1846">
        <v>52.13</v>
      </c>
      <c r="M1846">
        <v>0</v>
      </c>
      <c r="N1846" t="s">
        <v>45</v>
      </c>
    </row>
    <row r="1847" spans="1:14" x14ac:dyDescent="0.25">
      <c r="A1847" t="s">
        <v>2370</v>
      </c>
      <c r="B1847" s="2">
        <v>45648</v>
      </c>
      <c r="C1847" t="s">
        <v>1709</v>
      </c>
      <c r="D1847" t="s">
        <v>109</v>
      </c>
      <c r="E1847" t="s">
        <v>2615</v>
      </c>
      <c r="F1847" t="s">
        <v>2630</v>
      </c>
      <c r="G1847" t="s">
        <v>253</v>
      </c>
      <c r="H1847" t="s">
        <v>2646</v>
      </c>
      <c r="I1847" t="s">
        <v>44</v>
      </c>
      <c r="J1847">
        <v>76</v>
      </c>
      <c r="K1847">
        <v>118.35</v>
      </c>
      <c r="L1847">
        <v>69.819999999999993</v>
      </c>
      <c r="M1847">
        <v>0.15</v>
      </c>
      <c r="N1847" t="s">
        <v>129</v>
      </c>
    </row>
    <row r="1848" spans="1:14" x14ac:dyDescent="0.25">
      <c r="A1848" t="s">
        <v>2371</v>
      </c>
      <c r="B1848" s="2">
        <v>45438</v>
      </c>
      <c r="C1848" t="s">
        <v>182</v>
      </c>
      <c r="D1848" t="s">
        <v>99</v>
      </c>
      <c r="E1848" t="s">
        <v>2614</v>
      </c>
      <c r="F1848" t="s">
        <v>2636</v>
      </c>
      <c r="G1848" t="s">
        <v>111</v>
      </c>
      <c r="H1848" t="s">
        <v>2647</v>
      </c>
      <c r="I1848" t="s">
        <v>2578</v>
      </c>
      <c r="J1848">
        <v>71</v>
      </c>
      <c r="K1848">
        <v>72.19</v>
      </c>
      <c r="L1848">
        <v>37.74</v>
      </c>
      <c r="M1848">
        <v>0.1</v>
      </c>
      <c r="N1848" t="s">
        <v>45</v>
      </c>
    </row>
    <row r="1849" spans="1:14" x14ac:dyDescent="0.25">
      <c r="A1849" t="s">
        <v>2372</v>
      </c>
      <c r="B1849" s="2">
        <v>45396</v>
      </c>
      <c r="C1849" t="s">
        <v>1617</v>
      </c>
      <c r="D1849" t="s">
        <v>126</v>
      </c>
      <c r="E1849" t="s">
        <v>2616</v>
      </c>
      <c r="F1849" t="s">
        <v>2624</v>
      </c>
      <c r="G1849" t="s">
        <v>118</v>
      </c>
      <c r="H1849" t="s">
        <v>2647</v>
      </c>
      <c r="I1849" t="s">
        <v>75</v>
      </c>
      <c r="J1849">
        <v>60</v>
      </c>
      <c r="K1849">
        <v>88.14</v>
      </c>
      <c r="L1849">
        <v>56.57</v>
      </c>
      <c r="M1849">
        <v>0.02</v>
      </c>
      <c r="N1849" t="s">
        <v>129</v>
      </c>
    </row>
    <row r="1850" spans="1:14" x14ac:dyDescent="0.25">
      <c r="A1850" t="s">
        <v>2373</v>
      </c>
      <c r="B1850" s="2">
        <v>45431</v>
      </c>
      <c r="C1850" t="s">
        <v>201</v>
      </c>
      <c r="D1850" t="s">
        <v>114</v>
      </c>
      <c r="E1850" t="s">
        <v>2618</v>
      </c>
      <c r="F1850" t="s">
        <v>2628</v>
      </c>
      <c r="G1850" t="s">
        <v>261</v>
      </c>
      <c r="H1850" t="s">
        <v>2647</v>
      </c>
      <c r="I1850" t="s">
        <v>70</v>
      </c>
      <c r="J1850">
        <v>18</v>
      </c>
      <c r="K1850">
        <v>34.979999999999997</v>
      </c>
      <c r="L1850">
        <v>21.4</v>
      </c>
      <c r="M1850">
        <v>0</v>
      </c>
      <c r="N1850" t="s">
        <v>129</v>
      </c>
    </row>
    <row r="1851" spans="1:14" x14ac:dyDescent="0.25">
      <c r="A1851" t="s">
        <v>2374</v>
      </c>
      <c r="B1851" s="2">
        <v>45455</v>
      </c>
      <c r="C1851" t="s">
        <v>711</v>
      </c>
      <c r="D1851" t="s">
        <v>99</v>
      </c>
      <c r="E1851" t="s">
        <v>2614</v>
      </c>
      <c r="F1851" t="s">
        <v>2622</v>
      </c>
      <c r="G1851" t="s">
        <v>29</v>
      </c>
      <c r="H1851" t="s">
        <v>2647</v>
      </c>
      <c r="I1851" t="s">
        <v>70</v>
      </c>
      <c r="J1851">
        <v>60</v>
      </c>
      <c r="K1851">
        <v>72.42</v>
      </c>
      <c r="L1851">
        <v>43.68</v>
      </c>
      <c r="M1851">
        <v>0.2</v>
      </c>
      <c r="N1851" t="s">
        <v>45</v>
      </c>
    </row>
    <row r="1852" spans="1:14" x14ac:dyDescent="0.25">
      <c r="A1852" t="s">
        <v>2375</v>
      </c>
      <c r="B1852" s="2">
        <v>45377</v>
      </c>
      <c r="C1852" t="s">
        <v>967</v>
      </c>
      <c r="D1852" t="s">
        <v>66</v>
      </c>
      <c r="E1852" t="s">
        <v>2614</v>
      </c>
      <c r="F1852" t="s">
        <v>2637</v>
      </c>
      <c r="G1852" t="s">
        <v>83</v>
      </c>
      <c r="H1852" t="s">
        <v>2646</v>
      </c>
      <c r="I1852" t="s">
        <v>84</v>
      </c>
      <c r="J1852">
        <v>39</v>
      </c>
      <c r="K1852">
        <v>165.78</v>
      </c>
      <c r="L1852">
        <v>110.61</v>
      </c>
      <c r="M1852">
        <v>0</v>
      </c>
      <c r="N1852" t="s">
        <v>45</v>
      </c>
    </row>
    <row r="1853" spans="1:14" x14ac:dyDescent="0.25">
      <c r="A1853" t="s">
        <v>2376</v>
      </c>
      <c r="B1853" s="2">
        <v>45364</v>
      </c>
      <c r="C1853" t="s">
        <v>1879</v>
      </c>
      <c r="D1853" t="s">
        <v>176</v>
      </c>
      <c r="E1853" t="s">
        <v>2614</v>
      </c>
      <c r="F1853" t="s">
        <v>2622</v>
      </c>
      <c r="G1853" t="s">
        <v>218</v>
      </c>
      <c r="H1853" t="s">
        <v>2648</v>
      </c>
      <c r="I1853" t="s">
        <v>75</v>
      </c>
      <c r="J1853">
        <v>76</v>
      </c>
      <c r="K1853">
        <v>100.53</v>
      </c>
      <c r="L1853">
        <v>63.4</v>
      </c>
      <c r="M1853">
        <v>0.1</v>
      </c>
      <c r="N1853" t="s">
        <v>45</v>
      </c>
    </row>
    <row r="1854" spans="1:14" x14ac:dyDescent="0.25">
      <c r="A1854" t="s">
        <v>2377</v>
      </c>
      <c r="B1854" s="2">
        <v>45605</v>
      </c>
      <c r="C1854" t="s">
        <v>1706</v>
      </c>
      <c r="D1854" t="s">
        <v>216</v>
      </c>
      <c r="E1854" t="s">
        <v>2618</v>
      </c>
      <c r="F1854" t="s">
        <v>2635</v>
      </c>
      <c r="G1854" t="s">
        <v>195</v>
      </c>
      <c r="H1854" t="s">
        <v>2646</v>
      </c>
      <c r="I1854" t="s">
        <v>44</v>
      </c>
      <c r="J1854">
        <v>38</v>
      </c>
      <c r="K1854">
        <v>118.75</v>
      </c>
      <c r="L1854">
        <v>61.96</v>
      </c>
      <c r="M1854">
        <v>0.02</v>
      </c>
      <c r="N1854" t="s">
        <v>129</v>
      </c>
    </row>
    <row r="1855" spans="1:14" x14ac:dyDescent="0.25">
      <c r="A1855" t="s">
        <v>2378</v>
      </c>
      <c r="B1855" s="2">
        <v>45655</v>
      </c>
      <c r="C1855" t="s">
        <v>897</v>
      </c>
      <c r="D1855" t="s">
        <v>165</v>
      </c>
      <c r="E1855" t="s">
        <v>2615</v>
      </c>
      <c r="F1855" t="s">
        <v>2640</v>
      </c>
      <c r="G1855" t="s">
        <v>118</v>
      </c>
      <c r="H1855" t="s">
        <v>2648</v>
      </c>
      <c r="I1855" t="s">
        <v>75</v>
      </c>
      <c r="J1855">
        <v>27</v>
      </c>
      <c r="K1855">
        <v>41.02</v>
      </c>
      <c r="L1855">
        <v>25.02</v>
      </c>
      <c r="M1855">
        <v>0.1</v>
      </c>
      <c r="N1855" t="s">
        <v>45</v>
      </c>
    </row>
    <row r="1856" spans="1:14" x14ac:dyDescent="0.25">
      <c r="A1856" t="s">
        <v>2379</v>
      </c>
      <c r="B1856" s="2">
        <v>45591</v>
      </c>
      <c r="C1856" t="s">
        <v>737</v>
      </c>
      <c r="D1856" t="s">
        <v>114</v>
      </c>
      <c r="E1856" t="s">
        <v>2615</v>
      </c>
      <c r="F1856" t="s">
        <v>2627</v>
      </c>
      <c r="G1856" t="s">
        <v>42</v>
      </c>
      <c r="H1856" t="s">
        <v>2647</v>
      </c>
      <c r="I1856" t="s">
        <v>75</v>
      </c>
      <c r="J1856">
        <v>62</v>
      </c>
      <c r="K1856">
        <v>32.9</v>
      </c>
      <c r="L1856">
        <v>22.41</v>
      </c>
      <c r="M1856">
        <v>0.15</v>
      </c>
      <c r="N1856" t="s">
        <v>45</v>
      </c>
    </row>
    <row r="1857" spans="1:14" x14ac:dyDescent="0.25">
      <c r="A1857" t="s">
        <v>2380</v>
      </c>
      <c r="B1857" s="2">
        <v>45418</v>
      </c>
      <c r="C1857" t="s">
        <v>704</v>
      </c>
      <c r="D1857" t="s">
        <v>250</v>
      </c>
      <c r="E1857" t="s">
        <v>2616</v>
      </c>
      <c r="F1857" t="s">
        <v>2631</v>
      </c>
      <c r="G1857" t="s">
        <v>90</v>
      </c>
      <c r="H1857" t="s">
        <v>2647</v>
      </c>
      <c r="I1857" t="s">
        <v>2578</v>
      </c>
      <c r="J1857">
        <v>5</v>
      </c>
      <c r="K1857">
        <v>68.19</v>
      </c>
      <c r="L1857">
        <v>38.97</v>
      </c>
      <c r="M1857">
        <v>0.02</v>
      </c>
      <c r="N1857" t="s">
        <v>45</v>
      </c>
    </row>
    <row r="1858" spans="1:14" x14ac:dyDescent="0.25">
      <c r="A1858" t="s">
        <v>2381</v>
      </c>
      <c r="B1858" s="2">
        <v>45511</v>
      </c>
      <c r="C1858" t="s">
        <v>1159</v>
      </c>
      <c r="D1858" t="s">
        <v>66</v>
      </c>
      <c r="E1858" t="s">
        <v>2618</v>
      </c>
      <c r="F1858" t="s">
        <v>2635</v>
      </c>
      <c r="G1858" t="s">
        <v>265</v>
      </c>
      <c r="H1858" t="s">
        <v>2647</v>
      </c>
      <c r="I1858" t="s">
        <v>84</v>
      </c>
      <c r="J1858">
        <v>24</v>
      </c>
      <c r="K1858">
        <v>165.38</v>
      </c>
      <c r="L1858">
        <v>100.91</v>
      </c>
      <c r="M1858">
        <v>0.05</v>
      </c>
      <c r="N1858" t="s">
        <v>45</v>
      </c>
    </row>
    <row r="1859" spans="1:14" x14ac:dyDescent="0.25">
      <c r="A1859" t="s">
        <v>2382</v>
      </c>
      <c r="B1859" s="2">
        <v>45410</v>
      </c>
      <c r="C1859" t="s">
        <v>1071</v>
      </c>
      <c r="D1859" t="s">
        <v>36</v>
      </c>
      <c r="E1859" t="s">
        <v>2618</v>
      </c>
      <c r="F1859" t="s">
        <v>2632</v>
      </c>
      <c r="G1859" t="s">
        <v>74</v>
      </c>
      <c r="H1859" t="s">
        <v>2646</v>
      </c>
      <c r="I1859" t="s">
        <v>44</v>
      </c>
      <c r="J1859">
        <v>13</v>
      </c>
      <c r="K1859">
        <v>156.66</v>
      </c>
      <c r="L1859">
        <v>105.24</v>
      </c>
      <c r="M1859">
        <v>0.2</v>
      </c>
      <c r="N1859" t="s">
        <v>45</v>
      </c>
    </row>
    <row r="1860" spans="1:14" x14ac:dyDescent="0.25">
      <c r="A1860" t="s">
        <v>2383</v>
      </c>
      <c r="B1860" s="2">
        <v>45490</v>
      </c>
      <c r="C1860" t="s">
        <v>120</v>
      </c>
      <c r="D1860" t="s">
        <v>99</v>
      </c>
      <c r="E1860" t="s">
        <v>2615</v>
      </c>
      <c r="F1860" t="s">
        <v>2623</v>
      </c>
      <c r="G1860" t="s">
        <v>60</v>
      </c>
      <c r="H1860" t="s">
        <v>2647</v>
      </c>
      <c r="I1860" t="s">
        <v>70</v>
      </c>
      <c r="J1860">
        <v>55</v>
      </c>
      <c r="K1860">
        <v>73.83</v>
      </c>
      <c r="L1860">
        <v>42.5</v>
      </c>
      <c r="M1860">
        <v>0.05</v>
      </c>
      <c r="N1860" t="s">
        <v>45</v>
      </c>
    </row>
    <row r="1861" spans="1:14" x14ac:dyDescent="0.25">
      <c r="A1861" t="s">
        <v>2384</v>
      </c>
      <c r="B1861" s="2">
        <v>45645</v>
      </c>
      <c r="C1861" t="s">
        <v>278</v>
      </c>
      <c r="D1861" t="s">
        <v>132</v>
      </c>
      <c r="E1861" t="s">
        <v>2618</v>
      </c>
      <c r="F1861" t="s">
        <v>2635</v>
      </c>
      <c r="G1861" t="s">
        <v>60</v>
      </c>
      <c r="H1861" t="s">
        <v>2647</v>
      </c>
      <c r="I1861" t="s">
        <v>75</v>
      </c>
      <c r="J1861">
        <v>12</v>
      </c>
      <c r="K1861">
        <v>63.26</v>
      </c>
      <c r="L1861">
        <v>36.18</v>
      </c>
      <c r="M1861">
        <v>0.2</v>
      </c>
      <c r="N1861" t="s">
        <v>45</v>
      </c>
    </row>
    <row r="1862" spans="1:14" x14ac:dyDescent="0.25">
      <c r="A1862" t="s">
        <v>2385</v>
      </c>
      <c r="B1862" s="2">
        <v>45542</v>
      </c>
      <c r="C1862" t="s">
        <v>1215</v>
      </c>
      <c r="D1862" t="s">
        <v>141</v>
      </c>
      <c r="E1862" t="s">
        <v>2616</v>
      </c>
      <c r="F1862" t="s">
        <v>2624</v>
      </c>
      <c r="G1862" t="s">
        <v>170</v>
      </c>
      <c r="H1862" t="s">
        <v>2645</v>
      </c>
      <c r="I1862" t="s">
        <v>2578</v>
      </c>
      <c r="J1862">
        <v>57</v>
      </c>
      <c r="K1862">
        <v>88.34</v>
      </c>
      <c r="L1862">
        <v>54.22</v>
      </c>
      <c r="M1862">
        <v>0.05</v>
      </c>
      <c r="N1862" t="s">
        <v>45</v>
      </c>
    </row>
    <row r="1863" spans="1:14" x14ac:dyDescent="0.25">
      <c r="A1863" t="s">
        <v>2386</v>
      </c>
      <c r="B1863" s="2">
        <v>45579</v>
      </c>
      <c r="C1863" t="s">
        <v>763</v>
      </c>
      <c r="D1863" t="s">
        <v>93</v>
      </c>
      <c r="E1863" t="s">
        <v>2615</v>
      </c>
      <c r="F1863" t="s">
        <v>2623</v>
      </c>
      <c r="G1863" t="s">
        <v>74</v>
      </c>
      <c r="H1863" t="s">
        <v>2645</v>
      </c>
      <c r="I1863" t="s">
        <v>84</v>
      </c>
      <c r="J1863">
        <v>42</v>
      </c>
      <c r="K1863">
        <v>51.51</v>
      </c>
      <c r="L1863">
        <v>34.06</v>
      </c>
      <c r="M1863">
        <v>0.2</v>
      </c>
      <c r="N1863" t="s">
        <v>45</v>
      </c>
    </row>
    <row r="1864" spans="1:14" x14ac:dyDescent="0.25">
      <c r="A1864" t="s">
        <v>2387</v>
      </c>
      <c r="B1864" s="2">
        <v>45328</v>
      </c>
      <c r="C1864" t="s">
        <v>535</v>
      </c>
      <c r="D1864" t="s">
        <v>165</v>
      </c>
      <c r="E1864" t="s">
        <v>2618</v>
      </c>
      <c r="F1864" t="s">
        <v>2635</v>
      </c>
      <c r="G1864" t="s">
        <v>111</v>
      </c>
      <c r="H1864" t="s">
        <v>2646</v>
      </c>
      <c r="I1864" t="s">
        <v>2578</v>
      </c>
      <c r="J1864">
        <v>51</v>
      </c>
      <c r="K1864">
        <v>41.06</v>
      </c>
      <c r="L1864">
        <v>24.17</v>
      </c>
      <c r="M1864">
        <v>0.2</v>
      </c>
      <c r="N1864" t="s">
        <v>45</v>
      </c>
    </row>
    <row r="1865" spans="1:14" x14ac:dyDescent="0.25">
      <c r="A1865" t="s">
        <v>2388</v>
      </c>
      <c r="B1865" s="2">
        <v>45507</v>
      </c>
      <c r="C1865" t="s">
        <v>337</v>
      </c>
      <c r="D1865" t="s">
        <v>99</v>
      </c>
      <c r="E1865" t="s">
        <v>2614</v>
      </c>
      <c r="F1865" t="s">
        <v>2629</v>
      </c>
      <c r="G1865" t="s">
        <v>253</v>
      </c>
      <c r="H1865" t="s">
        <v>2645</v>
      </c>
      <c r="I1865" t="s">
        <v>70</v>
      </c>
      <c r="J1865">
        <v>28</v>
      </c>
      <c r="K1865">
        <v>66.17</v>
      </c>
      <c r="L1865">
        <v>42.29</v>
      </c>
      <c r="M1865">
        <v>0.02</v>
      </c>
      <c r="N1865" t="s">
        <v>45</v>
      </c>
    </row>
    <row r="1866" spans="1:14" x14ac:dyDescent="0.25">
      <c r="A1866" t="s">
        <v>2389</v>
      </c>
      <c r="B1866" s="2">
        <v>45311</v>
      </c>
      <c r="C1866" t="s">
        <v>852</v>
      </c>
      <c r="D1866" t="s">
        <v>187</v>
      </c>
      <c r="E1866" t="s">
        <v>2618</v>
      </c>
      <c r="F1866" t="s">
        <v>2635</v>
      </c>
      <c r="G1866" t="s">
        <v>29</v>
      </c>
      <c r="H1866" t="s">
        <v>2650</v>
      </c>
      <c r="I1866" t="s">
        <v>2578</v>
      </c>
      <c r="J1866">
        <v>14</v>
      </c>
      <c r="K1866">
        <v>50.79</v>
      </c>
      <c r="L1866">
        <v>29.57</v>
      </c>
      <c r="M1866">
        <v>0.15</v>
      </c>
      <c r="N1866" t="s">
        <v>32</v>
      </c>
    </row>
    <row r="1867" spans="1:14" x14ac:dyDescent="0.25">
      <c r="A1867" t="s">
        <v>2390</v>
      </c>
      <c r="B1867" s="2">
        <v>45601</v>
      </c>
      <c r="C1867" t="s">
        <v>631</v>
      </c>
      <c r="D1867" t="s">
        <v>93</v>
      </c>
      <c r="E1867" t="s">
        <v>2614</v>
      </c>
      <c r="F1867" t="s">
        <v>2636</v>
      </c>
      <c r="G1867" t="s">
        <v>170</v>
      </c>
      <c r="H1867" t="s">
        <v>2645</v>
      </c>
      <c r="I1867" t="s">
        <v>2578</v>
      </c>
      <c r="J1867">
        <v>23</v>
      </c>
      <c r="K1867">
        <v>55.96</v>
      </c>
      <c r="L1867">
        <v>31.23</v>
      </c>
      <c r="M1867">
        <v>0.15</v>
      </c>
      <c r="N1867" t="s">
        <v>129</v>
      </c>
    </row>
    <row r="1868" spans="1:14" x14ac:dyDescent="0.25">
      <c r="A1868" t="s">
        <v>2391</v>
      </c>
      <c r="B1868" s="2">
        <v>45415</v>
      </c>
      <c r="C1868" t="s">
        <v>464</v>
      </c>
      <c r="D1868" t="s">
        <v>109</v>
      </c>
      <c r="E1868" t="s">
        <v>2618</v>
      </c>
      <c r="F1868" t="s">
        <v>2632</v>
      </c>
      <c r="G1868" t="s">
        <v>248</v>
      </c>
      <c r="H1868" t="s">
        <v>2646</v>
      </c>
      <c r="I1868" t="s">
        <v>44</v>
      </c>
      <c r="J1868">
        <v>29</v>
      </c>
      <c r="K1868">
        <v>117.35</v>
      </c>
      <c r="L1868">
        <v>75.77</v>
      </c>
      <c r="M1868">
        <v>0.05</v>
      </c>
      <c r="N1868" t="s">
        <v>45</v>
      </c>
    </row>
    <row r="1869" spans="1:14" x14ac:dyDescent="0.25">
      <c r="A1869" t="s">
        <v>2392</v>
      </c>
      <c r="B1869" s="2">
        <v>45642</v>
      </c>
      <c r="C1869" t="s">
        <v>1137</v>
      </c>
      <c r="D1869" t="s">
        <v>66</v>
      </c>
      <c r="E1869" t="s">
        <v>2616</v>
      </c>
      <c r="F1869" t="s">
        <v>2624</v>
      </c>
      <c r="G1869" t="s">
        <v>118</v>
      </c>
      <c r="H1869" t="s">
        <v>2645</v>
      </c>
      <c r="I1869" t="s">
        <v>70</v>
      </c>
      <c r="J1869">
        <v>63</v>
      </c>
      <c r="K1869">
        <v>171.38</v>
      </c>
      <c r="L1869">
        <v>106.36</v>
      </c>
      <c r="M1869">
        <v>0</v>
      </c>
      <c r="N1869" t="s">
        <v>129</v>
      </c>
    </row>
    <row r="1870" spans="1:14" x14ac:dyDescent="0.25">
      <c r="A1870" t="s">
        <v>2393</v>
      </c>
      <c r="B1870" s="2">
        <v>45351</v>
      </c>
      <c r="C1870" t="s">
        <v>526</v>
      </c>
      <c r="D1870" t="s">
        <v>66</v>
      </c>
      <c r="E1870" t="s">
        <v>2615</v>
      </c>
      <c r="F1870" t="s">
        <v>2630</v>
      </c>
      <c r="G1870" t="s">
        <v>90</v>
      </c>
      <c r="H1870" t="s">
        <v>2647</v>
      </c>
      <c r="I1870" t="s">
        <v>75</v>
      </c>
      <c r="J1870">
        <v>15</v>
      </c>
      <c r="K1870">
        <v>161.72999999999999</v>
      </c>
      <c r="L1870">
        <v>105.32</v>
      </c>
      <c r="M1870">
        <v>0.1</v>
      </c>
      <c r="N1870" t="s">
        <v>45</v>
      </c>
    </row>
    <row r="1871" spans="1:14" x14ac:dyDescent="0.25">
      <c r="A1871" t="s">
        <v>2394</v>
      </c>
      <c r="B1871" s="2">
        <v>45565</v>
      </c>
      <c r="C1871" t="s">
        <v>293</v>
      </c>
      <c r="D1871" t="s">
        <v>109</v>
      </c>
      <c r="E1871" t="s">
        <v>2614</v>
      </c>
      <c r="F1871" t="s">
        <v>2636</v>
      </c>
      <c r="G1871" t="s">
        <v>170</v>
      </c>
      <c r="H1871" t="s">
        <v>2648</v>
      </c>
      <c r="I1871" t="s">
        <v>44</v>
      </c>
      <c r="J1871">
        <v>26</v>
      </c>
      <c r="K1871">
        <v>127.4</v>
      </c>
      <c r="L1871">
        <v>74.400000000000006</v>
      </c>
      <c r="M1871">
        <v>0.2</v>
      </c>
      <c r="N1871" t="s">
        <v>45</v>
      </c>
    </row>
    <row r="1872" spans="1:14" x14ac:dyDescent="0.25">
      <c r="A1872" t="s">
        <v>2395</v>
      </c>
      <c r="B1872" s="2">
        <v>45511</v>
      </c>
      <c r="C1872" t="s">
        <v>287</v>
      </c>
      <c r="D1872" t="s">
        <v>165</v>
      </c>
      <c r="E1872" t="s">
        <v>2616</v>
      </c>
      <c r="F1872" t="s">
        <v>2638</v>
      </c>
      <c r="G1872" t="s">
        <v>83</v>
      </c>
      <c r="H1872" t="s">
        <v>2648</v>
      </c>
      <c r="I1872" t="s">
        <v>84</v>
      </c>
      <c r="J1872">
        <v>28</v>
      </c>
      <c r="K1872">
        <v>39.630000000000003</v>
      </c>
      <c r="L1872">
        <v>26.71</v>
      </c>
      <c r="M1872">
        <v>0.1</v>
      </c>
      <c r="N1872" t="s">
        <v>32</v>
      </c>
    </row>
    <row r="1873" spans="1:14" x14ac:dyDescent="0.25">
      <c r="A1873" t="s">
        <v>2396</v>
      </c>
      <c r="B1873" s="2">
        <v>45329</v>
      </c>
      <c r="C1873" t="s">
        <v>531</v>
      </c>
      <c r="D1873" t="s">
        <v>23</v>
      </c>
      <c r="E1873" t="s">
        <v>2616</v>
      </c>
      <c r="F1873" t="s">
        <v>2624</v>
      </c>
      <c r="G1873" t="s">
        <v>144</v>
      </c>
      <c r="H1873" t="s">
        <v>2646</v>
      </c>
      <c r="I1873" t="s">
        <v>44</v>
      </c>
      <c r="J1873">
        <v>41</v>
      </c>
      <c r="K1873">
        <v>79.98</v>
      </c>
      <c r="L1873">
        <v>43.03</v>
      </c>
      <c r="M1873">
        <v>0.15</v>
      </c>
      <c r="N1873" t="s">
        <v>45</v>
      </c>
    </row>
    <row r="1874" spans="1:14" x14ac:dyDescent="0.25">
      <c r="A1874" t="s">
        <v>2397</v>
      </c>
      <c r="B1874" s="2">
        <v>45557</v>
      </c>
      <c r="C1874" t="s">
        <v>2619</v>
      </c>
      <c r="D1874" t="s">
        <v>49</v>
      </c>
      <c r="E1874" t="s">
        <v>2616</v>
      </c>
      <c r="F1874" t="s">
        <v>2633</v>
      </c>
      <c r="G1874" t="s">
        <v>111</v>
      </c>
      <c r="H1874" t="s">
        <v>2646</v>
      </c>
      <c r="I1874" t="s">
        <v>70</v>
      </c>
      <c r="J1874">
        <v>13</v>
      </c>
      <c r="K1874">
        <v>26.3</v>
      </c>
      <c r="L1874">
        <v>13.72</v>
      </c>
      <c r="M1874">
        <v>0</v>
      </c>
      <c r="N1874" t="s">
        <v>45</v>
      </c>
    </row>
    <row r="1875" spans="1:14" x14ac:dyDescent="0.25">
      <c r="A1875" t="s">
        <v>2398</v>
      </c>
      <c r="B1875" s="2">
        <v>45516</v>
      </c>
      <c r="C1875" t="s">
        <v>239</v>
      </c>
      <c r="D1875" t="s">
        <v>150</v>
      </c>
      <c r="E1875" t="s">
        <v>2617</v>
      </c>
      <c r="F1875" t="s">
        <v>2625</v>
      </c>
      <c r="G1875" t="s">
        <v>29</v>
      </c>
      <c r="H1875" t="s">
        <v>2648</v>
      </c>
      <c r="I1875" t="s">
        <v>75</v>
      </c>
      <c r="J1875">
        <v>80</v>
      </c>
      <c r="K1875">
        <v>81.62</v>
      </c>
      <c r="L1875">
        <v>49.74</v>
      </c>
      <c r="M1875">
        <v>0.05</v>
      </c>
      <c r="N1875" t="s">
        <v>45</v>
      </c>
    </row>
    <row r="1876" spans="1:14" x14ac:dyDescent="0.25">
      <c r="A1876" t="s">
        <v>2399</v>
      </c>
      <c r="B1876" s="2">
        <v>45595</v>
      </c>
      <c r="C1876" t="s">
        <v>356</v>
      </c>
      <c r="D1876" t="s">
        <v>99</v>
      </c>
      <c r="E1876" t="s">
        <v>2616</v>
      </c>
      <c r="F1876" t="s">
        <v>2633</v>
      </c>
      <c r="G1876" t="s">
        <v>253</v>
      </c>
      <c r="H1876" t="s">
        <v>2646</v>
      </c>
      <c r="I1876" t="s">
        <v>2578</v>
      </c>
      <c r="J1876">
        <v>77</v>
      </c>
      <c r="K1876">
        <v>65.55</v>
      </c>
      <c r="L1876">
        <v>43.87</v>
      </c>
      <c r="M1876">
        <v>0.1</v>
      </c>
      <c r="N1876" t="s">
        <v>45</v>
      </c>
    </row>
    <row r="1877" spans="1:14" x14ac:dyDescent="0.25">
      <c r="A1877" t="s">
        <v>2400</v>
      </c>
      <c r="B1877" s="2">
        <v>45577</v>
      </c>
      <c r="C1877" t="s">
        <v>776</v>
      </c>
      <c r="D1877" t="s">
        <v>114</v>
      </c>
      <c r="E1877" t="s">
        <v>2617</v>
      </c>
      <c r="F1877" t="s">
        <v>2626</v>
      </c>
      <c r="G1877" t="s">
        <v>265</v>
      </c>
      <c r="H1877" t="s">
        <v>2648</v>
      </c>
      <c r="I1877" t="s">
        <v>84</v>
      </c>
      <c r="J1877">
        <v>55</v>
      </c>
      <c r="K1877">
        <v>36.33</v>
      </c>
      <c r="L1877">
        <v>21.69</v>
      </c>
      <c r="M1877">
        <v>0</v>
      </c>
      <c r="N1877" t="s">
        <v>45</v>
      </c>
    </row>
    <row r="1878" spans="1:14" x14ac:dyDescent="0.25">
      <c r="A1878" t="s">
        <v>2401</v>
      </c>
      <c r="B1878" s="2">
        <v>45517</v>
      </c>
      <c r="C1878" t="s">
        <v>426</v>
      </c>
      <c r="D1878" t="s">
        <v>165</v>
      </c>
      <c r="E1878" t="s">
        <v>2617</v>
      </c>
      <c r="F1878" t="s">
        <v>2642</v>
      </c>
      <c r="G1878" t="s">
        <v>261</v>
      </c>
      <c r="H1878" t="s">
        <v>2645</v>
      </c>
      <c r="I1878" t="s">
        <v>75</v>
      </c>
      <c r="J1878">
        <v>24</v>
      </c>
      <c r="K1878">
        <v>44.18</v>
      </c>
      <c r="L1878">
        <v>26.82</v>
      </c>
      <c r="M1878">
        <v>0.05</v>
      </c>
      <c r="N1878" t="s">
        <v>45</v>
      </c>
    </row>
    <row r="1879" spans="1:14" x14ac:dyDescent="0.25">
      <c r="A1879" t="s">
        <v>2402</v>
      </c>
      <c r="B1879" s="2">
        <v>45466</v>
      </c>
      <c r="C1879" t="s">
        <v>802</v>
      </c>
      <c r="D1879" t="s">
        <v>216</v>
      </c>
      <c r="E1879" t="s">
        <v>2616</v>
      </c>
      <c r="F1879" t="s">
        <v>2633</v>
      </c>
      <c r="G1879" t="s">
        <v>74</v>
      </c>
      <c r="H1879" t="s">
        <v>2648</v>
      </c>
      <c r="I1879" t="s">
        <v>84</v>
      </c>
      <c r="J1879">
        <v>27</v>
      </c>
      <c r="K1879">
        <v>104.28</v>
      </c>
      <c r="L1879">
        <v>70.81</v>
      </c>
      <c r="M1879">
        <v>0.15</v>
      </c>
      <c r="N1879" t="s">
        <v>129</v>
      </c>
    </row>
    <row r="1880" spans="1:14" x14ac:dyDescent="0.25">
      <c r="A1880" t="s">
        <v>2403</v>
      </c>
      <c r="B1880" s="2">
        <v>45353</v>
      </c>
      <c r="C1880" t="s">
        <v>989</v>
      </c>
      <c r="D1880" t="s">
        <v>209</v>
      </c>
      <c r="E1880" t="s">
        <v>2617</v>
      </c>
      <c r="F1880" t="s">
        <v>2642</v>
      </c>
      <c r="G1880" t="s">
        <v>248</v>
      </c>
      <c r="H1880" t="s">
        <v>2647</v>
      </c>
      <c r="I1880" t="s">
        <v>70</v>
      </c>
      <c r="J1880">
        <v>39</v>
      </c>
      <c r="K1880">
        <v>17.079999999999998</v>
      </c>
      <c r="L1880">
        <v>10.48</v>
      </c>
      <c r="M1880">
        <v>0.02</v>
      </c>
      <c r="N1880" t="s">
        <v>129</v>
      </c>
    </row>
    <row r="1881" spans="1:14" x14ac:dyDescent="0.25">
      <c r="A1881" t="s">
        <v>2404</v>
      </c>
      <c r="B1881" s="2">
        <v>45395</v>
      </c>
      <c r="C1881" t="s">
        <v>297</v>
      </c>
      <c r="D1881" t="s">
        <v>216</v>
      </c>
      <c r="E1881" t="s">
        <v>2617</v>
      </c>
      <c r="F1881" t="s">
        <v>2625</v>
      </c>
      <c r="G1881" t="s">
        <v>42</v>
      </c>
      <c r="H1881" t="s">
        <v>2646</v>
      </c>
      <c r="I1881" t="s">
        <v>84</v>
      </c>
      <c r="J1881">
        <v>43</v>
      </c>
      <c r="K1881">
        <v>115.29</v>
      </c>
      <c r="L1881">
        <v>63.79</v>
      </c>
      <c r="M1881">
        <v>0.02</v>
      </c>
      <c r="N1881" t="s">
        <v>45</v>
      </c>
    </row>
    <row r="1882" spans="1:14" x14ac:dyDescent="0.25">
      <c r="A1882" t="s">
        <v>2405</v>
      </c>
      <c r="B1882" s="2">
        <v>45448</v>
      </c>
      <c r="C1882" t="s">
        <v>371</v>
      </c>
      <c r="D1882" t="s">
        <v>93</v>
      </c>
      <c r="E1882" t="s">
        <v>2615</v>
      </c>
      <c r="F1882" t="s">
        <v>2623</v>
      </c>
      <c r="G1882" t="s">
        <v>29</v>
      </c>
      <c r="H1882" t="s">
        <v>2647</v>
      </c>
      <c r="I1882" t="s">
        <v>70</v>
      </c>
      <c r="J1882">
        <v>71</v>
      </c>
      <c r="K1882">
        <v>58.8</v>
      </c>
      <c r="L1882">
        <v>31.47</v>
      </c>
      <c r="M1882">
        <v>0.02</v>
      </c>
      <c r="N1882" t="s">
        <v>45</v>
      </c>
    </row>
    <row r="1883" spans="1:14" x14ac:dyDescent="0.25">
      <c r="A1883" t="s">
        <v>2406</v>
      </c>
      <c r="B1883" s="2">
        <v>45506</v>
      </c>
      <c r="C1883" t="s">
        <v>284</v>
      </c>
      <c r="D1883" t="s">
        <v>187</v>
      </c>
      <c r="E1883" t="s">
        <v>2617</v>
      </c>
      <c r="F1883" t="s">
        <v>2625</v>
      </c>
      <c r="G1883" t="s">
        <v>170</v>
      </c>
      <c r="H1883" t="s">
        <v>2646</v>
      </c>
      <c r="I1883" t="s">
        <v>75</v>
      </c>
      <c r="J1883">
        <v>33</v>
      </c>
      <c r="K1883">
        <v>51.4</v>
      </c>
      <c r="L1883">
        <v>30.32</v>
      </c>
      <c r="M1883">
        <v>0.05</v>
      </c>
      <c r="N1883" t="s">
        <v>45</v>
      </c>
    </row>
    <row r="1884" spans="1:14" x14ac:dyDescent="0.25">
      <c r="A1884" t="s">
        <v>2407</v>
      </c>
      <c r="B1884" s="2">
        <v>45573</v>
      </c>
      <c r="C1884" t="s">
        <v>660</v>
      </c>
      <c r="D1884" t="s">
        <v>126</v>
      </c>
      <c r="E1884" t="s">
        <v>2617</v>
      </c>
      <c r="F1884" t="s">
        <v>2625</v>
      </c>
      <c r="G1884" t="s">
        <v>111</v>
      </c>
      <c r="H1884" t="s">
        <v>2648</v>
      </c>
      <c r="I1884" t="s">
        <v>44</v>
      </c>
      <c r="J1884">
        <v>42</v>
      </c>
      <c r="K1884">
        <v>90.57</v>
      </c>
      <c r="L1884">
        <v>55.47</v>
      </c>
      <c r="M1884">
        <v>0.05</v>
      </c>
      <c r="N1884" t="s">
        <v>45</v>
      </c>
    </row>
    <row r="1885" spans="1:14" x14ac:dyDescent="0.25">
      <c r="A1885" t="s">
        <v>2408</v>
      </c>
      <c r="B1885" s="2">
        <v>45502</v>
      </c>
      <c r="C1885" t="s">
        <v>961</v>
      </c>
      <c r="D1885" t="s">
        <v>49</v>
      </c>
      <c r="E1885" t="s">
        <v>2616</v>
      </c>
      <c r="F1885" t="s">
        <v>2631</v>
      </c>
      <c r="G1885" t="s">
        <v>261</v>
      </c>
      <c r="H1885" t="s">
        <v>2647</v>
      </c>
      <c r="I1885" t="s">
        <v>70</v>
      </c>
      <c r="J1885">
        <v>7</v>
      </c>
      <c r="K1885">
        <v>24.49</v>
      </c>
      <c r="L1885">
        <v>13.89</v>
      </c>
      <c r="M1885">
        <v>0.05</v>
      </c>
      <c r="N1885" t="s">
        <v>45</v>
      </c>
    </row>
    <row r="1886" spans="1:14" x14ac:dyDescent="0.25">
      <c r="A1886" t="s">
        <v>2409</v>
      </c>
      <c r="B1886" s="2">
        <v>45603</v>
      </c>
      <c r="C1886" t="s">
        <v>456</v>
      </c>
      <c r="D1886" t="s">
        <v>216</v>
      </c>
      <c r="E1886" t="s">
        <v>2614</v>
      </c>
      <c r="F1886" t="s">
        <v>2637</v>
      </c>
      <c r="G1886" t="s">
        <v>74</v>
      </c>
      <c r="H1886" t="s">
        <v>2647</v>
      </c>
      <c r="I1886" t="s">
        <v>84</v>
      </c>
      <c r="J1886">
        <v>30</v>
      </c>
      <c r="K1886">
        <v>103.31</v>
      </c>
      <c r="L1886">
        <v>69.52</v>
      </c>
      <c r="M1886">
        <v>0.05</v>
      </c>
      <c r="N1886" t="s">
        <v>32</v>
      </c>
    </row>
    <row r="1887" spans="1:14" x14ac:dyDescent="0.25">
      <c r="A1887" t="s">
        <v>2410</v>
      </c>
      <c r="B1887" s="2">
        <v>45559</v>
      </c>
      <c r="C1887" t="s">
        <v>1215</v>
      </c>
      <c r="D1887" t="s">
        <v>93</v>
      </c>
      <c r="E1887" t="s">
        <v>2616</v>
      </c>
      <c r="F1887" t="s">
        <v>2638</v>
      </c>
      <c r="G1887" t="s">
        <v>184</v>
      </c>
      <c r="H1887" t="s">
        <v>2645</v>
      </c>
      <c r="I1887" t="s">
        <v>2578</v>
      </c>
      <c r="J1887">
        <v>35</v>
      </c>
      <c r="K1887">
        <v>50.66</v>
      </c>
      <c r="L1887">
        <v>32.06</v>
      </c>
      <c r="M1887">
        <v>0.15</v>
      </c>
      <c r="N1887" t="s">
        <v>129</v>
      </c>
    </row>
    <row r="1888" spans="1:14" x14ac:dyDescent="0.25">
      <c r="A1888" t="s">
        <v>2411</v>
      </c>
      <c r="B1888" s="2">
        <v>45596</v>
      </c>
      <c r="C1888" t="s">
        <v>600</v>
      </c>
      <c r="D1888" t="s">
        <v>99</v>
      </c>
      <c r="E1888" t="s">
        <v>2614</v>
      </c>
      <c r="F1888" t="s">
        <v>2629</v>
      </c>
      <c r="G1888" t="s">
        <v>265</v>
      </c>
      <c r="H1888" t="s">
        <v>2647</v>
      </c>
      <c r="I1888" t="s">
        <v>44</v>
      </c>
      <c r="J1888">
        <v>52</v>
      </c>
      <c r="K1888">
        <v>72.52</v>
      </c>
      <c r="L1888">
        <v>38.450000000000003</v>
      </c>
      <c r="M1888">
        <v>0</v>
      </c>
      <c r="N1888" t="s">
        <v>45</v>
      </c>
    </row>
    <row r="1889" spans="1:14" x14ac:dyDescent="0.25">
      <c r="A1889" t="s">
        <v>2412</v>
      </c>
      <c r="B1889" s="2">
        <v>45598</v>
      </c>
      <c r="C1889" t="s">
        <v>529</v>
      </c>
      <c r="D1889" t="s">
        <v>150</v>
      </c>
      <c r="E1889" t="s">
        <v>2615</v>
      </c>
      <c r="F1889" t="s">
        <v>2630</v>
      </c>
      <c r="G1889" t="s">
        <v>90</v>
      </c>
      <c r="H1889" t="s">
        <v>2648</v>
      </c>
      <c r="I1889" t="s">
        <v>84</v>
      </c>
      <c r="J1889">
        <v>42</v>
      </c>
      <c r="K1889">
        <v>86.26</v>
      </c>
      <c r="L1889">
        <v>47.3</v>
      </c>
      <c r="M1889">
        <v>0.1</v>
      </c>
      <c r="N1889" t="s">
        <v>45</v>
      </c>
    </row>
    <row r="1890" spans="1:14" x14ac:dyDescent="0.25">
      <c r="A1890" t="s">
        <v>2413</v>
      </c>
      <c r="B1890" s="2">
        <v>45637</v>
      </c>
      <c r="C1890" t="s">
        <v>727</v>
      </c>
      <c r="D1890" t="s">
        <v>99</v>
      </c>
      <c r="E1890" t="s">
        <v>2615</v>
      </c>
      <c r="F1890" t="s">
        <v>2640</v>
      </c>
      <c r="G1890" t="s">
        <v>248</v>
      </c>
      <c r="H1890" t="s">
        <v>2647</v>
      </c>
      <c r="I1890" t="s">
        <v>44</v>
      </c>
      <c r="J1890">
        <v>59</v>
      </c>
      <c r="K1890">
        <v>64.53</v>
      </c>
      <c r="L1890">
        <v>40.49</v>
      </c>
      <c r="M1890">
        <v>0.1</v>
      </c>
      <c r="N1890" t="s">
        <v>129</v>
      </c>
    </row>
    <row r="1891" spans="1:14" x14ac:dyDescent="0.25">
      <c r="A1891" t="s">
        <v>2414</v>
      </c>
      <c r="B1891" s="2">
        <v>45373</v>
      </c>
      <c r="C1891" t="s">
        <v>1310</v>
      </c>
      <c r="D1891" t="s">
        <v>78</v>
      </c>
      <c r="E1891" t="s">
        <v>2616</v>
      </c>
      <c r="F1891" t="s">
        <v>2633</v>
      </c>
      <c r="G1891" t="s">
        <v>90</v>
      </c>
      <c r="H1891" t="s">
        <v>2647</v>
      </c>
      <c r="I1891" t="s">
        <v>44</v>
      </c>
      <c r="J1891">
        <v>67</v>
      </c>
      <c r="K1891">
        <v>148.56</v>
      </c>
      <c r="L1891">
        <v>81.05</v>
      </c>
      <c r="M1891">
        <v>0.2</v>
      </c>
      <c r="N1891" t="s">
        <v>45</v>
      </c>
    </row>
    <row r="1892" spans="1:14" x14ac:dyDescent="0.25">
      <c r="A1892" t="s">
        <v>2415</v>
      </c>
      <c r="B1892" s="2">
        <v>45469</v>
      </c>
      <c r="C1892" t="s">
        <v>483</v>
      </c>
      <c r="D1892" t="s">
        <v>36</v>
      </c>
      <c r="E1892" t="s">
        <v>2615</v>
      </c>
      <c r="F1892" t="s">
        <v>2640</v>
      </c>
      <c r="G1892" t="s">
        <v>265</v>
      </c>
      <c r="H1892" t="s">
        <v>2645</v>
      </c>
      <c r="I1892" t="s">
        <v>84</v>
      </c>
      <c r="J1892">
        <v>62</v>
      </c>
      <c r="K1892">
        <v>171.02</v>
      </c>
      <c r="L1892">
        <v>98.93</v>
      </c>
      <c r="M1892">
        <v>0.15</v>
      </c>
      <c r="N1892" t="s">
        <v>45</v>
      </c>
    </row>
    <row r="1893" spans="1:14" x14ac:dyDescent="0.25">
      <c r="A1893" t="s">
        <v>2416</v>
      </c>
      <c r="B1893" s="2">
        <v>45407</v>
      </c>
      <c r="C1893" t="s">
        <v>430</v>
      </c>
      <c r="D1893" t="s">
        <v>209</v>
      </c>
      <c r="E1893" t="s">
        <v>2614</v>
      </c>
      <c r="F1893" t="s">
        <v>2622</v>
      </c>
      <c r="G1893" t="s">
        <v>90</v>
      </c>
      <c r="H1893" t="s">
        <v>2645</v>
      </c>
      <c r="I1893" t="s">
        <v>44</v>
      </c>
      <c r="J1893">
        <v>45</v>
      </c>
      <c r="K1893">
        <v>19.13</v>
      </c>
      <c r="L1893">
        <v>10.46</v>
      </c>
      <c r="M1893">
        <v>0.05</v>
      </c>
      <c r="N1893" t="s">
        <v>32</v>
      </c>
    </row>
    <row r="1894" spans="1:14" x14ac:dyDescent="0.25">
      <c r="A1894" t="s">
        <v>2417</v>
      </c>
      <c r="B1894" s="2">
        <v>45415</v>
      </c>
      <c r="C1894" t="s">
        <v>584</v>
      </c>
      <c r="D1894" t="s">
        <v>165</v>
      </c>
      <c r="E1894" t="s">
        <v>2614</v>
      </c>
      <c r="F1894" t="s">
        <v>2629</v>
      </c>
      <c r="G1894" t="s">
        <v>248</v>
      </c>
      <c r="H1894" t="s">
        <v>2647</v>
      </c>
      <c r="I1894" t="s">
        <v>75</v>
      </c>
      <c r="J1894">
        <v>60</v>
      </c>
      <c r="K1894">
        <v>39.119999999999997</v>
      </c>
      <c r="L1894">
        <v>24.28</v>
      </c>
      <c r="M1894">
        <v>0</v>
      </c>
      <c r="N1894" t="s">
        <v>45</v>
      </c>
    </row>
    <row r="1895" spans="1:14" x14ac:dyDescent="0.25">
      <c r="A1895" t="s">
        <v>2418</v>
      </c>
      <c r="B1895" s="2">
        <v>45642</v>
      </c>
      <c r="C1895" t="s">
        <v>569</v>
      </c>
      <c r="D1895" t="s">
        <v>23</v>
      </c>
      <c r="E1895" t="s">
        <v>2618</v>
      </c>
      <c r="F1895" t="s">
        <v>2628</v>
      </c>
      <c r="G1895" t="s">
        <v>111</v>
      </c>
      <c r="H1895" t="s">
        <v>2648</v>
      </c>
      <c r="I1895" t="s">
        <v>44</v>
      </c>
      <c r="J1895">
        <v>39</v>
      </c>
      <c r="K1895">
        <v>72.42</v>
      </c>
      <c r="L1895">
        <v>42.64</v>
      </c>
      <c r="M1895">
        <v>0.02</v>
      </c>
      <c r="N1895" t="s">
        <v>45</v>
      </c>
    </row>
    <row r="1896" spans="1:14" x14ac:dyDescent="0.25">
      <c r="A1896" t="s">
        <v>2419</v>
      </c>
      <c r="B1896" s="2">
        <v>45602</v>
      </c>
      <c r="C1896" t="s">
        <v>192</v>
      </c>
      <c r="D1896" t="s">
        <v>176</v>
      </c>
      <c r="E1896" t="s">
        <v>2618</v>
      </c>
      <c r="F1896" t="s">
        <v>2632</v>
      </c>
      <c r="G1896" t="s">
        <v>184</v>
      </c>
      <c r="H1896" t="s">
        <v>2647</v>
      </c>
      <c r="I1896" t="s">
        <v>75</v>
      </c>
      <c r="J1896">
        <v>48</v>
      </c>
      <c r="K1896">
        <v>106.99</v>
      </c>
      <c r="L1896">
        <v>58.98</v>
      </c>
      <c r="M1896">
        <v>0.1</v>
      </c>
      <c r="N1896" t="s">
        <v>129</v>
      </c>
    </row>
    <row r="1897" spans="1:14" x14ac:dyDescent="0.25">
      <c r="A1897" t="s">
        <v>2420</v>
      </c>
      <c r="B1897" s="2">
        <v>45650</v>
      </c>
      <c r="C1897" t="s">
        <v>902</v>
      </c>
      <c r="D1897" t="s">
        <v>187</v>
      </c>
      <c r="E1897" t="s">
        <v>2615</v>
      </c>
      <c r="F1897" t="s">
        <v>2623</v>
      </c>
      <c r="G1897" t="s">
        <v>69</v>
      </c>
      <c r="H1897" t="s">
        <v>2645</v>
      </c>
      <c r="I1897" t="s">
        <v>84</v>
      </c>
      <c r="J1897">
        <v>52</v>
      </c>
      <c r="K1897">
        <v>48.73</v>
      </c>
      <c r="L1897">
        <v>28.98</v>
      </c>
      <c r="M1897">
        <v>0.1</v>
      </c>
      <c r="N1897" t="s">
        <v>129</v>
      </c>
    </row>
    <row r="1898" spans="1:14" x14ac:dyDescent="0.25">
      <c r="A1898" t="s">
        <v>2421</v>
      </c>
      <c r="B1898" s="2">
        <v>45413</v>
      </c>
      <c r="C1898" t="s">
        <v>992</v>
      </c>
      <c r="D1898" t="s">
        <v>141</v>
      </c>
      <c r="E1898" t="s">
        <v>2615</v>
      </c>
      <c r="F1898" t="s">
        <v>2627</v>
      </c>
      <c r="G1898" t="s">
        <v>170</v>
      </c>
      <c r="H1898" t="s">
        <v>2646</v>
      </c>
      <c r="I1898" t="s">
        <v>2578</v>
      </c>
      <c r="J1898">
        <v>74</v>
      </c>
      <c r="K1898">
        <v>98.22</v>
      </c>
      <c r="L1898">
        <v>61.03</v>
      </c>
      <c r="M1898">
        <v>0</v>
      </c>
      <c r="N1898" t="s">
        <v>45</v>
      </c>
    </row>
    <row r="1899" spans="1:14" x14ac:dyDescent="0.25">
      <c r="A1899" t="s">
        <v>2422</v>
      </c>
      <c r="B1899" s="2">
        <v>45504</v>
      </c>
      <c r="C1899" t="s">
        <v>1068</v>
      </c>
      <c r="D1899" t="s">
        <v>23</v>
      </c>
      <c r="E1899" t="s">
        <v>2616</v>
      </c>
      <c r="F1899" t="s">
        <v>2638</v>
      </c>
      <c r="G1899" t="s">
        <v>111</v>
      </c>
      <c r="H1899" t="s">
        <v>2645</v>
      </c>
      <c r="I1899" t="s">
        <v>2578</v>
      </c>
      <c r="J1899">
        <v>32</v>
      </c>
      <c r="K1899">
        <v>80.510000000000005</v>
      </c>
      <c r="L1899">
        <v>43.91</v>
      </c>
      <c r="M1899">
        <v>0.02</v>
      </c>
      <c r="N1899" t="s">
        <v>129</v>
      </c>
    </row>
    <row r="1900" spans="1:14" x14ac:dyDescent="0.25">
      <c r="A1900" t="s">
        <v>2423</v>
      </c>
      <c r="B1900" s="2">
        <v>45605</v>
      </c>
      <c r="C1900" t="s">
        <v>367</v>
      </c>
      <c r="D1900" t="s">
        <v>150</v>
      </c>
      <c r="E1900" t="s">
        <v>2615</v>
      </c>
      <c r="F1900" t="s">
        <v>2640</v>
      </c>
      <c r="G1900" t="s">
        <v>90</v>
      </c>
      <c r="H1900" t="s">
        <v>2645</v>
      </c>
      <c r="I1900" t="s">
        <v>75</v>
      </c>
      <c r="J1900">
        <v>29</v>
      </c>
      <c r="K1900">
        <v>83.78</v>
      </c>
      <c r="L1900">
        <v>54.94</v>
      </c>
      <c r="M1900">
        <v>0.2</v>
      </c>
      <c r="N1900" t="s">
        <v>45</v>
      </c>
    </row>
    <row r="1901" spans="1:14" x14ac:dyDescent="0.25">
      <c r="A1901" t="s">
        <v>2424</v>
      </c>
      <c r="B1901" s="2">
        <v>45555</v>
      </c>
      <c r="C1901" t="s">
        <v>866</v>
      </c>
      <c r="D1901" t="s">
        <v>209</v>
      </c>
      <c r="E1901" t="s">
        <v>2618</v>
      </c>
      <c r="F1901" t="s">
        <v>2635</v>
      </c>
      <c r="G1901" t="s">
        <v>69</v>
      </c>
      <c r="H1901" t="s">
        <v>2646</v>
      </c>
      <c r="I1901" t="s">
        <v>44</v>
      </c>
      <c r="J1901">
        <v>22</v>
      </c>
      <c r="K1901">
        <v>19.05</v>
      </c>
      <c r="L1901">
        <v>9.4499999999999993</v>
      </c>
      <c r="M1901">
        <v>0.05</v>
      </c>
      <c r="N1901" t="s">
        <v>45</v>
      </c>
    </row>
    <row r="1902" spans="1:14" x14ac:dyDescent="0.25">
      <c r="A1902" t="s">
        <v>2425</v>
      </c>
      <c r="B1902" s="2">
        <v>45550</v>
      </c>
      <c r="C1902" t="s">
        <v>169</v>
      </c>
      <c r="D1902" t="s">
        <v>78</v>
      </c>
      <c r="E1902" t="s">
        <v>2614</v>
      </c>
      <c r="F1902" t="s">
        <v>2629</v>
      </c>
      <c r="G1902" t="s">
        <v>253</v>
      </c>
      <c r="H1902" t="s">
        <v>2648</v>
      </c>
      <c r="I1902" t="s">
        <v>75</v>
      </c>
      <c r="J1902">
        <v>39</v>
      </c>
      <c r="K1902">
        <v>133.32</v>
      </c>
      <c r="L1902">
        <v>84.28</v>
      </c>
      <c r="M1902">
        <v>0.1</v>
      </c>
      <c r="N1902" t="s">
        <v>45</v>
      </c>
    </row>
    <row r="1903" spans="1:14" x14ac:dyDescent="0.25">
      <c r="A1903" t="s">
        <v>2426</v>
      </c>
      <c r="B1903" s="2">
        <v>45480</v>
      </c>
      <c r="C1903" t="s">
        <v>287</v>
      </c>
      <c r="D1903" t="s">
        <v>109</v>
      </c>
      <c r="E1903" t="s">
        <v>2618</v>
      </c>
      <c r="F1903" t="s">
        <v>2628</v>
      </c>
      <c r="G1903" t="s">
        <v>170</v>
      </c>
      <c r="H1903" t="s">
        <v>2648</v>
      </c>
      <c r="I1903" t="s">
        <v>2578</v>
      </c>
      <c r="J1903">
        <v>7</v>
      </c>
      <c r="K1903">
        <v>132.26</v>
      </c>
      <c r="L1903">
        <v>78.569999999999993</v>
      </c>
      <c r="M1903">
        <v>0.2</v>
      </c>
      <c r="N1903" t="s">
        <v>45</v>
      </c>
    </row>
    <row r="1904" spans="1:14" x14ac:dyDescent="0.25">
      <c r="A1904" t="s">
        <v>2427</v>
      </c>
      <c r="B1904" s="2">
        <v>45604</v>
      </c>
      <c r="C1904" t="s">
        <v>647</v>
      </c>
      <c r="D1904" t="s">
        <v>93</v>
      </c>
      <c r="E1904" t="s">
        <v>2614</v>
      </c>
      <c r="F1904" t="s">
        <v>2636</v>
      </c>
      <c r="G1904" t="s">
        <v>69</v>
      </c>
      <c r="H1904" t="s">
        <v>2647</v>
      </c>
      <c r="I1904" t="s">
        <v>2619</v>
      </c>
      <c r="J1904">
        <v>22</v>
      </c>
      <c r="K1904">
        <v>51.82</v>
      </c>
      <c r="L1904">
        <v>32.72</v>
      </c>
      <c r="M1904">
        <v>0.1</v>
      </c>
      <c r="N1904" t="s">
        <v>32</v>
      </c>
    </row>
    <row r="1905" spans="1:14" x14ac:dyDescent="0.25">
      <c r="A1905" t="s">
        <v>2428</v>
      </c>
      <c r="B1905" s="2">
        <v>45326</v>
      </c>
      <c r="C1905" t="s">
        <v>1293</v>
      </c>
      <c r="D1905" t="s">
        <v>36</v>
      </c>
      <c r="E1905" t="s">
        <v>2615</v>
      </c>
      <c r="F1905" t="s">
        <v>2640</v>
      </c>
      <c r="G1905" t="s">
        <v>248</v>
      </c>
      <c r="H1905" t="s">
        <v>2647</v>
      </c>
      <c r="I1905" t="s">
        <v>70</v>
      </c>
      <c r="J1905">
        <v>25</v>
      </c>
      <c r="K1905">
        <v>163.81</v>
      </c>
      <c r="L1905">
        <v>101.77</v>
      </c>
      <c r="M1905">
        <v>0.02</v>
      </c>
      <c r="N1905" t="s">
        <v>45</v>
      </c>
    </row>
    <row r="1906" spans="1:14" x14ac:dyDescent="0.25">
      <c r="A1906" t="s">
        <v>2429</v>
      </c>
      <c r="B1906" s="2">
        <v>45532</v>
      </c>
      <c r="C1906" t="s">
        <v>108</v>
      </c>
      <c r="D1906" t="s">
        <v>176</v>
      </c>
      <c r="E1906" t="s">
        <v>2618</v>
      </c>
      <c r="F1906" t="s">
        <v>2635</v>
      </c>
      <c r="G1906" t="s">
        <v>248</v>
      </c>
      <c r="H1906" t="s">
        <v>2646</v>
      </c>
      <c r="I1906" t="s">
        <v>84</v>
      </c>
      <c r="J1906">
        <v>53</v>
      </c>
      <c r="K1906">
        <v>104.39</v>
      </c>
      <c r="L1906">
        <v>67.760000000000005</v>
      </c>
      <c r="M1906">
        <v>0.2</v>
      </c>
      <c r="N1906" t="s">
        <v>45</v>
      </c>
    </row>
    <row r="1907" spans="1:14" x14ac:dyDescent="0.25">
      <c r="A1907" t="s">
        <v>2430</v>
      </c>
      <c r="B1907" s="2">
        <v>45593</v>
      </c>
      <c r="C1907" t="s">
        <v>649</v>
      </c>
      <c r="D1907" t="s">
        <v>23</v>
      </c>
      <c r="E1907" t="s">
        <v>2615</v>
      </c>
      <c r="F1907" t="s">
        <v>2627</v>
      </c>
      <c r="G1907" t="s">
        <v>83</v>
      </c>
      <c r="H1907" t="s">
        <v>2645</v>
      </c>
      <c r="I1907" t="s">
        <v>2578</v>
      </c>
      <c r="J1907">
        <v>54</v>
      </c>
      <c r="K1907">
        <v>73.19</v>
      </c>
      <c r="L1907">
        <v>41.26</v>
      </c>
      <c r="M1907">
        <v>0.2</v>
      </c>
      <c r="N1907" t="s">
        <v>32</v>
      </c>
    </row>
    <row r="1908" spans="1:14" x14ac:dyDescent="0.25">
      <c r="A1908" t="s">
        <v>2431</v>
      </c>
      <c r="B1908" s="2">
        <v>45429</v>
      </c>
      <c r="C1908" t="s">
        <v>1219</v>
      </c>
      <c r="D1908" t="s">
        <v>150</v>
      </c>
      <c r="E1908" t="s">
        <v>2617</v>
      </c>
      <c r="F1908" t="s">
        <v>2625</v>
      </c>
      <c r="G1908" t="s">
        <v>178</v>
      </c>
      <c r="H1908" t="s">
        <v>2645</v>
      </c>
      <c r="I1908" t="s">
        <v>44</v>
      </c>
      <c r="J1908">
        <v>33</v>
      </c>
      <c r="K1908">
        <v>82.1</v>
      </c>
      <c r="L1908">
        <v>53.47</v>
      </c>
      <c r="M1908">
        <v>0.02</v>
      </c>
      <c r="N1908" t="s">
        <v>45</v>
      </c>
    </row>
    <row r="1909" spans="1:14" x14ac:dyDescent="0.25">
      <c r="A1909" t="s">
        <v>2432</v>
      </c>
      <c r="B1909" s="2">
        <v>45409</v>
      </c>
      <c r="C1909" t="s">
        <v>859</v>
      </c>
      <c r="D1909" t="s">
        <v>99</v>
      </c>
      <c r="E1909" t="s">
        <v>2614</v>
      </c>
      <c r="F1909" t="s">
        <v>2622</v>
      </c>
      <c r="G1909" t="s">
        <v>29</v>
      </c>
      <c r="H1909" t="s">
        <v>2646</v>
      </c>
      <c r="I1909" t="s">
        <v>44</v>
      </c>
      <c r="J1909">
        <v>75</v>
      </c>
      <c r="K1909">
        <v>68.66</v>
      </c>
      <c r="L1909">
        <v>38.79</v>
      </c>
      <c r="M1909">
        <v>0.1</v>
      </c>
      <c r="N1909" t="s">
        <v>45</v>
      </c>
    </row>
    <row r="1910" spans="1:14" x14ac:dyDescent="0.25">
      <c r="A1910" t="s">
        <v>2433</v>
      </c>
      <c r="B1910" s="2">
        <v>45509</v>
      </c>
      <c r="C1910" t="s">
        <v>763</v>
      </c>
      <c r="D1910" t="s">
        <v>78</v>
      </c>
      <c r="E1910" t="s">
        <v>2615</v>
      </c>
      <c r="F1910" t="s">
        <v>2630</v>
      </c>
      <c r="G1910" t="s">
        <v>195</v>
      </c>
      <c r="H1910" t="s">
        <v>2646</v>
      </c>
      <c r="I1910" t="s">
        <v>84</v>
      </c>
      <c r="J1910">
        <v>18</v>
      </c>
      <c r="K1910">
        <v>142.02000000000001</v>
      </c>
      <c r="L1910">
        <v>78.959999999999994</v>
      </c>
      <c r="M1910">
        <v>0.05</v>
      </c>
      <c r="N1910" t="s">
        <v>32</v>
      </c>
    </row>
    <row r="1911" spans="1:14" x14ac:dyDescent="0.25">
      <c r="A1911" t="s">
        <v>2434</v>
      </c>
      <c r="B1911" s="2">
        <v>45424</v>
      </c>
      <c r="C1911" t="s">
        <v>1112</v>
      </c>
      <c r="D1911" t="s">
        <v>93</v>
      </c>
      <c r="E1911" t="s">
        <v>2616</v>
      </c>
      <c r="F1911" t="s">
        <v>2624</v>
      </c>
      <c r="G1911" t="s">
        <v>69</v>
      </c>
      <c r="H1911" t="s">
        <v>2647</v>
      </c>
      <c r="I1911" t="s">
        <v>44</v>
      </c>
      <c r="J1911">
        <v>49</v>
      </c>
      <c r="K1911">
        <v>57.25</v>
      </c>
      <c r="L1911">
        <v>31.22</v>
      </c>
      <c r="M1911">
        <v>0</v>
      </c>
      <c r="N1911" t="s">
        <v>32</v>
      </c>
    </row>
    <row r="1912" spans="1:14" x14ac:dyDescent="0.25">
      <c r="A1912" t="s">
        <v>2435</v>
      </c>
      <c r="B1912" s="2">
        <v>45645</v>
      </c>
      <c r="C1912" t="s">
        <v>186</v>
      </c>
      <c r="D1912" t="s">
        <v>99</v>
      </c>
      <c r="E1912" t="s">
        <v>2616</v>
      </c>
      <c r="F1912" t="s">
        <v>2638</v>
      </c>
      <c r="G1912" t="s">
        <v>83</v>
      </c>
      <c r="H1912" t="s">
        <v>2645</v>
      </c>
      <c r="I1912" t="s">
        <v>44</v>
      </c>
      <c r="J1912">
        <v>77</v>
      </c>
      <c r="K1912">
        <v>68.25</v>
      </c>
      <c r="L1912">
        <v>42.53</v>
      </c>
      <c r="M1912">
        <v>0</v>
      </c>
      <c r="N1912" t="s">
        <v>129</v>
      </c>
    </row>
    <row r="1913" spans="1:14" x14ac:dyDescent="0.25">
      <c r="A1913" t="s">
        <v>2436</v>
      </c>
      <c r="B1913" s="2">
        <v>45467</v>
      </c>
      <c r="C1913" t="s">
        <v>1236</v>
      </c>
      <c r="D1913" t="s">
        <v>114</v>
      </c>
      <c r="E1913" t="s">
        <v>2614</v>
      </c>
      <c r="F1913" t="s">
        <v>2636</v>
      </c>
      <c r="G1913" t="s">
        <v>195</v>
      </c>
      <c r="H1913" t="s">
        <v>2647</v>
      </c>
      <c r="I1913" t="s">
        <v>44</v>
      </c>
      <c r="J1913">
        <v>14</v>
      </c>
      <c r="K1913">
        <v>34.72</v>
      </c>
      <c r="L1913">
        <v>19.75</v>
      </c>
      <c r="M1913">
        <v>0.2</v>
      </c>
      <c r="N1913" t="s">
        <v>45</v>
      </c>
    </row>
    <row r="1914" spans="1:14" x14ac:dyDescent="0.25">
      <c r="A1914" t="s">
        <v>2437</v>
      </c>
      <c r="B1914" s="2">
        <v>45589</v>
      </c>
      <c r="C1914" t="s">
        <v>420</v>
      </c>
      <c r="D1914" t="s">
        <v>141</v>
      </c>
      <c r="E1914" t="s">
        <v>2617</v>
      </c>
      <c r="F1914" t="s">
        <v>2641</v>
      </c>
      <c r="G1914" t="s">
        <v>195</v>
      </c>
      <c r="H1914" t="s">
        <v>2645</v>
      </c>
      <c r="I1914" t="s">
        <v>84</v>
      </c>
      <c r="J1914">
        <v>51</v>
      </c>
      <c r="K1914">
        <v>99.04</v>
      </c>
      <c r="L1914">
        <v>54.83</v>
      </c>
      <c r="M1914">
        <v>0.02</v>
      </c>
      <c r="N1914" t="s">
        <v>45</v>
      </c>
    </row>
    <row r="1915" spans="1:14" x14ac:dyDescent="0.25">
      <c r="A1915" t="s">
        <v>2438</v>
      </c>
      <c r="B1915" s="2">
        <v>45571</v>
      </c>
      <c r="C1915" t="s">
        <v>1744</v>
      </c>
      <c r="D1915" t="s">
        <v>126</v>
      </c>
      <c r="E1915" t="s">
        <v>2615</v>
      </c>
      <c r="F1915" t="s">
        <v>2640</v>
      </c>
      <c r="G1915" t="s">
        <v>261</v>
      </c>
      <c r="H1915" t="s">
        <v>2645</v>
      </c>
      <c r="I1915" t="s">
        <v>75</v>
      </c>
      <c r="J1915">
        <v>46</v>
      </c>
      <c r="K1915">
        <v>90.08</v>
      </c>
      <c r="L1915">
        <v>55.77</v>
      </c>
      <c r="M1915">
        <v>0.2</v>
      </c>
      <c r="N1915" t="s">
        <v>45</v>
      </c>
    </row>
    <row r="1916" spans="1:14" x14ac:dyDescent="0.25">
      <c r="A1916" t="s">
        <v>2439</v>
      </c>
      <c r="B1916" s="2">
        <v>45584</v>
      </c>
      <c r="C1916" t="s">
        <v>1858</v>
      </c>
      <c r="D1916" t="s">
        <v>132</v>
      </c>
      <c r="E1916" t="s">
        <v>2617</v>
      </c>
      <c r="F1916" t="s">
        <v>2641</v>
      </c>
      <c r="G1916" t="s">
        <v>265</v>
      </c>
      <c r="H1916" t="s">
        <v>2648</v>
      </c>
      <c r="I1916" t="s">
        <v>70</v>
      </c>
      <c r="J1916">
        <v>54</v>
      </c>
      <c r="K1916">
        <v>61.54</v>
      </c>
      <c r="L1916">
        <v>32.799999999999997</v>
      </c>
      <c r="M1916">
        <v>0.02</v>
      </c>
      <c r="N1916" t="s">
        <v>32</v>
      </c>
    </row>
    <row r="1917" spans="1:14" x14ac:dyDescent="0.25">
      <c r="A1917" t="s">
        <v>2440</v>
      </c>
      <c r="B1917" s="2">
        <v>45636</v>
      </c>
      <c r="C1917" t="s">
        <v>506</v>
      </c>
      <c r="D1917" t="s">
        <v>250</v>
      </c>
      <c r="E1917" t="s">
        <v>2616</v>
      </c>
      <c r="F1917" t="s">
        <v>2638</v>
      </c>
      <c r="G1917" t="s">
        <v>248</v>
      </c>
      <c r="H1917" t="s">
        <v>2648</v>
      </c>
      <c r="I1917" t="s">
        <v>44</v>
      </c>
      <c r="J1917">
        <v>64</v>
      </c>
      <c r="K1917">
        <v>68.38</v>
      </c>
      <c r="L1917">
        <v>36.74</v>
      </c>
      <c r="M1917">
        <v>0</v>
      </c>
      <c r="N1917" t="s">
        <v>129</v>
      </c>
    </row>
    <row r="1918" spans="1:14" x14ac:dyDescent="0.25">
      <c r="A1918" t="s">
        <v>2441</v>
      </c>
      <c r="B1918" s="2">
        <v>45432</v>
      </c>
      <c r="C1918" t="s">
        <v>1310</v>
      </c>
      <c r="D1918" t="s">
        <v>66</v>
      </c>
      <c r="E1918" t="s">
        <v>2618</v>
      </c>
      <c r="F1918" t="s">
        <v>2628</v>
      </c>
      <c r="G1918" t="s">
        <v>42</v>
      </c>
      <c r="H1918" t="s">
        <v>2646</v>
      </c>
      <c r="I1918" t="s">
        <v>2578</v>
      </c>
      <c r="J1918">
        <v>57</v>
      </c>
      <c r="K1918">
        <v>152.72</v>
      </c>
      <c r="L1918">
        <v>106.64</v>
      </c>
      <c r="M1918">
        <v>0.1</v>
      </c>
      <c r="N1918" t="s">
        <v>32</v>
      </c>
    </row>
    <row r="1919" spans="1:14" x14ac:dyDescent="0.25">
      <c r="A1919" t="s">
        <v>2442</v>
      </c>
      <c r="B1919" s="2">
        <v>45478</v>
      </c>
      <c r="C1919" t="s">
        <v>337</v>
      </c>
      <c r="D1919" t="s">
        <v>216</v>
      </c>
      <c r="E1919" t="s">
        <v>2616</v>
      </c>
      <c r="F1919" t="s">
        <v>2624</v>
      </c>
      <c r="G1919" t="s">
        <v>83</v>
      </c>
      <c r="H1919" t="s">
        <v>2645</v>
      </c>
      <c r="I1919" t="s">
        <v>84</v>
      </c>
      <c r="J1919">
        <v>7</v>
      </c>
      <c r="K1919">
        <v>111.34</v>
      </c>
      <c r="L1919">
        <v>68.14</v>
      </c>
      <c r="M1919">
        <v>0.02</v>
      </c>
      <c r="N1919" t="s">
        <v>129</v>
      </c>
    </row>
    <row r="1920" spans="1:14" x14ac:dyDescent="0.25">
      <c r="A1920" t="s">
        <v>2443</v>
      </c>
      <c r="B1920" s="2">
        <v>45596</v>
      </c>
      <c r="C1920" t="s">
        <v>1142</v>
      </c>
      <c r="D1920" t="s">
        <v>216</v>
      </c>
      <c r="E1920" t="s">
        <v>2617</v>
      </c>
      <c r="F1920" t="s">
        <v>2641</v>
      </c>
      <c r="G1920" t="s">
        <v>111</v>
      </c>
      <c r="H1920" t="s">
        <v>2645</v>
      </c>
      <c r="I1920" t="s">
        <v>84</v>
      </c>
      <c r="J1920">
        <v>52</v>
      </c>
      <c r="K1920">
        <v>112.88</v>
      </c>
      <c r="L1920">
        <v>66.73</v>
      </c>
      <c r="M1920">
        <v>0</v>
      </c>
      <c r="N1920" t="s">
        <v>129</v>
      </c>
    </row>
    <row r="1921" spans="1:14" x14ac:dyDescent="0.25">
      <c r="A1921" t="s">
        <v>2444</v>
      </c>
      <c r="B1921" s="2">
        <v>45578</v>
      </c>
      <c r="C1921" t="s">
        <v>1879</v>
      </c>
      <c r="D1921" t="s">
        <v>114</v>
      </c>
      <c r="E1921" t="s">
        <v>2615</v>
      </c>
      <c r="F1921" t="s">
        <v>2627</v>
      </c>
      <c r="G1921" t="s">
        <v>218</v>
      </c>
      <c r="H1921" t="s">
        <v>2648</v>
      </c>
      <c r="I1921" t="s">
        <v>70</v>
      </c>
      <c r="J1921">
        <v>63</v>
      </c>
      <c r="K1921">
        <v>35.97</v>
      </c>
      <c r="L1921">
        <v>22</v>
      </c>
      <c r="M1921">
        <v>0.02</v>
      </c>
      <c r="N1921" t="s">
        <v>32</v>
      </c>
    </row>
    <row r="1922" spans="1:14" x14ac:dyDescent="0.25">
      <c r="A1922" t="s">
        <v>2445</v>
      </c>
      <c r="B1922" s="2">
        <v>45515</v>
      </c>
      <c r="C1922" t="s">
        <v>389</v>
      </c>
      <c r="D1922" t="s">
        <v>36</v>
      </c>
      <c r="E1922" t="s">
        <v>2618</v>
      </c>
      <c r="F1922" t="s">
        <v>2634</v>
      </c>
      <c r="G1922" t="s">
        <v>184</v>
      </c>
      <c r="H1922" t="s">
        <v>2647</v>
      </c>
      <c r="I1922" t="s">
        <v>44</v>
      </c>
      <c r="J1922">
        <v>18</v>
      </c>
      <c r="K1922">
        <v>173.63</v>
      </c>
      <c r="L1922">
        <v>99.39</v>
      </c>
      <c r="M1922">
        <v>0.05</v>
      </c>
      <c r="N1922" t="s">
        <v>45</v>
      </c>
    </row>
    <row r="1923" spans="1:14" x14ac:dyDescent="0.25">
      <c r="A1923" t="s">
        <v>2446</v>
      </c>
      <c r="B1923" s="2">
        <v>45372</v>
      </c>
      <c r="C1923" t="s">
        <v>704</v>
      </c>
      <c r="D1923" t="s">
        <v>93</v>
      </c>
      <c r="E1923" t="s">
        <v>2614</v>
      </c>
      <c r="F1923" t="s">
        <v>2622</v>
      </c>
      <c r="G1923" t="s">
        <v>111</v>
      </c>
      <c r="H1923" t="s">
        <v>2645</v>
      </c>
      <c r="I1923" t="s">
        <v>75</v>
      </c>
      <c r="J1923">
        <v>16</v>
      </c>
      <c r="K1923">
        <v>58.97</v>
      </c>
      <c r="L1923">
        <v>30.34</v>
      </c>
      <c r="M1923">
        <v>0.2</v>
      </c>
      <c r="N1923" t="s">
        <v>45</v>
      </c>
    </row>
    <row r="1924" spans="1:14" x14ac:dyDescent="0.25">
      <c r="A1924" t="s">
        <v>2447</v>
      </c>
      <c r="B1924" s="2">
        <v>45358</v>
      </c>
      <c r="C1924" t="s">
        <v>985</v>
      </c>
      <c r="D1924" t="s">
        <v>150</v>
      </c>
      <c r="E1924" t="s">
        <v>2615</v>
      </c>
      <c r="F1924" t="s">
        <v>2640</v>
      </c>
      <c r="G1924" t="s">
        <v>29</v>
      </c>
      <c r="H1924" t="s">
        <v>2645</v>
      </c>
      <c r="I1924" t="s">
        <v>70</v>
      </c>
      <c r="J1924">
        <v>42</v>
      </c>
      <c r="K1924">
        <v>82.51</v>
      </c>
      <c r="L1924">
        <v>50.47</v>
      </c>
      <c r="M1924">
        <v>0.15</v>
      </c>
      <c r="N1924" t="s">
        <v>45</v>
      </c>
    </row>
    <row r="1925" spans="1:14" x14ac:dyDescent="0.25">
      <c r="A1925" t="s">
        <v>2448</v>
      </c>
      <c r="B1925" s="2">
        <v>45573</v>
      </c>
      <c r="C1925" t="s">
        <v>1270</v>
      </c>
      <c r="D1925" t="s">
        <v>109</v>
      </c>
      <c r="E1925" t="s">
        <v>2614</v>
      </c>
      <c r="F1925" t="s">
        <v>2637</v>
      </c>
      <c r="G1925" t="s">
        <v>60</v>
      </c>
      <c r="H1925" t="s">
        <v>2646</v>
      </c>
      <c r="I1925" t="s">
        <v>84</v>
      </c>
      <c r="J1925">
        <v>9</v>
      </c>
      <c r="K1925">
        <v>129.47</v>
      </c>
      <c r="L1925">
        <v>73.95</v>
      </c>
      <c r="M1925">
        <v>0.05</v>
      </c>
      <c r="N1925" t="s">
        <v>45</v>
      </c>
    </row>
    <row r="1926" spans="1:14" x14ac:dyDescent="0.25">
      <c r="A1926" t="s">
        <v>2449</v>
      </c>
      <c r="B1926" s="2">
        <v>45640</v>
      </c>
      <c r="C1926" t="s">
        <v>331</v>
      </c>
      <c r="D1926" t="s">
        <v>141</v>
      </c>
      <c r="E1926" t="s">
        <v>2618</v>
      </c>
      <c r="F1926" t="s">
        <v>2635</v>
      </c>
      <c r="G1926" t="s">
        <v>218</v>
      </c>
      <c r="H1926" t="s">
        <v>2648</v>
      </c>
      <c r="I1926" t="s">
        <v>44</v>
      </c>
      <c r="J1926">
        <v>51</v>
      </c>
      <c r="K1926">
        <v>98.48</v>
      </c>
      <c r="L1926">
        <v>54.25</v>
      </c>
      <c r="M1926">
        <v>0.05</v>
      </c>
      <c r="N1926" t="s">
        <v>45</v>
      </c>
    </row>
    <row r="1927" spans="1:14" x14ac:dyDescent="0.25">
      <c r="A1927" t="s">
        <v>2450</v>
      </c>
      <c r="B1927" s="2">
        <v>45430</v>
      </c>
      <c r="C1927" t="s">
        <v>339</v>
      </c>
      <c r="D1927" t="s">
        <v>78</v>
      </c>
      <c r="E1927" t="s">
        <v>2616</v>
      </c>
      <c r="F1927" t="s">
        <v>2638</v>
      </c>
      <c r="G1927" t="s">
        <v>29</v>
      </c>
      <c r="H1927" t="s">
        <v>2648</v>
      </c>
      <c r="I1927" t="s">
        <v>70</v>
      </c>
      <c r="J1927">
        <v>14</v>
      </c>
      <c r="K1927">
        <v>140.52000000000001</v>
      </c>
      <c r="L1927">
        <v>76.95</v>
      </c>
      <c r="M1927">
        <v>0</v>
      </c>
      <c r="N1927" t="s">
        <v>45</v>
      </c>
    </row>
    <row r="1928" spans="1:14" x14ac:dyDescent="0.25">
      <c r="A1928" t="s">
        <v>2451</v>
      </c>
      <c r="B1928" s="2">
        <v>45461</v>
      </c>
      <c r="C1928" t="s">
        <v>180</v>
      </c>
      <c r="D1928" t="s">
        <v>78</v>
      </c>
      <c r="E1928" t="s">
        <v>2618</v>
      </c>
      <c r="F1928" t="s">
        <v>2634</v>
      </c>
      <c r="G1928" t="s">
        <v>90</v>
      </c>
      <c r="H1928" t="s">
        <v>2647</v>
      </c>
      <c r="I1928" t="s">
        <v>70</v>
      </c>
      <c r="J1928">
        <v>53</v>
      </c>
      <c r="K1928">
        <v>139.07</v>
      </c>
      <c r="L1928">
        <v>81.8</v>
      </c>
      <c r="M1928">
        <v>0.2</v>
      </c>
      <c r="N1928" t="s">
        <v>32</v>
      </c>
    </row>
    <row r="1929" spans="1:14" x14ac:dyDescent="0.25">
      <c r="A1929" t="s">
        <v>2452</v>
      </c>
      <c r="B1929" s="2">
        <v>45485</v>
      </c>
      <c r="C1929" t="s">
        <v>655</v>
      </c>
      <c r="D1929" t="s">
        <v>209</v>
      </c>
      <c r="E1929" t="s">
        <v>2616</v>
      </c>
      <c r="F1929" t="s">
        <v>2631</v>
      </c>
      <c r="G1929" t="s">
        <v>261</v>
      </c>
      <c r="H1929" t="s">
        <v>2646</v>
      </c>
      <c r="I1929" t="s">
        <v>70</v>
      </c>
      <c r="J1929">
        <v>36</v>
      </c>
      <c r="K1929">
        <v>18.39</v>
      </c>
      <c r="L1929">
        <v>9.56</v>
      </c>
      <c r="M1929">
        <v>0.02</v>
      </c>
      <c r="N1929" t="s">
        <v>45</v>
      </c>
    </row>
    <row r="1930" spans="1:14" x14ac:dyDescent="0.25">
      <c r="A1930" t="s">
        <v>2453</v>
      </c>
      <c r="B1930" s="2">
        <v>45433</v>
      </c>
      <c r="C1930" t="s">
        <v>47</v>
      </c>
      <c r="D1930" t="s">
        <v>36</v>
      </c>
      <c r="E1930" t="s">
        <v>2614</v>
      </c>
      <c r="F1930" t="s">
        <v>2637</v>
      </c>
      <c r="G1930" t="s">
        <v>60</v>
      </c>
      <c r="H1930" t="s">
        <v>2647</v>
      </c>
      <c r="I1930" t="s">
        <v>84</v>
      </c>
      <c r="J1930">
        <v>54</v>
      </c>
      <c r="K1930">
        <v>157.47</v>
      </c>
      <c r="L1930">
        <v>92.14</v>
      </c>
      <c r="M1930">
        <v>0.15</v>
      </c>
      <c r="N1930" t="s">
        <v>45</v>
      </c>
    </row>
    <row r="1931" spans="1:14" x14ac:dyDescent="0.25">
      <c r="A1931" t="s">
        <v>2454</v>
      </c>
      <c r="B1931" s="2">
        <v>45504</v>
      </c>
      <c r="C1931" t="s">
        <v>234</v>
      </c>
      <c r="D1931" t="s">
        <v>109</v>
      </c>
      <c r="E1931" t="s">
        <v>2616</v>
      </c>
      <c r="F1931" t="s">
        <v>2638</v>
      </c>
      <c r="G1931" t="s">
        <v>29</v>
      </c>
      <c r="H1931" t="s">
        <v>2646</v>
      </c>
      <c r="I1931" t="s">
        <v>84</v>
      </c>
      <c r="J1931">
        <v>61</v>
      </c>
      <c r="K1931">
        <v>128.1</v>
      </c>
      <c r="L1931">
        <v>71.16</v>
      </c>
      <c r="M1931">
        <v>0</v>
      </c>
      <c r="N1931" t="s">
        <v>45</v>
      </c>
    </row>
    <row r="1932" spans="1:14" x14ac:dyDescent="0.25">
      <c r="A1932" t="s">
        <v>2455</v>
      </c>
      <c r="B1932" s="2">
        <v>45388</v>
      </c>
      <c r="C1932" t="s">
        <v>162</v>
      </c>
      <c r="D1932" t="s">
        <v>165</v>
      </c>
      <c r="E1932" t="s">
        <v>2614</v>
      </c>
      <c r="F1932" t="s">
        <v>2622</v>
      </c>
      <c r="G1932" t="s">
        <v>90</v>
      </c>
      <c r="H1932" t="s">
        <v>2647</v>
      </c>
      <c r="I1932" t="s">
        <v>70</v>
      </c>
      <c r="J1932">
        <v>56</v>
      </c>
      <c r="K1932">
        <v>38.9</v>
      </c>
      <c r="L1932">
        <v>24.09</v>
      </c>
      <c r="M1932">
        <v>0.2</v>
      </c>
      <c r="N1932" t="s">
        <v>45</v>
      </c>
    </row>
    <row r="1933" spans="1:14" x14ac:dyDescent="0.25">
      <c r="A1933" t="s">
        <v>2456</v>
      </c>
      <c r="B1933" s="2">
        <v>45639</v>
      </c>
      <c r="C1933" t="s">
        <v>941</v>
      </c>
      <c r="D1933" t="s">
        <v>36</v>
      </c>
      <c r="E1933" t="s">
        <v>2618</v>
      </c>
      <c r="F1933" t="s">
        <v>2635</v>
      </c>
      <c r="G1933" t="s">
        <v>42</v>
      </c>
      <c r="H1933" t="s">
        <v>2645</v>
      </c>
      <c r="I1933" t="s">
        <v>84</v>
      </c>
      <c r="J1933">
        <v>45</v>
      </c>
      <c r="K1933">
        <v>159.51</v>
      </c>
      <c r="L1933">
        <v>105.51</v>
      </c>
      <c r="M1933">
        <v>0.05</v>
      </c>
      <c r="N1933" t="s">
        <v>45</v>
      </c>
    </row>
    <row r="1934" spans="1:14" x14ac:dyDescent="0.25">
      <c r="A1934" t="s">
        <v>2457</v>
      </c>
      <c r="B1934" s="2">
        <v>45362</v>
      </c>
      <c r="C1934" t="s">
        <v>466</v>
      </c>
      <c r="D1934" t="s">
        <v>165</v>
      </c>
      <c r="E1934" t="s">
        <v>2617</v>
      </c>
      <c r="F1934" t="s">
        <v>2625</v>
      </c>
      <c r="G1934" t="s">
        <v>195</v>
      </c>
      <c r="H1934" t="s">
        <v>2647</v>
      </c>
      <c r="I1934" t="s">
        <v>70</v>
      </c>
      <c r="J1934">
        <v>14</v>
      </c>
      <c r="K1934">
        <v>40.79</v>
      </c>
      <c r="L1934">
        <v>26.8</v>
      </c>
      <c r="M1934">
        <v>0.15</v>
      </c>
      <c r="N1934" t="s">
        <v>129</v>
      </c>
    </row>
    <row r="1935" spans="1:14" x14ac:dyDescent="0.25">
      <c r="A1935" t="s">
        <v>2458</v>
      </c>
      <c r="B1935" s="2">
        <v>45349</v>
      </c>
      <c r="C1935" t="s">
        <v>924</v>
      </c>
      <c r="D1935" t="s">
        <v>49</v>
      </c>
      <c r="E1935" t="s">
        <v>2615</v>
      </c>
      <c r="F1935" t="s">
        <v>2630</v>
      </c>
      <c r="G1935" t="s">
        <v>253</v>
      </c>
      <c r="H1935" t="s">
        <v>2646</v>
      </c>
      <c r="I1935" t="s">
        <v>84</v>
      </c>
      <c r="J1935">
        <v>10</v>
      </c>
      <c r="K1935">
        <v>23.3</v>
      </c>
      <c r="L1935">
        <v>14.01</v>
      </c>
      <c r="M1935">
        <v>0.2</v>
      </c>
      <c r="N1935" t="s">
        <v>32</v>
      </c>
    </row>
    <row r="1936" spans="1:14" x14ac:dyDescent="0.25">
      <c r="A1936" t="s">
        <v>2459</v>
      </c>
      <c r="B1936" s="2">
        <v>45494</v>
      </c>
      <c r="C1936" t="s">
        <v>613</v>
      </c>
      <c r="D1936" t="s">
        <v>114</v>
      </c>
      <c r="E1936" t="s">
        <v>2616</v>
      </c>
      <c r="F1936" t="s">
        <v>2624</v>
      </c>
      <c r="G1936" t="s">
        <v>118</v>
      </c>
      <c r="H1936" t="s">
        <v>2648</v>
      </c>
      <c r="I1936" t="s">
        <v>44</v>
      </c>
      <c r="J1936">
        <v>26</v>
      </c>
      <c r="K1936">
        <v>35.69</v>
      </c>
      <c r="L1936">
        <v>20.07</v>
      </c>
      <c r="M1936">
        <v>0</v>
      </c>
      <c r="N1936" t="s">
        <v>45</v>
      </c>
    </row>
    <row r="1937" spans="1:14" x14ac:dyDescent="0.25">
      <c r="A1937" t="s">
        <v>2460</v>
      </c>
      <c r="B1937" s="2">
        <v>45410</v>
      </c>
      <c r="C1937" t="s">
        <v>529</v>
      </c>
      <c r="D1937" t="s">
        <v>176</v>
      </c>
      <c r="E1937" t="s">
        <v>2615</v>
      </c>
      <c r="F1937" t="s">
        <v>2627</v>
      </c>
      <c r="G1937" t="s">
        <v>111</v>
      </c>
      <c r="H1937" t="s">
        <v>2648</v>
      </c>
      <c r="I1937" t="s">
        <v>44</v>
      </c>
      <c r="J1937">
        <v>8</v>
      </c>
      <c r="K1937">
        <v>112.58</v>
      </c>
      <c r="L1937">
        <v>64.02</v>
      </c>
      <c r="M1937">
        <v>0.15</v>
      </c>
      <c r="N1937" t="s">
        <v>45</v>
      </c>
    </row>
    <row r="1938" spans="1:14" x14ac:dyDescent="0.25">
      <c r="A1938" t="s">
        <v>2461</v>
      </c>
      <c r="B1938" s="2">
        <v>45475</v>
      </c>
      <c r="C1938" t="s">
        <v>148</v>
      </c>
      <c r="D1938" t="s">
        <v>216</v>
      </c>
      <c r="E1938" t="s">
        <v>2614</v>
      </c>
      <c r="F1938" t="s">
        <v>2637</v>
      </c>
      <c r="G1938" t="s">
        <v>184</v>
      </c>
      <c r="H1938" t="s">
        <v>2645</v>
      </c>
      <c r="I1938" t="s">
        <v>44</v>
      </c>
      <c r="J1938">
        <v>18</v>
      </c>
      <c r="K1938">
        <v>104.38</v>
      </c>
      <c r="L1938">
        <v>67.73</v>
      </c>
      <c r="M1938">
        <v>0.05</v>
      </c>
      <c r="N1938" t="s">
        <v>45</v>
      </c>
    </row>
    <row r="1939" spans="1:14" x14ac:dyDescent="0.25">
      <c r="A1939" t="s">
        <v>2462</v>
      </c>
      <c r="B1939" s="2">
        <v>45532</v>
      </c>
      <c r="C1939" t="s">
        <v>1412</v>
      </c>
      <c r="D1939" t="s">
        <v>176</v>
      </c>
      <c r="E1939" t="s">
        <v>2615</v>
      </c>
      <c r="F1939" t="s">
        <v>2623</v>
      </c>
      <c r="G1939" t="s">
        <v>42</v>
      </c>
      <c r="H1939" t="s">
        <v>2646</v>
      </c>
      <c r="I1939" t="s">
        <v>2578</v>
      </c>
      <c r="J1939">
        <v>37</v>
      </c>
      <c r="K1939">
        <v>96.6</v>
      </c>
      <c r="L1939">
        <v>62.16</v>
      </c>
      <c r="M1939">
        <v>0.2</v>
      </c>
      <c r="N1939" t="s">
        <v>45</v>
      </c>
    </row>
    <row r="1940" spans="1:14" x14ac:dyDescent="0.25">
      <c r="A1940" t="s">
        <v>2463</v>
      </c>
      <c r="B1940" s="2">
        <v>45459</v>
      </c>
      <c r="C1940" t="s">
        <v>902</v>
      </c>
      <c r="D1940" t="s">
        <v>141</v>
      </c>
      <c r="E1940" t="s">
        <v>2616</v>
      </c>
      <c r="F1940" t="s">
        <v>2638</v>
      </c>
      <c r="G1940" t="s">
        <v>218</v>
      </c>
      <c r="H1940" t="s">
        <v>2648</v>
      </c>
      <c r="I1940" t="s">
        <v>44</v>
      </c>
      <c r="J1940">
        <v>79</v>
      </c>
      <c r="K1940">
        <v>98.48</v>
      </c>
      <c r="L1940">
        <v>61.36</v>
      </c>
      <c r="M1940">
        <v>0</v>
      </c>
      <c r="N1940" t="s">
        <v>32</v>
      </c>
    </row>
    <row r="1941" spans="1:14" x14ac:dyDescent="0.25">
      <c r="A1941" t="s">
        <v>2464</v>
      </c>
      <c r="B1941" s="2">
        <v>45563</v>
      </c>
      <c r="C1941" t="s">
        <v>631</v>
      </c>
      <c r="D1941" t="s">
        <v>66</v>
      </c>
      <c r="E1941" t="s">
        <v>2614</v>
      </c>
      <c r="F1941" t="s">
        <v>2636</v>
      </c>
      <c r="G1941" t="s">
        <v>2619</v>
      </c>
      <c r="H1941" t="s">
        <v>2647</v>
      </c>
      <c r="I1941" t="s">
        <v>44</v>
      </c>
      <c r="J1941">
        <v>53</v>
      </c>
      <c r="K1941">
        <v>148.47999999999999</v>
      </c>
      <c r="L1941">
        <v>109.72</v>
      </c>
      <c r="M1941">
        <v>0.2</v>
      </c>
      <c r="N1941" t="s">
        <v>45</v>
      </c>
    </row>
    <row r="1942" spans="1:14" x14ac:dyDescent="0.25">
      <c r="A1942" t="s">
        <v>2465</v>
      </c>
      <c r="B1942" s="2">
        <v>45327</v>
      </c>
      <c r="C1942" t="s">
        <v>938</v>
      </c>
      <c r="D1942" t="s">
        <v>132</v>
      </c>
      <c r="E1942" t="s">
        <v>2615</v>
      </c>
      <c r="F1942" t="s">
        <v>2623</v>
      </c>
      <c r="G1942" t="s">
        <v>74</v>
      </c>
      <c r="H1942" t="s">
        <v>2648</v>
      </c>
      <c r="I1942" t="s">
        <v>70</v>
      </c>
      <c r="J1942">
        <v>36</v>
      </c>
      <c r="K1942">
        <v>64.08</v>
      </c>
      <c r="L1942">
        <v>36.049999999999997</v>
      </c>
      <c r="M1942">
        <v>0.1</v>
      </c>
      <c r="N1942" t="s">
        <v>45</v>
      </c>
    </row>
    <row r="1943" spans="1:14" x14ac:dyDescent="0.25">
      <c r="A1943" t="s">
        <v>2466</v>
      </c>
      <c r="B1943" s="2">
        <v>45613</v>
      </c>
      <c r="C1943" t="s">
        <v>269</v>
      </c>
      <c r="D1943" t="s">
        <v>23</v>
      </c>
      <c r="E1943" t="s">
        <v>2615</v>
      </c>
      <c r="F1943" t="s">
        <v>2630</v>
      </c>
      <c r="G1943" t="s">
        <v>248</v>
      </c>
      <c r="H1943" t="s">
        <v>2648</v>
      </c>
      <c r="I1943" t="s">
        <v>70</v>
      </c>
      <c r="J1943">
        <v>77</v>
      </c>
      <c r="K1943">
        <v>69.790000000000006</v>
      </c>
      <c r="L1943">
        <v>42.09</v>
      </c>
      <c r="M1943">
        <v>0.1</v>
      </c>
      <c r="N1943" t="s">
        <v>32</v>
      </c>
    </row>
    <row r="1944" spans="1:14" x14ac:dyDescent="0.25">
      <c r="A1944" t="s">
        <v>2467</v>
      </c>
      <c r="B1944" s="2">
        <v>45558</v>
      </c>
      <c r="C1944" t="s">
        <v>866</v>
      </c>
      <c r="D1944" t="s">
        <v>187</v>
      </c>
      <c r="E1944" t="s">
        <v>2617</v>
      </c>
      <c r="F1944" t="s">
        <v>2642</v>
      </c>
      <c r="G1944" t="s">
        <v>170</v>
      </c>
      <c r="H1944" t="s">
        <v>2647</v>
      </c>
      <c r="I1944" t="s">
        <v>84</v>
      </c>
      <c r="J1944">
        <v>54</v>
      </c>
      <c r="K1944">
        <v>44.48</v>
      </c>
      <c r="L1944">
        <v>27.07</v>
      </c>
      <c r="M1944">
        <v>0.2</v>
      </c>
      <c r="N1944" t="s">
        <v>45</v>
      </c>
    </row>
    <row r="1945" spans="1:14" x14ac:dyDescent="0.25">
      <c r="A1945" t="s">
        <v>2468</v>
      </c>
      <c r="B1945" s="2">
        <v>45525</v>
      </c>
      <c r="C1945" t="s">
        <v>382</v>
      </c>
      <c r="D1945" t="s">
        <v>23</v>
      </c>
      <c r="E1945" t="s">
        <v>2615</v>
      </c>
      <c r="F1945" t="s">
        <v>2623</v>
      </c>
      <c r="G1945" t="s">
        <v>265</v>
      </c>
      <c r="H1945" t="s">
        <v>2648</v>
      </c>
      <c r="I1945" t="s">
        <v>84</v>
      </c>
      <c r="J1945">
        <v>75</v>
      </c>
      <c r="K1945">
        <v>73.47</v>
      </c>
      <c r="L1945">
        <v>42.31</v>
      </c>
      <c r="M1945">
        <v>0.05</v>
      </c>
      <c r="N1945" t="s">
        <v>45</v>
      </c>
    </row>
    <row r="1946" spans="1:14" x14ac:dyDescent="0.25">
      <c r="A1946" t="s">
        <v>2469</v>
      </c>
      <c r="B1946" s="2">
        <v>45313</v>
      </c>
      <c r="C1946" t="s">
        <v>325</v>
      </c>
      <c r="D1946" t="s">
        <v>99</v>
      </c>
      <c r="E1946" t="s">
        <v>2616</v>
      </c>
      <c r="F1946" t="s">
        <v>2631</v>
      </c>
      <c r="G1946" t="s">
        <v>90</v>
      </c>
      <c r="H1946" t="s">
        <v>2646</v>
      </c>
      <c r="I1946" t="s">
        <v>2578</v>
      </c>
      <c r="J1946">
        <v>78</v>
      </c>
      <c r="K1946">
        <v>75.180000000000007</v>
      </c>
      <c r="L1946">
        <v>38.22</v>
      </c>
      <c r="M1946">
        <v>0</v>
      </c>
      <c r="N1946" t="s">
        <v>45</v>
      </c>
    </row>
    <row r="1947" spans="1:14" x14ac:dyDescent="0.25">
      <c r="A1947" t="s">
        <v>2470</v>
      </c>
      <c r="B1947" s="2">
        <v>45351</v>
      </c>
      <c r="C1947" t="s">
        <v>1028</v>
      </c>
      <c r="D1947" t="s">
        <v>187</v>
      </c>
      <c r="E1947" t="s">
        <v>2616</v>
      </c>
      <c r="F1947" t="s">
        <v>2631</v>
      </c>
      <c r="G1947" t="s">
        <v>29</v>
      </c>
      <c r="H1947" t="s">
        <v>2645</v>
      </c>
      <c r="I1947" t="s">
        <v>2578</v>
      </c>
      <c r="J1947">
        <v>64</v>
      </c>
      <c r="K1947">
        <v>50.45</v>
      </c>
      <c r="L1947">
        <v>30.78</v>
      </c>
      <c r="M1947">
        <v>0.15</v>
      </c>
      <c r="N1947" t="s">
        <v>45</v>
      </c>
    </row>
    <row r="1948" spans="1:14" x14ac:dyDescent="0.25">
      <c r="A1948" t="s">
        <v>2471</v>
      </c>
      <c r="B1948" s="2">
        <v>45629</v>
      </c>
      <c r="C1948" t="s">
        <v>859</v>
      </c>
      <c r="D1948" t="s">
        <v>78</v>
      </c>
      <c r="E1948" t="s">
        <v>2614</v>
      </c>
      <c r="F1948" t="s">
        <v>2637</v>
      </c>
      <c r="G1948" t="s">
        <v>253</v>
      </c>
      <c r="H1948" t="s">
        <v>2645</v>
      </c>
      <c r="I1948" t="s">
        <v>70</v>
      </c>
      <c r="J1948">
        <v>63</v>
      </c>
      <c r="K1948">
        <v>138.97999999999999</v>
      </c>
      <c r="L1948">
        <v>83.67</v>
      </c>
      <c r="M1948">
        <v>0</v>
      </c>
      <c r="N1948" t="s">
        <v>45</v>
      </c>
    </row>
    <row r="1949" spans="1:14" x14ac:dyDescent="0.25">
      <c r="A1949" t="s">
        <v>2472</v>
      </c>
      <c r="B1949" s="2">
        <v>45551</v>
      </c>
      <c r="C1949" t="s">
        <v>1887</v>
      </c>
      <c r="D1949" t="s">
        <v>187</v>
      </c>
      <c r="E1949" t="s">
        <v>2615</v>
      </c>
      <c r="F1949" t="s">
        <v>2623</v>
      </c>
      <c r="G1949" t="s">
        <v>74</v>
      </c>
      <c r="H1949" t="s">
        <v>2647</v>
      </c>
      <c r="I1949" t="s">
        <v>75</v>
      </c>
      <c r="J1949">
        <v>14</v>
      </c>
      <c r="K1949">
        <v>45.69</v>
      </c>
      <c r="L1949">
        <v>29.07</v>
      </c>
      <c r="M1949">
        <v>0.2</v>
      </c>
      <c r="N1949" t="s">
        <v>45</v>
      </c>
    </row>
    <row r="1950" spans="1:14" x14ac:dyDescent="0.25">
      <c r="A1950" t="s">
        <v>2473</v>
      </c>
      <c r="B1950" s="2">
        <v>45650</v>
      </c>
      <c r="C1950" t="s">
        <v>213</v>
      </c>
      <c r="D1950" t="s">
        <v>114</v>
      </c>
      <c r="E1950" t="s">
        <v>2618</v>
      </c>
      <c r="F1950" t="s">
        <v>2632</v>
      </c>
      <c r="G1950" t="s">
        <v>42</v>
      </c>
      <c r="H1950" t="s">
        <v>2646</v>
      </c>
      <c r="I1950" t="s">
        <v>44</v>
      </c>
      <c r="J1950">
        <v>48</v>
      </c>
      <c r="K1950">
        <v>36.19</v>
      </c>
      <c r="L1950">
        <v>22.33</v>
      </c>
      <c r="M1950">
        <v>0.1</v>
      </c>
      <c r="N1950" t="s">
        <v>45</v>
      </c>
    </row>
    <row r="1951" spans="1:14" x14ac:dyDescent="0.25">
      <c r="A1951" t="s">
        <v>2474</v>
      </c>
      <c r="B1951" s="2">
        <v>45628</v>
      </c>
      <c r="C1951" t="s">
        <v>213</v>
      </c>
      <c r="D1951" t="s">
        <v>209</v>
      </c>
      <c r="E1951" t="s">
        <v>2618</v>
      </c>
      <c r="F1951" t="s">
        <v>2632</v>
      </c>
      <c r="G1951" t="s">
        <v>60</v>
      </c>
      <c r="H1951" t="s">
        <v>2645</v>
      </c>
      <c r="I1951" t="s">
        <v>2578</v>
      </c>
      <c r="J1951">
        <v>56</v>
      </c>
      <c r="K1951">
        <v>18.739999999999998</v>
      </c>
      <c r="L1951">
        <v>9.24</v>
      </c>
      <c r="M1951">
        <v>0.02</v>
      </c>
      <c r="N1951" t="s">
        <v>129</v>
      </c>
    </row>
    <row r="1952" spans="1:14" x14ac:dyDescent="0.25">
      <c r="A1952" t="s">
        <v>2475</v>
      </c>
      <c r="B1952" s="2">
        <v>45443</v>
      </c>
      <c r="C1952" t="s">
        <v>272</v>
      </c>
      <c r="D1952" t="s">
        <v>216</v>
      </c>
      <c r="E1952" t="s">
        <v>2617</v>
      </c>
      <c r="F1952" t="s">
        <v>2626</v>
      </c>
      <c r="G1952" t="s">
        <v>184</v>
      </c>
      <c r="H1952" t="s">
        <v>2647</v>
      </c>
      <c r="I1952" t="s">
        <v>2578</v>
      </c>
      <c r="J1952">
        <v>21</v>
      </c>
      <c r="K1952">
        <v>115.23</v>
      </c>
      <c r="L1952">
        <v>63.25</v>
      </c>
      <c r="M1952">
        <v>0</v>
      </c>
      <c r="N1952" t="s">
        <v>45</v>
      </c>
    </row>
    <row r="1953" spans="1:14" x14ac:dyDescent="0.25">
      <c r="A1953" t="s">
        <v>2476</v>
      </c>
      <c r="B1953" s="2">
        <v>45488</v>
      </c>
      <c r="C1953" t="s">
        <v>483</v>
      </c>
      <c r="D1953" t="s">
        <v>93</v>
      </c>
      <c r="E1953" t="s">
        <v>2618</v>
      </c>
      <c r="F1953" t="s">
        <v>2635</v>
      </c>
      <c r="G1953" t="s">
        <v>170</v>
      </c>
      <c r="H1953" t="s">
        <v>2647</v>
      </c>
      <c r="I1953" t="s">
        <v>44</v>
      </c>
      <c r="J1953">
        <v>33</v>
      </c>
      <c r="K1953">
        <v>51.86</v>
      </c>
      <c r="L1953">
        <v>33.409999999999997</v>
      </c>
      <c r="M1953">
        <v>0.2</v>
      </c>
      <c r="N1953" t="s">
        <v>45</v>
      </c>
    </row>
    <row r="1954" spans="1:14" x14ac:dyDescent="0.25">
      <c r="A1954" t="s">
        <v>2477</v>
      </c>
      <c r="B1954" s="2">
        <v>45310</v>
      </c>
      <c r="C1954" t="s">
        <v>1184</v>
      </c>
      <c r="D1954" t="s">
        <v>165</v>
      </c>
      <c r="E1954" t="s">
        <v>2616</v>
      </c>
      <c r="F1954" t="s">
        <v>2624</v>
      </c>
      <c r="G1954" t="s">
        <v>118</v>
      </c>
      <c r="H1954" t="s">
        <v>2648</v>
      </c>
      <c r="I1954" t="s">
        <v>84</v>
      </c>
      <c r="J1954">
        <v>25</v>
      </c>
      <c r="K1954">
        <v>38.74</v>
      </c>
      <c r="L1954">
        <v>23.46</v>
      </c>
      <c r="M1954">
        <v>0.05</v>
      </c>
      <c r="N1954" t="s">
        <v>45</v>
      </c>
    </row>
    <row r="1955" spans="1:14" x14ac:dyDescent="0.25">
      <c r="A1955" t="s">
        <v>2478</v>
      </c>
      <c r="B1955" s="2">
        <v>45465</v>
      </c>
      <c r="C1955" t="s">
        <v>487</v>
      </c>
      <c r="D1955" t="s">
        <v>49</v>
      </c>
      <c r="E1955" t="s">
        <v>2615</v>
      </c>
      <c r="F1955" t="s">
        <v>2630</v>
      </c>
      <c r="G1955" t="s">
        <v>83</v>
      </c>
      <c r="H1955" t="s">
        <v>2647</v>
      </c>
      <c r="I1955" t="s">
        <v>70</v>
      </c>
      <c r="J1955">
        <v>4</v>
      </c>
      <c r="K1955">
        <v>24.38</v>
      </c>
      <c r="L1955">
        <v>13.99</v>
      </c>
      <c r="M1955">
        <v>0.1</v>
      </c>
      <c r="N1955" t="s">
        <v>45</v>
      </c>
    </row>
    <row r="1956" spans="1:14" x14ac:dyDescent="0.25">
      <c r="A1956" t="s">
        <v>2479</v>
      </c>
      <c r="B1956" s="2">
        <v>45508</v>
      </c>
      <c r="C1956" t="s">
        <v>473</v>
      </c>
      <c r="D1956" t="s">
        <v>66</v>
      </c>
      <c r="E1956" t="s">
        <v>2616</v>
      </c>
      <c r="F1956" t="s">
        <v>2624</v>
      </c>
      <c r="G1956" t="s">
        <v>90</v>
      </c>
      <c r="H1956" t="s">
        <v>2646</v>
      </c>
      <c r="I1956" t="s">
        <v>2578</v>
      </c>
      <c r="J1956">
        <v>53</v>
      </c>
      <c r="K1956">
        <v>150.32</v>
      </c>
      <c r="L1956">
        <v>103.92</v>
      </c>
      <c r="M1956">
        <v>0.1</v>
      </c>
      <c r="N1956" t="s">
        <v>129</v>
      </c>
    </row>
    <row r="1957" spans="1:14" x14ac:dyDescent="0.25">
      <c r="A1957" t="s">
        <v>2480</v>
      </c>
      <c r="B1957" s="2">
        <v>45402</v>
      </c>
      <c r="C1957" t="s">
        <v>397</v>
      </c>
      <c r="D1957" t="s">
        <v>114</v>
      </c>
      <c r="E1957" t="s">
        <v>2616</v>
      </c>
      <c r="F1957" t="s">
        <v>2638</v>
      </c>
      <c r="G1957" t="s">
        <v>178</v>
      </c>
      <c r="H1957" t="s">
        <v>2648</v>
      </c>
      <c r="I1957" t="s">
        <v>75</v>
      </c>
      <c r="J1957">
        <v>79</v>
      </c>
      <c r="K1957">
        <v>35.380000000000003</v>
      </c>
      <c r="L1957">
        <v>21.64</v>
      </c>
      <c r="M1957">
        <v>0.1</v>
      </c>
      <c r="N1957" t="s">
        <v>45</v>
      </c>
    </row>
    <row r="1958" spans="1:14" x14ac:dyDescent="0.25">
      <c r="A1958" t="s">
        <v>2481</v>
      </c>
      <c r="B1958" s="2">
        <v>45523</v>
      </c>
      <c r="C1958" t="s">
        <v>314</v>
      </c>
      <c r="D1958" t="s">
        <v>49</v>
      </c>
      <c r="E1958" t="s">
        <v>2614</v>
      </c>
      <c r="F1958" t="s">
        <v>2629</v>
      </c>
      <c r="G1958" t="s">
        <v>265</v>
      </c>
      <c r="H1958" t="s">
        <v>2645</v>
      </c>
      <c r="I1958" t="s">
        <v>70</v>
      </c>
      <c r="J1958">
        <v>66</v>
      </c>
      <c r="K1958">
        <v>25.71</v>
      </c>
      <c r="L1958">
        <v>13.14</v>
      </c>
      <c r="M1958">
        <v>0.05</v>
      </c>
      <c r="N1958" t="s">
        <v>45</v>
      </c>
    </row>
    <row r="1959" spans="1:14" x14ac:dyDescent="0.25">
      <c r="A1959" t="s">
        <v>2482</v>
      </c>
      <c r="B1959" s="2">
        <v>45292</v>
      </c>
      <c r="C1959" t="s">
        <v>651</v>
      </c>
      <c r="D1959" t="s">
        <v>126</v>
      </c>
      <c r="E1959" t="s">
        <v>2618</v>
      </c>
      <c r="F1959" t="s">
        <v>2628</v>
      </c>
      <c r="G1959" t="s">
        <v>2619</v>
      </c>
      <c r="H1959" t="s">
        <v>2646</v>
      </c>
      <c r="I1959" t="s">
        <v>84</v>
      </c>
      <c r="J1959">
        <v>65</v>
      </c>
      <c r="K1959">
        <v>93.35</v>
      </c>
      <c r="L1959">
        <v>52.19</v>
      </c>
      <c r="M1959">
        <v>0</v>
      </c>
      <c r="N1959" t="s">
        <v>45</v>
      </c>
    </row>
    <row r="1960" spans="1:14" x14ac:dyDescent="0.25">
      <c r="A1960" t="s">
        <v>2483</v>
      </c>
      <c r="B1960" s="2">
        <v>45545</v>
      </c>
      <c r="C1960" t="s">
        <v>643</v>
      </c>
      <c r="D1960" t="s">
        <v>114</v>
      </c>
      <c r="E1960" t="s">
        <v>2617</v>
      </c>
      <c r="F1960" t="s">
        <v>2626</v>
      </c>
      <c r="G1960" t="s">
        <v>248</v>
      </c>
      <c r="H1960" t="s">
        <v>2650</v>
      </c>
      <c r="I1960" t="s">
        <v>75</v>
      </c>
      <c r="J1960">
        <v>3</v>
      </c>
      <c r="K1960">
        <v>32.840000000000003</v>
      </c>
      <c r="L1960">
        <v>20.48</v>
      </c>
      <c r="M1960">
        <v>0.1</v>
      </c>
      <c r="N1960" t="s">
        <v>45</v>
      </c>
    </row>
    <row r="1961" spans="1:14" x14ac:dyDescent="0.25">
      <c r="A1961" t="s">
        <v>2484</v>
      </c>
      <c r="B1961" s="2">
        <v>45633</v>
      </c>
      <c r="C1961" t="s">
        <v>2619</v>
      </c>
      <c r="D1961" t="s">
        <v>165</v>
      </c>
      <c r="E1961" t="s">
        <v>2614</v>
      </c>
      <c r="F1961" t="s">
        <v>2622</v>
      </c>
      <c r="G1961" t="s">
        <v>265</v>
      </c>
      <c r="H1961" t="s">
        <v>2645</v>
      </c>
      <c r="I1961" t="s">
        <v>44</v>
      </c>
      <c r="J1961">
        <v>17</v>
      </c>
      <c r="K1961">
        <v>42.7</v>
      </c>
      <c r="L1961">
        <v>23.31</v>
      </c>
      <c r="M1961">
        <v>0.15</v>
      </c>
      <c r="N1961" t="s">
        <v>45</v>
      </c>
    </row>
    <row r="1962" spans="1:14" x14ac:dyDescent="0.25">
      <c r="A1962" t="s">
        <v>2485</v>
      </c>
      <c r="B1962" s="2">
        <v>45640</v>
      </c>
      <c r="C1962" t="s">
        <v>341</v>
      </c>
      <c r="D1962" t="s">
        <v>165</v>
      </c>
      <c r="E1962" t="s">
        <v>2615</v>
      </c>
      <c r="F1962" t="s">
        <v>2640</v>
      </c>
      <c r="G1962" t="s">
        <v>111</v>
      </c>
      <c r="H1962" t="s">
        <v>2646</v>
      </c>
      <c r="I1962" t="s">
        <v>84</v>
      </c>
      <c r="J1962">
        <v>72</v>
      </c>
      <c r="K1962">
        <v>44.82</v>
      </c>
      <c r="L1962">
        <v>24.99</v>
      </c>
      <c r="M1962">
        <v>0.1</v>
      </c>
      <c r="N1962" t="s">
        <v>45</v>
      </c>
    </row>
    <row r="1963" spans="1:14" x14ac:dyDescent="0.25">
      <c r="A1963" t="s">
        <v>2486</v>
      </c>
      <c r="B1963" s="2">
        <v>45298</v>
      </c>
      <c r="C1963" t="s">
        <v>389</v>
      </c>
      <c r="D1963" t="s">
        <v>114</v>
      </c>
      <c r="E1963" t="s">
        <v>2615</v>
      </c>
      <c r="F1963" t="s">
        <v>2630</v>
      </c>
      <c r="G1963" t="s">
        <v>195</v>
      </c>
      <c r="H1963" t="s">
        <v>2647</v>
      </c>
      <c r="I1963" t="s">
        <v>70</v>
      </c>
      <c r="J1963">
        <v>5</v>
      </c>
      <c r="K1963">
        <v>36.33</v>
      </c>
      <c r="L1963">
        <v>22.12</v>
      </c>
      <c r="M1963">
        <v>0.15</v>
      </c>
      <c r="N1963" t="s">
        <v>32</v>
      </c>
    </row>
    <row r="1964" spans="1:14" x14ac:dyDescent="0.25">
      <c r="A1964" t="s">
        <v>2487</v>
      </c>
      <c r="B1964" s="2">
        <v>45311</v>
      </c>
      <c r="C1964" t="s">
        <v>148</v>
      </c>
      <c r="D1964" t="s">
        <v>23</v>
      </c>
      <c r="E1964" t="s">
        <v>2617</v>
      </c>
      <c r="F1964" t="s">
        <v>2642</v>
      </c>
      <c r="G1964" t="s">
        <v>152</v>
      </c>
      <c r="H1964" t="s">
        <v>2646</v>
      </c>
      <c r="I1964" t="s">
        <v>75</v>
      </c>
      <c r="J1964">
        <v>75</v>
      </c>
      <c r="K1964">
        <v>70.33</v>
      </c>
      <c r="L1964">
        <v>42.52</v>
      </c>
      <c r="M1964">
        <v>0</v>
      </c>
      <c r="N1964" t="s">
        <v>45</v>
      </c>
    </row>
    <row r="1965" spans="1:14" x14ac:dyDescent="0.25">
      <c r="A1965" t="s">
        <v>2488</v>
      </c>
      <c r="B1965" s="2">
        <v>45336</v>
      </c>
      <c r="C1965" t="s">
        <v>948</v>
      </c>
      <c r="D1965" t="s">
        <v>109</v>
      </c>
      <c r="E1965" t="s">
        <v>2617</v>
      </c>
      <c r="F1965" t="s">
        <v>2625</v>
      </c>
      <c r="G1965" t="s">
        <v>218</v>
      </c>
      <c r="H1965" t="s">
        <v>2646</v>
      </c>
      <c r="I1965" t="s">
        <v>2578</v>
      </c>
      <c r="J1965">
        <v>12</v>
      </c>
      <c r="K1965">
        <v>118.45</v>
      </c>
      <c r="L1965">
        <v>74.8</v>
      </c>
      <c r="M1965">
        <v>0.2</v>
      </c>
      <c r="N1965" t="s">
        <v>32</v>
      </c>
    </row>
    <row r="1966" spans="1:14" x14ac:dyDescent="0.25">
      <c r="A1966" t="s">
        <v>2489</v>
      </c>
      <c r="B1966" s="2">
        <v>45317</v>
      </c>
      <c r="C1966" t="s">
        <v>237</v>
      </c>
      <c r="D1966" t="s">
        <v>187</v>
      </c>
      <c r="E1966" t="s">
        <v>2615</v>
      </c>
      <c r="F1966" t="s">
        <v>2623</v>
      </c>
      <c r="G1966" t="s">
        <v>29</v>
      </c>
      <c r="H1966" t="s">
        <v>2646</v>
      </c>
      <c r="I1966" t="s">
        <v>75</v>
      </c>
      <c r="J1966">
        <v>24</v>
      </c>
      <c r="K1966">
        <v>49.19</v>
      </c>
      <c r="L1966">
        <v>29.24</v>
      </c>
      <c r="M1966">
        <v>0.02</v>
      </c>
      <c r="N1966" t="s">
        <v>45</v>
      </c>
    </row>
    <row r="1967" spans="1:14" x14ac:dyDescent="0.25">
      <c r="A1967" t="s">
        <v>2490</v>
      </c>
      <c r="B1967" s="2">
        <v>45482</v>
      </c>
      <c r="C1967" t="s">
        <v>938</v>
      </c>
      <c r="D1967" t="s">
        <v>93</v>
      </c>
      <c r="E1967" t="s">
        <v>2615</v>
      </c>
      <c r="F1967" t="s">
        <v>2640</v>
      </c>
      <c r="G1967" t="s">
        <v>144</v>
      </c>
      <c r="H1967" t="s">
        <v>2646</v>
      </c>
      <c r="I1967" t="s">
        <v>75</v>
      </c>
      <c r="J1967">
        <v>63</v>
      </c>
      <c r="K1967">
        <v>58.12</v>
      </c>
      <c r="L1967">
        <v>31.96</v>
      </c>
      <c r="M1967">
        <v>0.1</v>
      </c>
      <c r="N1967" t="s">
        <v>45</v>
      </c>
    </row>
    <row r="1968" spans="1:14" x14ac:dyDescent="0.25">
      <c r="A1968" t="s">
        <v>2491</v>
      </c>
      <c r="B1968" s="2">
        <v>45319</v>
      </c>
      <c r="C1968" t="s">
        <v>215</v>
      </c>
      <c r="D1968" t="s">
        <v>109</v>
      </c>
      <c r="E1968" t="s">
        <v>2615</v>
      </c>
      <c r="F1968" t="s">
        <v>2640</v>
      </c>
      <c r="G1968" t="s">
        <v>152</v>
      </c>
      <c r="H1968" t="s">
        <v>2645</v>
      </c>
      <c r="I1968" t="s">
        <v>2578</v>
      </c>
      <c r="J1968">
        <v>48</v>
      </c>
      <c r="K1968">
        <v>123.97</v>
      </c>
      <c r="L1968">
        <v>76.63</v>
      </c>
      <c r="M1968">
        <v>0.2</v>
      </c>
      <c r="N1968" t="s">
        <v>45</v>
      </c>
    </row>
    <row r="1969" spans="1:14" x14ac:dyDescent="0.25">
      <c r="A1969" t="s">
        <v>2492</v>
      </c>
      <c r="B1969" s="2">
        <v>45547</v>
      </c>
      <c r="C1969" t="s">
        <v>1476</v>
      </c>
      <c r="D1969" t="s">
        <v>176</v>
      </c>
      <c r="E1969" t="s">
        <v>2615</v>
      </c>
      <c r="F1969" t="s">
        <v>2627</v>
      </c>
      <c r="G1969" t="s">
        <v>265</v>
      </c>
      <c r="H1969" t="s">
        <v>2645</v>
      </c>
      <c r="I1969" t="s">
        <v>44</v>
      </c>
      <c r="J1969">
        <v>40</v>
      </c>
      <c r="K1969">
        <v>110.28</v>
      </c>
      <c r="L1969">
        <v>60.8</v>
      </c>
      <c r="M1969">
        <v>0.1</v>
      </c>
      <c r="N1969" t="s">
        <v>45</v>
      </c>
    </row>
    <row r="1970" spans="1:14" x14ac:dyDescent="0.25">
      <c r="A1970" t="s">
        <v>2493</v>
      </c>
      <c r="B1970" s="2">
        <v>45518</v>
      </c>
      <c r="C1970" t="s">
        <v>468</v>
      </c>
      <c r="D1970" t="s">
        <v>150</v>
      </c>
      <c r="E1970" t="s">
        <v>2615</v>
      </c>
      <c r="F1970" t="s">
        <v>2630</v>
      </c>
      <c r="G1970" t="s">
        <v>42</v>
      </c>
      <c r="H1970" t="s">
        <v>2646</v>
      </c>
      <c r="I1970" t="s">
        <v>2578</v>
      </c>
      <c r="J1970">
        <v>11</v>
      </c>
      <c r="K1970">
        <v>83.29</v>
      </c>
      <c r="L1970">
        <v>53.43</v>
      </c>
      <c r="M1970">
        <v>0.1</v>
      </c>
      <c r="N1970" t="s">
        <v>45</v>
      </c>
    </row>
    <row r="1971" spans="1:14" x14ac:dyDescent="0.25">
      <c r="A1971" t="s">
        <v>2494</v>
      </c>
      <c r="B1971" s="2">
        <v>45435</v>
      </c>
      <c r="C1971" t="s">
        <v>387</v>
      </c>
      <c r="D1971" t="s">
        <v>36</v>
      </c>
      <c r="E1971" t="s">
        <v>2618</v>
      </c>
      <c r="F1971" t="s">
        <v>2628</v>
      </c>
      <c r="G1971" t="s">
        <v>111</v>
      </c>
      <c r="H1971" t="s">
        <v>2647</v>
      </c>
      <c r="I1971" t="s">
        <v>2578</v>
      </c>
      <c r="J1971">
        <v>15</v>
      </c>
      <c r="K1971">
        <v>154.13999999999999</v>
      </c>
      <c r="L1971">
        <v>94.57</v>
      </c>
      <c r="M1971">
        <v>0.05</v>
      </c>
      <c r="N1971" t="s">
        <v>129</v>
      </c>
    </row>
    <row r="1972" spans="1:14" x14ac:dyDescent="0.25">
      <c r="A1972" t="s">
        <v>2495</v>
      </c>
      <c r="B1972" s="2">
        <v>45575</v>
      </c>
      <c r="C1972" t="s">
        <v>1586</v>
      </c>
      <c r="D1972" t="s">
        <v>23</v>
      </c>
      <c r="E1972" t="s">
        <v>2616</v>
      </c>
      <c r="F1972" t="s">
        <v>2638</v>
      </c>
      <c r="G1972" t="s">
        <v>69</v>
      </c>
      <c r="H1972" t="s">
        <v>2646</v>
      </c>
      <c r="I1972" t="s">
        <v>2578</v>
      </c>
      <c r="J1972">
        <v>53</v>
      </c>
      <c r="K1972">
        <v>76.41</v>
      </c>
      <c r="L1972">
        <v>45.46</v>
      </c>
      <c r="M1972">
        <v>0.05</v>
      </c>
      <c r="N1972" t="s">
        <v>129</v>
      </c>
    </row>
    <row r="1973" spans="1:14" x14ac:dyDescent="0.25">
      <c r="A1973" t="s">
        <v>2496</v>
      </c>
      <c r="B1973" s="2">
        <v>45428</v>
      </c>
      <c r="C1973" t="s">
        <v>320</v>
      </c>
      <c r="D1973" t="s">
        <v>23</v>
      </c>
      <c r="E1973" t="s">
        <v>2616</v>
      </c>
      <c r="F1973" t="s">
        <v>2638</v>
      </c>
      <c r="G1973" t="s">
        <v>69</v>
      </c>
      <c r="H1973" t="s">
        <v>2647</v>
      </c>
      <c r="I1973" t="s">
        <v>2578</v>
      </c>
      <c r="J1973">
        <v>4</v>
      </c>
      <c r="K1973">
        <v>72.48</v>
      </c>
      <c r="L1973">
        <v>46.61</v>
      </c>
      <c r="M1973">
        <v>0.2</v>
      </c>
      <c r="N1973" t="s">
        <v>45</v>
      </c>
    </row>
    <row r="1974" spans="1:14" x14ac:dyDescent="0.25">
      <c r="A1974" t="s">
        <v>2497</v>
      </c>
      <c r="B1974" s="2">
        <v>45581</v>
      </c>
      <c r="C1974" t="s">
        <v>776</v>
      </c>
      <c r="D1974" t="s">
        <v>114</v>
      </c>
      <c r="E1974" t="s">
        <v>2615</v>
      </c>
      <c r="F1974" t="s">
        <v>2640</v>
      </c>
      <c r="G1974" t="s">
        <v>218</v>
      </c>
      <c r="H1974" t="s">
        <v>2648</v>
      </c>
      <c r="I1974" t="s">
        <v>84</v>
      </c>
      <c r="J1974">
        <v>75</v>
      </c>
      <c r="K1974">
        <v>34.5</v>
      </c>
      <c r="L1974">
        <v>19.760000000000002</v>
      </c>
      <c r="M1974">
        <v>0.2</v>
      </c>
      <c r="N1974" t="s">
        <v>45</v>
      </c>
    </row>
    <row r="1975" spans="1:14" x14ac:dyDescent="0.25">
      <c r="A1975" t="s">
        <v>2498</v>
      </c>
      <c r="B1975" s="2">
        <v>45563</v>
      </c>
      <c r="C1975" t="s">
        <v>1155</v>
      </c>
      <c r="D1975" t="s">
        <v>165</v>
      </c>
      <c r="E1975" t="s">
        <v>2618</v>
      </c>
      <c r="F1975" t="s">
        <v>2634</v>
      </c>
      <c r="G1975" t="s">
        <v>261</v>
      </c>
      <c r="H1975" t="s">
        <v>2648</v>
      </c>
      <c r="I1975" t="s">
        <v>2578</v>
      </c>
      <c r="J1975">
        <v>20</v>
      </c>
      <c r="K1975">
        <v>43.33</v>
      </c>
      <c r="L1975">
        <v>24.19</v>
      </c>
      <c r="M1975">
        <v>0.1</v>
      </c>
      <c r="N1975" t="s">
        <v>45</v>
      </c>
    </row>
    <row r="1976" spans="1:14" x14ac:dyDescent="0.25">
      <c r="A1976" t="s">
        <v>2499</v>
      </c>
      <c r="B1976" s="2">
        <v>45430</v>
      </c>
      <c r="C1976" t="s">
        <v>596</v>
      </c>
      <c r="D1976" t="s">
        <v>187</v>
      </c>
      <c r="E1976" t="s">
        <v>2617</v>
      </c>
      <c r="F1976" t="s">
        <v>2626</v>
      </c>
      <c r="G1976" t="s">
        <v>248</v>
      </c>
      <c r="H1976" t="s">
        <v>2646</v>
      </c>
      <c r="I1976" t="s">
        <v>75</v>
      </c>
      <c r="J1976">
        <v>22</v>
      </c>
      <c r="K1976">
        <v>47.78</v>
      </c>
      <c r="L1976">
        <v>31.22</v>
      </c>
      <c r="M1976">
        <v>0.02</v>
      </c>
      <c r="N1976" t="s">
        <v>45</v>
      </c>
    </row>
    <row r="1977" spans="1:14" x14ac:dyDescent="0.25">
      <c r="A1977" t="s">
        <v>1509</v>
      </c>
      <c r="B1977" s="2">
        <v>45543</v>
      </c>
      <c r="C1977" t="s">
        <v>945</v>
      </c>
      <c r="D1977" t="s">
        <v>176</v>
      </c>
      <c r="E1977" t="s">
        <v>2615</v>
      </c>
      <c r="F1977" t="s">
        <v>2640</v>
      </c>
      <c r="G1977" t="s">
        <v>178</v>
      </c>
      <c r="H1977" t="s">
        <v>2647</v>
      </c>
      <c r="I1977" t="s">
        <v>44</v>
      </c>
      <c r="J1977">
        <v>24</v>
      </c>
      <c r="K1977">
        <v>111.28</v>
      </c>
      <c r="L1977">
        <v>63.98</v>
      </c>
      <c r="M1977">
        <v>0.15</v>
      </c>
      <c r="N1977" t="s">
        <v>45</v>
      </c>
    </row>
    <row r="1978" spans="1:14" x14ac:dyDescent="0.25">
      <c r="A1978" t="s">
        <v>2500</v>
      </c>
      <c r="B1978" s="2">
        <v>45416</v>
      </c>
      <c r="C1978" t="s">
        <v>1175</v>
      </c>
      <c r="D1978" t="s">
        <v>141</v>
      </c>
      <c r="E1978" t="s">
        <v>2617</v>
      </c>
      <c r="F1978" t="s">
        <v>2642</v>
      </c>
      <c r="G1978" t="s">
        <v>265</v>
      </c>
      <c r="H1978" t="s">
        <v>2648</v>
      </c>
      <c r="I1978" t="s">
        <v>70</v>
      </c>
      <c r="J1978">
        <v>21</v>
      </c>
      <c r="K1978">
        <v>99.02</v>
      </c>
      <c r="L1978">
        <v>57.16</v>
      </c>
      <c r="M1978">
        <v>0.15</v>
      </c>
      <c r="N1978" t="s">
        <v>45</v>
      </c>
    </row>
    <row r="1979" spans="1:14" x14ac:dyDescent="0.25">
      <c r="A1979" t="s">
        <v>2501</v>
      </c>
      <c r="B1979" s="2">
        <v>45552</v>
      </c>
      <c r="C1979" t="s">
        <v>1134</v>
      </c>
      <c r="D1979" t="s">
        <v>132</v>
      </c>
      <c r="E1979" t="s">
        <v>2614</v>
      </c>
      <c r="F1979" t="s">
        <v>2622</v>
      </c>
      <c r="G1979" t="s">
        <v>29</v>
      </c>
      <c r="H1979" t="s">
        <v>2645</v>
      </c>
      <c r="I1979" t="s">
        <v>44</v>
      </c>
      <c r="J1979">
        <v>50</v>
      </c>
      <c r="K1979">
        <v>62.7</v>
      </c>
      <c r="L1979">
        <v>33.78</v>
      </c>
      <c r="M1979">
        <v>0.2</v>
      </c>
      <c r="N1979" t="s">
        <v>45</v>
      </c>
    </row>
    <row r="1980" spans="1:14" x14ac:dyDescent="0.25">
      <c r="A1980" t="s">
        <v>2502</v>
      </c>
      <c r="B1980" s="2">
        <v>45446</v>
      </c>
      <c r="C1980" t="s">
        <v>567</v>
      </c>
      <c r="D1980" t="s">
        <v>36</v>
      </c>
      <c r="E1980" t="s">
        <v>2615</v>
      </c>
      <c r="F1980" t="s">
        <v>2627</v>
      </c>
      <c r="G1980" t="s">
        <v>60</v>
      </c>
      <c r="H1980" t="s">
        <v>2646</v>
      </c>
      <c r="I1980" t="s">
        <v>44</v>
      </c>
      <c r="J1980">
        <v>51</v>
      </c>
      <c r="K1980">
        <v>167.73</v>
      </c>
      <c r="L1980">
        <v>101.66</v>
      </c>
      <c r="M1980">
        <v>0.2</v>
      </c>
      <c r="N1980" t="s">
        <v>45</v>
      </c>
    </row>
    <row r="1981" spans="1:14" x14ac:dyDescent="0.25">
      <c r="A1981" t="s">
        <v>2503</v>
      </c>
      <c r="B1981" s="2">
        <v>45454</v>
      </c>
      <c r="C1981" t="s">
        <v>1033</v>
      </c>
      <c r="D1981" t="s">
        <v>109</v>
      </c>
      <c r="E1981" t="s">
        <v>2618</v>
      </c>
      <c r="F1981" t="s">
        <v>2632</v>
      </c>
      <c r="G1981" t="s">
        <v>170</v>
      </c>
      <c r="H1981" t="s">
        <v>2648</v>
      </c>
      <c r="I1981" t="s">
        <v>2578</v>
      </c>
      <c r="J1981">
        <v>47</v>
      </c>
      <c r="K1981">
        <v>128.69</v>
      </c>
      <c r="L1981">
        <v>70.010000000000005</v>
      </c>
      <c r="M1981">
        <v>0</v>
      </c>
      <c r="N1981" t="s">
        <v>45</v>
      </c>
    </row>
    <row r="1982" spans="1:14" x14ac:dyDescent="0.25">
      <c r="A1982" t="s">
        <v>2504</v>
      </c>
      <c r="B1982" s="2">
        <v>45390</v>
      </c>
      <c r="C1982" t="s">
        <v>1431</v>
      </c>
      <c r="D1982" t="s">
        <v>141</v>
      </c>
      <c r="E1982" t="s">
        <v>2614</v>
      </c>
      <c r="F1982" t="s">
        <v>2622</v>
      </c>
      <c r="G1982" t="s">
        <v>60</v>
      </c>
      <c r="H1982" t="s">
        <v>2645</v>
      </c>
      <c r="I1982" t="s">
        <v>75</v>
      </c>
      <c r="J1982">
        <v>25</v>
      </c>
      <c r="K1982">
        <v>87.92</v>
      </c>
      <c r="L1982">
        <v>61.8</v>
      </c>
      <c r="M1982">
        <v>0.15</v>
      </c>
      <c r="N1982" t="s">
        <v>45</v>
      </c>
    </row>
    <row r="1983" spans="1:14" x14ac:dyDescent="0.25">
      <c r="A1983" t="s">
        <v>2505</v>
      </c>
      <c r="B1983" s="2">
        <v>45551</v>
      </c>
      <c r="C1983" t="s">
        <v>1310</v>
      </c>
      <c r="D1983" t="s">
        <v>216</v>
      </c>
      <c r="E1983" t="s">
        <v>2618</v>
      </c>
      <c r="F1983" t="s">
        <v>2634</v>
      </c>
      <c r="G1983" t="s">
        <v>74</v>
      </c>
      <c r="H1983" t="s">
        <v>2646</v>
      </c>
      <c r="I1983" t="s">
        <v>2578</v>
      </c>
      <c r="J1983">
        <v>47</v>
      </c>
      <c r="K1983">
        <v>116.87</v>
      </c>
      <c r="L1983">
        <v>64.72</v>
      </c>
      <c r="M1983">
        <v>0.1</v>
      </c>
      <c r="N1983" t="s">
        <v>45</v>
      </c>
    </row>
    <row r="1984" spans="1:14" x14ac:dyDescent="0.25">
      <c r="A1984" t="s">
        <v>2506</v>
      </c>
      <c r="B1984" s="2">
        <v>45578</v>
      </c>
      <c r="C1984" t="s">
        <v>438</v>
      </c>
      <c r="D1984" t="s">
        <v>176</v>
      </c>
      <c r="E1984" t="s">
        <v>2618</v>
      </c>
      <c r="F1984" t="s">
        <v>2635</v>
      </c>
      <c r="G1984" t="s">
        <v>218</v>
      </c>
      <c r="H1984" t="s">
        <v>2648</v>
      </c>
      <c r="I1984" t="s">
        <v>2578</v>
      </c>
      <c r="J1984">
        <v>72</v>
      </c>
      <c r="K1984">
        <v>109.43</v>
      </c>
      <c r="L1984">
        <v>59.37</v>
      </c>
      <c r="M1984">
        <v>0.1</v>
      </c>
      <c r="N1984" t="s">
        <v>129</v>
      </c>
    </row>
    <row r="1985" spans="1:14" x14ac:dyDescent="0.25">
      <c r="A1985" t="s">
        <v>2507</v>
      </c>
      <c r="B1985" s="2">
        <v>45602</v>
      </c>
      <c r="C1985" t="s">
        <v>378</v>
      </c>
      <c r="D1985" t="s">
        <v>150</v>
      </c>
      <c r="E1985" t="s">
        <v>2617</v>
      </c>
      <c r="F1985" t="s">
        <v>2625</v>
      </c>
      <c r="G1985" t="s">
        <v>261</v>
      </c>
      <c r="H1985" t="s">
        <v>2647</v>
      </c>
      <c r="I1985" t="s">
        <v>70</v>
      </c>
      <c r="J1985">
        <v>14</v>
      </c>
      <c r="K1985">
        <v>82.87</v>
      </c>
      <c r="L1985">
        <v>52.87</v>
      </c>
      <c r="M1985">
        <v>0.02</v>
      </c>
      <c r="N1985" t="s">
        <v>45</v>
      </c>
    </row>
    <row r="1986" spans="1:14" x14ac:dyDescent="0.25">
      <c r="A1986" t="s">
        <v>2508</v>
      </c>
      <c r="B1986" s="2">
        <v>45508</v>
      </c>
      <c r="C1986" t="s">
        <v>696</v>
      </c>
      <c r="D1986" t="s">
        <v>93</v>
      </c>
      <c r="E1986" t="s">
        <v>2615</v>
      </c>
      <c r="F1986" t="s">
        <v>2627</v>
      </c>
      <c r="G1986" t="s">
        <v>253</v>
      </c>
      <c r="H1986" t="s">
        <v>2647</v>
      </c>
      <c r="I1986" t="s">
        <v>44</v>
      </c>
      <c r="J1986">
        <v>24</v>
      </c>
      <c r="K1986">
        <v>55.46</v>
      </c>
      <c r="L1986">
        <v>32.31</v>
      </c>
      <c r="M1986">
        <v>0.1</v>
      </c>
      <c r="N1986" t="s">
        <v>45</v>
      </c>
    </row>
    <row r="1987" spans="1:14" x14ac:dyDescent="0.25">
      <c r="A1987" t="s">
        <v>2509</v>
      </c>
      <c r="B1987" s="2">
        <v>45574</v>
      </c>
      <c r="C1987" t="s">
        <v>34</v>
      </c>
      <c r="D1987" t="s">
        <v>78</v>
      </c>
      <c r="E1987" t="s">
        <v>2615</v>
      </c>
      <c r="F1987" t="s">
        <v>2640</v>
      </c>
      <c r="G1987" t="s">
        <v>118</v>
      </c>
      <c r="H1987" t="s">
        <v>2647</v>
      </c>
      <c r="I1987" t="s">
        <v>84</v>
      </c>
      <c r="J1987">
        <v>35</v>
      </c>
      <c r="K1987">
        <v>135.65</v>
      </c>
      <c r="L1987">
        <v>86.94</v>
      </c>
      <c r="M1987">
        <v>0.15</v>
      </c>
      <c r="N1987" t="s">
        <v>45</v>
      </c>
    </row>
    <row r="1988" spans="1:14" x14ac:dyDescent="0.25">
      <c r="A1988" t="s">
        <v>2510</v>
      </c>
      <c r="B1988" s="2">
        <v>45379</v>
      </c>
      <c r="C1988" t="s">
        <v>158</v>
      </c>
      <c r="D1988" t="s">
        <v>114</v>
      </c>
      <c r="E1988" t="s">
        <v>2616</v>
      </c>
      <c r="F1988" t="s">
        <v>2631</v>
      </c>
      <c r="G1988" t="s">
        <v>253</v>
      </c>
      <c r="H1988" t="s">
        <v>2645</v>
      </c>
      <c r="I1988" t="s">
        <v>2578</v>
      </c>
      <c r="J1988">
        <v>68</v>
      </c>
      <c r="K1988">
        <v>35.58</v>
      </c>
      <c r="L1988">
        <v>22.1</v>
      </c>
      <c r="M1988">
        <v>0.1</v>
      </c>
      <c r="N1988" t="s">
        <v>45</v>
      </c>
    </row>
    <row r="1989" spans="1:14" x14ac:dyDescent="0.25">
      <c r="A1989" t="s">
        <v>2511</v>
      </c>
      <c r="B1989" s="2">
        <v>45610</v>
      </c>
      <c r="C1989" t="s">
        <v>404</v>
      </c>
      <c r="D1989" t="s">
        <v>66</v>
      </c>
      <c r="E1989" t="s">
        <v>2615</v>
      </c>
      <c r="F1989" t="s">
        <v>2640</v>
      </c>
      <c r="G1989" t="s">
        <v>111</v>
      </c>
      <c r="H1989" t="s">
        <v>2646</v>
      </c>
      <c r="I1989" t="s">
        <v>44</v>
      </c>
      <c r="J1989">
        <v>78</v>
      </c>
      <c r="K1989">
        <v>150.03</v>
      </c>
      <c r="L1989">
        <v>109.76</v>
      </c>
      <c r="M1989">
        <v>0.2</v>
      </c>
      <c r="N1989" t="s">
        <v>129</v>
      </c>
    </row>
    <row r="1990" spans="1:14" x14ac:dyDescent="0.25">
      <c r="A1990" t="s">
        <v>2512</v>
      </c>
      <c r="B1990" s="2">
        <v>45572</v>
      </c>
      <c r="C1990" t="s">
        <v>800</v>
      </c>
      <c r="D1990" t="s">
        <v>176</v>
      </c>
      <c r="E1990" t="s">
        <v>2614</v>
      </c>
      <c r="F1990" t="s">
        <v>2636</v>
      </c>
      <c r="G1990" t="s">
        <v>111</v>
      </c>
      <c r="H1990" t="s">
        <v>2645</v>
      </c>
      <c r="I1990" t="s">
        <v>44</v>
      </c>
      <c r="J1990">
        <v>45</v>
      </c>
      <c r="K1990">
        <v>111.39</v>
      </c>
      <c r="L1990">
        <v>64.52</v>
      </c>
      <c r="M1990">
        <v>0</v>
      </c>
      <c r="N1990" t="s">
        <v>45</v>
      </c>
    </row>
    <row r="1991" spans="1:14" x14ac:dyDescent="0.25">
      <c r="A1991" t="s">
        <v>2513</v>
      </c>
      <c r="B1991" s="2">
        <v>45312</v>
      </c>
      <c r="C1991" t="s">
        <v>1709</v>
      </c>
      <c r="D1991" t="s">
        <v>93</v>
      </c>
      <c r="E1991" t="s">
        <v>2616</v>
      </c>
      <c r="F1991" t="s">
        <v>2633</v>
      </c>
      <c r="G1991" t="s">
        <v>178</v>
      </c>
      <c r="H1991" t="s">
        <v>2645</v>
      </c>
      <c r="I1991" t="s">
        <v>75</v>
      </c>
      <c r="J1991">
        <v>18</v>
      </c>
      <c r="K1991">
        <v>57.47</v>
      </c>
      <c r="L1991">
        <v>31.88</v>
      </c>
      <c r="M1991">
        <v>0.1</v>
      </c>
      <c r="N1991" t="s">
        <v>45</v>
      </c>
    </row>
    <row r="1992" spans="1:14" x14ac:dyDescent="0.25">
      <c r="A1992" t="s">
        <v>2514</v>
      </c>
      <c r="B1992" s="2">
        <v>45309</v>
      </c>
      <c r="C1992" t="s">
        <v>723</v>
      </c>
      <c r="D1992" t="s">
        <v>141</v>
      </c>
      <c r="E1992" t="s">
        <v>2618</v>
      </c>
      <c r="F1992" t="s">
        <v>2632</v>
      </c>
      <c r="G1992" t="s">
        <v>248</v>
      </c>
      <c r="H1992" t="s">
        <v>2647</v>
      </c>
      <c r="I1992" t="s">
        <v>44</v>
      </c>
      <c r="J1992">
        <v>42</v>
      </c>
      <c r="K1992">
        <v>90.42</v>
      </c>
      <c r="L1992">
        <v>57.24</v>
      </c>
      <c r="M1992">
        <v>0.05</v>
      </c>
      <c r="N1992" t="s">
        <v>45</v>
      </c>
    </row>
    <row r="1993" spans="1:14" x14ac:dyDescent="0.25">
      <c r="A1993" t="s">
        <v>2515</v>
      </c>
      <c r="B1993" s="2">
        <v>45372</v>
      </c>
      <c r="C1993" t="s">
        <v>305</v>
      </c>
      <c r="D1993" t="s">
        <v>150</v>
      </c>
      <c r="E1993" t="s">
        <v>2615</v>
      </c>
      <c r="F1993" t="s">
        <v>2627</v>
      </c>
      <c r="G1993" t="s">
        <v>69</v>
      </c>
      <c r="H1993" t="s">
        <v>2647</v>
      </c>
      <c r="I1993" t="s">
        <v>2578</v>
      </c>
      <c r="J1993">
        <v>7</v>
      </c>
      <c r="K1993">
        <v>85.97</v>
      </c>
      <c r="L1993">
        <v>49.2</v>
      </c>
      <c r="M1993">
        <v>0</v>
      </c>
      <c r="N1993" t="s">
        <v>129</v>
      </c>
    </row>
    <row r="1994" spans="1:14" x14ac:dyDescent="0.25">
      <c r="A1994" t="s">
        <v>2516</v>
      </c>
      <c r="B1994" s="2">
        <v>45608</v>
      </c>
      <c r="C1994" t="s">
        <v>1210</v>
      </c>
      <c r="D1994" t="s">
        <v>132</v>
      </c>
      <c r="E1994" t="s">
        <v>2616</v>
      </c>
      <c r="F1994" t="s">
        <v>2624</v>
      </c>
      <c r="G1994" t="s">
        <v>178</v>
      </c>
      <c r="H1994" t="s">
        <v>2648</v>
      </c>
      <c r="I1994" t="s">
        <v>70</v>
      </c>
      <c r="J1994">
        <v>79</v>
      </c>
      <c r="K1994">
        <v>56.94</v>
      </c>
      <c r="L1994">
        <v>34.14</v>
      </c>
      <c r="M1994">
        <v>0.05</v>
      </c>
      <c r="N1994" t="s">
        <v>45</v>
      </c>
    </row>
    <row r="1995" spans="1:14" x14ac:dyDescent="0.25">
      <c r="A1995" t="s">
        <v>2517</v>
      </c>
      <c r="B1995" s="2">
        <v>45343</v>
      </c>
      <c r="C1995" t="s">
        <v>1075</v>
      </c>
      <c r="D1995" t="s">
        <v>216</v>
      </c>
      <c r="E1995" t="s">
        <v>2617</v>
      </c>
      <c r="F1995" t="s">
        <v>2641</v>
      </c>
      <c r="G1995" t="s">
        <v>118</v>
      </c>
      <c r="H1995" t="s">
        <v>2647</v>
      </c>
      <c r="I1995" t="s">
        <v>44</v>
      </c>
      <c r="J1995">
        <v>4</v>
      </c>
      <c r="K1995">
        <v>111.9</v>
      </c>
      <c r="L1995">
        <v>64.81</v>
      </c>
      <c r="M1995">
        <v>0.15</v>
      </c>
      <c r="N1995" t="s">
        <v>45</v>
      </c>
    </row>
    <row r="1996" spans="1:14" x14ac:dyDescent="0.25">
      <c r="A1996" t="s">
        <v>2518</v>
      </c>
      <c r="B1996" s="2">
        <v>45636</v>
      </c>
      <c r="C1996" t="s">
        <v>513</v>
      </c>
      <c r="D1996" t="s">
        <v>93</v>
      </c>
      <c r="E1996" t="s">
        <v>2616</v>
      </c>
      <c r="F1996" t="s">
        <v>2633</v>
      </c>
      <c r="G1996" t="s">
        <v>118</v>
      </c>
      <c r="H1996" t="s">
        <v>2648</v>
      </c>
      <c r="I1996" t="s">
        <v>75</v>
      </c>
      <c r="J1996">
        <v>44</v>
      </c>
      <c r="K1996">
        <v>52.52</v>
      </c>
      <c r="L1996">
        <v>32.49</v>
      </c>
      <c r="M1996">
        <v>0</v>
      </c>
      <c r="N1996" t="s">
        <v>45</v>
      </c>
    </row>
    <row r="1997" spans="1:14" x14ac:dyDescent="0.25">
      <c r="A1997" t="s">
        <v>2519</v>
      </c>
      <c r="B1997" s="2">
        <v>45637</v>
      </c>
      <c r="C1997" t="s">
        <v>681</v>
      </c>
      <c r="D1997" t="s">
        <v>150</v>
      </c>
      <c r="E1997" t="s">
        <v>2615</v>
      </c>
      <c r="F1997" t="s">
        <v>2630</v>
      </c>
      <c r="G1997" t="s">
        <v>111</v>
      </c>
      <c r="H1997" t="s">
        <v>2645</v>
      </c>
      <c r="I1997" t="s">
        <v>44</v>
      </c>
      <c r="J1997">
        <v>11</v>
      </c>
      <c r="K1997">
        <v>86.56</v>
      </c>
      <c r="L1997">
        <v>55</v>
      </c>
      <c r="M1997">
        <v>0.05</v>
      </c>
      <c r="N1997" t="s">
        <v>45</v>
      </c>
    </row>
    <row r="1998" spans="1:14" x14ac:dyDescent="0.25">
      <c r="A1998" t="s">
        <v>2520</v>
      </c>
      <c r="B1998" s="2">
        <v>45338</v>
      </c>
      <c r="C1998" t="s">
        <v>1531</v>
      </c>
      <c r="D1998" t="s">
        <v>250</v>
      </c>
      <c r="E1998" t="s">
        <v>2618</v>
      </c>
      <c r="F1998" t="s">
        <v>2634</v>
      </c>
      <c r="G1998" t="s">
        <v>248</v>
      </c>
      <c r="H1998" t="s">
        <v>2645</v>
      </c>
      <c r="I1998" t="s">
        <v>70</v>
      </c>
      <c r="J1998">
        <v>13</v>
      </c>
      <c r="K1998">
        <v>68.28</v>
      </c>
      <c r="L1998">
        <v>39.69</v>
      </c>
      <c r="M1998">
        <v>0.2</v>
      </c>
      <c r="N1998" t="s">
        <v>32</v>
      </c>
    </row>
    <row r="1999" spans="1:14" x14ac:dyDescent="0.25">
      <c r="A1999" t="s">
        <v>2521</v>
      </c>
      <c r="B1999" s="2">
        <v>45619</v>
      </c>
      <c r="C1999" t="s">
        <v>750</v>
      </c>
      <c r="D1999" t="s">
        <v>66</v>
      </c>
      <c r="E1999" t="s">
        <v>2617</v>
      </c>
      <c r="F1999" t="s">
        <v>2626</v>
      </c>
      <c r="G1999" t="s">
        <v>90</v>
      </c>
      <c r="H1999" t="s">
        <v>2647</v>
      </c>
      <c r="I1999" t="s">
        <v>70</v>
      </c>
      <c r="J1999">
        <v>39</v>
      </c>
      <c r="K1999">
        <v>0</v>
      </c>
      <c r="L1999">
        <v>95.86</v>
      </c>
      <c r="M1999">
        <v>0</v>
      </c>
      <c r="N1999" t="s">
        <v>129</v>
      </c>
    </row>
    <row r="2000" spans="1:14" x14ac:dyDescent="0.25">
      <c r="A2000" t="s">
        <v>2522</v>
      </c>
      <c r="B2000" s="2">
        <v>45331</v>
      </c>
      <c r="C2000" t="s">
        <v>378</v>
      </c>
      <c r="D2000" t="s">
        <v>165</v>
      </c>
      <c r="E2000" t="s">
        <v>2618</v>
      </c>
      <c r="F2000" t="s">
        <v>2632</v>
      </c>
      <c r="G2000" t="s">
        <v>90</v>
      </c>
      <c r="H2000" t="s">
        <v>2645</v>
      </c>
      <c r="I2000" t="s">
        <v>84</v>
      </c>
      <c r="J2000">
        <v>38</v>
      </c>
      <c r="K2000">
        <v>39.07</v>
      </c>
      <c r="L2000">
        <v>26.33</v>
      </c>
      <c r="M2000">
        <v>0.05</v>
      </c>
      <c r="N2000" t="s">
        <v>129</v>
      </c>
    </row>
    <row r="2001" spans="1:14" x14ac:dyDescent="0.25">
      <c r="A2001" t="s">
        <v>2523</v>
      </c>
      <c r="B2001" s="2">
        <v>45385</v>
      </c>
      <c r="C2001" t="s">
        <v>347</v>
      </c>
      <c r="D2001" t="s">
        <v>216</v>
      </c>
      <c r="E2001" t="s">
        <v>2615</v>
      </c>
      <c r="F2001" t="s">
        <v>2627</v>
      </c>
      <c r="G2001" t="s">
        <v>90</v>
      </c>
      <c r="H2001" t="s">
        <v>2647</v>
      </c>
      <c r="I2001" t="s">
        <v>44</v>
      </c>
      <c r="J2001">
        <v>69</v>
      </c>
      <c r="K2001">
        <v>111.22</v>
      </c>
      <c r="L2001">
        <v>64.42</v>
      </c>
      <c r="M2001">
        <v>0.02</v>
      </c>
      <c r="N2001" t="s">
        <v>45</v>
      </c>
    </row>
    <row r="2002" spans="1:14" x14ac:dyDescent="0.25">
      <c r="A2002" t="s">
        <v>2524</v>
      </c>
      <c r="B2002" s="2">
        <v>45557</v>
      </c>
      <c r="C2002" t="s">
        <v>563</v>
      </c>
      <c r="D2002" t="s">
        <v>49</v>
      </c>
      <c r="E2002" t="s">
        <v>2614</v>
      </c>
      <c r="F2002" t="s">
        <v>2639</v>
      </c>
      <c r="G2002" t="s">
        <v>248</v>
      </c>
      <c r="H2002" t="s">
        <v>2646</v>
      </c>
      <c r="I2002" t="s">
        <v>75</v>
      </c>
      <c r="J2002">
        <v>47</v>
      </c>
      <c r="K2002">
        <v>25.58</v>
      </c>
      <c r="L2002">
        <v>12.32</v>
      </c>
      <c r="M2002">
        <v>0.15</v>
      </c>
      <c r="N2002" t="s">
        <v>45</v>
      </c>
    </row>
    <row r="2003" spans="1:14" x14ac:dyDescent="0.25">
      <c r="A2003" t="s">
        <v>2525</v>
      </c>
      <c r="B2003" s="2">
        <v>45408</v>
      </c>
      <c r="C2003" t="s">
        <v>1028</v>
      </c>
      <c r="D2003" t="s">
        <v>150</v>
      </c>
      <c r="E2003" t="s">
        <v>2614</v>
      </c>
      <c r="F2003" t="s">
        <v>2629</v>
      </c>
      <c r="G2003" t="s">
        <v>253</v>
      </c>
      <c r="H2003" t="s">
        <v>2646</v>
      </c>
      <c r="I2003" t="s">
        <v>70</v>
      </c>
      <c r="J2003">
        <v>31</v>
      </c>
      <c r="K2003">
        <v>89.85</v>
      </c>
      <c r="L2003">
        <v>52.64</v>
      </c>
      <c r="M2003">
        <v>0</v>
      </c>
      <c r="N2003" t="s">
        <v>129</v>
      </c>
    </row>
    <row r="2004" spans="1:14" x14ac:dyDescent="0.25">
      <c r="A2004" t="s">
        <v>2526</v>
      </c>
      <c r="B2004" s="2">
        <v>45473</v>
      </c>
      <c r="C2004" t="s">
        <v>674</v>
      </c>
      <c r="D2004" t="s">
        <v>114</v>
      </c>
      <c r="E2004" t="s">
        <v>2618</v>
      </c>
      <c r="F2004" t="s">
        <v>2632</v>
      </c>
      <c r="G2004" t="s">
        <v>42</v>
      </c>
      <c r="H2004" t="s">
        <v>2648</v>
      </c>
      <c r="I2004" t="s">
        <v>84</v>
      </c>
      <c r="J2004">
        <v>23</v>
      </c>
      <c r="K2004">
        <v>34.19</v>
      </c>
      <c r="L2004">
        <v>22.63</v>
      </c>
      <c r="M2004">
        <v>0.02</v>
      </c>
      <c r="N2004" t="s">
        <v>32</v>
      </c>
    </row>
    <row r="2005" spans="1:14" x14ac:dyDescent="0.25">
      <c r="A2005" t="s">
        <v>2527</v>
      </c>
      <c r="B2005" s="2">
        <v>45530</v>
      </c>
      <c r="C2005" t="s">
        <v>970</v>
      </c>
      <c r="D2005" t="s">
        <v>78</v>
      </c>
      <c r="E2005" t="s">
        <v>2614</v>
      </c>
      <c r="F2005" t="s">
        <v>2629</v>
      </c>
      <c r="G2005" t="s">
        <v>42</v>
      </c>
      <c r="H2005" t="s">
        <v>2645</v>
      </c>
      <c r="I2005" t="s">
        <v>70</v>
      </c>
      <c r="J2005">
        <v>73</v>
      </c>
      <c r="K2005">
        <v>131.72999999999999</v>
      </c>
      <c r="L2005">
        <v>85.81</v>
      </c>
      <c r="M2005">
        <v>0.2</v>
      </c>
      <c r="N2005" t="s">
        <v>45</v>
      </c>
    </row>
    <row r="2006" spans="1:14" x14ac:dyDescent="0.25">
      <c r="A2006" t="s">
        <v>2528</v>
      </c>
      <c r="B2006" s="2">
        <v>45469</v>
      </c>
      <c r="C2006" t="s">
        <v>2619</v>
      </c>
      <c r="D2006" t="s">
        <v>165</v>
      </c>
      <c r="E2006" t="s">
        <v>2617</v>
      </c>
      <c r="F2006" t="s">
        <v>2625</v>
      </c>
      <c r="G2006" t="s">
        <v>69</v>
      </c>
      <c r="H2006" t="s">
        <v>2645</v>
      </c>
      <c r="I2006" t="s">
        <v>2578</v>
      </c>
      <c r="J2006">
        <v>36</v>
      </c>
      <c r="K2006">
        <v>45.26</v>
      </c>
      <c r="L2006">
        <v>25.1</v>
      </c>
      <c r="M2006">
        <v>0.02</v>
      </c>
      <c r="N2006" t="s">
        <v>32</v>
      </c>
    </row>
    <row r="2007" spans="1:14" x14ac:dyDescent="0.25">
      <c r="A2007" t="s">
        <v>2529</v>
      </c>
      <c r="B2007" s="2">
        <v>45487</v>
      </c>
      <c r="C2007" t="s">
        <v>475</v>
      </c>
      <c r="D2007" t="s">
        <v>187</v>
      </c>
      <c r="E2007" t="s">
        <v>2615</v>
      </c>
      <c r="F2007" t="s">
        <v>2640</v>
      </c>
      <c r="G2007" t="s">
        <v>248</v>
      </c>
      <c r="H2007" t="s">
        <v>2645</v>
      </c>
      <c r="I2007" t="s">
        <v>70</v>
      </c>
      <c r="J2007">
        <v>77</v>
      </c>
      <c r="K2007">
        <v>51.19</v>
      </c>
      <c r="L2007">
        <v>28.4</v>
      </c>
      <c r="M2007">
        <v>0.15</v>
      </c>
      <c r="N2007" t="s">
        <v>129</v>
      </c>
    </row>
    <row r="2008" spans="1:14" x14ac:dyDescent="0.25">
      <c r="A2008" t="s">
        <v>2530</v>
      </c>
      <c r="B2008" s="2">
        <v>45454</v>
      </c>
      <c r="C2008" t="s">
        <v>380</v>
      </c>
      <c r="D2008" t="s">
        <v>126</v>
      </c>
      <c r="E2008" t="s">
        <v>2618</v>
      </c>
      <c r="F2008" t="s">
        <v>2632</v>
      </c>
      <c r="G2008" t="s">
        <v>261</v>
      </c>
      <c r="H2008" t="s">
        <v>2650</v>
      </c>
      <c r="I2008" t="s">
        <v>2578</v>
      </c>
      <c r="J2008">
        <v>15</v>
      </c>
      <c r="K2008">
        <v>94.64</v>
      </c>
      <c r="L2008">
        <v>51.99</v>
      </c>
      <c r="M2008">
        <v>0.2</v>
      </c>
      <c r="N2008" t="s">
        <v>45</v>
      </c>
    </row>
    <row r="2009" spans="1:14" x14ac:dyDescent="0.25">
      <c r="A2009" t="s">
        <v>2531</v>
      </c>
      <c r="B2009" s="2">
        <v>45316</v>
      </c>
      <c r="C2009" t="s">
        <v>1075</v>
      </c>
      <c r="D2009" t="s">
        <v>176</v>
      </c>
      <c r="E2009" t="s">
        <v>2616</v>
      </c>
      <c r="F2009" t="s">
        <v>2631</v>
      </c>
      <c r="G2009" t="s">
        <v>265</v>
      </c>
      <c r="H2009" t="s">
        <v>2648</v>
      </c>
      <c r="I2009" t="s">
        <v>70</v>
      </c>
      <c r="J2009">
        <v>21</v>
      </c>
      <c r="K2009">
        <v>106.57</v>
      </c>
      <c r="L2009">
        <v>58.5</v>
      </c>
      <c r="M2009">
        <v>0.15</v>
      </c>
      <c r="N2009" t="s">
        <v>45</v>
      </c>
    </row>
    <row r="2010" spans="1:14" x14ac:dyDescent="0.25">
      <c r="A2010" t="s">
        <v>2532</v>
      </c>
      <c r="B2010" s="2">
        <v>45379</v>
      </c>
      <c r="C2010" t="s">
        <v>1706</v>
      </c>
      <c r="D2010" t="s">
        <v>187</v>
      </c>
      <c r="E2010" t="s">
        <v>2616</v>
      </c>
      <c r="F2010" t="s">
        <v>2638</v>
      </c>
      <c r="G2010" t="s">
        <v>218</v>
      </c>
      <c r="H2010" t="s">
        <v>2648</v>
      </c>
      <c r="I2010" t="s">
        <v>70</v>
      </c>
      <c r="J2010">
        <v>27</v>
      </c>
      <c r="K2010">
        <v>46.16</v>
      </c>
      <c r="L2010">
        <v>30.89</v>
      </c>
      <c r="M2010">
        <v>0.05</v>
      </c>
      <c r="N2010" t="s">
        <v>45</v>
      </c>
    </row>
    <row r="2011" spans="1:14" x14ac:dyDescent="0.25">
      <c r="A2011" t="s">
        <v>2533</v>
      </c>
      <c r="B2011" s="2">
        <v>45341</v>
      </c>
      <c r="C2011" t="s">
        <v>791</v>
      </c>
      <c r="D2011" t="s">
        <v>209</v>
      </c>
      <c r="E2011" t="s">
        <v>2618</v>
      </c>
      <c r="F2011" t="s">
        <v>2628</v>
      </c>
      <c r="G2011" t="s">
        <v>184</v>
      </c>
      <c r="H2011" t="s">
        <v>2648</v>
      </c>
      <c r="I2011" t="s">
        <v>75</v>
      </c>
      <c r="J2011">
        <v>14</v>
      </c>
      <c r="K2011">
        <v>18.79</v>
      </c>
      <c r="L2011">
        <v>10.16</v>
      </c>
      <c r="M2011">
        <v>0.1</v>
      </c>
      <c r="N2011" t="s">
        <v>129</v>
      </c>
    </row>
    <row r="2012" spans="1:14" x14ac:dyDescent="0.25">
      <c r="A2012" t="s">
        <v>2534</v>
      </c>
      <c r="B2012" s="2">
        <v>45467</v>
      </c>
      <c r="C2012" t="s">
        <v>245</v>
      </c>
      <c r="D2012" t="s">
        <v>176</v>
      </c>
      <c r="E2012" t="s">
        <v>2618</v>
      </c>
      <c r="F2012" t="s">
        <v>2635</v>
      </c>
      <c r="G2012" t="s">
        <v>83</v>
      </c>
      <c r="H2012" t="s">
        <v>2645</v>
      </c>
      <c r="I2012" t="s">
        <v>84</v>
      </c>
      <c r="J2012">
        <v>38</v>
      </c>
      <c r="K2012">
        <v>100.66</v>
      </c>
      <c r="L2012">
        <v>65.16</v>
      </c>
      <c r="M2012">
        <v>0.2</v>
      </c>
      <c r="N2012" t="s">
        <v>32</v>
      </c>
    </row>
    <row r="2013" spans="1:14" x14ac:dyDescent="0.25">
      <c r="A2013" t="s">
        <v>2535</v>
      </c>
      <c r="B2013" s="2">
        <v>45590</v>
      </c>
      <c r="C2013" t="s">
        <v>931</v>
      </c>
      <c r="D2013" t="s">
        <v>36</v>
      </c>
      <c r="E2013" t="s">
        <v>2617</v>
      </c>
      <c r="F2013" t="s">
        <v>2641</v>
      </c>
      <c r="G2013" t="s">
        <v>2619</v>
      </c>
      <c r="H2013" t="s">
        <v>2648</v>
      </c>
      <c r="I2013" t="s">
        <v>2578</v>
      </c>
      <c r="J2013">
        <v>6</v>
      </c>
      <c r="K2013">
        <v>155.56</v>
      </c>
      <c r="L2013">
        <v>93</v>
      </c>
      <c r="M2013">
        <v>0.1</v>
      </c>
      <c r="N2013" t="s">
        <v>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9A93F-1256-4E8A-9622-B6B54CE559B0}">
  <dimension ref="A1:B22"/>
  <sheetViews>
    <sheetView workbookViewId="0">
      <selection activeCell="E8" sqref="E8"/>
    </sheetView>
  </sheetViews>
  <sheetFormatPr defaultRowHeight="15" x14ac:dyDescent="0.25"/>
  <cols>
    <col min="1" max="1" width="16.7109375" customWidth="1"/>
    <col min="2" max="2" width="20.140625" customWidth="1"/>
    <col min="7" max="7" width="17" bestFit="1" customWidth="1"/>
  </cols>
  <sheetData>
    <row r="1" spans="1:2" x14ac:dyDescent="0.25">
      <c r="A1" t="s">
        <v>7</v>
      </c>
      <c r="B1" t="s">
        <v>2659</v>
      </c>
    </row>
    <row r="2" spans="1:2" x14ac:dyDescent="0.25">
      <c r="A2" t="s">
        <v>29</v>
      </c>
      <c r="B2" t="s">
        <v>2679</v>
      </c>
    </row>
    <row r="3" spans="1:2" x14ac:dyDescent="0.25">
      <c r="A3" t="s">
        <v>42</v>
      </c>
      <c r="B3" t="s">
        <v>2680</v>
      </c>
    </row>
    <row r="4" spans="1:2" x14ac:dyDescent="0.25">
      <c r="A4" t="s">
        <v>60</v>
      </c>
      <c r="B4" t="s">
        <v>2677</v>
      </c>
    </row>
    <row r="5" spans="1:2" x14ac:dyDescent="0.25">
      <c r="A5" t="s">
        <v>69</v>
      </c>
      <c r="B5" t="s">
        <v>2681</v>
      </c>
    </row>
    <row r="6" spans="1:2" x14ac:dyDescent="0.25">
      <c r="A6" t="s">
        <v>74</v>
      </c>
      <c r="B6" t="s">
        <v>2682</v>
      </c>
    </row>
    <row r="7" spans="1:2" x14ac:dyDescent="0.25">
      <c r="A7" t="s">
        <v>83</v>
      </c>
      <c r="B7" t="s">
        <v>2683</v>
      </c>
    </row>
    <row r="8" spans="1:2" x14ac:dyDescent="0.25">
      <c r="A8" t="s">
        <v>90</v>
      </c>
      <c r="B8" t="s">
        <v>2684</v>
      </c>
    </row>
    <row r="9" spans="1:2" x14ac:dyDescent="0.25">
      <c r="A9" t="s">
        <v>111</v>
      </c>
      <c r="B9" t="s">
        <v>2685</v>
      </c>
    </row>
    <row r="10" spans="1:2" x14ac:dyDescent="0.25">
      <c r="A10" t="s">
        <v>118</v>
      </c>
      <c r="B10" t="s">
        <v>2686</v>
      </c>
    </row>
    <row r="11" spans="1:2" x14ac:dyDescent="0.25">
      <c r="A11" t="s">
        <v>144</v>
      </c>
      <c r="B11" t="s">
        <v>2687</v>
      </c>
    </row>
    <row r="12" spans="1:2" x14ac:dyDescent="0.25">
      <c r="A12" t="s">
        <v>152</v>
      </c>
      <c r="B12" t="s">
        <v>2688</v>
      </c>
    </row>
    <row r="13" spans="1:2" x14ac:dyDescent="0.25">
      <c r="A13" t="s">
        <v>170</v>
      </c>
      <c r="B13" t="s">
        <v>2671</v>
      </c>
    </row>
    <row r="14" spans="1:2" x14ac:dyDescent="0.25">
      <c r="A14" t="s">
        <v>178</v>
      </c>
      <c r="B14" t="s">
        <v>2689</v>
      </c>
    </row>
    <row r="15" spans="1:2" x14ac:dyDescent="0.25">
      <c r="A15" t="s">
        <v>184</v>
      </c>
      <c r="B15" t="s">
        <v>2690</v>
      </c>
    </row>
    <row r="16" spans="1:2" x14ac:dyDescent="0.25">
      <c r="A16" t="s">
        <v>195</v>
      </c>
      <c r="B16" t="s">
        <v>2691</v>
      </c>
    </row>
    <row r="17" spans="1:2" x14ac:dyDescent="0.25">
      <c r="A17" t="s">
        <v>218</v>
      </c>
      <c r="B17" t="s">
        <v>2692</v>
      </c>
    </row>
    <row r="18" spans="1:2" x14ac:dyDescent="0.25">
      <c r="A18" t="s">
        <v>2619</v>
      </c>
      <c r="B18" t="s">
        <v>2619</v>
      </c>
    </row>
    <row r="19" spans="1:2" x14ac:dyDescent="0.25">
      <c r="A19" t="s">
        <v>248</v>
      </c>
      <c r="B19" t="s">
        <v>2693</v>
      </c>
    </row>
    <row r="20" spans="1:2" x14ac:dyDescent="0.25">
      <c r="A20" t="s">
        <v>253</v>
      </c>
      <c r="B20" t="s">
        <v>2694</v>
      </c>
    </row>
    <row r="21" spans="1:2" x14ac:dyDescent="0.25">
      <c r="A21" t="s">
        <v>261</v>
      </c>
      <c r="B21" t="s">
        <v>2695</v>
      </c>
    </row>
    <row r="22" spans="1:2" x14ac:dyDescent="0.25">
      <c r="A22" t="s">
        <v>265</v>
      </c>
      <c r="B22" t="s">
        <v>2663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5D72-AE57-47D4-AC73-A7DA0963C37B}">
  <dimension ref="A1:B7"/>
  <sheetViews>
    <sheetView workbookViewId="0">
      <selection activeCell="E11" sqref="E11"/>
    </sheetView>
  </sheetViews>
  <sheetFormatPr defaultRowHeight="15" x14ac:dyDescent="0.25"/>
  <cols>
    <col min="1" max="1" width="18.85546875" customWidth="1"/>
    <col min="2" max="2" width="16" customWidth="1"/>
    <col min="13" max="13" width="16.28515625" bestFit="1" customWidth="1"/>
  </cols>
  <sheetData>
    <row r="1" spans="1:2" x14ac:dyDescent="0.25">
      <c r="A1" t="s">
        <v>2644</v>
      </c>
      <c r="B1" t="s">
        <v>8</v>
      </c>
    </row>
    <row r="2" spans="1:2" x14ac:dyDescent="0.25">
      <c r="A2" t="s">
        <v>2645</v>
      </c>
      <c r="B2" t="s">
        <v>30</v>
      </c>
    </row>
    <row r="3" spans="1:2" x14ac:dyDescent="0.25">
      <c r="A3" t="s">
        <v>2646</v>
      </c>
      <c r="B3" t="s">
        <v>43</v>
      </c>
    </row>
    <row r="4" spans="1:2" x14ac:dyDescent="0.25">
      <c r="A4" t="s">
        <v>2647</v>
      </c>
      <c r="B4" t="s">
        <v>61</v>
      </c>
    </row>
    <row r="5" spans="1:2" x14ac:dyDescent="0.25">
      <c r="A5" t="s">
        <v>2648</v>
      </c>
      <c r="B5" t="s">
        <v>153</v>
      </c>
    </row>
    <row r="6" spans="1:2" x14ac:dyDescent="0.25">
      <c r="A6" t="s">
        <v>2649</v>
      </c>
      <c r="B6" t="s">
        <v>385</v>
      </c>
    </row>
    <row r="7" spans="1:2" x14ac:dyDescent="0.25">
      <c r="A7" t="s">
        <v>2650</v>
      </c>
      <c r="B7" t="s">
        <v>547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BD44CC-D174-459C-AA0E-5FC0BB67B15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Data_Dictionary</vt:lpstr>
      <vt:lpstr>Project_Notes</vt:lpstr>
      <vt:lpstr>Raw_Sales</vt:lpstr>
      <vt:lpstr>Cleaned_Sales</vt:lpstr>
      <vt:lpstr>Dim_Product</vt:lpstr>
      <vt:lpstr>Dim_Customer</vt:lpstr>
      <vt:lpstr>Dim_Category</vt:lpstr>
      <vt:lpstr>Dim_Region</vt:lpstr>
      <vt:lpstr>Dim_City</vt:lpstr>
      <vt:lpstr>Fact_Sales</vt:lpstr>
      <vt:lpstr>Dim_Salesperson</vt:lpstr>
      <vt:lpstr>Dim_SalesChannel</vt:lpstr>
      <vt:lpstr>Dim_Category!Criteria</vt:lpstr>
      <vt:lpstr>Dim_City!Criteria</vt:lpstr>
      <vt:lpstr>Dim_Customer!Criteria</vt:lpstr>
      <vt:lpstr>Dim_Product!Criteria</vt:lpstr>
      <vt:lpstr>Dim_Region!Criteria</vt:lpstr>
      <vt:lpstr>Dim_SalesChannel!Criteria</vt:lpstr>
      <vt:lpstr>Fact_Sales!Criteria</vt:lpstr>
      <vt:lpstr>Dim_Category!Extract</vt:lpstr>
      <vt:lpstr>Dim_City!Extract</vt:lpstr>
      <vt:lpstr>Dim_Customer!Extract</vt:lpstr>
      <vt:lpstr>Dim_Region!Extract</vt:lpstr>
      <vt:lpstr>Dim_SalesChannel!Extract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Chiranjeevi  Kotipalli</cp:lastModifiedBy>
  <dcterms:created xsi:type="dcterms:W3CDTF">2026-09-23T18:10:33Z</dcterms:created>
  <dcterms:modified xsi:type="dcterms:W3CDTF">2026-09-25T08:13:41Z</dcterms:modified>
</cp:coreProperties>
</file>